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Universe'!$A$1:$J$421</definedName>
    <definedName name="_xlnm._FilterDatabase" localSheetId="3" hidden="1">'Confluence Overlap'!$A$1:$K$95</definedName>
    <definedName name="_xlnm._FilterDatabase" localSheetId="4" hidden="1">'Monit Non Financial'!$A$1:$CE$366</definedName>
    <definedName name="_xlnm._FilterDatabase" localSheetId="5" hidden="1">'Monit Banks NBFC'!$A$1:$CA$56</definedName>
    <definedName name="_xlnm._FilterDatabase" localSheetId="6" hidden="1">'Scanner Non Financial'!$A$1:$CJ$20</definedName>
    <definedName name="_xlnm._FilterDatabase" localSheetId="7" hidden="1">'Scanner Banks NBFC'!$A$1:$CF$4</definedName>
    <definedName name="_xlnm._FilterDatabase" localSheetId="8" hidden="1">'Scan Match Non Financial'!$A$1:$CG$88</definedName>
    <definedName name="_xlnm._FilterDatabase" localSheetId="9" hidden="1">'Scan Match Banks NBFC'!$A$1:$CC$14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FFFFFF"/>
      <sz val="16"/>
    </font>
    <font>
      <name val="Calibri"/>
      <b val="1"/>
      <color rgb="001F4E78"/>
      <sz val="12"/>
    </font>
    <font>
      <name val="Calibri"/>
      <b val="1"/>
      <color rgb="00FFFFFF"/>
      <sz val="11"/>
    </font>
    <font>
      <b val="1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name val="Calibri"/>
      <b val="1"/>
      <color rgb="00C00000"/>
      <sz val="12"/>
    </font>
    <font>
      <color rgb="00375623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2" fillId="4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5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6" fillId="6" borderId="6" applyAlignment="1" pivotButton="0" quotePrefix="0" xfId="0">
      <alignment horizontal="center"/>
    </xf>
    <xf numFmtId="0" fontId="17" fillId="7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4" fillId="8" borderId="6" applyAlignment="1" pivotButton="0" quotePrefix="0" xfId="0">
      <alignment horizontal="center" vertical="center" wrapText="1"/>
    </xf>
    <xf numFmtId="0" fontId="20" fillId="0" borderId="0" pivotButton="0" quotePrefix="0" xfId="0"/>
    <xf numFmtId="0" fontId="14" fillId="9" borderId="6" applyAlignment="1" pivotButton="0" quotePrefix="0" xfId="0">
      <alignment horizontal="center" vertical="center" wrapText="1"/>
    </xf>
    <xf numFmtId="0" fontId="16" fillId="10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1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Monday, 03 August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25" customWidth="1" min="3" max="3"/>
    <col width="37" customWidth="1" min="4" max="4"/>
    <col width="25" customWidth="1" min="5" max="5"/>
    <col width="43" customWidth="1" min="6" max="6"/>
    <col width="25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546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76</v>
      </c>
      <c r="G6" s="19" t="n">
        <v>43541.28</v>
      </c>
      <c r="H6" s="18" t="inlineStr">
        <is>
          <t>Potential Leader</t>
        </is>
      </c>
      <c r="J6" s="18" t="inlineStr">
        <is>
          <t>media</t>
        </is>
      </c>
      <c r="K6" s="16" t="n">
        <v>18</v>
      </c>
      <c r="L6" s="16" t="n">
        <v>13</v>
      </c>
      <c r="M6" s="20" t="inlineStr">
        <is>
          <t>38.5%</t>
        </is>
      </c>
    </row>
    <row r="7">
      <c r="A7" s="16" t="n">
        <v>2</v>
      </c>
      <c r="B7" s="17" t="n">
        <v>438</v>
      </c>
      <c r="C7" s="17" t="inlineStr">
        <is>
          <t>BLSE</t>
        </is>
      </c>
      <c r="D7" s="18" t="inlineStr">
        <is>
          <t>BLS E-Services Ltd</t>
        </is>
      </c>
      <c r="E7" s="18" t="inlineStr">
        <is>
          <t>i.t</t>
        </is>
      </c>
      <c r="F7" s="16" t="n">
        <v>58</v>
      </c>
      <c r="G7" s="19" t="n">
        <v>2731.69</v>
      </c>
      <c r="H7" s="18" t="inlineStr">
        <is>
          <t>Potential Leader</t>
        </is>
      </c>
      <c r="J7" s="18" t="inlineStr">
        <is>
          <t>i.t</t>
        </is>
      </c>
      <c r="K7" s="16" t="n">
        <v>94</v>
      </c>
      <c r="L7" s="16" t="n">
        <v>70</v>
      </c>
      <c r="M7" s="20" t="inlineStr">
        <is>
          <t>34.3%</t>
        </is>
      </c>
    </row>
    <row r="8">
      <c r="A8" s="16" t="n">
        <v>3</v>
      </c>
      <c r="B8" s="17" t="n">
        <v>432</v>
      </c>
      <c r="C8" s="17" t="inlineStr">
        <is>
          <t>LAURUSLABS</t>
        </is>
      </c>
      <c r="D8" s="18" t="inlineStr">
        <is>
          <t>Laurus Labs Limited</t>
        </is>
      </c>
      <c r="E8" s="18" t="inlineStr">
        <is>
          <t>healthcare</t>
        </is>
      </c>
      <c r="F8" s="16" t="n">
        <v>57</v>
      </c>
      <c r="G8" s="19" t="n">
        <v>98120.13</v>
      </c>
      <c r="H8" s="18" t="inlineStr">
        <is>
          <t>Potential Leader</t>
        </is>
      </c>
      <c r="J8" s="18" t="inlineStr">
        <is>
          <t>auto</t>
        </is>
      </c>
      <c r="K8" s="16" t="n">
        <v>171</v>
      </c>
      <c r="L8" s="16" t="n">
        <v>135</v>
      </c>
      <c r="M8" s="20" t="inlineStr">
        <is>
          <t>26.7%</t>
        </is>
      </c>
    </row>
    <row r="9">
      <c r="A9" s="16" t="n">
        <v>4</v>
      </c>
      <c r="B9" s="17" t="n">
        <v>384</v>
      </c>
      <c r="C9" s="17" t="inlineStr">
        <is>
          <t>PAISALO</t>
        </is>
      </c>
      <c r="D9" s="18" t="inlineStr">
        <is>
          <t>Paisalo Digital Ltd</t>
        </is>
      </c>
      <c r="E9" s="18" t="inlineStr">
        <is>
          <t>financials</t>
        </is>
      </c>
      <c r="F9" s="16" t="n">
        <v>49</v>
      </c>
      <c r="G9" s="19" t="n">
        <v>6475.8</v>
      </c>
      <c r="H9" s="18" t="inlineStr">
        <is>
          <t>Potential Leader</t>
        </is>
      </c>
      <c r="J9" s="18" t="inlineStr">
        <is>
          <t>plastic products</t>
        </is>
      </c>
      <c r="K9" s="16" t="n">
        <v>29</v>
      </c>
      <c r="L9" s="16" t="n">
        <v>23</v>
      </c>
      <c r="M9" s="20" t="inlineStr">
        <is>
          <t>26.1%</t>
        </is>
      </c>
    </row>
    <row r="10">
      <c r="A10" s="16" t="n">
        <v>5</v>
      </c>
      <c r="B10" s="17" t="n">
        <v>366</v>
      </c>
      <c r="C10" s="17" t="inlineStr">
        <is>
          <t>YASHO</t>
        </is>
      </c>
      <c r="D10" s="18" t="inlineStr">
        <is>
          <t>Yasho Industries Ltd</t>
        </is>
      </c>
      <c r="E10" s="18" t="inlineStr">
        <is>
          <t>chemicals</t>
        </is>
      </c>
      <c r="F10" s="16" t="n">
        <v>46</v>
      </c>
      <c r="G10" s="19" t="n">
        <v>4650.58</v>
      </c>
      <c r="H10" s="18" t="inlineStr">
        <is>
          <t>Potential Leader</t>
        </is>
      </c>
      <c r="J10" s="18" t="inlineStr">
        <is>
          <t>metals &amp; mining</t>
        </is>
      </c>
      <c r="K10" s="16" t="n">
        <v>68</v>
      </c>
      <c r="L10" s="16" t="n">
        <v>54</v>
      </c>
      <c r="M10" s="20" t="inlineStr">
        <is>
          <t>25.9%</t>
        </is>
      </c>
    </row>
    <row r="11">
      <c r="A11" s="16" t="n">
        <v>6</v>
      </c>
      <c r="B11" s="17" t="n">
        <v>360</v>
      </c>
      <c r="C11" s="17" t="inlineStr">
        <is>
          <t>CUPID</t>
        </is>
      </c>
      <c r="D11" s="18" t="inlineStr">
        <is>
          <t>Cupid Limited</t>
        </is>
      </c>
      <c r="E11" s="18" t="inlineStr">
        <is>
          <t>fmcg</t>
        </is>
      </c>
      <c r="F11" s="16" t="n">
        <v>45</v>
      </c>
      <c r="G11" s="19" t="n">
        <v>31010.57</v>
      </c>
      <c r="H11" s="18" t="inlineStr">
        <is>
          <t>Potential Leader</t>
        </is>
      </c>
      <c r="J11" s="18" t="inlineStr">
        <is>
          <t>transportation</t>
        </is>
      </c>
      <c r="K11" s="16" t="n">
        <v>43</v>
      </c>
      <c r="L11" s="16" t="n">
        <v>36</v>
      </c>
      <c r="M11" s="20" t="inlineStr">
        <is>
          <t>19.4%</t>
        </is>
      </c>
    </row>
    <row r="12">
      <c r="A12" s="16" t="n">
        <v>7</v>
      </c>
      <c r="B12" s="17" t="n">
        <v>342</v>
      </c>
      <c r="C12" s="17" t="inlineStr">
        <is>
          <t>HESTERBIO</t>
        </is>
      </c>
      <c r="D12" s="18" t="inlineStr">
        <is>
          <t>Hester Biosciences Limited</t>
        </is>
      </c>
      <c r="E12" s="18" t="inlineStr">
        <is>
          <t>healthcare</t>
        </is>
      </c>
      <c r="F12" s="16" t="n">
        <v>42</v>
      </c>
      <c r="G12" s="19" t="n">
        <v>2107.75</v>
      </c>
      <c r="H12" s="18" t="inlineStr">
        <is>
          <t>Potential Leader</t>
        </is>
      </c>
      <c r="J12" s="18" t="inlineStr">
        <is>
          <t>financials</t>
        </is>
      </c>
      <c r="K12" s="16" t="n">
        <v>156</v>
      </c>
      <c r="L12" s="16" t="n">
        <v>152</v>
      </c>
      <c r="M12" s="20" t="inlineStr">
        <is>
          <t>2.6%</t>
        </is>
      </c>
    </row>
    <row r="13">
      <c r="A13" s="16" t="n">
        <v>8</v>
      </c>
      <c r="B13" s="17" t="n">
        <v>330</v>
      </c>
      <c r="C13" s="17" t="inlineStr">
        <is>
          <t>SPECTRUM</t>
        </is>
      </c>
      <c r="D13" s="18" t="inlineStr">
        <is>
          <t>Spectrum Electrical Industries Ltd</t>
        </is>
      </c>
      <c r="E13" s="18" t="inlineStr">
        <is>
          <t>industrials</t>
        </is>
      </c>
      <c r="F13" s="16" t="n">
        <v>40</v>
      </c>
      <c r="G13" s="19" t="n">
        <v>3713.18</v>
      </c>
      <c r="H13" s="18" t="inlineStr">
        <is>
          <t>Potential Leader</t>
        </is>
      </c>
      <c r="J13" s="18" t="inlineStr">
        <is>
          <t>fmcg</t>
        </is>
      </c>
      <c r="K13" s="16" t="n">
        <v>92</v>
      </c>
      <c r="L13" s="16" t="n">
        <v>91</v>
      </c>
      <c r="M13" s="20" t="inlineStr">
        <is>
          <t>1.1%</t>
        </is>
      </c>
    </row>
    <row r="14">
      <c r="A14" s="16" t="n">
        <v>9</v>
      </c>
      <c r="B14" s="17" t="n">
        <v>300</v>
      </c>
      <c r="C14" s="17" t="inlineStr">
        <is>
          <t>VADILALIND</t>
        </is>
      </c>
      <c r="D14" s="18" t="inlineStr">
        <is>
          <t>Vadilal Industries Limited</t>
        </is>
      </c>
      <c r="E14" s="18" t="inlineStr">
        <is>
          <t>fmcg</t>
        </is>
      </c>
      <c r="F14" s="16" t="n">
        <v>35</v>
      </c>
      <c r="G14" s="19" t="n">
        <v>5185.66</v>
      </c>
      <c r="H14" s="18" t="inlineStr">
        <is>
          <t>Potential Leader</t>
        </is>
      </c>
      <c r="J14" s="18" t="inlineStr">
        <is>
          <t>telecom</t>
        </is>
      </c>
      <c r="K14" s="16" t="n">
        <v>13</v>
      </c>
      <c r="L14" s="16" t="n">
        <v>13</v>
      </c>
      <c r="M14" s="20" t="inlineStr">
        <is>
          <t>0.0%</t>
        </is>
      </c>
    </row>
    <row r="15">
      <c r="A15" s="16" t="n">
        <v>10</v>
      </c>
      <c r="B15" s="17" t="n">
        <v>294</v>
      </c>
      <c r="C15" s="17" t="inlineStr">
        <is>
          <t>FEDERALBNK</t>
        </is>
      </c>
      <c r="D15" s="18" t="inlineStr">
        <is>
          <t>The Federal Bank  Limited</t>
        </is>
      </c>
      <c r="E15" s="18" t="inlineStr">
        <is>
          <t>bank</t>
        </is>
      </c>
      <c r="F15" s="16" t="n">
        <v>34</v>
      </c>
      <c r="G15" s="19" t="n">
        <v>88565.58</v>
      </c>
      <c r="H15" s="18" t="inlineStr">
        <is>
          <t>Potential Leader</t>
        </is>
      </c>
      <c r="J15" s="18" t="inlineStr">
        <is>
          <t>chemicals</t>
        </is>
      </c>
      <c r="K15" s="16" t="n">
        <v>121</v>
      </c>
      <c r="L15" s="16" t="n">
        <v>122</v>
      </c>
      <c r="M15" s="21" t="inlineStr">
        <is>
          <t>-0.8%</t>
        </is>
      </c>
    </row>
    <row r="16">
      <c r="A16" s="16" t="n">
        <v>11</v>
      </c>
      <c r="B16" s="17" t="n">
        <v>282</v>
      </c>
      <c r="C16" s="17" t="inlineStr">
        <is>
          <t>HITECHCORP</t>
        </is>
      </c>
      <c r="D16" s="18" t="inlineStr">
        <is>
          <t>Hitech Corporation</t>
        </is>
      </c>
      <c r="E16" s="18" t="inlineStr">
        <is>
          <t>industrials</t>
        </is>
      </c>
      <c r="F16" s="16" t="n">
        <v>32</v>
      </c>
      <c r="G16" s="19" t="n">
        <v>549.97</v>
      </c>
      <c r="H16" s="18" t="inlineStr">
        <is>
          <t>Potential Leader</t>
        </is>
      </c>
      <c r="J16" s="18" t="inlineStr">
        <is>
          <t>textiles</t>
        </is>
      </c>
      <c r="K16" s="16" t="n">
        <v>72</v>
      </c>
      <c r="L16" s="16" t="n">
        <v>73</v>
      </c>
      <c r="M16" s="21" t="inlineStr">
        <is>
          <t>-1.4%</t>
        </is>
      </c>
    </row>
    <row r="17">
      <c r="A17" s="16" t="n">
        <v>12</v>
      </c>
      <c r="B17" s="17" t="n">
        <v>249</v>
      </c>
      <c r="C17" s="17" t="inlineStr">
        <is>
          <t>SSWL</t>
        </is>
      </c>
      <c r="D17" s="18" t="inlineStr">
        <is>
          <t>Steel Strips Wheels Limited</t>
        </is>
      </c>
      <c r="E17" s="18" t="inlineStr">
        <is>
          <t>auto</t>
        </is>
      </c>
      <c r="F17" s="16" t="n">
        <v>27</v>
      </c>
      <c r="G17" s="19" t="n">
        <v>4878.25</v>
      </c>
      <c r="H17" s="18" t="inlineStr">
        <is>
          <t>Potential Leader</t>
        </is>
      </c>
      <c r="J17" s="18" t="inlineStr">
        <is>
          <t>industrials</t>
        </is>
      </c>
      <c r="K17" s="16" t="n">
        <v>182</v>
      </c>
      <c r="L17" s="16" t="n">
        <v>185</v>
      </c>
      <c r="M17" s="21" t="inlineStr">
        <is>
          <t>-1.6%</t>
        </is>
      </c>
    </row>
    <row r="18">
      <c r="A18" s="16" t="n">
        <v>13</v>
      </c>
      <c r="B18" s="17" t="n">
        <v>234</v>
      </c>
      <c r="C18" s="17" t="inlineStr">
        <is>
          <t>BHARATFORG</t>
        </is>
      </c>
      <c r="D18" s="18" t="inlineStr">
        <is>
          <t>Bharat Forge Limited</t>
        </is>
      </c>
      <c r="E18" s="18" t="inlineStr">
        <is>
          <t>industrials</t>
        </is>
      </c>
      <c r="F18" s="16" t="n">
        <v>26</v>
      </c>
      <c r="G18" s="19" t="n">
        <v>105169.94</v>
      </c>
      <c r="H18" s="18" t="inlineStr">
        <is>
          <t>Potential Leader</t>
        </is>
      </c>
      <c r="J18" s="18" t="inlineStr">
        <is>
          <t>consumer discretionary</t>
        </is>
      </c>
      <c r="K18" s="16" t="n">
        <v>119</v>
      </c>
      <c r="L18" s="16" t="n">
        <v>123</v>
      </c>
      <c r="M18" s="21" t="inlineStr">
        <is>
          <t>-3.3%</t>
        </is>
      </c>
    </row>
    <row r="19">
      <c r="A19" s="16" t="n">
        <v>14</v>
      </c>
      <c r="B19" s="17" t="n">
        <v>234</v>
      </c>
      <c r="C19" s="17" t="inlineStr">
        <is>
          <t>SBC</t>
        </is>
      </c>
      <c r="D19" s="18" t="inlineStr">
        <is>
          <t>SBC Exports Ltd</t>
        </is>
      </c>
      <c r="E19" s="18" t="inlineStr">
        <is>
          <t>textiles</t>
        </is>
      </c>
      <c r="F19" s="16" t="n">
        <v>25</v>
      </c>
      <c r="G19" s="19" t="n">
        <v>2000.47</v>
      </c>
      <c r="H19" s="18" t="inlineStr">
        <is>
          <t>Potential Leader</t>
        </is>
      </c>
      <c r="J19" s="18" t="inlineStr">
        <is>
          <t>services</t>
        </is>
      </c>
      <c r="K19" s="16" t="n">
        <v>39</v>
      </c>
      <c r="L19" s="16" t="n">
        <v>41</v>
      </c>
      <c r="M19" s="21" t="inlineStr">
        <is>
          <t>-4.9%</t>
        </is>
      </c>
    </row>
    <row r="20">
      <c r="A20" s="16" t="n">
        <v>15</v>
      </c>
      <c r="B20" s="17" t="n">
        <v>231</v>
      </c>
      <c r="C20" s="17" t="inlineStr">
        <is>
          <t>ADOR</t>
        </is>
      </c>
      <c r="D20" s="18" t="inlineStr">
        <is>
          <t>Ador Welding Ltd</t>
        </is>
      </c>
      <c r="E20" s="18" t="inlineStr">
        <is>
          <t>industrials</t>
        </is>
      </c>
      <c r="F20" s="16" t="n">
        <v>24</v>
      </c>
      <c r="G20" s="19" t="n">
        <v>2514.18</v>
      </c>
      <c r="H20" s="18" t="inlineStr">
        <is>
          <t>Potential Leader</t>
        </is>
      </c>
      <c r="J20" s="18" t="inlineStr">
        <is>
          <t>healthcare</t>
        </is>
      </c>
      <c r="K20" s="16" t="n">
        <v>179</v>
      </c>
      <c r="L20" s="16" t="n">
        <v>189</v>
      </c>
      <c r="M20" s="21" t="inlineStr">
        <is>
          <t>-5.3%</t>
        </is>
      </c>
    </row>
    <row r="21">
      <c r="A21" s="16" t="n">
        <v>16</v>
      </c>
      <c r="B21" s="17" t="n">
        <v>231</v>
      </c>
      <c r="C21" s="17" t="inlineStr">
        <is>
          <t>CENTENKA</t>
        </is>
      </c>
      <c r="D21" s="18" t="inlineStr">
        <is>
          <t>Century Enka Limited</t>
        </is>
      </c>
      <c r="E21" s="18" t="inlineStr">
        <is>
          <t>textiles</t>
        </is>
      </c>
      <c r="F21" s="16" t="n">
        <v>24</v>
      </c>
      <c r="G21" s="19" t="n">
        <v>1333.87</v>
      </c>
      <c r="H21" s="18" t="inlineStr">
        <is>
          <t>Potential Leader</t>
        </is>
      </c>
    </row>
    <row r="22">
      <c r="A22" s="16" t="n">
        <v>17</v>
      </c>
      <c r="B22" s="17" t="n">
        <v>231</v>
      </c>
      <c r="C22" s="17" t="inlineStr">
        <is>
          <t>CYIENTDLM</t>
        </is>
      </c>
      <c r="D22" s="18" t="inlineStr">
        <is>
          <t>Cyient DLM Ltd</t>
        </is>
      </c>
      <c r="E22" s="18" t="inlineStr">
        <is>
          <t>consumer discretionary</t>
        </is>
      </c>
      <c r="F22" s="16" t="n">
        <v>24</v>
      </c>
      <c r="G22" s="19" t="n">
        <v>5319.08</v>
      </c>
      <c r="H22" s="18" t="inlineStr">
        <is>
          <t>Potential Leader</t>
        </is>
      </c>
    </row>
    <row r="23">
      <c r="A23" s="16" t="n">
        <v>18</v>
      </c>
      <c r="B23" s="17" t="n">
        <v>228</v>
      </c>
      <c r="C23" s="17" t="inlineStr">
        <is>
          <t>INDNIPPON</t>
        </is>
      </c>
      <c r="D23" s="18" t="inlineStr">
        <is>
          <t>India Nippon Electricals Limited</t>
        </is>
      </c>
      <c r="E23" s="18" t="inlineStr">
        <is>
          <t>auto</t>
        </is>
      </c>
      <c r="F23" s="16" t="n">
        <v>24</v>
      </c>
      <c r="G23" s="19" t="n">
        <v>2647.61</v>
      </c>
      <c r="H23" s="18" t="inlineStr">
        <is>
          <t>Potential Leader</t>
        </is>
      </c>
    </row>
    <row r="24">
      <c r="A24" s="16" t="n">
        <v>19</v>
      </c>
      <c r="B24" s="17" t="n">
        <v>228</v>
      </c>
      <c r="C24" s="17" t="inlineStr">
        <is>
          <t>RADICO</t>
        </is>
      </c>
      <c r="D24" s="18" t="inlineStr">
        <is>
          <t>Radico Khaitan Limited</t>
        </is>
      </c>
      <c r="E24" s="18" t="inlineStr">
        <is>
          <t>fmcg</t>
        </is>
      </c>
      <c r="F24" s="16" t="n">
        <v>24</v>
      </c>
      <c r="G24" s="19" t="n">
        <v>58136.92</v>
      </c>
      <c r="H24" s="18" t="inlineStr">
        <is>
          <t>Potential Leader</t>
        </is>
      </c>
    </row>
    <row r="25">
      <c r="A25" s="16" t="n">
        <v>20</v>
      </c>
      <c r="B25" s="17" t="n">
        <v>228</v>
      </c>
      <c r="C25" s="17" t="inlineStr">
        <is>
          <t>RPTECH</t>
        </is>
      </c>
      <c r="D25" s="18" t="inlineStr">
        <is>
          <t>Rashi Peripherals Ltd</t>
        </is>
      </c>
      <c r="E25" s="18" t="inlineStr">
        <is>
          <t>services</t>
        </is>
      </c>
      <c r="F25" s="16" t="n">
        <v>24</v>
      </c>
      <c r="G25" s="19" t="n">
        <v>5493.07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JGCHEM</t>
        </is>
      </c>
      <c r="B30" s="18" t="inlineStr">
        <is>
          <t>J.G.Chemicals Ltd</t>
        </is>
      </c>
      <c r="C30" s="18" t="inlineStr">
        <is>
          <t>chemicals</t>
        </is>
      </c>
      <c r="D30" s="16" t="n">
        <v>10</v>
      </c>
      <c r="E30" s="16" t="n">
        <v>0</v>
      </c>
      <c r="F30" s="19" t="n">
        <v>1974.19</v>
      </c>
      <c r="J30" s="17" t="inlineStr">
        <is>
          <t>SBCL</t>
        </is>
      </c>
      <c r="K30" s="18" t="inlineStr">
        <is>
          <t>metals &amp; mining</t>
        </is>
      </c>
      <c r="L30" s="19" t="n">
        <v>245</v>
      </c>
      <c r="M30" s="19" t="n">
        <v>4317.15</v>
      </c>
      <c r="N30" s="16" t="n">
        <v>21</v>
      </c>
    </row>
    <row r="31">
      <c r="A31" s="17" t="inlineStr">
        <is>
          <t>OPTIEMUS</t>
        </is>
      </c>
      <c r="B31" s="18" t="inlineStr">
        <is>
          <t>Optiemus Infracom Ltd</t>
        </is>
      </c>
      <c r="C31" s="18" t="inlineStr">
        <is>
          <t>telecom</t>
        </is>
      </c>
      <c r="D31" s="16" t="n">
        <v>10</v>
      </c>
      <c r="E31" s="16" t="n">
        <v>0</v>
      </c>
      <c r="F31" s="19" t="n">
        <v>5691.74</v>
      </c>
      <c r="J31" s="17" t="inlineStr">
        <is>
          <t>APOLLOPIPE</t>
        </is>
      </c>
      <c r="K31" s="18" t="inlineStr">
        <is>
          <t>plastic products</t>
        </is>
      </c>
      <c r="L31" s="19" t="n">
        <v>240</v>
      </c>
      <c r="M31" s="19" t="n">
        <v>2271.13</v>
      </c>
      <c r="N31" s="16" t="n">
        <v>4</v>
      </c>
    </row>
    <row r="32">
      <c r="A32" s="17" t="inlineStr">
        <is>
          <t>KABRAEXTRU</t>
        </is>
      </c>
      <c r="B32" s="18" t="inlineStr">
        <is>
          <t>Kabra Extrusion Technik Limited</t>
        </is>
      </c>
      <c r="C32" s="18" t="inlineStr">
        <is>
          <t>industrials</t>
        </is>
      </c>
      <c r="D32" s="16" t="n">
        <v>10</v>
      </c>
      <c r="E32" s="16" t="n">
        <v>2</v>
      </c>
      <c r="F32" s="19" t="n">
        <v>1381.25</v>
      </c>
      <c r="J32" s="17" t="inlineStr">
        <is>
          <t>APCOTEXIND</t>
        </is>
      </c>
      <c r="K32" s="18" t="inlineStr">
        <is>
          <t>chemicals</t>
        </is>
      </c>
      <c r="L32" s="19" t="n">
        <v>237</v>
      </c>
      <c r="M32" s="19" t="n">
        <v>3169.54</v>
      </c>
      <c r="N32" s="16" t="n">
        <v>25</v>
      </c>
    </row>
    <row r="33">
      <c r="A33" s="17" t="inlineStr">
        <is>
          <t>HUHTAMAKI</t>
        </is>
      </c>
      <c r="B33" s="18" t="inlineStr">
        <is>
          <t>Huhtamaki India Ltd</t>
        </is>
      </c>
      <c r="C33" s="18" t="inlineStr">
        <is>
          <t>industrials</t>
        </is>
      </c>
      <c r="D33" s="16" t="n">
        <v>10</v>
      </c>
      <c r="E33" s="16" t="n">
        <v>0</v>
      </c>
      <c r="F33" s="19" t="n">
        <v>2251.61</v>
      </c>
      <c r="J33" s="17" t="inlineStr">
        <is>
          <t>ARMANFIN</t>
        </is>
      </c>
      <c r="K33" s="18" t="inlineStr">
        <is>
          <t>financials</t>
        </is>
      </c>
      <c r="L33" s="19" t="n">
        <v>235</v>
      </c>
      <c r="M33" s="19" t="n">
        <v>2040.92</v>
      </c>
      <c r="N33" s="16" t="n">
        <v>12</v>
      </c>
    </row>
    <row r="34">
      <c r="A34" s="17" t="inlineStr">
        <is>
          <t>QUESS</t>
        </is>
      </c>
      <c r="B34" s="18" t="inlineStr">
        <is>
          <t>Quess Corp Limited</t>
        </is>
      </c>
      <c r="C34" s="18" t="inlineStr">
        <is>
          <t>miscellaneous</t>
        </is>
      </c>
      <c r="D34" s="16" t="n">
        <v>10</v>
      </c>
      <c r="E34" s="16" t="n">
        <v>2</v>
      </c>
      <c r="F34" s="19" t="n">
        <v>4966.96</v>
      </c>
      <c r="J34" s="17" t="inlineStr">
        <is>
          <t>SCPL</t>
        </is>
      </c>
      <c r="K34" s="18" t="inlineStr">
        <is>
          <t>fmcg</t>
        </is>
      </c>
      <c r="L34" s="19" t="n">
        <v>230</v>
      </c>
      <c r="M34" s="19" t="n">
        <v>645.75</v>
      </c>
      <c r="N34" s="16" t="n">
        <v>19</v>
      </c>
    </row>
    <row r="35">
      <c r="A35" s="17" t="inlineStr">
        <is>
          <t>PICCADIL</t>
        </is>
      </c>
      <c r="B35" s="18" t="inlineStr">
        <is>
          <t>Piccadily Agro Industries Ltd</t>
        </is>
      </c>
      <c r="C35" s="18" t="inlineStr">
        <is>
          <t>fmcg</t>
        </is>
      </c>
      <c r="D35" s="16" t="n">
        <v>10</v>
      </c>
      <c r="E35" s="16" t="n">
        <v>0</v>
      </c>
      <c r="F35" s="19" t="n">
        <v>7233.72</v>
      </c>
      <c r="J35" s="17" t="inlineStr">
        <is>
          <t>BLUSPRING</t>
        </is>
      </c>
      <c r="K35" s="18" t="inlineStr">
        <is>
          <t>miscellaneous</t>
        </is>
      </c>
      <c r="L35" s="19" t="n">
        <v>228</v>
      </c>
      <c r="M35" s="19" t="n">
        <v>1731.27</v>
      </c>
      <c r="N35" s="16" t="n">
        <v>14</v>
      </c>
    </row>
    <row r="36">
      <c r="A36" s="17" t="inlineStr">
        <is>
          <t>IIFL</t>
        </is>
      </c>
      <c r="B36" s="18" t="inlineStr">
        <is>
          <t>IIFL Finance Ltd</t>
        </is>
      </c>
      <c r="C36" s="18" t="inlineStr">
        <is>
          <t>financials</t>
        </is>
      </c>
      <c r="D36" s="16" t="n">
        <v>10</v>
      </c>
      <c r="E36" s="16" t="n">
        <v>0</v>
      </c>
      <c r="F36" s="19" t="n">
        <v>25887.41</v>
      </c>
      <c r="J36" s="17" t="inlineStr">
        <is>
          <t>PRICOLLTD</t>
        </is>
      </c>
      <c r="K36" s="18" t="inlineStr">
        <is>
          <t>auto</t>
        </is>
      </c>
      <c r="L36" s="19" t="n">
        <v>227</v>
      </c>
      <c r="M36" s="19" t="n">
        <v>8490.870000000001</v>
      </c>
      <c r="N36" s="16" t="n">
        <v>15</v>
      </c>
    </row>
    <row r="37">
      <c r="A37" s="17" t="inlineStr">
        <is>
          <t>AEGISVOPAK</t>
        </is>
      </c>
      <c r="B37" s="18" t="inlineStr">
        <is>
          <t>Aegis Vopak Terminals Ltd</t>
        </is>
      </c>
      <c r="C37" s="18" t="inlineStr">
        <is>
          <t>transportation</t>
        </is>
      </c>
      <c r="D37" s="16" t="n">
        <v>10</v>
      </c>
      <c r="E37" s="16" t="n">
        <v>2</v>
      </c>
      <c r="F37" s="19" t="n">
        <v>32149.48</v>
      </c>
      <c r="J37" s="17" t="inlineStr">
        <is>
          <t>RANEHOLDIN</t>
        </is>
      </c>
      <c r="K37" s="18" t="inlineStr">
        <is>
          <t>financials</t>
        </is>
      </c>
      <c r="L37" s="19" t="n">
        <v>225</v>
      </c>
      <c r="M37" s="19" t="n">
        <v>2496.47</v>
      </c>
      <c r="N37" s="16" t="n">
        <v>26</v>
      </c>
    </row>
    <row r="38">
      <c r="A38" s="17" t="inlineStr">
        <is>
          <t>ARROWGREEN</t>
        </is>
      </c>
      <c r="B38" s="18" t="inlineStr">
        <is>
          <t>Arrow Greentech Limited</t>
        </is>
      </c>
      <c r="C38" s="18" t="inlineStr">
        <is>
          <t>plastic products</t>
        </is>
      </c>
      <c r="D38" s="16" t="n">
        <v>10</v>
      </c>
      <c r="E38" s="16" t="n">
        <v>0</v>
      </c>
      <c r="F38" s="19" t="n">
        <v>1089.95</v>
      </c>
      <c r="J38" s="17" t="inlineStr">
        <is>
          <t>TINNARUBR</t>
        </is>
      </c>
      <c r="K38" s="18" t="inlineStr">
        <is>
          <t>fmcg</t>
        </is>
      </c>
      <c r="L38" s="19" t="n">
        <v>225</v>
      </c>
      <c r="M38" s="19" t="n">
        <v>2007.68</v>
      </c>
      <c r="N38" s="16" t="n">
        <v>27</v>
      </c>
    </row>
    <row r="39">
      <c r="A39" s="17" t="inlineStr">
        <is>
          <t>KALYANKJIL</t>
        </is>
      </c>
      <c r="B39" s="18" t="inlineStr">
        <is>
          <t>Kalyan Jewellers India Ltd</t>
        </is>
      </c>
      <c r="C39" s="18" t="inlineStr">
        <is>
          <t>consumer discretionary</t>
        </is>
      </c>
      <c r="D39" s="16" t="n">
        <v>10</v>
      </c>
      <c r="E39" s="16" t="n">
        <v>0</v>
      </c>
      <c r="F39" s="19" t="n">
        <v>63265.67</v>
      </c>
      <c r="J39" s="17" t="inlineStr">
        <is>
          <t>SPORTKING</t>
        </is>
      </c>
      <c r="K39" s="18" t="inlineStr">
        <is>
          <t>textiles</t>
        </is>
      </c>
      <c r="L39" s="19" t="n">
        <v>225</v>
      </c>
      <c r="M39" s="19" t="n">
        <v>2557.45</v>
      </c>
      <c r="N39" s="16" t="n">
        <v>22</v>
      </c>
    </row>
    <row r="40">
      <c r="A40" s="17" t="inlineStr">
        <is>
          <t>TIMETECHNO</t>
        </is>
      </c>
      <c r="B40" s="18" t="inlineStr">
        <is>
          <t>Time Technoplast Limited</t>
        </is>
      </c>
      <c r="C40" s="18" t="inlineStr">
        <is>
          <t>plastic products</t>
        </is>
      </c>
      <c r="D40" s="16" t="n">
        <v>10</v>
      </c>
      <c r="E40" s="16" t="n">
        <v>0</v>
      </c>
      <c r="F40" s="19" t="n">
        <v>10295.26</v>
      </c>
      <c r="J40" s="17" t="inlineStr">
        <is>
          <t>KTKBANK</t>
        </is>
      </c>
      <c r="K40" s="18" t="inlineStr">
        <is>
          <t>bank</t>
        </is>
      </c>
      <c r="L40" s="19" t="n">
        <v>225</v>
      </c>
      <c r="M40" s="19" t="n">
        <v>10769.34</v>
      </c>
      <c r="N40" s="16" t="n">
        <v>19</v>
      </c>
    </row>
    <row r="41">
      <c r="A41" s="17" t="inlineStr">
        <is>
          <t>POLYPLEX</t>
        </is>
      </c>
      <c r="B41" s="18" t="inlineStr">
        <is>
          <t>Polyplex Corporation Limited</t>
        </is>
      </c>
      <c r="C41" s="18" t="inlineStr">
        <is>
          <t>industrials</t>
        </is>
      </c>
      <c r="D41" s="16" t="n">
        <v>10</v>
      </c>
      <c r="E41" s="16" t="n">
        <v>1</v>
      </c>
      <c r="F41" s="19" t="n">
        <v>3469.81</v>
      </c>
      <c r="J41" s="17" t="inlineStr">
        <is>
          <t>CONFIPET</t>
        </is>
      </c>
      <c r="K41" s="18" t="inlineStr">
        <is>
          <t>miscellaneous</t>
        </is>
      </c>
      <c r="L41" s="19" t="n">
        <v>223</v>
      </c>
      <c r="M41" s="19" t="n">
        <v>2646.63</v>
      </c>
      <c r="N41" s="16" t="n">
        <v>24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102.96</v>
      </c>
      <c r="D47" s="28" t="n">
        <v>180</v>
      </c>
      <c r="E47" s="17" t="inlineStr">
        <is>
          <t>AXISOL</t>
        </is>
      </c>
      <c r="F47" s="18" t="inlineStr">
        <is>
          <t>Axis Solutions Limited</t>
        </is>
      </c>
      <c r="G47" s="18" t="inlineStr">
        <is>
          <t>Industrials</t>
        </is>
      </c>
      <c r="H47" s="19" t="n">
        <v>1731.23</v>
      </c>
    </row>
    <row r="48">
      <c r="A48" s="16" t="n">
        <v>2</v>
      </c>
      <c r="B48" s="27" t="n">
        <v>99</v>
      </c>
      <c r="C48" s="28" t="n">
        <v>76.51000000000001</v>
      </c>
      <c r="D48" s="28" t="n">
        <v>207</v>
      </c>
      <c r="E48" s="17" t="inlineStr">
        <is>
          <t>CUPID</t>
        </is>
      </c>
      <c r="F48" s="18" t="inlineStr">
        <is>
          <t>Cupid Limited</t>
        </is>
      </c>
      <c r="G48" s="18" t="inlineStr">
        <is>
          <t>fmcg</t>
        </is>
      </c>
      <c r="H48" s="19" t="n">
        <v>31010.57</v>
      </c>
    </row>
    <row r="49">
      <c r="A49" s="16" t="n">
        <v>3</v>
      </c>
      <c r="B49" s="27" t="n">
        <v>99</v>
      </c>
      <c r="C49" s="28" t="n">
        <v>73.23</v>
      </c>
      <c r="D49" s="28" t="n">
        <v>200</v>
      </c>
      <c r="E49" s="17" t="inlineStr">
        <is>
          <t>SIGMAADV</t>
        </is>
      </c>
      <c r="F49" s="18" t="inlineStr">
        <is>
          <t>Sigma Advanced System Ltd</t>
        </is>
      </c>
      <c r="G49" s="18" t="inlineStr">
        <is>
          <t>aerospace &amp; defence</t>
        </is>
      </c>
      <c r="H49" s="19" t="n">
        <v>11816.03</v>
      </c>
    </row>
    <row r="50">
      <c r="A50" s="16" t="n">
        <v>4</v>
      </c>
      <c r="B50" s="27" t="n">
        <v>98</v>
      </c>
      <c r="C50" s="28" t="n">
        <v>71.36</v>
      </c>
      <c r="D50" s="28" t="n">
        <v>200</v>
      </c>
      <c r="E50" s="17" t="inlineStr">
        <is>
          <t>STLTECH</t>
        </is>
      </c>
      <c r="F50" s="18" t="inlineStr">
        <is>
          <t>Sterlite Technologies Limited</t>
        </is>
      </c>
      <c r="G50" s="18" t="inlineStr">
        <is>
          <t>industrials</t>
        </is>
      </c>
      <c r="H50" s="19" t="n">
        <v>28626.58</v>
      </c>
    </row>
    <row r="51">
      <c r="A51" s="16" t="n">
        <v>5</v>
      </c>
      <c r="B51" s="27" t="n">
        <v>98</v>
      </c>
      <c r="C51" s="28" t="n">
        <v>69.25</v>
      </c>
      <c r="D51" s="28" t="n">
        <v>193</v>
      </c>
      <c r="E51" s="17" t="inlineStr">
        <is>
          <t>SWANDEF</t>
        </is>
      </c>
      <c r="F51" s="18" t="inlineStr">
        <is>
          <t>Swan Defence and Heavy Industries Ltd</t>
        </is>
      </c>
      <c r="G51" s="18" t="inlineStr">
        <is>
          <t>transportation</t>
        </is>
      </c>
      <c r="H51" s="19" t="n">
        <v>13031.98</v>
      </c>
    </row>
    <row r="52">
      <c r="A52" s="16" t="n">
        <v>6</v>
      </c>
      <c r="B52" s="27" t="n">
        <v>98</v>
      </c>
      <c r="C52" s="28" t="n">
        <v>60.48</v>
      </c>
      <c r="D52" s="28" t="n">
        <v>200</v>
      </c>
      <c r="E52" s="17" t="inlineStr">
        <is>
          <t>YASHO</t>
        </is>
      </c>
      <c r="F52" s="18" t="inlineStr">
        <is>
          <t>Yasho Industries Ltd</t>
        </is>
      </c>
      <c r="G52" s="18" t="inlineStr">
        <is>
          <t>chemicals</t>
        </is>
      </c>
      <c r="H52" s="19" t="n">
        <v>4650.58</v>
      </c>
    </row>
    <row r="53">
      <c r="A53" s="16" t="n">
        <v>7</v>
      </c>
      <c r="B53" s="27" t="n">
        <v>98</v>
      </c>
      <c r="C53" s="28" t="n">
        <v>48.51</v>
      </c>
      <c r="D53" s="28" t="n">
        <v>203</v>
      </c>
      <c r="E53" s="17" t="inlineStr">
        <is>
          <t>UFBL</t>
        </is>
      </c>
      <c r="F53" s="18" t="inlineStr">
        <is>
          <t>United Foodbrands Ltd</t>
        </is>
      </c>
      <c r="G53" s="18" t="inlineStr">
        <is>
          <t>consumer discretionary</t>
        </is>
      </c>
      <c r="H53" s="19" t="n">
        <v>2742.5</v>
      </c>
    </row>
    <row r="54">
      <c r="A54" s="16" t="n">
        <v>8</v>
      </c>
      <c r="B54" s="27" t="n">
        <v>97</v>
      </c>
      <c r="C54" s="28" t="n">
        <v>46.42</v>
      </c>
      <c r="D54" s="28" t="n">
        <v>203</v>
      </c>
      <c r="E54" s="17" t="inlineStr">
        <is>
          <t>HITECHCORP</t>
        </is>
      </c>
      <c r="F54" s="18" t="inlineStr">
        <is>
          <t>Hitech Corporation</t>
        </is>
      </c>
      <c r="G54" s="18" t="inlineStr">
        <is>
          <t>industrials</t>
        </is>
      </c>
      <c r="H54" s="19" t="n">
        <v>549.97</v>
      </c>
    </row>
    <row r="55">
      <c r="A55" s="16" t="n">
        <v>9</v>
      </c>
      <c r="B55" s="27" t="n">
        <v>97</v>
      </c>
      <c r="C55" s="28" t="n">
        <v>46.25</v>
      </c>
      <c r="D55" s="28" t="n">
        <v>215</v>
      </c>
      <c r="E55" s="17" t="inlineStr">
        <is>
          <t>ATHERENERG</t>
        </is>
      </c>
      <c r="F55" s="18" t="inlineStr">
        <is>
          <t>Ather Energy Ltd</t>
        </is>
      </c>
      <c r="G55" s="18" t="inlineStr">
        <is>
          <t>auto</t>
        </is>
      </c>
      <c r="H55" s="19" t="n">
        <v>49671.61</v>
      </c>
    </row>
    <row r="56">
      <c r="A56" s="16" t="n">
        <v>10</v>
      </c>
      <c r="B56" s="27" t="n">
        <v>97</v>
      </c>
      <c r="C56" s="28" t="n">
        <v>43.59</v>
      </c>
      <c r="D56" s="28" t="n">
        <v>163</v>
      </c>
      <c r="E56" s="17" t="inlineStr">
        <is>
          <t>DEEDEV</t>
        </is>
      </c>
      <c r="F56" s="18" t="inlineStr">
        <is>
          <t>DEE Development Engineers Ltd</t>
        </is>
      </c>
      <c r="G56" s="18" t="inlineStr">
        <is>
          <t>metals &amp; mining</t>
        </is>
      </c>
      <c r="H56" s="19" t="n">
        <v>5105.37</v>
      </c>
    </row>
    <row r="57">
      <c r="A57" s="16" t="n">
        <v>11</v>
      </c>
      <c r="B57" s="27" t="n">
        <v>97</v>
      </c>
      <c r="C57" s="28" t="n">
        <v>42.97</v>
      </c>
      <c r="D57" s="28" t="n">
        <v>215</v>
      </c>
      <c r="E57" s="17" t="inlineStr">
        <is>
          <t>RPTECH</t>
        </is>
      </c>
      <c r="F57" s="18" t="inlineStr">
        <is>
          <t>Rashi Peripherals Ltd</t>
        </is>
      </c>
      <c r="G57" s="18" t="inlineStr">
        <is>
          <t>services</t>
        </is>
      </c>
      <c r="H57" s="19" t="n">
        <v>5493.07</v>
      </c>
    </row>
    <row r="58">
      <c r="A58" s="16" t="n">
        <v>12</v>
      </c>
      <c r="B58" s="27" t="n">
        <v>97</v>
      </c>
      <c r="C58" s="28" t="n">
        <v>42.78</v>
      </c>
      <c r="D58" s="28" t="n">
        <v>190</v>
      </c>
      <c r="E58" s="17" t="inlineStr">
        <is>
          <t>BHAGYANGR</t>
        </is>
      </c>
      <c r="F58" s="18" t="inlineStr">
        <is>
          <t>Bhagyanagar India Limited</t>
        </is>
      </c>
      <c r="G58" s="18" t="inlineStr">
        <is>
          <t>Basic Materials</t>
        </is>
      </c>
      <c r="H58" s="19" t="n">
        <v>1239.65</v>
      </c>
    </row>
    <row r="59">
      <c r="A59" s="16" t="n">
        <v>13</v>
      </c>
      <c r="B59" s="27" t="n">
        <v>96</v>
      </c>
      <c r="C59" s="28" t="n">
        <v>41.64</v>
      </c>
      <c r="D59" s="28" t="n">
        <v>220</v>
      </c>
      <c r="E59" s="17" t="inlineStr">
        <is>
          <t>E2E</t>
        </is>
      </c>
      <c r="F59" s="18" t="inlineStr">
        <is>
          <t>E2E Networks Ltd</t>
        </is>
      </c>
      <c r="G59" s="18" t="inlineStr">
        <is>
          <t>i.t</t>
        </is>
      </c>
      <c r="H59" s="19" t="n">
        <v>10630.79</v>
      </c>
    </row>
    <row r="60">
      <c r="A60" s="16" t="n">
        <v>14</v>
      </c>
      <c r="B60" s="27" t="n">
        <v>96</v>
      </c>
      <c r="C60" s="28" t="n">
        <v>40.16</v>
      </c>
      <c r="D60" s="28" t="n">
        <v>0</v>
      </c>
      <c r="E60" s="17" t="inlineStr">
        <is>
          <t>IZMO</t>
        </is>
      </c>
      <c r="F60" s="18" t="inlineStr">
        <is>
          <t>IZMO Limited</t>
        </is>
      </c>
      <c r="G60" s="18" t="inlineStr">
        <is>
          <t>Technology</t>
        </is>
      </c>
      <c r="H60" s="19" t="n">
        <v>1479.65</v>
      </c>
    </row>
    <row r="61">
      <c r="A61" s="16" t="n">
        <v>15</v>
      </c>
      <c r="B61" s="27" t="n">
        <v>96</v>
      </c>
      <c r="C61" s="28" t="n">
        <v>40.11</v>
      </c>
      <c r="D61" s="28" t="n">
        <v>217</v>
      </c>
      <c r="E61" s="17" t="inlineStr">
        <is>
          <t>HFCL</t>
        </is>
      </c>
      <c r="F61" s="18" t="inlineStr">
        <is>
          <t>HFCL Limited</t>
        </is>
      </c>
      <c r="G61" s="18" t="inlineStr">
        <is>
          <t>Technology</t>
        </is>
      </c>
      <c r="H61" s="19" t="n">
        <v>30990.9</v>
      </c>
    </row>
    <row r="62">
      <c r="A62" s="16" t="n">
        <v>16</v>
      </c>
      <c r="B62" s="27" t="n">
        <v>96</v>
      </c>
      <c r="C62" s="28" t="n">
        <v>36.52</v>
      </c>
      <c r="D62" s="28" t="n">
        <v>208</v>
      </c>
      <c r="E62" s="17" t="inlineStr">
        <is>
          <t>GRWRHITECH</t>
        </is>
      </c>
      <c r="F62" s="18" t="inlineStr">
        <is>
          <t>Garware Hi Tech Films Ltd</t>
        </is>
      </c>
      <c r="G62" s="18" t="inlineStr">
        <is>
          <t>industrials</t>
        </is>
      </c>
      <c r="H62" s="19" t="n">
        <v>16614.65</v>
      </c>
    </row>
    <row r="63">
      <c r="A63" s="16" t="n">
        <v>17</v>
      </c>
      <c r="B63" s="27" t="n">
        <v>95</v>
      </c>
      <c r="C63" s="28" t="n">
        <v>35.07</v>
      </c>
      <c r="D63" s="28" t="n">
        <v>193</v>
      </c>
      <c r="E63" s="17" t="inlineStr">
        <is>
          <t>SETL</t>
        </is>
      </c>
      <c r="F63" s="18" t="inlineStr">
        <is>
          <t>Standard Enginnering Technology Ltd</t>
        </is>
      </c>
      <c r="G63" s="18" t="inlineStr">
        <is>
          <t>industrials</t>
        </is>
      </c>
      <c r="H63" s="19" t="n">
        <v>5488.02</v>
      </c>
    </row>
    <row r="64">
      <c r="A64" s="16" t="n">
        <v>18</v>
      </c>
      <c r="B64" s="27" t="n">
        <v>95</v>
      </c>
      <c r="C64" s="28" t="n">
        <v>34</v>
      </c>
      <c r="D64" s="28" t="n">
        <v>0</v>
      </c>
      <c r="E64" s="17" t="inlineStr">
        <is>
          <t>KPL</t>
        </is>
      </c>
      <c r="F64" s="18" t="inlineStr">
        <is>
          <t>Kwality Pharmaceuticals Limited</t>
        </is>
      </c>
      <c r="G64" s="18" t="inlineStr">
        <is>
          <t>Healthcare</t>
        </is>
      </c>
      <c r="H64" s="19" t="n">
        <v>2652.68</v>
      </c>
    </row>
    <row r="65">
      <c r="A65" s="16" t="n">
        <v>19</v>
      </c>
      <c r="B65" s="27" t="n">
        <v>95</v>
      </c>
      <c r="C65" s="28" t="n">
        <v>34</v>
      </c>
      <c r="D65" s="28" t="n">
        <v>198</v>
      </c>
      <c r="E65" s="17" t="inlineStr">
        <is>
          <t>KMEW</t>
        </is>
      </c>
      <c r="F65" s="18" t="inlineStr">
        <is>
          <t>Knowledge Marine &amp; Engineering Works Ltd</t>
        </is>
      </c>
      <c r="G65" s="18" t="inlineStr">
        <is>
          <t>transportation</t>
        </is>
      </c>
      <c r="H65" s="19" t="n">
        <v>6021.32</v>
      </c>
    </row>
    <row r="66">
      <c r="A66" s="16" t="n">
        <v>20</v>
      </c>
      <c r="B66" s="27" t="n">
        <v>95</v>
      </c>
      <c r="C66" s="28" t="n">
        <v>33.39</v>
      </c>
      <c r="D66" s="28" t="n">
        <v>230</v>
      </c>
      <c r="E66" s="17" t="inlineStr">
        <is>
          <t>AEGISLOG</t>
        </is>
      </c>
      <c r="F66" s="18" t="inlineStr">
        <is>
          <t>Aegis Logistics Ltd</t>
        </is>
      </c>
      <c r="G66" s="18" t="inlineStr">
        <is>
          <t>services</t>
        </is>
      </c>
      <c r="H66" s="19" t="n">
        <v>44956.08</v>
      </c>
    </row>
    <row r="67">
      <c r="A67" s="16" t="n">
        <v>21</v>
      </c>
      <c r="B67" s="27" t="n">
        <v>95</v>
      </c>
      <c r="C67" s="28" t="n">
        <v>33.05</v>
      </c>
      <c r="D67" s="28" t="n">
        <v>205</v>
      </c>
      <c r="E67" s="17" t="inlineStr">
        <is>
          <t>SPECTRUM</t>
        </is>
      </c>
      <c r="F67" s="18" t="inlineStr">
        <is>
          <t>Spectrum Electrical Industries Ltd</t>
        </is>
      </c>
      <c r="G67" s="18" t="inlineStr">
        <is>
          <t>industrials</t>
        </is>
      </c>
      <c r="H67" s="19" t="n">
        <v>3713.18</v>
      </c>
    </row>
    <row r="68">
      <c r="A68" s="16" t="n">
        <v>22</v>
      </c>
      <c r="B68" s="29" t="n">
        <v>94</v>
      </c>
      <c r="C68" s="28" t="n">
        <v>32.49</v>
      </c>
      <c r="D68" s="28" t="n">
        <v>230</v>
      </c>
      <c r="E68" s="17" t="inlineStr">
        <is>
          <t>TIMEX</t>
        </is>
      </c>
      <c r="F68" s="18" t="inlineStr">
        <is>
          <t>Timex Group India Limited</t>
        </is>
      </c>
      <c r="G68" s="18" t="inlineStr">
        <is>
          <t>Consumer Cyclical</t>
        </is>
      </c>
      <c r="H68" s="19" t="n">
        <v>5531.56</v>
      </c>
    </row>
    <row r="69">
      <c r="A69" s="16" t="n">
        <v>23</v>
      </c>
      <c r="B69" s="29" t="n">
        <v>94</v>
      </c>
      <c r="C69" s="28" t="n">
        <v>32.36</v>
      </c>
      <c r="D69" s="28" t="n">
        <v>195</v>
      </c>
      <c r="E69" s="17" t="inlineStr">
        <is>
          <t>KERNEX</t>
        </is>
      </c>
      <c r="F69" s="18" t="inlineStr">
        <is>
          <t>Kernex Microsystems (india) Limited</t>
        </is>
      </c>
      <c r="G69" s="18" t="inlineStr">
        <is>
          <t>consumer discretionary</t>
        </is>
      </c>
      <c r="H69" s="19" t="n">
        <v>3850.89</v>
      </c>
    </row>
    <row r="70">
      <c r="A70" s="16" t="n">
        <v>24</v>
      </c>
      <c r="B70" s="29" t="n">
        <v>94</v>
      </c>
      <c r="C70" s="28" t="n">
        <v>31.71</v>
      </c>
      <c r="D70" s="28" t="n">
        <v>202</v>
      </c>
      <c r="E70" s="17" t="inlineStr">
        <is>
          <t>LAURUSLABS</t>
        </is>
      </c>
      <c r="F70" s="18" t="inlineStr">
        <is>
          <t>Laurus Labs Limited</t>
        </is>
      </c>
      <c r="G70" s="18" t="inlineStr">
        <is>
          <t>healthcare</t>
        </is>
      </c>
      <c r="H70" s="19" t="n">
        <v>98120.13</v>
      </c>
    </row>
    <row r="71">
      <c r="A71" s="16" t="n">
        <v>25</v>
      </c>
      <c r="B71" s="29" t="n">
        <v>94</v>
      </c>
      <c r="C71" s="28" t="n">
        <v>31.4</v>
      </c>
      <c r="D71" s="28" t="n">
        <v>212</v>
      </c>
      <c r="E71" s="17" t="inlineStr">
        <is>
          <t>SAKAR</t>
        </is>
      </c>
      <c r="F71" s="18" t="inlineStr">
        <is>
          <t>Sakar Healthcare Ltd</t>
        </is>
      </c>
      <c r="G71" s="18" t="inlineStr">
        <is>
          <t>healthcare</t>
        </is>
      </c>
      <c r="H71" s="19" t="n">
        <v>1969.67</v>
      </c>
    </row>
    <row r="72">
      <c r="A72" s="16" t="n">
        <v>26</v>
      </c>
      <c r="B72" s="29" t="n">
        <v>94</v>
      </c>
      <c r="C72" s="28" t="n">
        <v>30.83</v>
      </c>
      <c r="D72" s="28" t="n">
        <v>180</v>
      </c>
      <c r="E72" s="17" t="inlineStr">
        <is>
          <t>INDSWFTLAB</t>
        </is>
      </c>
      <c r="F72" s="18" t="inlineStr">
        <is>
          <t>Ind-swift Laboratories Limited</t>
        </is>
      </c>
      <c r="G72" s="18" t="inlineStr">
        <is>
          <t>healthcare</t>
        </is>
      </c>
      <c r="H72" s="19" t="n">
        <v>1950.29</v>
      </c>
    </row>
    <row r="73">
      <c r="A73" s="16" t="n">
        <v>27</v>
      </c>
      <c r="B73" s="29" t="n">
        <v>93</v>
      </c>
      <c r="C73" s="28" t="n">
        <v>30.64</v>
      </c>
      <c r="D73" s="28" t="n">
        <v>180</v>
      </c>
      <c r="E73" s="17" t="inlineStr">
        <is>
          <t>TBZ</t>
        </is>
      </c>
      <c r="F73" s="18" t="inlineStr">
        <is>
          <t>Tribhovandas Bhimji Zaveri Limited</t>
        </is>
      </c>
      <c r="G73" s="18" t="inlineStr">
        <is>
          <t>consumer discretionary</t>
        </is>
      </c>
      <c r="H73" s="19" t="n">
        <v>1844.03</v>
      </c>
    </row>
    <row r="74">
      <c r="A74" s="16" t="n">
        <v>28</v>
      </c>
      <c r="B74" s="29" t="n">
        <v>93</v>
      </c>
      <c r="C74" s="28" t="n">
        <v>30.45</v>
      </c>
      <c r="D74" s="28" t="n">
        <v>195</v>
      </c>
      <c r="E74" s="17" t="inlineStr">
        <is>
          <t>NGLFINE</t>
        </is>
      </c>
      <c r="F74" s="18" t="inlineStr">
        <is>
          <t>NGL Fine Chem Ltd</t>
        </is>
      </c>
      <c r="G74" s="18" t="inlineStr">
        <is>
          <t>healthcare</t>
        </is>
      </c>
      <c r="H74" s="19" t="n">
        <v>2014.22</v>
      </c>
    </row>
    <row r="75">
      <c r="A75" s="16" t="n">
        <v>29</v>
      </c>
      <c r="B75" s="29" t="n">
        <v>93</v>
      </c>
      <c r="C75" s="28" t="n">
        <v>30.19</v>
      </c>
      <c r="D75" s="28" t="n">
        <v>198</v>
      </c>
      <c r="E75" s="17" t="inlineStr">
        <is>
          <t>ASTRAMICRO</t>
        </is>
      </c>
      <c r="F75" s="18" t="inlineStr">
        <is>
          <t>Astra Microwave Products Limited</t>
        </is>
      </c>
      <c r="G75" s="18" t="inlineStr">
        <is>
          <t>aerospace &amp; defence</t>
        </is>
      </c>
      <c r="H75" s="19" t="n">
        <v>17674.96</v>
      </c>
    </row>
    <row r="76">
      <c r="A76" s="16" t="n">
        <v>30</v>
      </c>
      <c r="B76" s="29" t="n">
        <v>93</v>
      </c>
      <c r="C76" s="28" t="n">
        <v>29.4</v>
      </c>
      <c r="D76" s="28" t="n">
        <v>190</v>
      </c>
      <c r="E76" s="17" t="inlineStr">
        <is>
          <t>SKYGOLD</t>
        </is>
      </c>
      <c r="F76" s="18" t="inlineStr">
        <is>
          <t>Sky Gold Ltd</t>
        </is>
      </c>
      <c r="G76" s="18" t="inlineStr">
        <is>
          <t>consumer discretionary</t>
        </is>
      </c>
      <c r="H76" s="19" t="n">
        <v>9969.23</v>
      </c>
    </row>
    <row r="77">
      <c r="A77" s="16" t="n">
        <v>31</v>
      </c>
      <c r="B77" s="29" t="n">
        <v>92</v>
      </c>
      <c r="C77" s="28" t="n">
        <v>29.34</v>
      </c>
      <c r="D77" s="28" t="n">
        <v>210</v>
      </c>
      <c r="E77" s="17" t="inlineStr">
        <is>
          <t>RATEGAIN</t>
        </is>
      </c>
      <c r="F77" s="18" t="inlineStr">
        <is>
          <t>Rategain Travel Technologies Ltd</t>
        </is>
      </c>
      <c r="G77" s="18" t="inlineStr">
        <is>
          <t>i.t</t>
        </is>
      </c>
      <c r="H77" s="19" t="n">
        <v>10876.2</v>
      </c>
    </row>
    <row r="78">
      <c r="A78" s="16" t="n">
        <v>32</v>
      </c>
      <c r="B78" s="29" t="n">
        <v>92</v>
      </c>
      <c r="C78" s="28" t="n">
        <v>29.32</v>
      </c>
      <c r="D78" s="28" t="n">
        <v>190</v>
      </c>
      <c r="E78" s="17" t="inlineStr">
        <is>
          <t>INDOTECH</t>
        </is>
      </c>
      <c r="F78" s="18" t="inlineStr">
        <is>
          <t>Indo Tech Transformers Limited</t>
        </is>
      </c>
      <c r="G78" s="18" t="inlineStr">
        <is>
          <t>industrials</t>
        </is>
      </c>
      <c r="H78" s="19" t="n">
        <v>3667.94</v>
      </c>
    </row>
    <row r="79">
      <c r="A79" s="16" t="n">
        <v>33</v>
      </c>
      <c r="B79" s="29" t="n">
        <v>92</v>
      </c>
      <c r="C79" s="28" t="n">
        <v>29.19</v>
      </c>
      <c r="D79" s="28" t="n">
        <v>215</v>
      </c>
      <c r="E79" s="17" t="inlineStr">
        <is>
          <t>PAISALO</t>
        </is>
      </c>
      <c r="F79" s="18" t="inlineStr">
        <is>
          <t>Paisalo Digital Ltd</t>
        </is>
      </c>
      <c r="G79" s="18" t="inlineStr">
        <is>
          <t>financials</t>
        </is>
      </c>
      <c r="H79" s="19" t="n">
        <v>6475.8</v>
      </c>
    </row>
    <row r="80">
      <c r="A80" s="16" t="n">
        <v>34</v>
      </c>
      <c r="B80" s="29" t="n">
        <v>92</v>
      </c>
      <c r="C80" s="28" t="n">
        <v>28.46</v>
      </c>
      <c r="D80" s="28" t="n">
        <v>208</v>
      </c>
      <c r="E80" s="17" t="inlineStr">
        <is>
          <t>PARAS</t>
        </is>
      </c>
      <c r="F80" s="18" t="inlineStr">
        <is>
          <t>Paras Defence and Space Technologies Ltd</t>
        </is>
      </c>
      <c r="G80" s="18" t="inlineStr">
        <is>
          <t>aerospace &amp; defence</t>
        </is>
      </c>
      <c r="H80" s="19" t="n">
        <v>10125.8</v>
      </c>
    </row>
    <row r="81">
      <c r="A81" s="16" t="n">
        <v>35</v>
      </c>
      <c r="B81" s="29" t="n">
        <v>92</v>
      </c>
      <c r="C81" s="28" t="n">
        <v>27.78</v>
      </c>
      <c r="D81" s="28" t="n">
        <v>210</v>
      </c>
      <c r="E81" s="17" t="inlineStr">
        <is>
          <t>RAIN</t>
        </is>
      </c>
      <c r="F81" s="18" t="inlineStr">
        <is>
          <t>Rain Industries Limited</t>
        </is>
      </c>
      <c r="G81" s="18" t="inlineStr">
        <is>
          <t>miscellaneous</t>
        </is>
      </c>
      <c r="H81" s="19" t="n">
        <v>7498.83</v>
      </c>
    </row>
    <row r="82">
      <c r="A82" s="16" t="n">
        <v>36</v>
      </c>
      <c r="B82" s="29" t="n">
        <v>91</v>
      </c>
      <c r="C82" s="28" t="n">
        <v>27.33</v>
      </c>
      <c r="D82" s="28" t="n">
        <v>215</v>
      </c>
      <c r="E82" s="17" t="inlineStr">
        <is>
          <t>UNIPARTS</t>
        </is>
      </c>
      <c r="F82" s="18" t="inlineStr">
        <is>
          <t>Uniparts India Ltd</t>
        </is>
      </c>
      <c r="G82" s="18" t="inlineStr">
        <is>
          <t>industrials</t>
        </is>
      </c>
      <c r="H82" s="19" t="n">
        <v>3286.42</v>
      </c>
    </row>
    <row r="83">
      <c r="A83" s="16" t="n">
        <v>37</v>
      </c>
      <c r="B83" s="29" t="n">
        <v>91</v>
      </c>
      <c r="C83" s="28" t="n">
        <v>27.28</v>
      </c>
      <c r="D83" s="28" t="n">
        <v>198</v>
      </c>
      <c r="E83" s="17" t="inlineStr">
        <is>
          <t>TIRUPATIFL</t>
        </is>
      </c>
      <c r="F83" s="18" t="inlineStr">
        <is>
          <t>Tirupati Forge Ltd</t>
        </is>
      </c>
      <c r="G83" s="18" t="inlineStr">
        <is>
          <t>industrials</t>
        </is>
      </c>
      <c r="H83" s="19" t="n">
        <v>910.28</v>
      </c>
    </row>
    <row r="84">
      <c r="A84" s="16" t="n">
        <v>38</v>
      </c>
      <c r="B84" s="29" t="n">
        <v>91</v>
      </c>
      <c r="C84" s="28" t="n">
        <v>26.81</v>
      </c>
      <c r="D84" s="28" t="n">
        <v>198</v>
      </c>
      <c r="E84" s="17" t="inlineStr">
        <is>
          <t>SANSERA</t>
        </is>
      </c>
      <c r="F84" s="18" t="inlineStr">
        <is>
          <t>Sansera Engineering Ltd</t>
        </is>
      </c>
      <c r="G84" s="18" t="inlineStr">
        <is>
          <t>auto</t>
        </is>
      </c>
      <c r="H84" s="19" t="n">
        <v>20885.85</v>
      </c>
    </row>
    <row r="85">
      <c r="A85" s="16" t="n">
        <v>39</v>
      </c>
      <c r="B85" s="29" t="n">
        <v>91</v>
      </c>
      <c r="C85" s="28" t="n">
        <v>26.68</v>
      </c>
      <c r="D85" s="28" t="n">
        <v>213</v>
      </c>
      <c r="E85" s="17" t="inlineStr">
        <is>
          <t>RISHABH</t>
        </is>
      </c>
      <c r="F85" s="18" t="inlineStr">
        <is>
          <t>Rishabh Instruments Ltd</t>
        </is>
      </c>
      <c r="G85" s="18" t="inlineStr">
        <is>
          <t>industrials</t>
        </is>
      </c>
      <c r="H85" s="19" t="n">
        <v>2353.43</v>
      </c>
    </row>
    <row r="86">
      <c r="A86" s="16" t="n">
        <v>40</v>
      </c>
      <c r="B86" s="29" t="n">
        <v>90</v>
      </c>
      <c r="C86" s="28" t="n">
        <v>26.28</v>
      </c>
      <c r="D86" s="28" t="n">
        <v>228</v>
      </c>
      <c r="E86" s="17" t="inlineStr">
        <is>
          <t>BLUSPRING</t>
        </is>
      </c>
      <c r="F86" s="18" t="inlineStr">
        <is>
          <t>Bluspring Enterprises Ltd</t>
        </is>
      </c>
      <c r="G86" s="18" t="inlineStr">
        <is>
          <t>miscellaneous</t>
        </is>
      </c>
      <c r="H86" s="19" t="n">
        <v>1731.27</v>
      </c>
    </row>
    <row r="87">
      <c r="A87" s="16" t="n">
        <v>41</v>
      </c>
      <c r="B87" s="29" t="n">
        <v>90</v>
      </c>
      <c r="C87" s="28" t="n">
        <v>26.09</v>
      </c>
      <c r="D87" s="28" t="n">
        <v>205</v>
      </c>
      <c r="E87" s="17" t="inlineStr">
        <is>
          <t>CYIENTDLM</t>
        </is>
      </c>
      <c r="F87" s="18" t="inlineStr">
        <is>
          <t>Cyient DLM Ltd</t>
        </is>
      </c>
      <c r="G87" s="18" t="inlineStr">
        <is>
          <t>consumer discretionary</t>
        </is>
      </c>
      <c r="H87" s="19" t="n">
        <v>5319.08</v>
      </c>
    </row>
    <row r="88">
      <c r="A88" s="16" t="n">
        <v>42</v>
      </c>
      <c r="B88" s="29" t="n">
        <v>90</v>
      </c>
      <c r="C88" s="28" t="n">
        <v>25.69</v>
      </c>
      <c r="D88" s="28" t="n">
        <v>198</v>
      </c>
      <c r="E88" s="17" t="inlineStr">
        <is>
          <t>IDEAFORGE</t>
        </is>
      </c>
      <c r="F88" s="18" t="inlineStr">
        <is>
          <t>Ideaforge Technology Ltd</t>
        </is>
      </c>
      <c r="G88" s="18" t="inlineStr">
        <is>
          <t>aerospace &amp; defence</t>
        </is>
      </c>
      <c r="H88" s="19" t="n">
        <v>4347.99</v>
      </c>
    </row>
    <row r="89">
      <c r="A89" s="16" t="n">
        <v>43</v>
      </c>
      <c r="B89" s="29" t="n">
        <v>90</v>
      </c>
      <c r="C89" s="28" t="n">
        <v>25.39</v>
      </c>
      <c r="D89" s="28" t="n">
        <v>178</v>
      </c>
      <c r="E89" s="17" t="inlineStr">
        <is>
          <t>MBAPL</t>
        </is>
      </c>
      <c r="F89" s="18" t="inlineStr">
        <is>
          <t>Madhya Bharat Agro Products Ltd</t>
        </is>
      </c>
      <c r="G89" s="18" t="inlineStr">
        <is>
          <t>chemicals</t>
        </is>
      </c>
      <c r="H89" s="19" t="n">
        <v>1403.78</v>
      </c>
    </row>
    <row r="90">
      <c r="A90" s="16" t="n">
        <v>44</v>
      </c>
      <c r="B90" s="29" t="n">
        <v>90</v>
      </c>
      <c r="C90" s="28" t="n">
        <v>25.34</v>
      </c>
      <c r="D90" s="28" t="n">
        <v>218</v>
      </c>
      <c r="E90" s="17" t="inlineStr">
        <is>
          <t>KANORICHEM</t>
        </is>
      </c>
      <c r="F90" s="18" t="inlineStr">
        <is>
          <t>Kanoria Chemicals &amp; Industries Limited</t>
        </is>
      </c>
      <c r="G90" s="18" t="inlineStr">
        <is>
          <t>chemicals</t>
        </is>
      </c>
      <c r="H90" s="19" t="n">
        <v>622.11</v>
      </c>
    </row>
    <row r="91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UEL</t>
        </is>
      </c>
      <c r="B2" s="31" t="inlineStr">
        <is>
          <t>Ujaas Energy Ltd</t>
        </is>
      </c>
      <c r="C2" s="31" t="inlineStr">
        <is>
          <t>power &amp; utilities</t>
        </is>
      </c>
      <c r="D2" s="31" t="inlineStr">
        <is>
          <t>power generation and supply</t>
        </is>
      </c>
      <c r="E2" s="31" t="inlineStr">
        <is>
          <t>smallcap</t>
        </is>
      </c>
      <c r="F2" s="31" t="n">
        <v>2050.72</v>
      </c>
      <c r="G2" s="31" t="n">
        <v>184.47</v>
      </c>
      <c r="H2" s="31" t="n">
        <v>20</v>
      </c>
      <c r="I2" s="31" t="n">
        <v>211631</v>
      </c>
      <c r="J2" s="31" t="inlineStr">
        <is>
          <t>533644</t>
        </is>
      </c>
    </row>
    <row r="3">
      <c r="A3" s="31" t="inlineStr">
        <is>
          <t>VINDHYATEL</t>
        </is>
      </c>
      <c r="B3" s="31" t="inlineStr">
        <is>
          <t>Vindhya Telelinks Limited</t>
        </is>
      </c>
      <c r="C3" s="31" t="inlineStr">
        <is>
          <t>realty</t>
        </is>
      </c>
      <c r="D3" s="31" t="inlineStr">
        <is>
          <t>construction</t>
        </is>
      </c>
      <c r="E3" s="31" t="inlineStr">
        <is>
          <t>smallcap</t>
        </is>
      </c>
      <c r="F3" s="31" t="n">
        <v>2353.46</v>
      </c>
      <c r="G3" s="31" t="n">
        <v>2383</v>
      </c>
      <c r="H3" s="31" t="n">
        <v>20</v>
      </c>
      <c r="I3" s="31" t="n">
        <v>605417</v>
      </c>
      <c r="J3" s="31" t="inlineStr">
        <is>
          <t>517015</t>
        </is>
      </c>
    </row>
    <row r="4">
      <c r="A4" s="31" t="inlineStr">
        <is>
          <t>SHALPAINTS</t>
        </is>
      </c>
      <c r="B4" s="31" t="inlineStr">
        <is>
          <t>Shalimar Paints Limited</t>
        </is>
      </c>
      <c r="C4" s="31" t="inlineStr">
        <is>
          <t>building materials</t>
        </is>
      </c>
      <c r="D4" s="31" t="inlineStr">
        <is>
          <t>paints / varnishes</t>
        </is>
      </c>
      <c r="E4" s="31" t="inlineStr">
        <is>
          <t>smallcap</t>
        </is>
      </c>
      <c r="F4" s="31" t="n">
        <v>558.1900000000001</v>
      </c>
      <c r="G4" s="31" t="n">
        <v>80.01000000000001</v>
      </c>
      <c r="H4" s="31" t="n">
        <v>19.99</v>
      </c>
      <c r="I4" s="31" t="n">
        <v>4518150</v>
      </c>
      <c r="J4" s="31" t="inlineStr">
        <is>
          <t>509874</t>
        </is>
      </c>
    </row>
    <row r="5">
      <c r="A5" s="31" t="inlineStr">
        <is>
          <t>DALMIASUG</t>
        </is>
      </c>
      <c r="B5" s="31" t="inlineStr">
        <is>
          <t>Dalmia Bharat Sugar And Industries Limited</t>
        </is>
      </c>
      <c r="C5" s="31" t="inlineStr">
        <is>
          <t>fmcg</t>
        </is>
      </c>
      <c r="D5" s="31" t="inlineStr">
        <is>
          <t>sugar</t>
        </is>
      </c>
      <c r="E5" s="31" t="inlineStr">
        <is>
          <t>smallcap</t>
        </is>
      </c>
      <c r="F5" s="31" t="n">
        <v>2840.16</v>
      </c>
      <c r="G5" s="31" t="n">
        <v>411.85</v>
      </c>
      <c r="H5" s="31" t="n">
        <v>17.37</v>
      </c>
      <c r="I5" s="31" t="n">
        <v>10294962</v>
      </c>
      <c r="J5" s="31" t="inlineStr">
        <is>
          <t>500097</t>
        </is>
      </c>
    </row>
    <row r="6">
      <c r="A6" s="31" t="inlineStr">
        <is>
          <t>ETHOSLTD</t>
        </is>
      </c>
      <c r="B6" s="31" t="inlineStr">
        <is>
          <t>Ethos Ltd</t>
        </is>
      </c>
      <c r="C6" s="31" t="inlineStr">
        <is>
          <t>consumer discretionary</t>
        </is>
      </c>
      <c r="D6" s="31" t="inlineStr">
        <is>
          <t>trading</t>
        </is>
      </c>
      <c r="E6" s="31" t="inlineStr">
        <is>
          <t>midcap</t>
        </is>
      </c>
      <c r="F6" s="31" t="n">
        <v>6891.18</v>
      </c>
      <c r="G6" s="31" t="n">
        <v>2962.7</v>
      </c>
      <c r="H6" s="31" t="n">
        <v>15.04</v>
      </c>
      <c r="I6" s="31" t="n">
        <v>1592339</v>
      </c>
      <c r="J6" s="31" t="inlineStr">
        <is>
          <t>543532</t>
        </is>
      </c>
    </row>
    <row r="7">
      <c r="A7" s="31" t="inlineStr">
        <is>
          <t>SPORTKING</t>
        </is>
      </c>
      <c r="B7" s="31" t="inlineStr">
        <is>
          <t>Sportking India Ltd</t>
        </is>
      </c>
      <c r="C7" s="31" t="inlineStr">
        <is>
          <t>textiles</t>
        </is>
      </c>
      <c r="D7" s="31" t="inlineStr">
        <is>
          <t>textiles - spinning - synthetic / blended</t>
        </is>
      </c>
      <c r="E7" s="31" t="inlineStr">
        <is>
          <t>smallcap</t>
        </is>
      </c>
      <c r="F7" s="31" t="n">
        <v>2557.45</v>
      </c>
      <c r="G7" s="31" t="n">
        <v>229.63</v>
      </c>
      <c r="H7" s="31" t="n">
        <v>14.1</v>
      </c>
      <c r="I7" s="31" t="n">
        <v>12667361</v>
      </c>
      <c r="J7" s="31" t="inlineStr">
        <is>
          <t>539221</t>
        </is>
      </c>
    </row>
    <row r="8">
      <c r="A8" s="31" t="inlineStr">
        <is>
          <t>RATNAVEER</t>
        </is>
      </c>
      <c r="B8" s="31" t="inlineStr">
        <is>
          <t>Ratnaveer Precision Engineering Ltd</t>
        </is>
      </c>
      <c r="C8" s="31" t="inlineStr">
        <is>
          <t>metals &amp; mining</t>
        </is>
      </c>
      <c r="D8" s="31" t="inlineStr">
        <is>
          <t>steel - medium / small</t>
        </is>
      </c>
      <c r="E8" s="31" t="inlineStr">
        <is>
          <t>smallcap</t>
        </is>
      </c>
      <c r="F8" s="31" t="n">
        <v>1295.54</v>
      </c>
      <c r="G8" s="31" t="n">
        <v>205.79</v>
      </c>
      <c r="H8" s="31" t="n">
        <v>13.46</v>
      </c>
      <c r="I8" s="31" t="n">
        <v>39358650</v>
      </c>
      <c r="J8" s="31" t="inlineStr">
        <is>
          <t>543978</t>
        </is>
      </c>
    </row>
    <row r="9">
      <c r="A9" s="31" t="inlineStr">
        <is>
          <t>INDORAMA</t>
        </is>
      </c>
      <c r="B9" s="31" t="inlineStr">
        <is>
          <t>Indo Rama Synthetics (india) Limited</t>
        </is>
      </c>
      <c r="C9" s="31" t="inlineStr">
        <is>
          <t>textiles</t>
        </is>
      </c>
      <c r="D9" s="31" t="inlineStr">
        <is>
          <t>textiles - manmade</t>
        </is>
      </c>
      <c r="E9" s="31" t="inlineStr">
        <is>
          <t>smallcap</t>
        </is>
      </c>
      <c r="F9" s="31" t="n">
        <v>1468.76</v>
      </c>
      <c r="G9" s="31" t="n">
        <v>63.5</v>
      </c>
      <c r="H9" s="31" t="n">
        <v>12.89</v>
      </c>
      <c r="I9" s="31" t="n">
        <v>2539592</v>
      </c>
      <c r="J9" s="31" t="inlineStr">
        <is>
          <t>500207</t>
        </is>
      </c>
    </row>
    <row r="10">
      <c r="A10" s="31" t="inlineStr">
        <is>
          <t>ROSSTECH</t>
        </is>
      </c>
      <c r="B10" s="31" t="inlineStr">
        <is>
          <t>Rossell Techsys Ltd</t>
        </is>
      </c>
      <c r="C10" s="31" t="inlineStr">
        <is>
          <t>aerospace &amp; defence</t>
        </is>
      </c>
      <c r="D10" s="31" t="inlineStr">
        <is>
          <t>engineering</t>
        </is>
      </c>
      <c r="E10" s="31" t="inlineStr">
        <is>
          <t>smallcap</t>
        </is>
      </c>
      <c r="F10" s="31" t="n">
        <v>3596.62</v>
      </c>
      <c r="G10" s="31" t="n">
        <v>1067.1</v>
      </c>
      <c r="H10" s="31" t="n">
        <v>11.84</v>
      </c>
      <c r="I10" s="31" t="n">
        <v>1333256</v>
      </c>
      <c r="J10" s="31" t="inlineStr">
        <is>
          <t>544294</t>
        </is>
      </c>
    </row>
    <row r="11">
      <c r="A11" s="31" t="inlineStr">
        <is>
          <t>AVADHSUGAR</t>
        </is>
      </c>
      <c r="B11" s="31" t="inlineStr">
        <is>
          <t>Avadh Sugar &amp; Energy</t>
        </is>
      </c>
      <c r="C11" s="31" t="inlineStr">
        <is>
          <t>fmcg</t>
        </is>
      </c>
      <c r="D11" s="31" t="inlineStr">
        <is>
          <t>sugar</t>
        </is>
      </c>
      <c r="E11" s="31" t="inlineStr">
        <is>
          <t>smallcap</t>
        </is>
      </c>
      <c r="F11" s="31" t="n">
        <v>1008.93</v>
      </c>
      <c r="G11" s="31" t="n">
        <v>558.7</v>
      </c>
      <c r="H11" s="31" t="n">
        <v>10.85</v>
      </c>
      <c r="I11" s="31" t="n">
        <v>578282</v>
      </c>
      <c r="J11" s="31" t="inlineStr">
        <is>
          <t>540649</t>
        </is>
      </c>
    </row>
    <row r="12">
      <c r="A12" s="31" t="inlineStr">
        <is>
          <t>KAPSTON</t>
        </is>
      </c>
      <c r="B12" s="31" t="inlineStr">
        <is>
          <t>Kapston Services Ltd</t>
        </is>
      </c>
      <c r="C12" s="31" t="inlineStr">
        <is>
          <t>miscellaneous</t>
        </is>
      </c>
      <c r="D12" s="31" t="inlineStr">
        <is>
          <t>miscellaneous</t>
        </is>
      </c>
      <c r="E12" s="31" t="inlineStr">
        <is>
          <t>smallcap</t>
        </is>
      </c>
      <c r="F12" s="31" t="n">
        <v>1445.22</v>
      </c>
      <c r="G12" s="31" t="n">
        <v>525.9</v>
      </c>
      <c r="H12" s="31" t="n">
        <v>10.74</v>
      </c>
      <c r="I12" s="31" t="n">
        <v>302591</v>
      </c>
      <c r="J12" s="31" t="inlineStr">
        <is>
          <t>535064</t>
        </is>
      </c>
    </row>
    <row r="13">
      <c r="A13" s="31" t="inlineStr">
        <is>
          <t>NAHARSPING</t>
        </is>
      </c>
      <c r="B13" s="31" t="inlineStr">
        <is>
          <t>Nahar Spinning Mills Limited</t>
        </is>
      </c>
      <c r="C13" s="31" t="inlineStr">
        <is>
          <t>textiles</t>
        </is>
      </c>
      <c r="D13" s="31" t="inlineStr">
        <is>
          <t>textiles - cotton/blended</t>
        </is>
      </c>
      <c r="E13" s="31" t="inlineStr">
        <is>
          <t>smallcap</t>
        </is>
      </c>
      <c r="F13" s="31" t="n">
        <v>1013.8</v>
      </c>
      <c r="G13" s="31" t="n">
        <v>311.15</v>
      </c>
      <c r="H13" s="31" t="n">
        <v>10.69</v>
      </c>
      <c r="I13" s="31" t="n">
        <v>176677</v>
      </c>
      <c r="J13" s="31" t="inlineStr">
        <is>
          <t>500296</t>
        </is>
      </c>
    </row>
    <row r="14">
      <c r="A14" s="31" t="inlineStr">
        <is>
          <t>BALRAMCHIN</t>
        </is>
      </c>
      <c r="B14" s="31" t="inlineStr">
        <is>
          <t>Balrampur Chini Mills Limited</t>
        </is>
      </c>
      <c r="C14" s="31" t="inlineStr">
        <is>
          <t>fmcg</t>
        </is>
      </c>
      <c r="D14" s="31" t="inlineStr">
        <is>
          <t>sugar</t>
        </is>
      </c>
      <c r="E14" s="31" t="inlineStr">
        <is>
          <t>midcap</t>
        </is>
      </c>
      <c r="F14" s="31" t="n">
        <v>12384.48</v>
      </c>
      <c r="G14" s="31" t="n">
        <v>646.8</v>
      </c>
      <c r="H14" s="31" t="n">
        <v>10.34</v>
      </c>
      <c r="I14" s="31" t="n">
        <v>3161974</v>
      </c>
      <c r="J14" s="31" t="inlineStr">
        <is>
          <t>500038</t>
        </is>
      </c>
    </row>
    <row r="15">
      <c r="A15" s="31" t="inlineStr">
        <is>
          <t>CCAVENUE</t>
        </is>
      </c>
      <c r="B15" s="31" t="inlineStr">
        <is>
          <t>AvenuesAI Ltd</t>
        </is>
      </c>
      <c r="C15" s="31" t="inlineStr">
        <is>
          <t>i.t</t>
        </is>
      </c>
      <c r="D15" s="31" t="inlineStr">
        <is>
          <t>miscellaneous</t>
        </is>
      </c>
      <c r="E15" s="31" t="inlineStr">
        <is>
          <t>midcap</t>
        </is>
      </c>
      <c r="F15" s="31" t="n">
        <v>5541.83</v>
      </c>
      <c r="G15" s="31" t="n">
        <v>17.43</v>
      </c>
      <c r="H15" s="31" t="n">
        <v>9.970000000000001</v>
      </c>
      <c r="I15" s="31" t="n">
        <v>95566967</v>
      </c>
      <c r="J15" s="31" t="inlineStr">
        <is>
          <t>539807</t>
        </is>
      </c>
    </row>
    <row r="16">
      <c r="A16" s="31" t="inlineStr">
        <is>
          <t>ATULAUTO</t>
        </is>
      </c>
      <c r="B16" s="31" t="inlineStr">
        <is>
          <t>Atul Auto Limited</t>
        </is>
      </c>
      <c r="C16" s="31" t="inlineStr">
        <is>
          <t>auto</t>
        </is>
      </c>
      <c r="D16" s="31" t="inlineStr">
        <is>
          <t>automobiles - scooters and 3 - wheelers</t>
        </is>
      </c>
      <c r="E16" s="31" t="inlineStr">
        <is>
          <t>smallcap</t>
        </is>
      </c>
      <c r="F16" s="31" t="n">
        <v>1430.44</v>
      </c>
      <c r="G16" s="31" t="n">
        <v>563.35</v>
      </c>
      <c r="H16" s="31" t="n">
        <v>9.289999999999999</v>
      </c>
      <c r="I16" s="31" t="n">
        <v>1998509</v>
      </c>
      <c r="J16" s="31" t="inlineStr">
        <is>
          <t>531795</t>
        </is>
      </c>
    </row>
    <row r="17">
      <c r="A17" s="31" t="inlineStr">
        <is>
          <t>LUMAXIND</t>
        </is>
      </c>
      <c r="B17" s="31" t="inlineStr">
        <is>
          <t>Lumax Industries Limited</t>
        </is>
      </c>
      <c r="C17" s="31" t="inlineStr">
        <is>
          <t>auto</t>
        </is>
      </c>
      <c r="D17" s="31" t="inlineStr">
        <is>
          <t>auto ancillaries</t>
        </is>
      </c>
      <c r="E17" s="31" t="inlineStr">
        <is>
          <t>smallcap</t>
        </is>
      </c>
      <c r="F17" s="31" t="n">
        <v>4939.81</v>
      </c>
      <c r="G17" s="31" t="n">
        <v>5772.5</v>
      </c>
      <c r="H17" s="31" t="n">
        <v>9.23</v>
      </c>
      <c r="I17" s="31" t="n">
        <v>106937</v>
      </c>
      <c r="J17" s="31" t="inlineStr">
        <is>
          <t>517206</t>
        </is>
      </c>
    </row>
    <row r="18">
      <c r="A18" s="31" t="inlineStr">
        <is>
          <t>DEEPINDS</t>
        </is>
      </c>
      <c r="B18" s="31" t="inlineStr">
        <is>
          <t>Deep Industries Ltd</t>
        </is>
      </c>
      <c r="C18" s="31" t="inlineStr">
        <is>
          <t>energy</t>
        </is>
      </c>
      <c r="D18" s="31" t="inlineStr">
        <is>
          <t>oil drilling / allied services</t>
        </is>
      </c>
      <c r="E18" s="31" t="inlineStr">
        <is>
          <t>smallcap</t>
        </is>
      </c>
      <c r="F18" s="31" t="n">
        <v>3820.16</v>
      </c>
      <c r="G18" s="31" t="n">
        <v>649.3</v>
      </c>
      <c r="H18" s="31" t="n">
        <v>8.779999999999999</v>
      </c>
      <c r="I18" s="31" t="n">
        <v>3599984</v>
      </c>
      <c r="J18" s="31" t="inlineStr">
        <is>
          <t>543288</t>
        </is>
      </c>
    </row>
    <row r="19">
      <c r="A19" s="31" t="inlineStr">
        <is>
          <t>AEGISLOG</t>
        </is>
      </c>
      <c r="B19" s="31" t="inlineStr">
        <is>
          <t>Aegis Logistics Ltd</t>
        </is>
      </c>
      <c r="C19" s="31" t="inlineStr">
        <is>
          <t>services</t>
        </is>
      </c>
      <c r="D19" s="31" t="inlineStr">
        <is>
          <t>trading</t>
        </is>
      </c>
      <c r="E19" s="31" t="inlineStr">
        <is>
          <t>largecap</t>
        </is>
      </c>
      <c r="F19" s="31" t="n">
        <v>44956.08</v>
      </c>
      <c r="G19" s="31" t="n">
        <v>1388.3</v>
      </c>
      <c r="H19" s="31" t="n">
        <v>8.390000000000001</v>
      </c>
      <c r="I19" s="31" t="n">
        <v>2444883</v>
      </c>
      <c r="J19" s="31" t="inlineStr">
        <is>
          <t>500003</t>
        </is>
      </c>
    </row>
    <row r="20">
      <c r="A20" s="31" t="inlineStr">
        <is>
          <t>MARINE</t>
        </is>
      </c>
      <c r="B20" s="31" t="inlineStr">
        <is>
          <t>Marine Electricals (India) Ltd</t>
        </is>
      </c>
      <c r="C20" s="31" t="inlineStr">
        <is>
          <t>industrials</t>
        </is>
      </c>
      <c r="D20" s="31" t="inlineStr">
        <is>
          <t>electric equipment</t>
        </is>
      </c>
      <c r="E20" s="31" t="inlineStr">
        <is>
          <t>smallcap</t>
        </is>
      </c>
      <c r="F20" s="31" t="n">
        <v>3722.52</v>
      </c>
      <c r="G20" s="31" t="n">
        <v>287.75</v>
      </c>
      <c r="H20" s="31" t="n">
        <v>8.18</v>
      </c>
      <c r="I20" s="31" t="n">
        <v>1549130</v>
      </c>
      <c r="J20" s="31" t="inlineStr">
        <is>
          <t>535119</t>
        </is>
      </c>
    </row>
    <row r="21">
      <c r="A21" s="31" t="inlineStr">
        <is>
          <t>UTTAMSUGAR</t>
        </is>
      </c>
      <c r="B21" s="31" t="inlineStr">
        <is>
          <t>Uttam Sugar Mills Limited</t>
        </is>
      </c>
      <c r="C21" s="31" t="inlineStr">
        <is>
          <t>fmcg</t>
        </is>
      </c>
      <c r="D21" s="31" t="inlineStr">
        <is>
          <t>sugar</t>
        </is>
      </c>
      <c r="E21" s="31" t="inlineStr">
        <is>
          <t>smallcap</t>
        </is>
      </c>
      <c r="F21" s="31" t="n">
        <v>847.92</v>
      </c>
      <c r="G21" s="31" t="n">
        <v>240.45</v>
      </c>
      <c r="H21" s="31" t="n">
        <v>8.15</v>
      </c>
      <c r="I21" s="31" t="n">
        <v>459755</v>
      </c>
      <c r="J21" s="31" t="inlineStr">
        <is>
          <t>532729</t>
        </is>
      </c>
    </row>
    <row r="22">
      <c r="A22" s="31" t="inlineStr">
        <is>
          <t>REDINGTON</t>
        </is>
      </c>
      <c r="B22" s="31" t="inlineStr">
        <is>
          <t>Redington (india) Limited</t>
        </is>
      </c>
      <c r="C22" s="31" t="inlineStr">
        <is>
          <t>services</t>
        </is>
      </c>
      <c r="D22" s="31" t="inlineStr">
        <is>
          <t>trading</t>
        </is>
      </c>
      <c r="E22" s="31" t="inlineStr">
        <is>
          <t>largecap</t>
        </is>
      </c>
      <c r="F22" s="31" t="n">
        <v>25145.77</v>
      </c>
      <c r="G22" s="31" t="n">
        <v>347.85</v>
      </c>
      <c r="H22" s="31" t="n">
        <v>8.15</v>
      </c>
      <c r="I22" s="31" t="n">
        <v>69118282</v>
      </c>
      <c r="J22" s="31" t="inlineStr">
        <is>
          <t>532805</t>
        </is>
      </c>
    </row>
    <row r="23">
      <c r="A23" s="31" t="inlineStr">
        <is>
          <t>ASKAUTOLTD</t>
        </is>
      </c>
      <c r="B23" s="31" t="inlineStr">
        <is>
          <t>ASK Automotive Ltd</t>
        </is>
      </c>
      <c r="C23" s="31" t="inlineStr">
        <is>
          <t>auto</t>
        </is>
      </c>
      <c r="D23" s="31" t="inlineStr">
        <is>
          <t>auto ancillaries</t>
        </is>
      </c>
      <c r="E23" s="31" t="inlineStr">
        <is>
          <t>midcap</t>
        </is>
      </c>
      <c r="F23" s="31" t="n">
        <v>10410.12</v>
      </c>
      <c r="G23" s="31" t="n">
        <v>569.65</v>
      </c>
      <c r="H23" s="31" t="n">
        <v>7.88</v>
      </c>
      <c r="I23" s="31" t="n">
        <v>1082733</v>
      </c>
      <c r="J23" s="31" t="inlineStr">
        <is>
          <t>544022</t>
        </is>
      </c>
    </row>
    <row r="24">
      <c r="A24" s="31" t="inlineStr">
        <is>
          <t>SPECTRUM</t>
        </is>
      </c>
      <c r="B24" s="31" t="inlineStr">
        <is>
          <t>Spectrum Electrical Industries Ltd</t>
        </is>
      </c>
      <c r="C24" s="31" t="inlineStr">
        <is>
          <t>industrials</t>
        </is>
      </c>
      <c r="D24" s="31" t="inlineStr">
        <is>
          <t>electric equipment</t>
        </is>
      </c>
      <c r="E24" s="31" t="inlineStr">
        <is>
          <t>smallcap</t>
        </is>
      </c>
      <c r="F24" s="31" t="n">
        <v>3713.18</v>
      </c>
      <c r="G24" s="31" t="n">
        <v>2547.4</v>
      </c>
      <c r="H24" s="31" t="n">
        <v>7.8</v>
      </c>
      <c r="I24" s="31" t="n">
        <v>97317</v>
      </c>
      <c r="J24" s="31" t="inlineStr">
        <is>
          <t>535112</t>
        </is>
      </c>
    </row>
    <row r="25">
      <c r="A25" s="31" t="inlineStr">
        <is>
          <t>DPABHUSHAN</t>
        </is>
      </c>
      <c r="B25" s="31" t="inlineStr">
        <is>
          <t>D.P. Abhushan Ltd</t>
        </is>
      </c>
      <c r="C25" s="31" t="inlineStr">
        <is>
          <t>consumer discretionary</t>
        </is>
      </c>
      <c r="D25" s="31" t="inlineStr">
        <is>
          <t>diamond cutting / jewellery</t>
        </is>
      </c>
      <c r="E25" s="31" t="inlineStr">
        <is>
          <t>smallcap</t>
        </is>
      </c>
      <c r="F25" s="31" t="n">
        <v>3008.61</v>
      </c>
      <c r="G25" s="31" t="n">
        <v>1420.2</v>
      </c>
      <c r="H25" s="31" t="n">
        <v>7.76</v>
      </c>
      <c r="I25" s="31" t="n">
        <v>73799</v>
      </c>
      <c r="J25" s="31" t="inlineStr">
        <is>
          <t>535026</t>
        </is>
      </c>
    </row>
    <row r="26">
      <c r="A26" s="31" t="inlineStr">
        <is>
          <t>DDEVPLSTIK</t>
        </is>
      </c>
      <c r="B26" s="31" t="inlineStr">
        <is>
          <t>DDev Plastiks Industries Ltd</t>
        </is>
      </c>
      <c r="C26" s="31" t="inlineStr">
        <is>
          <t>chemicals</t>
        </is>
      </c>
      <c r="D26" s="31" t="inlineStr">
        <is>
          <t>chemicals</t>
        </is>
      </c>
      <c r="E26" s="31" t="inlineStr">
        <is>
          <t>smallcap</t>
        </is>
      </c>
      <c r="F26" s="31" t="n">
        <v>2774.73</v>
      </c>
      <c r="G26" s="31" t="n">
        <v>288.35</v>
      </c>
      <c r="H26" s="31" t="n">
        <v>7.53</v>
      </c>
      <c r="I26" s="31" t="n">
        <v>265871</v>
      </c>
      <c r="J26" s="31" t="inlineStr">
        <is>
          <t>543547</t>
        </is>
      </c>
    </row>
    <row r="27">
      <c r="A27" s="31" t="inlineStr">
        <is>
          <t>SKYGOLD</t>
        </is>
      </c>
      <c r="B27" s="31" t="inlineStr">
        <is>
          <t>Sky Gold Ltd</t>
        </is>
      </c>
      <c r="C27" s="31" t="inlineStr">
        <is>
          <t>consumer discretionary</t>
        </is>
      </c>
      <c r="D27" s="31" t="inlineStr">
        <is>
          <t>diamond cutting / jewellery</t>
        </is>
      </c>
      <c r="E27" s="31" t="inlineStr">
        <is>
          <t>midcap</t>
        </is>
      </c>
      <c r="F27" s="31" t="n">
        <v>9969.23</v>
      </c>
      <c r="G27" s="31" t="n">
        <v>691.85</v>
      </c>
      <c r="H27" s="31" t="n">
        <v>7.48</v>
      </c>
      <c r="I27" s="31" t="n">
        <v>1001359</v>
      </c>
      <c r="J27" s="31" t="inlineStr">
        <is>
          <t>541967</t>
        </is>
      </c>
    </row>
    <row r="28">
      <c r="A28" s="31" t="inlineStr">
        <is>
          <t>JAMNAAUTO</t>
        </is>
      </c>
      <c r="B28" s="31" t="inlineStr">
        <is>
          <t>Jamna Auto Industries Limited</t>
        </is>
      </c>
      <c r="C28" s="31" t="inlineStr">
        <is>
          <t>auto</t>
        </is>
      </c>
      <c r="D28" s="31" t="inlineStr">
        <is>
          <t>auto ancillaries</t>
        </is>
      </c>
      <c r="E28" s="31" t="inlineStr">
        <is>
          <t>midcap</t>
        </is>
      </c>
      <c r="F28" s="31" t="n">
        <v>5244.4</v>
      </c>
      <c r="G28" s="31" t="n">
        <v>140.86</v>
      </c>
      <c r="H28" s="31" t="n">
        <v>7.38</v>
      </c>
      <c r="I28" s="31" t="n">
        <v>6125287</v>
      </c>
      <c r="J28" s="31" t="inlineStr">
        <is>
          <t>520051</t>
        </is>
      </c>
    </row>
    <row r="29">
      <c r="A29" s="31" t="inlineStr">
        <is>
          <t>FSL</t>
        </is>
      </c>
      <c r="B29" s="31" t="inlineStr">
        <is>
          <t>Firstsource Solutions Limited</t>
        </is>
      </c>
      <c r="C29" s="31" t="inlineStr">
        <is>
          <t>i.t</t>
        </is>
      </c>
      <c r="D29" s="31" t="inlineStr">
        <is>
          <t>computers - software - medium / small</t>
        </is>
      </c>
      <c r="E29" s="31" t="inlineStr">
        <is>
          <t>largecap</t>
        </is>
      </c>
      <c r="F29" s="31" t="n">
        <v>21057.49</v>
      </c>
      <c r="G29" s="31" t="n">
        <v>324.35</v>
      </c>
      <c r="H29" s="31" t="n">
        <v>7.36</v>
      </c>
      <c r="I29" s="31" t="n">
        <v>10047830</v>
      </c>
      <c r="J29" s="31" t="inlineStr">
        <is>
          <t>532809</t>
        </is>
      </c>
    </row>
    <row r="30">
      <c r="A30" s="31" t="inlineStr">
        <is>
          <t>SONATSOFTW</t>
        </is>
      </c>
      <c r="B30" s="31" t="inlineStr">
        <is>
          <t>Sonata Software Limited</t>
        </is>
      </c>
      <c r="C30" s="31" t="inlineStr">
        <is>
          <t>i.t</t>
        </is>
      </c>
      <c r="D30" s="31" t="inlineStr">
        <is>
          <t>computers - software - medium / small</t>
        </is>
      </c>
      <c r="E30" s="31" t="inlineStr">
        <is>
          <t>midcap</t>
        </is>
      </c>
      <c r="F30" s="31" t="n">
        <v>9042.299999999999</v>
      </c>
      <c r="G30" s="31" t="n">
        <v>345.85</v>
      </c>
      <c r="H30" s="31" t="n">
        <v>7.26</v>
      </c>
      <c r="I30" s="31" t="n">
        <v>6563036</v>
      </c>
      <c r="J30" s="31" t="inlineStr">
        <is>
          <t>532221</t>
        </is>
      </c>
    </row>
    <row r="31">
      <c r="A31" s="31" t="inlineStr">
        <is>
          <t>RANEHOLDIN</t>
        </is>
      </c>
      <c r="B31" s="31" t="inlineStr">
        <is>
          <t>Rane Holdings Limited</t>
        </is>
      </c>
      <c r="C31" s="31" t="inlineStr">
        <is>
          <t>financials</t>
        </is>
      </c>
      <c r="D31" s="31" t="inlineStr">
        <is>
          <t>finance &amp; investments</t>
        </is>
      </c>
      <c r="E31" s="31" t="inlineStr">
        <is>
          <t>smallcap</t>
        </is>
      </c>
      <c r="F31" s="31" t="n">
        <v>2496.47</v>
      </c>
      <c r="G31" s="31" t="n">
        <v>1872.6</v>
      </c>
      <c r="H31" s="31" t="n">
        <v>7.1</v>
      </c>
      <c r="I31" s="31" t="n">
        <v>79892</v>
      </c>
      <c r="J31" s="31" t="inlineStr">
        <is>
          <t>505800</t>
        </is>
      </c>
    </row>
    <row r="32">
      <c r="A32" s="31" t="inlineStr">
        <is>
          <t>RBA</t>
        </is>
      </c>
      <c r="B32" s="31" t="inlineStr">
        <is>
          <t>Restaurant Brands Asia Ltd</t>
        </is>
      </c>
      <c r="C32" s="31" t="inlineStr">
        <is>
          <t>consumer discretionary</t>
        </is>
      </c>
      <c r="D32" s="31" t="inlineStr">
        <is>
          <t>hotels</t>
        </is>
      </c>
      <c r="E32" s="31" t="inlineStr">
        <is>
          <t>smallcap</t>
        </is>
      </c>
      <c r="F32" s="31" t="n">
        <v>4742.89</v>
      </c>
      <c r="G32" s="31" t="n">
        <v>71.3</v>
      </c>
      <c r="H32" s="31" t="n">
        <v>6.99</v>
      </c>
      <c r="I32" s="31" t="n">
        <v>5382951</v>
      </c>
      <c r="J32" s="31" t="inlineStr">
        <is>
          <t>543248</t>
        </is>
      </c>
    </row>
    <row r="33">
      <c r="A33" s="31" t="inlineStr">
        <is>
          <t>MAGADSUGAR</t>
        </is>
      </c>
      <c r="B33" s="31" t="inlineStr">
        <is>
          <t>Magadh Sugar &amp; Energy Ltd</t>
        </is>
      </c>
      <c r="C33" s="31" t="inlineStr">
        <is>
          <t>fmcg</t>
        </is>
      </c>
      <c r="D33" s="31" t="inlineStr">
        <is>
          <t>sugar</t>
        </is>
      </c>
      <c r="E33" s="31" t="inlineStr">
        <is>
          <t>smallcap</t>
        </is>
      </c>
      <c r="F33" s="31" t="n">
        <v>705.15</v>
      </c>
      <c r="G33" s="31" t="n">
        <v>534.95</v>
      </c>
      <c r="H33" s="31" t="n">
        <v>6.9</v>
      </c>
      <c r="I33" s="31" t="n">
        <v>104201</v>
      </c>
      <c r="J33" s="31" t="inlineStr">
        <is>
          <t>540650</t>
        </is>
      </c>
    </row>
    <row r="34">
      <c r="A34" s="31" t="inlineStr">
        <is>
          <t>APLAPOLLO</t>
        </is>
      </c>
      <c r="B34" s="31" t="inlineStr">
        <is>
          <t>Apl Apollo Tubes Limited</t>
        </is>
      </c>
      <c r="C34" s="31" t="inlineStr">
        <is>
          <t>industrials</t>
        </is>
      </c>
      <c r="D34" s="31" t="inlineStr">
        <is>
          <t>steel - large</t>
        </is>
      </c>
      <c r="E34" s="31" t="inlineStr">
        <is>
          <t>largecap</t>
        </is>
      </c>
      <c r="F34" s="31" t="n">
        <v>50519.95</v>
      </c>
      <c r="G34" s="31" t="n">
        <v>1941.5</v>
      </c>
      <c r="H34" s="31" t="n">
        <v>6.71</v>
      </c>
      <c r="I34" s="31" t="n">
        <v>12712232</v>
      </c>
      <c r="J34" s="31" t="inlineStr">
        <is>
          <t>533758</t>
        </is>
      </c>
    </row>
    <row r="35">
      <c r="A35" s="31" t="inlineStr">
        <is>
          <t>RISHABH</t>
        </is>
      </c>
      <c r="B35" s="31" t="inlineStr">
        <is>
          <t>Rishabh Instruments Ltd</t>
        </is>
      </c>
      <c r="C35" s="31" t="inlineStr">
        <is>
          <t>industrials</t>
        </is>
      </c>
      <c r="D35" s="31" t="inlineStr">
        <is>
          <t>electric equipment</t>
        </is>
      </c>
      <c r="E35" s="31" t="inlineStr">
        <is>
          <t>smallcap</t>
        </is>
      </c>
      <c r="F35" s="31" t="n">
        <v>2353.43</v>
      </c>
      <c r="G35" s="31" t="n">
        <v>650.85</v>
      </c>
      <c r="H35" s="31" t="n">
        <v>6.6</v>
      </c>
      <c r="I35" s="31" t="n">
        <v>201022</v>
      </c>
      <c r="J35" s="31" t="inlineStr">
        <is>
          <t>543977</t>
        </is>
      </c>
    </row>
    <row r="36">
      <c r="A36" s="31" t="inlineStr">
        <is>
          <t>DIVISLAB</t>
        </is>
      </c>
      <c r="B36" s="31" t="inlineStr">
        <is>
          <t>Divi's Laboratories Limited</t>
        </is>
      </c>
      <c r="C36" s="31" t="inlineStr">
        <is>
          <t>healthcare</t>
        </is>
      </c>
      <c r="D36" s="31" t="inlineStr">
        <is>
          <t>pharmaceuticals - indian - bulk drugs</t>
        </is>
      </c>
      <c r="E36" s="31" t="inlineStr">
        <is>
          <t>largecap</t>
        </is>
      </c>
      <c r="F36" s="31" t="n">
        <v>213861.49</v>
      </c>
      <c r="G36" s="31" t="n">
        <v>8585</v>
      </c>
      <c r="H36" s="31" t="n">
        <v>6.57</v>
      </c>
      <c r="I36" s="31" t="n">
        <v>5325340</v>
      </c>
      <c r="J36" s="31" t="inlineStr">
        <is>
          <t>532488</t>
        </is>
      </c>
    </row>
    <row r="37">
      <c r="A37" s="31" t="inlineStr">
        <is>
          <t>NOVARTIND</t>
        </is>
      </c>
      <c r="B37" s="31" t="inlineStr">
        <is>
          <t>Novartis India Ltd</t>
        </is>
      </c>
      <c r="C37" s="31" t="inlineStr">
        <is>
          <t>healthcare</t>
        </is>
      </c>
      <c r="D37" s="31" t="inlineStr">
        <is>
          <t>pharmaceuticals - multinational</t>
        </is>
      </c>
      <c r="E37" s="31" t="inlineStr">
        <is>
          <t>smallcap</t>
        </is>
      </c>
      <c r="F37" s="31" t="n">
        <v>3795.22</v>
      </c>
      <c r="G37" s="31" t="n">
        <v>1635.7</v>
      </c>
      <c r="H37" s="31" t="n">
        <v>6.41</v>
      </c>
      <c r="I37" s="31" t="n">
        <v>29935</v>
      </c>
      <c r="J37" s="31" t="inlineStr">
        <is>
          <t>500672</t>
        </is>
      </c>
    </row>
    <row r="38">
      <c r="A38" s="31" t="inlineStr">
        <is>
          <t>BFINVEST</t>
        </is>
      </c>
      <c r="B38" s="31" t="inlineStr">
        <is>
          <t>Bf Investment Limited</t>
        </is>
      </c>
      <c r="C38" s="31" t="inlineStr">
        <is>
          <t>financials</t>
        </is>
      </c>
      <c r="D38" s="31" t="inlineStr">
        <is>
          <t>finance &amp; investments</t>
        </is>
      </c>
      <c r="E38" s="31" t="inlineStr">
        <is>
          <t>smallcap</t>
        </is>
      </c>
      <c r="F38" s="31" t="n">
        <v>1713.31</v>
      </c>
      <c r="G38" s="31" t="n">
        <v>483</v>
      </c>
      <c r="H38" s="31" t="n">
        <v>6.19</v>
      </c>
      <c r="I38" s="31" t="n">
        <v>140192</v>
      </c>
      <c r="J38" s="31" t="inlineStr">
        <is>
          <t>533303</t>
        </is>
      </c>
    </row>
    <row r="39">
      <c r="A39" s="31" t="inlineStr">
        <is>
          <t>JYOTICNC</t>
        </is>
      </c>
      <c r="B39" s="31" t="inlineStr">
        <is>
          <t>Jyoti CNC Automation Ltd</t>
        </is>
      </c>
      <c r="C39" s="31" t="inlineStr">
        <is>
          <t>industrials</t>
        </is>
      </c>
      <c r="D39" s="31" t="inlineStr">
        <is>
          <t>engineering</t>
        </is>
      </c>
      <c r="E39" s="31" t="inlineStr">
        <is>
          <t>midcap</t>
        </is>
      </c>
      <c r="F39" s="31" t="n">
        <v>18390.57</v>
      </c>
      <c r="G39" s="31" t="n">
        <v>858.3</v>
      </c>
      <c r="H39" s="31" t="n">
        <v>6.14</v>
      </c>
      <c r="I39" s="31" t="n">
        <v>1473924</v>
      </c>
      <c r="J39" s="31" t="inlineStr">
        <is>
          <t>544081</t>
        </is>
      </c>
    </row>
    <row r="40">
      <c r="A40" s="31" t="inlineStr">
        <is>
          <t>INDIANHUME</t>
        </is>
      </c>
      <c r="B40" s="31" t="inlineStr">
        <is>
          <t>Indian Hume Pipe Company Limited</t>
        </is>
      </c>
      <c r="C40" s="31" t="inlineStr">
        <is>
          <t>realty</t>
        </is>
      </c>
      <c r="D40" s="31" t="inlineStr">
        <is>
          <t>construction</t>
        </is>
      </c>
      <c r="E40" s="31" t="inlineStr">
        <is>
          <t>smallcap</t>
        </is>
      </c>
      <c r="F40" s="31" t="n">
        <v>2058.54</v>
      </c>
      <c r="G40" s="31" t="n">
        <v>414.5</v>
      </c>
      <c r="H40" s="31" t="n">
        <v>6.08</v>
      </c>
      <c r="I40" s="31" t="n">
        <v>183175</v>
      </c>
      <c r="J40" s="31" t="inlineStr">
        <is>
          <t>504741</t>
        </is>
      </c>
    </row>
    <row r="41">
      <c r="A41" s="31" t="inlineStr">
        <is>
          <t>NOCIL</t>
        </is>
      </c>
      <c r="B41" s="31" t="inlineStr">
        <is>
          <t>Nocil Limited</t>
        </is>
      </c>
      <c r="C41" s="31" t="inlineStr">
        <is>
          <t>chemicals</t>
        </is>
      </c>
      <c r="D41" s="31" t="inlineStr">
        <is>
          <t>chemicals</t>
        </is>
      </c>
      <c r="E41" s="31" t="inlineStr">
        <is>
          <t>smallcap</t>
        </is>
      </c>
      <c r="F41" s="31" t="n">
        <v>2742.05</v>
      </c>
      <c r="G41" s="31" t="n">
        <v>174.05</v>
      </c>
      <c r="H41" s="31" t="n">
        <v>6.02</v>
      </c>
      <c r="I41" s="31" t="n">
        <v>12379988</v>
      </c>
      <c r="J41" s="31" t="inlineStr">
        <is>
          <t>500730</t>
        </is>
      </c>
    </row>
    <row r="42">
      <c r="A42" s="31" t="inlineStr">
        <is>
          <t>RPTECH</t>
        </is>
      </c>
      <c r="B42" s="31" t="inlineStr">
        <is>
          <t>Rashi Peripherals Ltd</t>
        </is>
      </c>
      <c r="C42" s="31" t="inlineStr">
        <is>
          <t>services</t>
        </is>
      </c>
      <c r="D42" s="31" t="inlineStr">
        <is>
          <t>trading</t>
        </is>
      </c>
      <c r="E42" s="31" t="inlineStr">
        <is>
          <t>midcap</t>
        </is>
      </c>
      <c r="F42" s="31" t="n">
        <v>5493.07</v>
      </c>
      <c r="G42" s="31" t="n">
        <v>883.65</v>
      </c>
      <c r="H42" s="31" t="n">
        <v>6.01</v>
      </c>
      <c r="I42" s="31" t="n">
        <v>1212673</v>
      </c>
      <c r="J42" s="31" t="n"/>
    </row>
    <row r="43">
      <c r="A43" s="31" t="inlineStr">
        <is>
          <t>KABRAEXTRU</t>
        </is>
      </c>
      <c r="B43" s="31" t="inlineStr">
        <is>
          <t>Kabra Extrusion Technik Limited</t>
        </is>
      </c>
      <c r="C43" s="31" t="inlineStr">
        <is>
          <t>industrials</t>
        </is>
      </c>
      <c r="D43" s="31" t="inlineStr">
        <is>
          <t>engineering</t>
        </is>
      </c>
      <c r="E43" s="31" t="inlineStr">
        <is>
          <t>smallcap</t>
        </is>
      </c>
      <c r="F43" s="31" t="n">
        <v>1381.25</v>
      </c>
      <c r="G43" s="31" t="n">
        <v>418.6</v>
      </c>
      <c r="H43" s="31" t="n">
        <v>5.99</v>
      </c>
      <c r="I43" s="31" t="n">
        <v>873684</v>
      </c>
      <c r="J43" s="31" t="inlineStr">
        <is>
          <t>524109</t>
        </is>
      </c>
    </row>
    <row r="44">
      <c r="A44" s="31" t="inlineStr">
        <is>
          <t>GABRIEL</t>
        </is>
      </c>
      <c r="B44" s="31" t="inlineStr">
        <is>
          <t>Gabriel India Limited</t>
        </is>
      </c>
      <c r="C44" s="31" t="inlineStr">
        <is>
          <t>auto</t>
        </is>
      </c>
      <c r="D44" s="31" t="inlineStr">
        <is>
          <t>auto ancillaries</t>
        </is>
      </c>
      <c r="E44" s="31" t="inlineStr">
        <is>
          <t>largecap</t>
        </is>
      </c>
      <c r="F44" s="31" t="n">
        <v>25553.02</v>
      </c>
      <c r="G44" s="31" t="n">
        <v>1527.4</v>
      </c>
      <c r="H44" s="31" t="n">
        <v>5.94</v>
      </c>
      <c r="I44" s="31" t="n">
        <v>886748</v>
      </c>
      <c r="J44" s="31" t="inlineStr">
        <is>
          <t>505714</t>
        </is>
      </c>
    </row>
    <row r="45">
      <c r="A45" s="31" t="inlineStr">
        <is>
          <t>DIFFNKG</t>
        </is>
      </c>
      <c r="B45" s="31" t="inlineStr">
        <is>
          <t>Diffusion Engineers Ltd</t>
        </is>
      </c>
      <c r="C45" s="31" t="inlineStr">
        <is>
          <t>industrials</t>
        </is>
      </c>
      <c r="D45" s="31" t="inlineStr">
        <is>
          <t>electrodes - welding equipment</t>
        </is>
      </c>
      <c r="E45" s="31" t="inlineStr">
        <is>
          <t>smallcap</t>
        </is>
      </c>
      <c r="F45" s="31" t="n">
        <v>1435.86</v>
      </c>
      <c r="G45" s="31" t="n">
        <v>406.1</v>
      </c>
      <c r="H45" s="31" t="n">
        <v>5.85</v>
      </c>
      <c r="I45" s="31" t="n">
        <v>164160</v>
      </c>
      <c r="J45" s="31" t="inlineStr">
        <is>
          <t>544264</t>
        </is>
      </c>
    </row>
    <row r="46">
      <c r="A46" s="31" t="inlineStr">
        <is>
          <t>INDGN</t>
        </is>
      </c>
      <c r="B46" s="31" t="inlineStr">
        <is>
          <t>Indegene Ltd</t>
        </is>
      </c>
      <c r="C46" s="31" t="inlineStr">
        <is>
          <t>healthcare</t>
        </is>
      </c>
      <c r="D46" s="31" t="inlineStr">
        <is>
          <t>miscellaneous</t>
        </is>
      </c>
      <c r="E46" s="31" t="inlineStr">
        <is>
          <t>midcap</t>
        </is>
      </c>
      <c r="F46" s="31" t="n">
        <v>12412.76</v>
      </c>
      <c r="G46" s="31" t="n">
        <v>545.25</v>
      </c>
      <c r="H46" s="31" t="n">
        <v>5.84</v>
      </c>
      <c r="I46" s="31" t="n">
        <v>1886878</v>
      </c>
      <c r="J46" s="31" t="inlineStr">
        <is>
          <t>544172</t>
        </is>
      </c>
    </row>
    <row r="47">
      <c r="A47" s="31" t="inlineStr">
        <is>
          <t>NRBBEARING</t>
        </is>
      </c>
      <c r="B47" s="31" t="inlineStr">
        <is>
          <t>Nrb Bearing Limited</t>
        </is>
      </c>
      <c r="C47" s="31" t="inlineStr">
        <is>
          <t>industrials</t>
        </is>
      </c>
      <c r="D47" s="31" t="inlineStr">
        <is>
          <t>bearings</t>
        </is>
      </c>
      <c r="E47" s="31" t="inlineStr">
        <is>
          <t>smallcap</t>
        </is>
      </c>
      <c r="F47" s="31" t="n">
        <v>3972.86</v>
      </c>
      <c r="G47" s="31" t="n">
        <v>433.8</v>
      </c>
      <c r="H47" s="31" t="n">
        <v>5.83</v>
      </c>
      <c r="I47" s="31" t="n">
        <v>756420</v>
      </c>
      <c r="J47" s="31" t="inlineStr">
        <is>
          <t>530367</t>
        </is>
      </c>
    </row>
    <row r="48">
      <c r="A48" s="31" t="inlineStr">
        <is>
          <t>TBOTEK</t>
        </is>
      </c>
      <c r="B48" s="31" t="inlineStr">
        <is>
          <t>TBO Tek Ltd</t>
        </is>
      </c>
      <c r="C48" s="31" t="inlineStr">
        <is>
          <t>i.t</t>
        </is>
      </c>
      <c r="D48" s="31" t="inlineStr">
        <is>
          <t>travel agencies</t>
        </is>
      </c>
      <c r="E48" s="31" t="inlineStr">
        <is>
          <t>midcap</t>
        </is>
      </c>
      <c r="F48" s="31" t="n">
        <v>16626.96</v>
      </c>
      <c r="G48" s="31" t="n">
        <v>1615.9</v>
      </c>
      <c r="H48" s="31" t="n">
        <v>5.53</v>
      </c>
      <c r="I48" s="31" t="n">
        <v>1205579</v>
      </c>
      <c r="J48" s="31" t="inlineStr">
        <is>
          <t>544174</t>
        </is>
      </c>
    </row>
    <row r="49">
      <c r="A49" s="31" t="inlineStr">
        <is>
          <t>PREMIERPOL</t>
        </is>
      </c>
      <c r="B49" s="31" t="inlineStr">
        <is>
          <t>Premier Polyfilm Limited</t>
        </is>
      </c>
      <c r="C49" s="31" t="inlineStr">
        <is>
          <t>plastic products</t>
        </is>
      </c>
      <c r="D49" s="31" t="inlineStr">
        <is>
          <t>plastics products</t>
        </is>
      </c>
      <c r="E49" s="31" t="inlineStr">
        <is>
          <t>smallcap</t>
        </is>
      </c>
      <c r="F49" s="31" t="n">
        <v>730.89</v>
      </c>
      <c r="G49" s="31" t="n">
        <v>73.56</v>
      </c>
      <c r="H49" s="31" t="n">
        <v>5.42</v>
      </c>
      <c r="I49" s="31" t="n">
        <v>748406</v>
      </c>
      <c r="J49" s="31" t="inlineStr">
        <is>
          <t>514354</t>
        </is>
      </c>
    </row>
    <row r="50">
      <c r="A50" s="31" t="inlineStr">
        <is>
          <t>NATIONALUM</t>
        </is>
      </c>
      <c r="B50" s="31" t="inlineStr">
        <is>
          <t>National Aluminium Company Limited</t>
        </is>
      </c>
      <c r="C50" s="31" t="inlineStr">
        <is>
          <t>metals &amp; mining</t>
        </is>
      </c>
      <c r="D50" s="31" t="inlineStr">
        <is>
          <t>aluminium and aluminium products</t>
        </is>
      </c>
      <c r="E50" s="31" t="inlineStr">
        <is>
          <t>largecap</t>
        </is>
      </c>
      <c r="F50" s="31" t="n">
        <v>64291.3</v>
      </c>
      <c r="G50" s="31" t="n">
        <v>369</v>
      </c>
      <c r="H50" s="31" t="n">
        <v>5.41</v>
      </c>
      <c r="I50" s="31" t="n">
        <v>36976177</v>
      </c>
      <c r="J50" s="31" t="inlineStr">
        <is>
          <t>532234</t>
        </is>
      </c>
    </row>
    <row r="51">
      <c r="A51" s="31" t="inlineStr">
        <is>
          <t>JINDWORLD</t>
        </is>
      </c>
      <c r="B51" s="31" t="inlineStr">
        <is>
          <t>Jindal Worldwide Limited</t>
        </is>
      </c>
      <c r="C51" s="31" t="inlineStr">
        <is>
          <t>textiles</t>
        </is>
      </c>
      <c r="D51" s="31" t="inlineStr">
        <is>
          <t>textiles - products</t>
        </is>
      </c>
      <c r="E51" s="31" t="inlineStr">
        <is>
          <t>smallcap</t>
        </is>
      </c>
      <c r="F51" s="31" t="n">
        <v>3843.98</v>
      </c>
      <c r="G51" s="31" t="n">
        <v>40.41</v>
      </c>
      <c r="H51" s="31" t="n">
        <v>5.4</v>
      </c>
      <c r="I51" s="31" t="n">
        <v>123961186</v>
      </c>
      <c r="J51" s="31" t="inlineStr">
        <is>
          <t>531543</t>
        </is>
      </c>
    </row>
    <row r="52">
      <c r="A52" s="31" t="inlineStr">
        <is>
          <t>UNIVCABLES</t>
        </is>
      </c>
      <c r="B52" s="31" t="inlineStr">
        <is>
          <t>Universal Cables Limited</t>
        </is>
      </c>
      <c r="C52" s="31" t="inlineStr">
        <is>
          <t>industrials</t>
        </is>
      </c>
      <c r="D52" s="31" t="inlineStr">
        <is>
          <t>cables - power</t>
        </is>
      </c>
      <c r="E52" s="31" t="inlineStr">
        <is>
          <t>smallcap</t>
        </is>
      </c>
      <c r="F52" s="31" t="n">
        <v>4713.02</v>
      </c>
      <c r="G52" s="31" t="n">
        <v>1431.8</v>
      </c>
      <c r="H52" s="31" t="n">
        <v>5.4</v>
      </c>
      <c r="I52" s="31" t="n">
        <v>252946</v>
      </c>
      <c r="J52" s="31" t="inlineStr">
        <is>
          <t>504212</t>
        </is>
      </c>
    </row>
    <row r="53">
      <c r="A53" s="31" t="inlineStr">
        <is>
          <t>RATEGAIN</t>
        </is>
      </c>
      <c r="B53" s="31" t="inlineStr">
        <is>
          <t>Rategain Travel Technologies Ltd</t>
        </is>
      </c>
      <c r="C53" s="31" t="inlineStr">
        <is>
          <t>i.t</t>
        </is>
      </c>
      <c r="D53" s="31" t="inlineStr">
        <is>
          <t>computers - software - medium / small</t>
        </is>
      </c>
      <c r="E53" s="31" t="inlineStr">
        <is>
          <t>midcap</t>
        </is>
      </c>
      <c r="F53" s="31" t="n">
        <v>10876.2</v>
      </c>
      <c r="G53" s="31" t="n">
        <v>967</v>
      </c>
      <c r="H53" s="31" t="n">
        <v>5.29</v>
      </c>
      <c r="I53" s="31" t="n">
        <v>757521</v>
      </c>
      <c r="J53" s="31" t="inlineStr">
        <is>
          <t>543417</t>
        </is>
      </c>
    </row>
    <row r="54">
      <c r="A54" s="31" t="inlineStr">
        <is>
          <t>KOTHARIPET</t>
        </is>
      </c>
      <c r="B54" s="31" t="inlineStr">
        <is>
          <t>Kothari Petrochemicals Limited</t>
        </is>
      </c>
      <c r="C54" s="31" t="inlineStr">
        <is>
          <t>energy</t>
        </is>
      </c>
      <c r="D54" s="31" t="inlineStr">
        <is>
          <t>petrochemicals</t>
        </is>
      </c>
      <c r="E54" s="31" t="inlineStr">
        <is>
          <t>smallcap</t>
        </is>
      </c>
      <c r="F54" s="31" t="n">
        <v>823.03</v>
      </c>
      <c r="G54" s="31" t="n">
        <v>147.14</v>
      </c>
      <c r="H54" s="31" t="n">
        <v>5.21</v>
      </c>
      <c r="I54" s="31" t="n">
        <v>369243</v>
      </c>
      <c r="J54" s="31" t="inlineStr">
        <is>
          <t>532096</t>
        </is>
      </c>
    </row>
    <row r="55">
      <c r="A55" s="31" t="inlineStr">
        <is>
          <t>PRICOLLTD</t>
        </is>
      </c>
      <c r="B55" s="31" t="inlineStr">
        <is>
          <t>Pricol Ltd.</t>
        </is>
      </c>
      <c r="C55" s="31" t="inlineStr">
        <is>
          <t>auto</t>
        </is>
      </c>
      <c r="D55" s="31" t="inlineStr">
        <is>
          <t>auto ancillaries</t>
        </is>
      </c>
      <c r="E55" s="31" t="inlineStr">
        <is>
          <t>midcap</t>
        </is>
      </c>
      <c r="F55" s="31" t="n">
        <v>8490.870000000001</v>
      </c>
      <c r="G55" s="31" t="n">
        <v>732.85</v>
      </c>
      <c r="H55" s="31" t="n">
        <v>5.2</v>
      </c>
      <c r="I55" s="31" t="n">
        <v>1638587</v>
      </c>
      <c r="J55" s="31" t="inlineStr">
        <is>
          <t>540293</t>
        </is>
      </c>
    </row>
    <row r="56">
      <c r="A56" s="31" t="inlineStr">
        <is>
          <t>NITINSPIN</t>
        </is>
      </c>
      <c r="B56" s="31" t="inlineStr">
        <is>
          <t>Nitin Spinners Limited</t>
        </is>
      </c>
      <c r="C56" s="31" t="inlineStr">
        <is>
          <t>textiles</t>
        </is>
      </c>
      <c r="D56" s="31" t="inlineStr">
        <is>
          <t>textiles - cotton/blended</t>
        </is>
      </c>
      <c r="E56" s="31" t="inlineStr">
        <is>
          <t>smallcap</t>
        </is>
      </c>
      <c r="F56" s="31" t="n">
        <v>3059.49</v>
      </c>
      <c r="G56" s="31" t="n">
        <v>572.35</v>
      </c>
      <c r="H56" s="31" t="n">
        <v>5.17</v>
      </c>
      <c r="I56" s="31" t="n">
        <v>285468</v>
      </c>
      <c r="J56" s="31" t="inlineStr">
        <is>
          <t>532698</t>
        </is>
      </c>
    </row>
    <row r="57">
      <c r="A57" s="31" t="inlineStr">
        <is>
          <t>CONFIPET</t>
        </is>
      </c>
      <c r="B57" s="31" t="inlineStr">
        <is>
          <t>Confidence Petroleum India Ltd</t>
        </is>
      </c>
      <c r="C57" s="31" t="inlineStr">
        <is>
          <t>miscellaneous</t>
        </is>
      </c>
      <c r="D57" s="31" t="inlineStr">
        <is>
          <t>miscellaneous</t>
        </is>
      </c>
      <c r="E57" s="31" t="inlineStr">
        <is>
          <t>smallcap</t>
        </is>
      </c>
      <c r="F57" s="31" t="n">
        <v>2646.63</v>
      </c>
      <c r="G57" s="31" t="n">
        <v>83.77</v>
      </c>
      <c r="H57" s="31" t="n">
        <v>5.16</v>
      </c>
      <c r="I57" s="31" t="n">
        <v>5301300</v>
      </c>
      <c r="J57" s="31" t="inlineStr">
        <is>
          <t>526829</t>
        </is>
      </c>
    </row>
    <row r="58">
      <c r="A58" s="31" t="inlineStr">
        <is>
          <t>CHENNPETRO</t>
        </is>
      </c>
      <c r="B58" s="31" t="inlineStr">
        <is>
          <t>Chennai Petroleum Corporation Limited</t>
        </is>
      </c>
      <c r="C58" s="31" t="inlineStr">
        <is>
          <t>energy</t>
        </is>
      </c>
      <c r="D58" s="31" t="inlineStr">
        <is>
          <t>refineries</t>
        </is>
      </c>
      <c r="E58" s="31" t="inlineStr">
        <is>
          <t>midcap</t>
        </is>
      </c>
      <c r="F58" s="31" t="n">
        <v>18771.77</v>
      </c>
      <c r="G58" s="31" t="n">
        <v>1325.5</v>
      </c>
      <c r="H58" s="31" t="n">
        <v>5.15</v>
      </c>
      <c r="I58" s="31" t="n">
        <v>3024044</v>
      </c>
      <c r="J58" s="31" t="inlineStr">
        <is>
          <t>500110</t>
        </is>
      </c>
    </row>
    <row r="59">
      <c r="A59" s="31" t="inlineStr">
        <is>
          <t>STEELCAS</t>
        </is>
      </c>
      <c r="B59" s="31" t="inlineStr">
        <is>
          <t>Steelcast Ltd</t>
        </is>
      </c>
      <c r="C59" s="31" t="inlineStr">
        <is>
          <t>industrials</t>
        </is>
      </c>
      <c r="D59" s="31" t="inlineStr">
        <is>
          <t>castings &amp; forgings</t>
        </is>
      </c>
      <c r="E59" s="31" t="inlineStr">
        <is>
          <t>smallcap</t>
        </is>
      </c>
      <c r="F59" s="31" t="n">
        <v>3136.69</v>
      </c>
      <c r="G59" s="31" t="n">
        <v>325.9</v>
      </c>
      <c r="H59" s="31" t="n">
        <v>5.15</v>
      </c>
      <c r="I59" s="31" t="n">
        <v>195000</v>
      </c>
      <c r="J59" s="31" t="inlineStr">
        <is>
          <t>513517</t>
        </is>
      </c>
    </row>
    <row r="60">
      <c r="A60" s="31" t="inlineStr">
        <is>
          <t>GRASIM</t>
        </is>
      </c>
      <c r="B60" s="31" t="inlineStr">
        <is>
          <t>Grasim Industries Limited</t>
        </is>
      </c>
      <c r="C60" s="31" t="inlineStr">
        <is>
          <t>textiles</t>
        </is>
      </c>
      <c r="D60" s="31" t="inlineStr">
        <is>
          <t>textiles - manmade</t>
        </is>
      </c>
      <c r="E60" s="31" t="inlineStr">
        <is>
          <t>largecap</t>
        </is>
      </c>
      <c r="F60" s="31" t="n">
        <v>211034.43</v>
      </c>
      <c r="G60" s="31" t="n">
        <v>3260</v>
      </c>
      <c r="H60" s="31" t="n">
        <v>5.13</v>
      </c>
      <c r="I60" s="31" t="n">
        <v>1112791</v>
      </c>
      <c r="J60" s="31" t="inlineStr">
        <is>
          <t>500300</t>
        </is>
      </c>
    </row>
    <row r="61">
      <c r="A61" s="31" t="inlineStr">
        <is>
          <t>M&amp;MFIN</t>
        </is>
      </c>
      <c r="B61" s="31" t="inlineStr">
        <is>
          <t>Mahindra &amp; Mahindra Financial Services Limited</t>
        </is>
      </c>
      <c r="C61" s="31" t="inlineStr">
        <is>
          <t>financials</t>
        </is>
      </c>
      <c r="D61" s="31" t="inlineStr">
        <is>
          <t>finance &amp; investments</t>
        </is>
      </c>
      <c r="E61" s="31" t="inlineStr">
        <is>
          <t>largecap</t>
        </is>
      </c>
      <c r="F61" s="31" t="n">
        <v>53618.14</v>
      </c>
      <c r="G61" s="31" t="n">
        <v>405.5</v>
      </c>
      <c r="H61" s="31" t="n">
        <v>5.12</v>
      </c>
      <c r="I61" s="31" t="n">
        <v>5395277</v>
      </c>
      <c r="J61" s="31" t="inlineStr">
        <is>
          <t>532720</t>
        </is>
      </c>
    </row>
    <row r="62">
      <c r="A62" s="31" t="inlineStr">
        <is>
          <t>ASHOKLEY</t>
        </is>
      </c>
      <c r="B62" s="31" t="inlineStr">
        <is>
          <t>Ashok Leyland Limited</t>
        </is>
      </c>
      <c r="C62" s="31" t="inlineStr">
        <is>
          <t>auto</t>
        </is>
      </c>
      <c r="D62" s="31" t="inlineStr">
        <is>
          <t>automobiles - lcvs / hcvs</t>
        </is>
      </c>
      <c r="E62" s="31" t="inlineStr">
        <is>
          <t>largecap</t>
        </is>
      </c>
      <c r="F62" s="31" t="n">
        <v>97611.71000000001</v>
      </c>
      <c r="G62" s="31" t="n">
        <v>174.55</v>
      </c>
      <c r="H62" s="31" t="n">
        <v>5.04</v>
      </c>
      <c r="I62" s="31" t="n">
        <v>142813894</v>
      </c>
      <c r="J62" s="31" t="inlineStr">
        <is>
          <t>500477</t>
        </is>
      </c>
    </row>
    <row r="63">
      <c r="A63" s="31" t="inlineStr">
        <is>
          <t>E2E</t>
        </is>
      </c>
      <c r="B63" s="31" t="inlineStr">
        <is>
          <t>E2E Networks Ltd</t>
        </is>
      </c>
      <c r="C63" s="31" t="inlineStr">
        <is>
          <t>i.t</t>
        </is>
      </c>
      <c r="D63" s="31" t="inlineStr">
        <is>
          <t>computers - software - medium / small</t>
        </is>
      </c>
      <c r="E63" s="31" t="inlineStr">
        <is>
          <t>midcap</t>
        </is>
      </c>
      <c r="F63" s="31" t="n">
        <v>10630.79</v>
      </c>
      <c r="G63" s="31" t="n">
        <v>543</v>
      </c>
      <c r="H63" s="31" t="n">
        <v>5</v>
      </c>
      <c r="I63" s="31" t="n">
        <v>539520</v>
      </c>
      <c r="J63" s="31" t="inlineStr">
        <is>
          <t>535080</t>
        </is>
      </c>
    </row>
    <row r="64">
      <c r="A64" s="31" t="inlineStr">
        <is>
          <t>TIRUPATIFL</t>
        </is>
      </c>
      <c r="B64" s="31" t="inlineStr">
        <is>
          <t>Tirupati Forge Ltd</t>
        </is>
      </c>
      <c r="C64" s="31" t="inlineStr">
        <is>
          <t>industrials</t>
        </is>
      </c>
      <c r="D64" s="31" t="inlineStr">
        <is>
          <t>castings &amp; forgings</t>
        </is>
      </c>
      <c r="E64" s="31" t="inlineStr">
        <is>
          <t>smallcap</t>
        </is>
      </c>
      <c r="F64" s="31" t="n">
        <v>910.28</v>
      </c>
      <c r="G64" s="31" t="n">
        <v>73.5</v>
      </c>
      <c r="H64" s="31" t="n">
        <v>5</v>
      </c>
      <c r="I64" s="31" t="n">
        <v>419133</v>
      </c>
      <c r="J64" s="31" t="inlineStr">
        <is>
          <t>535021</t>
        </is>
      </c>
    </row>
    <row r="65">
      <c r="A65" s="31" t="inlineStr">
        <is>
          <t>SIGMAADV</t>
        </is>
      </c>
      <c r="B65" s="31" t="inlineStr">
        <is>
          <t>Sigma Advanced System Ltd</t>
        </is>
      </c>
      <c r="C65" s="31" t="inlineStr">
        <is>
          <t>aerospace &amp; defence</t>
        </is>
      </c>
      <c r="D65" s="31" t="inlineStr">
        <is>
          <t>electronics - components</t>
        </is>
      </c>
      <c r="E65" s="31" t="inlineStr">
        <is>
          <t>midcap</t>
        </is>
      </c>
      <c r="F65" s="31" t="n">
        <v>11816.03</v>
      </c>
      <c r="G65" s="31" t="n">
        <v>654.7</v>
      </c>
      <c r="H65" s="31" t="n">
        <v>5</v>
      </c>
      <c r="I65" s="31" t="n">
        <v>146018</v>
      </c>
      <c r="J65" s="31" t="inlineStr">
        <is>
          <t>532408</t>
        </is>
      </c>
    </row>
    <row r="66">
      <c r="A66" s="31" t="inlineStr">
        <is>
          <t>OCCLLTD</t>
        </is>
      </c>
      <c r="B66" s="31" t="inlineStr">
        <is>
          <t>OCCL Ltd</t>
        </is>
      </c>
      <c r="C66" s="31" t="inlineStr">
        <is>
          <t>chemicals</t>
        </is>
      </c>
      <c r="D66" s="31" t="inlineStr">
        <is>
          <t>chemicals</t>
        </is>
      </c>
      <c r="E66" s="31" t="inlineStr">
        <is>
          <t>smallcap</t>
        </is>
      </c>
      <c r="F66" s="31" t="n">
        <v>829.28</v>
      </c>
      <c r="G66" s="31" t="n">
        <v>174.32</v>
      </c>
      <c r="H66" s="31" t="n">
        <v>5</v>
      </c>
      <c r="I66" s="31" t="n">
        <v>30139</v>
      </c>
      <c r="J66" s="31" t="inlineStr">
        <is>
          <t>544278</t>
        </is>
      </c>
    </row>
    <row r="67">
      <c r="A67" s="31" t="inlineStr">
        <is>
          <t>BIRLACABLE</t>
        </is>
      </c>
      <c r="B67" s="31" t="inlineStr">
        <is>
          <t>Birla Cable Limited</t>
        </is>
      </c>
      <c r="C67" s="31" t="inlineStr">
        <is>
          <t>industrials</t>
        </is>
      </c>
      <c r="D67" s="31" t="inlineStr">
        <is>
          <t>cables - telephone</t>
        </is>
      </c>
      <c r="E67" s="31" t="inlineStr">
        <is>
          <t>smallcap</t>
        </is>
      </c>
      <c r="F67" s="31" t="n">
        <v>611.4299999999999</v>
      </c>
      <c r="G67" s="31" t="n">
        <v>214</v>
      </c>
      <c r="H67" s="31" t="n">
        <v>5</v>
      </c>
      <c r="I67" s="31" t="n">
        <v>22264</v>
      </c>
      <c r="J67" s="31" t="inlineStr">
        <is>
          <t>500060</t>
        </is>
      </c>
    </row>
    <row r="68">
      <c r="A68" s="31" t="inlineStr">
        <is>
          <t>MENONBE</t>
        </is>
      </c>
      <c r="B68" s="31" t="inlineStr">
        <is>
          <t>Menon Bearings Limited</t>
        </is>
      </c>
      <c r="C68" s="31" t="inlineStr">
        <is>
          <t>auto</t>
        </is>
      </c>
      <c r="D68" s="31" t="inlineStr">
        <is>
          <t>auto ancillaries</t>
        </is>
      </c>
      <c r="E68" s="31" t="inlineStr">
        <is>
          <t>smallcap</t>
        </is>
      </c>
      <c r="F68" s="31" t="n">
        <v>1180.15</v>
      </c>
      <c r="G68" s="31" t="n">
        <v>221.11</v>
      </c>
      <c r="H68" s="31" t="n">
        <v>5</v>
      </c>
      <c r="I68" s="31" t="n">
        <v>94757</v>
      </c>
      <c r="J68" s="31" t="inlineStr">
        <is>
          <t>523828</t>
        </is>
      </c>
    </row>
    <row r="69">
      <c r="A69" s="31" t="inlineStr">
        <is>
          <t>STLTECH</t>
        </is>
      </c>
      <c r="B69" s="31" t="inlineStr">
        <is>
          <t>Sterlite Technologies Limited</t>
        </is>
      </c>
      <c r="C69" s="31" t="inlineStr">
        <is>
          <t>industrials</t>
        </is>
      </c>
      <c r="D69" s="31" t="inlineStr">
        <is>
          <t>cables - telephone</t>
        </is>
      </c>
      <c r="E69" s="31" t="inlineStr">
        <is>
          <t>largecap</t>
        </is>
      </c>
      <c r="F69" s="31" t="n">
        <v>28626.58</v>
      </c>
      <c r="G69" s="31" t="n">
        <v>584.9</v>
      </c>
      <c r="H69" s="31" t="n">
        <v>5</v>
      </c>
      <c r="I69" s="31" t="n">
        <v>1919454</v>
      </c>
      <c r="J69" s="31" t="inlineStr">
        <is>
          <t>532374</t>
        </is>
      </c>
    </row>
    <row r="70">
      <c r="A70" s="31" t="inlineStr">
        <is>
          <t>PAYTM</t>
        </is>
      </c>
      <c r="B70" s="31" t="inlineStr">
        <is>
          <t>One 97 Communications Ltd</t>
        </is>
      </c>
      <c r="C70" s="31" t="inlineStr">
        <is>
          <t>i.t</t>
        </is>
      </c>
      <c r="D70" s="31" t="inlineStr">
        <is>
          <t>miscellaneous</t>
        </is>
      </c>
      <c r="E70" s="31" t="inlineStr">
        <is>
          <t>largecap</t>
        </is>
      </c>
      <c r="F70" s="31" t="n">
        <v>85997.25999999999</v>
      </c>
      <c r="G70" s="31" t="n">
        <v>1410</v>
      </c>
      <c r="H70" s="31" t="n">
        <v>4.99</v>
      </c>
      <c r="I70" s="31" t="n">
        <v>23791354</v>
      </c>
      <c r="J70" s="31" t="inlineStr">
        <is>
          <t>543396</t>
        </is>
      </c>
    </row>
    <row r="71">
      <c r="A71" s="31" t="inlineStr">
        <is>
          <t>GAEL</t>
        </is>
      </c>
      <c r="B71" s="31" t="inlineStr">
        <is>
          <t>Gujarat Ambuja Exports Limited</t>
        </is>
      </c>
      <c r="C71" s="31" t="inlineStr">
        <is>
          <t>fmcg</t>
        </is>
      </c>
      <c r="D71" s="31" t="inlineStr">
        <is>
          <t>miscellaneous</t>
        </is>
      </c>
      <c r="E71" s="31" t="inlineStr">
        <is>
          <t>midcap</t>
        </is>
      </c>
      <c r="F71" s="31" t="n">
        <v>7894.18</v>
      </c>
      <c r="G71" s="31" t="n">
        <v>180.68</v>
      </c>
      <c r="H71" s="31" t="n">
        <v>4.98</v>
      </c>
      <c r="I71" s="31" t="n">
        <v>8639340</v>
      </c>
      <c r="J71" s="31" t="inlineStr">
        <is>
          <t>524226</t>
        </is>
      </c>
    </row>
    <row r="72">
      <c r="A72" s="31" t="inlineStr">
        <is>
          <t>EMAMIPAP</t>
        </is>
      </c>
      <c r="B72" s="31" t="inlineStr">
        <is>
          <t>Emami Paper Mills Ltd</t>
        </is>
      </c>
      <c r="C72" s="31" t="inlineStr">
        <is>
          <t>building materials</t>
        </is>
      </c>
      <c r="D72" s="31" t="inlineStr">
        <is>
          <t>paper</t>
        </is>
      </c>
      <c r="E72" s="31" t="inlineStr">
        <is>
          <t>smallcap</t>
        </is>
      </c>
      <c r="F72" s="31" t="n">
        <v>663.01</v>
      </c>
      <c r="G72" s="31" t="n">
        <v>115.05</v>
      </c>
      <c r="H72" s="31" t="n">
        <v>4.98</v>
      </c>
      <c r="I72" s="31" t="n">
        <v>82955</v>
      </c>
      <c r="J72" s="31" t="inlineStr">
        <is>
          <t>533208</t>
        </is>
      </c>
    </row>
    <row r="73">
      <c r="A73" s="31" t="inlineStr">
        <is>
          <t>ABCAPITAL</t>
        </is>
      </c>
      <c r="B73" s="31" t="inlineStr">
        <is>
          <t>Aditya Birla Capital Ltd</t>
        </is>
      </c>
      <c r="C73" s="31" t="inlineStr">
        <is>
          <t>financials</t>
        </is>
      </c>
      <c r="D73" s="31" t="inlineStr">
        <is>
          <t>finance &amp; investments</t>
        </is>
      </c>
      <c r="E73" s="31" t="inlineStr">
        <is>
          <t>largecap</t>
        </is>
      </c>
      <c r="F73" s="31" t="n">
        <v>110543.96</v>
      </c>
      <c r="G73" s="31" t="n">
        <v>424.35</v>
      </c>
      <c r="H73" s="31" t="n">
        <v>4.96</v>
      </c>
      <c r="I73" s="31" t="n">
        <v>42237901</v>
      </c>
      <c r="J73" s="31" t="inlineStr">
        <is>
          <t>540691</t>
        </is>
      </c>
    </row>
    <row r="74">
      <c r="A74" s="31" t="inlineStr">
        <is>
          <t>SADHNANIQ</t>
        </is>
      </c>
      <c r="B74" s="31" t="inlineStr">
        <is>
          <t>Sadhana Nitro Chem Ltd</t>
        </is>
      </c>
      <c r="C74" s="31" t="inlineStr">
        <is>
          <t>chemicals</t>
        </is>
      </c>
      <c r="D74" s="31" t="inlineStr">
        <is>
          <t>chemicals</t>
        </is>
      </c>
      <c r="E74" s="31" t="inlineStr">
        <is>
          <t>smallcap</t>
        </is>
      </c>
      <c r="F74" s="31" t="n">
        <v>788.61</v>
      </c>
      <c r="G74" s="31" t="n">
        <v>2.79</v>
      </c>
      <c r="H74" s="31" t="n">
        <v>4.89</v>
      </c>
      <c r="I74" s="31" t="n">
        <v>1778674</v>
      </c>
      <c r="J74" s="31" t="inlineStr">
        <is>
          <t>506642</t>
        </is>
      </c>
    </row>
    <row r="75">
      <c r="A75" s="31" t="inlineStr">
        <is>
          <t>KDDL</t>
        </is>
      </c>
      <c r="B75" s="31" t="inlineStr">
        <is>
          <t>Kddl Limited</t>
        </is>
      </c>
      <c r="C75" s="31" t="inlineStr">
        <is>
          <t>consumer discretionary</t>
        </is>
      </c>
      <c r="D75" s="31" t="inlineStr">
        <is>
          <t>miscellaneous</t>
        </is>
      </c>
      <c r="E75" s="31" t="inlineStr">
        <is>
          <t>smallcap</t>
        </is>
      </c>
      <c r="F75" s="31" t="n">
        <v>4061.22</v>
      </c>
      <c r="G75" s="31" t="n">
        <v>3463.2</v>
      </c>
      <c r="H75" s="31" t="n">
        <v>4.88</v>
      </c>
      <c r="I75" s="31" t="n">
        <v>54531</v>
      </c>
      <c r="J75" s="31" t="inlineStr">
        <is>
          <t>532054</t>
        </is>
      </c>
    </row>
    <row r="76">
      <c r="A76" s="31" t="inlineStr">
        <is>
          <t>RML</t>
        </is>
      </c>
      <c r="B76" s="31" t="inlineStr">
        <is>
          <t>Rane (madras) Limited</t>
        </is>
      </c>
      <c r="C76" s="31" t="inlineStr">
        <is>
          <t>auto</t>
        </is>
      </c>
      <c r="D76" s="31" t="inlineStr">
        <is>
          <t>auto ancillaries</t>
        </is>
      </c>
      <c r="E76" s="31" t="inlineStr">
        <is>
          <t>smallcap</t>
        </is>
      </c>
      <c r="F76" s="31" t="n">
        <v>3191.26</v>
      </c>
      <c r="G76" s="31" t="n">
        <v>1210.8</v>
      </c>
      <c r="H76" s="31" t="n">
        <v>4.86</v>
      </c>
      <c r="I76" s="31" t="n">
        <v>55332</v>
      </c>
      <c r="J76" s="31" t="inlineStr">
        <is>
          <t>532661</t>
        </is>
      </c>
    </row>
    <row r="77">
      <c r="A77" s="31" t="inlineStr">
        <is>
          <t>IGPL</t>
        </is>
      </c>
      <c r="B77" s="31" t="inlineStr">
        <is>
          <t>Ig Petrochemicals Limited</t>
        </is>
      </c>
      <c r="C77" s="31" t="inlineStr">
        <is>
          <t>chemicals</t>
        </is>
      </c>
      <c r="D77" s="31" t="inlineStr">
        <is>
          <t>chemicals</t>
        </is>
      </c>
      <c r="E77" s="31" t="inlineStr">
        <is>
          <t>smallcap</t>
        </is>
      </c>
      <c r="F77" s="31" t="n">
        <v>1451.21</v>
      </c>
      <c r="G77" s="31" t="n">
        <v>494</v>
      </c>
      <c r="H77" s="31" t="n">
        <v>4.83</v>
      </c>
      <c r="I77" s="31" t="n">
        <v>185122</v>
      </c>
      <c r="J77" s="31" t="inlineStr">
        <is>
          <t>500199</t>
        </is>
      </c>
    </row>
    <row r="78">
      <c r="A78" s="31" t="inlineStr">
        <is>
          <t>CREST</t>
        </is>
      </c>
      <c r="B78" s="31" t="inlineStr">
        <is>
          <t>Crest Ventures Limited</t>
        </is>
      </c>
      <c r="C78" s="31" t="inlineStr">
        <is>
          <t>financials</t>
        </is>
      </c>
      <c r="D78" s="31" t="inlineStr">
        <is>
          <t>finance &amp; investments</t>
        </is>
      </c>
      <c r="E78" s="31" t="inlineStr">
        <is>
          <t>smallcap</t>
        </is>
      </c>
      <c r="F78" s="31" t="n">
        <v>1070.28</v>
      </c>
      <c r="G78" s="31" t="n">
        <v>393.95</v>
      </c>
      <c r="H78" s="31" t="n">
        <v>4.72</v>
      </c>
      <c r="I78" s="31" t="n">
        <v>15908</v>
      </c>
      <c r="J78" s="31" t="inlineStr">
        <is>
          <t>511413</t>
        </is>
      </c>
    </row>
    <row r="79">
      <c r="A79" s="31" t="inlineStr">
        <is>
          <t>SOTL</t>
        </is>
      </c>
      <c r="B79" s="31" t="inlineStr">
        <is>
          <t>Savita Oil Technologies Limited</t>
        </is>
      </c>
      <c r="C79" s="31" t="inlineStr">
        <is>
          <t>energy</t>
        </is>
      </c>
      <c r="D79" s="31" t="inlineStr">
        <is>
          <t>petrochemicals</t>
        </is>
      </c>
      <c r="E79" s="31" t="inlineStr">
        <is>
          <t>smallcap</t>
        </is>
      </c>
      <c r="F79" s="31" t="n">
        <v>4125.62</v>
      </c>
      <c r="G79" s="31" t="n">
        <v>630.1</v>
      </c>
      <c r="H79" s="31" t="n">
        <v>4.71</v>
      </c>
      <c r="I79" s="31" t="n">
        <v>261606</v>
      </c>
      <c r="J79" s="31" t="inlineStr">
        <is>
          <t>524667</t>
        </is>
      </c>
    </row>
    <row r="80">
      <c r="A80" s="31" t="inlineStr">
        <is>
          <t>TANLA</t>
        </is>
      </c>
      <c r="B80" s="31" t="inlineStr">
        <is>
          <t>Tanla Solutions Limited</t>
        </is>
      </c>
      <c r="C80" s="31" t="inlineStr">
        <is>
          <t>i.t</t>
        </is>
      </c>
      <c r="D80" s="31" t="inlineStr">
        <is>
          <t>computers - software - medium / small</t>
        </is>
      </c>
      <c r="E80" s="31" t="inlineStr">
        <is>
          <t>midcap</t>
        </is>
      </c>
      <c r="F80" s="31" t="n">
        <v>7778.67</v>
      </c>
      <c r="G80" s="31" t="n">
        <v>614.15</v>
      </c>
      <c r="H80" s="31" t="n">
        <v>4.71</v>
      </c>
      <c r="I80" s="31" t="n">
        <v>1281949</v>
      </c>
      <c r="J80" s="31" t="inlineStr">
        <is>
          <t>532790</t>
        </is>
      </c>
    </row>
    <row r="81">
      <c r="A81" s="31" t="inlineStr">
        <is>
          <t>ALIVUS</t>
        </is>
      </c>
      <c r="B81" s="31" t="inlineStr">
        <is>
          <t>Alivus Life Sciences Ltd</t>
        </is>
      </c>
      <c r="C81" s="31" t="inlineStr">
        <is>
          <t>healthcare</t>
        </is>
      </c>
      <c r="D81" s="31" t="inlineStr">
        <is>
          <t>pharmaceuticals - indian - bulk drugs &amp; formln</t>
        </is>
      </c>
      <c r="E81" s="31" t="inlineStr">
        <is>
          <t>midcap</t>
        </is>
      </c>
      <c r="F81" s="31" t="n">
        <v>14237.42</v>
      </c>
      <c r="G81" s="31" t="n">
        <v>1214.4</v>
      </c>
      <c r="H81" s="31" t="n">
        <v>4.69</v>
      </c>
      <c r="I81" s="31" t="n">
        <v>199779</v>
      </c>
      <c r="J81" s="31" t="inlineStr">
        <is>
          <t>543322</t>
        </is>
      </c>
    </row>
    <row r="82">
      <c r="A82" s="31" t="inlineStr">
        <is>
          <t>RSWM</t>
        </is>
      </c>
      <c r="B82" s="31" t="inlineStr">
        <is>
          <t>Rswm Limited</t>
        </is>
      </c>
      <c r="C82" s="31" t="inlineStr">
        <is>
          <t>textiles</t>
        </is>
      </c>
      <c r="D82" s="31" t="inlineStr">
        <is>
          <t>textiles - cotton/blended</t>
        </is>
      </c>
      <c r="E82" s="31" t="inlineStr">
        <is>
          <t>smallcap</t>
        </is>
      </c>
      <c r="F82" s="31" t="n">
        <v>1010.66</v>
      </c>
      <c r="G82" s="31" t="n">
        <v>224.5</v>
      </c>
      <c r="H82" s="31" t="n">
        <v>4.63</v>
      </c>
      <c r="I82" s="31" t="n">
        <v>183173</v>
      </c>
      <c r="J82" s="31" t="inlineStr">
        <is>
          <t>500350</t>
        </is>
      </c>
    </row>
    <row r="83">
      <c r="A83" s="31" t="inlineStr">
        <is>
          <t>RKFORGE</t>
        </is>
      </c>
      <c r="B83" s="31" t="inlineStr">
        <is>
          <t>Ramkrishna Forgings Limited</t>
        </is>
      </c>
      <c r="C83" s="31" t="inlineStr">
        <is>
          <t>industrials</t>
        </is>
      </c>
      <c r="D83" s="31" t="inlineStr">
        <is>
          <t>castings &amp; forgings</t>
        </is>
      </c>
      <c r="E83" s="31" t="inlineStr">
        <is>
          <t>midcap</t>
        </is>
      </c>
      <c r="F83" s="31" t="n">
        <v>11862</v>
      </c>
      <c r="G83" s="31" t="n">
        <v>681.15</v>
      </c>
      <c r="H83" s="31" t="n">
        <v>4.61</v>
      </c>
      <c r="I83" s="31" t="n">
        <v>3198869</v>
      </c>
      <c r="J83" s="31" t="inlineStr">
        <is>
          <t>532527</t>
        </is>
      </c>
    </row>
    <row r="84">
      <c r="A84" s="31" t="inlineStr">
        <is>
          <t>SANSTAR</t>
        </is>
      </c>
      <c r="B84" s="31" t="inlineStr">
        <is>
          <t>Sanstar Ltd</t>
        </is>
      </c>
      <c r="C84" s="31" t="inlineStr">
        <is>
          <t>fmcg</t>
        </is>
      </c>
      <c r="D84" s="31" t="inlineStr">
        <is>
          <t>miscellaneous</t>
        </is>
      </c>
      <c r="E84" s="31" t="inlineStr">
        <is>
          <t>smallcap</t>
        </is>
      </c>
      <c r="F84" s="31" t="n">
        <v>2238</v>
      </c>
      <c r="G84" s="31" t="n">
        <v>116.85</v>
      </c>
      <c r="H84" s="31" t="n">
        <v>4.56</v>
      </c>
      <c r="I84" s="31" t="n">
        <v>2124008</v>
      </c>
      <c r="J84" s="31" t="inlineStr">
        <is>
          <t>544217</t>
        </is>
      </c>
    </row>
    <row r="85">
      <c r="A85" s="31" t="inlineStr">
        <is>
          <t>MUNJALSHOW</t>
        </is>
      </c>
      <c r="B85" s="31" t="inlineStr">
        <is>
          <t>Munjal Showa Limited</t>
        </is>
      </c>
      <c r="C85" s="31" t="inlineStr">
        <is>
          <t>auto</t>
        </is>
      </c>
      <c r="D85" s="31" t="inlineStr">
        <is>
          <t>auto ancillaries</t>
        </is>
      </c>
      <c r="E85" s="31" t="inlineStr">
        <is>
          <t>smallcap</t>
        </is>
      </c>
      <c r="F85" s="31" t="n">
        <v>549.33</v>
      </c>
      <c r="G85" s="31" t="n">
        <v>143.47</v>
      </c>
      <c r="H85" s="31" t="n">
        <v>4.46</v>
      </c>
      <c r="I85" s="31" t="n">
        <v>653918</v>
      </c>
      <c r="J85" s="31" t="inlineStr">
        <is>
          <t>520043</t>
        </is>
      </c>
    </row>
    <row r="86">
      <c r="A86" s="31" t="inlineStr">
        <is>
          <t>INDIGO</t>
        </is>
      </c>
      <c r="B86" s="31" t="inlineStr">
        <is>
          <t>Interglobe Aviation Limited</t>
        </is>
      </c>
      <c r="C86" s="31" t="inlineStr">
        <is>
          <t>transportation</t>
        </is>
      </c>
      <c r="D86" s="31" t="inlineStr">
        <is>
          <t>transport - airlines</t>
        </is>
      </c>
      <c r="E86" s="31" t="inlineStr">
        <is>
          <t>largecap</t>
        </is>
      </c>
      <c r="F86" s="31" t="n">
        <v>199940.59</v>
      </c>
      <c r="G86" s="31" t="n">
        <v>5400</v>
      </c>
      <c r="H86" s="31" t="n">
        <v>4.43</v>
      </c>
      <c r="I86" s="31" t="n">
        <v>2949147</v>
      </c>
      <c r="J86" s="31" t="inlineStr">
        <is>
          <t>539448</t>
        </is>
      </c>
    </row>
    <row r="87">
      <c r="A87" s="31" t="inlineStr">
        <is>
          <t>AUTOAXLES</t>
        </is>
      </c>
      <c r="B87" s="31" t="inlineStr">
        <is>
          <t>Automotive Axles Limited</t>
        </is>
      </c>
      <c r="C87" s="31" t="inlineStr">
        <is>
          <t>auto</t>
        </is>
      </c>
      <c r="D87" s="31" t="inlineStr">
        <is>
          <t>auto ancillaries</t>
        </is>
      </c>
      <c r="E87" s="31" t="inlineStr">
        <is>
          <t>smallcap</t>
        </is>
      </c>
      <c r="F87" s="31" t="n">
        <v>2721.97</v>
      </c>
      <c r="G87" s="31" t="n">
        <v>1880.5</v>
      </c>
      <c r="H87" s="31" t="n">
        <v>4.4</v>
      </c>
      <c r="I87" s="31" t="n">
        <v>43693</v>
      </c>
      <c r="J87" s="31" t="inlineStr">
        <is>
          <t>505010</t>
        </is>
      </c>
    </row>
    <row r="88">
      <c r="A88" s="31" t="inlineStr">
        <is>
          <t>OAL</t>
        </is>
      </c>
      <c r="B88" s="31" t="inlineStr">
        <is>
          <t>Oriental Aromatics Ltd</t>
        </is>
      </c>
      <c r="C88" s="31" t="inlineStr">
        <is>
          <t>chemicals</t>
        </is>
      </c>
      <c r="D88" s="31" t="inlineStr">
        <is>
          <t>chemicals</t>
        </is>
      </c>
      <c r="E88" s="31" t="inlineStr">
        <is>
          <t>smallcap</t>
        </is>
      </c>
      <c r="F88" s="31" t="n">
        <v>1226.67</v>
      </c>
      <c r="G88" s="31" t="n">
        <v>380.5</v>
      </c>
      <c r="H88" s="31" t="n">
        <v>4.39</v>
      </c>
      <c r="I88" s="31" t="n">
        <v>33864</v>
      </c>
      <c r="J88" s="31" t="inlineStr">
        <is>
          <t>500078</t>
        </is>
      </c>
    </row>
    <row r="89">
      <c r="A89" s="31" t="inlineStr">
        <is>
          <t>ABB</t>
        </is>
      </c>
      <c r="B89" s="31" t="inlineStr">
        <is>
          <t>Abb India Limited</t>
        </is>
      </c>
      <c r="C89" s="31" t="inlineStr">
        <is>
          <t>industrials</t>
        </is>
      </c>
      <c r="D89" s="31" t="inlineStr">
        <is>
          <t>electric equipment</t>
        </is>
      </c>
      <c r="E89" s="31" t="inlineStr">
        <is>
          <t>largecap</t>
        </is>
      </c>
      <c r="F89" s="31" t="n">
        <v>154364.66</v>
      </c>
      <c r="G89" s="31" t="n">
        <v>7601</v>
      </c>
      <c r="H89" s="31" t="n">
        <v>4.34</v>
      </c>
      <c r="I89" s="31" t="n">
        <v>3596191</v>
      </c>
      <c r="J89" s="31" t="inlineStr">
        <is>
          <t>500002</t>
        </is>
      </c>
    </row>
    <row r="90">
      <c r="A90" s="31" t="inlineStr">
        <is>
          <t>FILATEX</t>
        </is>
      </c>
      <c r="B90" s="31" t="inlineStr">
        <is>
          <t>Filatex India Limited</t>
        </is>
      </c>
      <c r="C90" s="31" t="inlineStr">
        <is>
          <t>textiles</t>
        </is>
      </c>
      <c r="D90" s="31" t="inlineStr">
        <is>
          <t>textiles - manmade</t>
        </is>
      </c>
      <c r="E90" s="31" t="inlineStr">
        <is>
          <t>smallcap</t>
        </is>
      </c>
      <c r="F90" s="31" t="n">
        <v>3264.72</v>
      </c>
      <c r="G90" s="31" t="n">
        <v>76.7</v>
      </c>
      <c r="H90" s="31" t="n">
        <v>4.33</v>
      </c>
      <c r="I90" s="31" t="n">
        <v>13952850</v>
      </c>
      <c r="J90" s="31" t="inlineStr">
        <is>
          <t>526227</t>
        </is>
      </c>
    </row>
    <row r="91">
      <c r="A91" s="31" t="inlineStr">
        <is>
          <t>GULFOILLUB</t>
        </is>
      </c>
      <c r="B91" s="31" t="inlineStr">
        <is>
          <t>Gulf Oil Lubricants India Limited</t>
        </is>
      </c>
      <c r="C91" s="31" t="inlineStr">
        <is>
          <t>chemicals</t>
        </is>
      </c>
      <c r="D91" s="31" t="inlineStr">
        <is>
          <t>chemicals</t>
        </is>
      </c>
      <c r="E91" s="31" t="inlineStr">
        <is>
          <t>midcap</t>
        </is>
      </c>
      <c r="F91" s="31" t="n">
        <v>5294.83</v>
      </c>
      <c r="G91" s="31" t="n">
        <v>1115.1</v>
      </c>
      <c r="H91" s="31" t="n">
        <v>4.28</v>
      </c>
      <c r="I91" s="31" t="n">
        <v>143341</v>
      </c>
      <c r="J91" s="31" t="inlineStr">
        <is>
          <t>538567</t>
        </is>
      </c>
    </row>
    <row r="92">
      <c r="A92" s="31" t="inlineStr">
        <is>
          <t>SUBEXLTD</t>
        </is>
      </c>
      <c r="B92" s="31" t="inlineStr">
        <is>
          <t>Subex Ltd</t>
        </is>
      </c>
      <c r="C92" s="31" t="inlineStr">
        <is>
          <t>i.t</t>
        </is>
      </c>
      <c r="D92" s="31" t="inlineStr">
        <is>
          <t>computers - software - medium / small</t>
        </is>
      </c>
      <c r="E92" s="31" t="inlineStr">
        <is>
          <t>smallcap</t>
        </is>
      </c>
      <c r="F92" s="31" t="n">
        <v>692.95</v>
      </c>
      <c r="G92" s="31" t="n">
        <v>12.85</v>
      </c>
      <c r="H92" s="31" t="n">
        <v>4.22</v>
      </c>
      <c r="I92" s="31" t="n">
        <v>1174611</v>
      </c>
      <c r="J92" s="31" t="inlineStr">
        <is>
          <t>532348</t>
        </is>
      </c>
    </row>
    <row r="93">
      <c r="A93" s="31" t="inlineStr">
        <is>
          <t>SAKAR</t>
        </is>
      </c>
      <c r="B93" s="31" t="inlineStr">
        <is>
          <t>Sakar Healthcare Ltd</t>
        </is>
      </c>
      <c r="C93" s="31" t="inlineStr">
        <is>
          <t>healthcare</t>
        </is>
      </c>
      <c r="D93" s="31" t="inlineStr">
        <is>
          <t>pharmaceuticals - indian - bulk drugs &amp; formln</t>
        </is>
      </c>
      <c r="E93" s="31" t="inlineStr">
        <is>
          <t>smallcap</t>
        </is>
      </c>
      <c r="F93" s="31" t="n">
        <v>1969.67</v>
      </c>
      <c r="G93" s="31" t="n">
        <v>922.5</v>
      </c>
      <c r="H93" s="31" t="n">
        <v>4.21</v>
      </c>
      <c r="I93" s="31" t="n">
        <v>181604</v>
      </c>
      <c r="J93" s="31" t="inlineStr">
        <is>
          <t>538377</t>
        </is>
      </c>
    </row>
    <row r="94">
      <c r="A94" s="31" t="inlineStr">
        <is>
          <t>VENKEYS</t>
        </is>
      </c>
      <c r="B94" s="31" t="inlineStr">
        <is>
          <t>Venky's (india) Limited</t>
        </is>
      </c>
      <c r="C94" s="31" t="inlineStr">
        <is>
          <t>fmcg</t>
        </is>
      </c>
      <c r="D94" s="31" t="inlineStr">
        <is>
          <t>miscellaneous</t>
        </is>
      </c>
      <c r="E94" s="31" t="inlineStr">
        <is>
          <t>smallcap</t>
        </is>
      </c>
      <c r="F94" s="31" t="n">
        <v>2112.26</v>
      </c>
      <c r="G94" s="31" t="n">
        <v>1562</v>
      </c>
      <c r="H94" s="31" t="n">
        <v>4.18</v>
      </c>
      <c r="I94" s="31" t="n">
        <v>81484</v>
      </c>
      <c r="J94" s="31" t="inlineStr">
        <is>
          <t>523261</t>
        </is>
      </c>
    </row>
    <row r="95">
      <c r="A95" s="31" t="inlineStr">
        <is>
          <t>SHRIRAMFIN</t>
        </is>
      </c>
      <c r="B95" s="31" t="inlineStr">
        <is>
          <t>Shriram Finance Ltd</t>
        </is>
      </c>
      <c r="C95" s="31" t="inlineStr">
        <is>
          <t>financials</t>
        </is>
      </c>
      <c r="D95" s="31" t="inlineStr">
        <is>
          <t>finance &amp; investments</t>
        </is>
      </c>
      <c r="E95" s="31" t="inlineStr">
        <is>
          <t>largecap</t>
        </is>
      </c>
      <c r="F95" s="31" t="n">
        <v>246279.63</v>
      </c>
      <c r="G95" s="31" t="n">
        <v>1090.2</v>
      </c>
      <c r="H95" s="31" t="n">
        <v>4.16</v>
      </c>
      <c r="I95" s="31" t="n">
        <v>20489846</v>
      </c>
      <c r="J95" s="31" t="inlineStr">
        <is>
          <t>511218</t>
        </is>
      </c>
    </row>
    <row r="96">
      <c r="A96" s="31" t="inlineStr">
        <is>
          <t>BHAGERIA</t>
        </is>
      </c>
      <c r="B96" s="31" t="inlineStr">
        <is>
          <t>Bhageria Industries Limited</t>
        </is>
      </c>
      <c r="C96" s="31" t="inlineStr">
        <is>
          <t>chemicals</t>
        </is>
      </c>
      <c r="D96" s="31" t="inlineStr">
        <is>
          <t>dyes and pigments</t>
        </is>
      </c>
      <c r="E96" s="31" t="inlineStr">
        <is>
          <t>smallcap</t>
        </is>
      </c>
      <c r="F96" s="31" t="n">
        <v>926.04</v>
      </c>
      <c r="G96" s="31" t="n">
        <v>221</v>
      </c>
      <c r="H96" s="31" t="n">
        <v>4.16</v>
      </c>
      <c r="I96" s="31" t="n">
        <v>46642</v>
      </c>
      <c r="J96" s="31" t="inlineStr">
        <is>
          <t>530803</t>
        </is>
      </c>
    </row>
    <row r="97">
      <c r="A97" s="31" t="inlineStr">
        <is>
          <t>TBZ</t>
        </is>
      </c>
      <c r="B97" s="31" t="inlineStr">
        <is>
          <t>Tribhovandas Bhimji Zaveri Limited</t>
        </is>
      </c>
      <c r="C97" s="31" t="inlineStr">
        <is>
          <t>consumer discretionary</t>
        </is>
      </c>
      <c r="D97" s="31" t="inlineStr">
        <is>
          <t>diamond cutting / jewellery</t>
        </is>
      </c>
      <c r="E97" s="31" t="inlineStr">
        <is>
          <t>smallcap</t>
        </is>
      </c>
      <c r="F97" s="31" t="n">
        <v>1844.03</v>
      </c>
      <c r="G97" s="31" t="n">
        <v>287.7</v>
      </c>
      <c r="H97" s="31" t="n">
        <v>4.11</v>
      </c>
      <c r="I97" s="31" t="n">
        <v>1976514</v>
      </c>
      <c r="J97" s="31" t="inlineStr">
        <is>
          <t>534369</t>
        </is>
      </c>
    </row>
    <row r="98">
      <c r="A98" s="31" t="inlineStr">
        <is>
          <t>DYNAMATECH</t>
        </is>
      </c>
      <c r="B98" s="31" t="inlineStr">
        <is>
          <t>Dynamatic Technologies Limited</t>
        </is>
      </c>
      <c r="C98" s="31" t="inlineStr">
        <is>
          <t>industrials</t>
        </is>
      </c>
      <c r="D98" s="31" t="inlineStr">
        <is>
          <t>engineering</t>
        </is>
      </c>
      <c r="E98" s="31" t="inlineStr">
        <is>
          <t>midcap</t>
        </is>
      </c>
      <c r="F98" s="31" t="n">
        <v>7021.67</v>
      </c>
      <c r="G98" s="31" t="n">
        <v>10763</v>
      </c>
      <c r="H98" s="31" t="n">
        <v>4.1</v>
      </c>
      <c r="I98" s="31" t="n">
        <v>17855</v>
      </c>
      <c r="J98" s="31" t="inlineStr">
        <is>
          <t>505242</t>
        </is>
      </c>
    </row>
    <row r="99">
      <c r="A99" s="31" t="inlineStr">
        <is>
          <t>SKIPPER</t>
        </is>
      </c>
      <c r="B99" s="31" t="inlineStr">
        <is>
          <t>Skipper Limited</t>
        </is>
      </c>
      <c r="C99" s="31" t="inlineStr">
        <is>
          <t>industrials</t>
        </is>
      </c>
      <c r="D99" s="31" t="inlineStr">
        <is>
          <t>engineering</t>
        </is>
      </c>
      <c r="E99" s="31" t="inlineStr">
        <is>
          <t>midcap</t>
        </is>
      </c>
      <c r="F99" s="31" t="n">
        <v>5958.51</v>
      </c>
      <c r="G99" s="31" t="n">
        <v>549.15</v>
      </c>
      <c r="H99" s="31" t="n">
        <v>4.06</v>
      </c>
      <c r="I99" s="31" t="n">
        <v>755981</v>
      </c>
      <c r="J99" s="31" t="inlineStr">
        <is>
          <t>538562</t>
        </is>
      </c>
    </row>
    <row r="100">
      <c r="A100" s="31" t="inlineStr">
        <is>
          <t>BODALCHEM</t>
        </is>
      </c>
      <c r="B100" s="31" t="inlineStr">
        <is>
          <t>Bodal Chemicals Limited</t>
        </is>
      </c>
      <c r="C100" s="31" t="inlineStr">
        <is>
          <t>chemicals</t>
        </is>
      </c>
      <c r="D100" s="31" t="inlineStr">
        <is>
          <t>dyes and pigments</t>
        </is>
      </c>
      <c r="E100" s="31" t="inlineStr">
        <is>
          <t>smallcap</t>
        </is>
      </c>
      <c r="F100" s="31" t="n">
        <v>889.92</v>
      </c>
      <c r="G100" s="31" t="n">
        <v>73.52</v>
      </c>
      <c r="H100" s="31" t="n">
        <v>4.05</v>
      </c>
      <c r="I100" s="31" t="n">
        <v>481223</v>
      </c>
      <c r="J100" s="31" t="inlineStr">
        <is>
          <t>524370</t>
        </is>
      </c>
    </row>
    <row r="101">
      <c r="A101" s="31" t="inlineStr">
        <is>
          <t>PFOCUS</t>
        </is>
      </c>
      <c r="B101" s="31" t="inlineStr">
        <is>
          <t>Prime Focus Limited</t>
        </is>
      </c>
      <c r="C101" s="31" t="inlineStr">
        <is>
          <t>realty</t>
        </is>
      </c>
      <c r="D101" s="31" t="inlineStr">
        <is>
          <t>miscellaneous</t>
        </is>
      </c>
      <c r="E101" s="31" t="inlineStr">
        <is>
          <t>largecap</t>
        </is>
      </c>
      <c r="F101" s="31" t="n">
        <v>22293.82</v>
      </c>
      <c r="G101" s="31" t="n">
        <v>298.75</v>
      </c>
      <c r="H101" s="31" t="n">
        <v>4.05</v>
      </c>
      <c r="I101" s="31" t="n">
        <v>1046083</v>
      </c>
      <c r="J101" s="31" t="inlineStr">
        <is>
          <t>532748</t>
        </is>
      </c>
    </row>
    <row r="102">
      <c r="A102" s="31" t="inlineStr">
        <is>
          <t>BEPL</t>
        </is>
      </c>
      <c r="B102" s="31" t="inlineStr">
        <is>
          <t>Bhansali Engineering Polymers Limited</t>
        </is>
      </c>
      <c r="C102" s="31" t="inlineStr">
        <is>
          <t>energy</t>
        </is>
      </c>
      <c r="D102" s="31" t="inlineStr">
        <is>
          <t>petrochemicals</t>
        </is>
      </c>
      <c r="E102" s="31" t="inlineStr">
        <is>
          <t>smallcap</t>
        </is>
      </c>
      <c r="F102" s="31" t="n">
        <v>2887.26</v>
      </c>
      <c r="G102" s="31" t="n">
        <v>120.72</v>
      </c>
      <c r="H102" s="31" t="n">
        <v>4.05</v>
      </c>
      <c r="I102" s="31" t="n">
        <v>2335789</v>
      </c>
      <c r="J102" s="31" t="inlineStr">
        <is>
          <t>500052</t>
        </is>
      </c>
    </row>
    <row r="103">
      <c r="A103" s="31" t="inlineStr">
        <is>
          <t>AEGISVOPAK</t>
        </is>
      </c>
      <c r="B103" s="31" t="inlineStr">
        <is>
          <t>Aegis Vopak Terminals Ltd</t>
        </is>
      </c>
      <c r="C103" s="31" t="inlineStr">
        <is>
          <t>transportation</t>
        </is>
      </c>
      <c r="D103" s="31" t="inlineStr">
        <is>
          <t>miscellaneous</t>
        </is>
      </c>
      <c r="E103" s="31" t="inlineStr">
        <is>
          <t>largecap</t>
        </is>
      </c>
      <c r="F103" s="31" t="n">
        <v>32149.48</v>
      </c>
      <c r="G103" s="31" t="n">
        <v>301.8</v>
      </c>
      <c r="H103" s="31" t="n">
        <v>4.01</v>
      </c>
      <c r="I103" s="31" t="n">
        <v>2083398</v>
      </c>
      <c r="J103" s="31" t="inlineStr">
        <is>
          <t>544407</t>
        </is>
      </c>
    </row>
    <row r="104">
      <c r="A104" s="31" t="inlineStr">
        <is>
          <t>AMBIKCO</t>
        </is>
      </c>
      <c r="B104" s="31" t="inlineStr">
        <is>
          <t>Ambika Cotton Mills Limited</t>
        </is>
      </c>
      <c r="C104" s="31" t="inlineStr">
        <is>
          <t>textiles</t>
        </is>
      </c>
      <c r="D104" s="31" t="inlineStr">
        <is>
          <t>textiles - cotton/blended</t>
        </is>
      </c>
      <c r="E104" s="31" t="inlineStr">
        <is>
          <t>smallcap</t>
        </is>
      </c>
      <c r="F104" s="31" t="n">
        <v>980.01</v>
      </c>
      <c r="G104" s="31" t="n">
        <v>1780</v>
      </c>
      <c r="H104" s="31" t="n">
        <v>3.98</v>
      </c>
      <c r="I104" s="31" t="n">
        <v>22628</v>
      </c>
      <c r="J104" s="31" t="inlineStr">
        <is>
          <t>531978</t>
        </is>
      </c>
    </row>
    <row r="105">
      <c r="A105" s="31" t="inlineStr">
        <is>
          <t>GUJALKALI</t>
        </is>
      </c>
      <c r="B105" s="31" t="inlineStr">
        <is>
          <t>Gujarat Alkalies And Chemicals Limited</t>
        </is>
      </c>
      <c r="C105" s="31" t="inlineStr">
        <is>
          <t>chemicals</t>
        </is>
      </c>
      <c r="D105" s="31" t="inlineStr">
        <is>
          <t>chemicals</t>
        </is>
      </c>
      <c r="E105" s="31" t="inlineStr">
        <is>
          <t>smallcap</t>
        </is>
      </c>
      <c r="F105" s="31" t="n">
        <v>4926.15</v>
      </c>
      <c r="G105" s="31" t="n">
        <v>697.25</v>
      </c>
      <c r="H105" s="31" t="n">
        <v>3.94</v>
      </c>
      <c r="I105" s="31" t="n">
        <v>465124</v>
      </c>
      <c r="J105" s="31" t="inlineStr">
        <is>
          <t>530001</t>
        </is>
      </c>
    </row>
    <row r="106">
      <c r="A106" s="31" t="inlineStr">
        <is>
          <t>GARFIBRES</t>
        </is>
      </c>
      <c r="B106" s="31" t="inlineStr">
        <is>
          <t>Garware Technical Fibres Ltd</t>
        </is>
      </c>
      <c r="C106" s="31" t="inlineStr">
        <is>
          <t>textiles</t>
        </is>
      </c>
      <c r="D106" s="31" t="inlineStr">
        <is>
          <t>textiles - products</t>
        </is>
      </c>
      <c r="E106" s="31" t="inlineStr">
        <is>
          <t>midcap</t>
        </is>
      </c>
      <c r="F106" s="31" t="n">
        <v>7156.65</v>
      </c>
      <c r="G106" s="31" t="n">
        <v>761.6</v>
      </c>
      <c r="H106" s="31" t="n">
        <v>3.92</v>
      </c>
      <c r="I106" s="31" t="n">
        <v>53208</v>
      </c>
      <c r="J106" s="31" t="inlineStr">
        <is>
          <t>509557</t>
        </is>
      </c>
    </row>
    <row r="107">
      <c r="A107" s="31" t="inlineStr">
        <is>
          <t>WELCORP</t>
        </is>
      </c>
      <c r="B107" s="31" t="inlineStr">
        <is>
          <t>Welspun Corp Limited</t>
        </is>
      </c>
      <c r="C107" s="31" t="inlineStr">
        <is>
          <t>industrials</t>
        </is>
      </c>
      <c r="D107" s="31" t="inlineStr">
        <is>
          <t>steel - large</t>
        </is>
      </c>
      <c r="E107" s="31" t="inlineStr">
        <is>
          <t>largecap</t>
        </is>
      </c>
      <c r="F107" s="31" t="n">
        <v>43541.28</v>
      </c>
      <c r="G107" s="31" t="n">
        <v>1715.3</v>
      </c>
      <c r="H107" s="31" t="n">
        <v>3.92</v>
      </c>
      <c r="I107" s="31" t="n">
        <v>698272</v>
      </c>
      <c r="J107" s="31" t="inlineStr">
        <is>
          <t>532144</t>
        </is>
      </c>
    </row>
    <row r="108">
      <c r="A108" s="31" t="inlineStr">
        <is>
          <t>SCPL</t>
        </is>
      </c>
      <c r="B108" s="31" t="inlineStr">
        <is>
          <t>Sheetal Cool Products Ltd</t>
        </is>
      </c>
      <c r="C108" s="31" t="inlineStr">
        <is>
          <t>fmcg</t>
        </is>
      </c>
      <c r="D108" s="31" t="inlineStr">
        <is>
          <t>food - processing - indian</t>
        </is>
      </c>
      <c r="E108" s="31" t="inlineStr">
        <is>
          <t>smallcap</t>
        </is>
      </c>
      <c r="F108" s="31" t="n">
        <v>645.75</v>
      </c>
      <c r="G108" s="31" t="n">
        <v>638.6</v>
      </c>
      <c r="H108" s="31" t="n">
        <v>3.84</v>
      </c>
      <c r="I108" s="31" t="n">
        <v>137704</v>
      </c>
      <c r="J108" s="31" t="inlineStr">
        <is>
          <t>540757</t>
        </is>
      </c>
    </row>
    <row r="109">
      <c r="A109" s="31" t="inlineStr">
        <is>
          <t>SJS</t>
        </is>
      </c>
      <c r="B109" s="31" t="inlineStr">
        <is>
          <t>S J S Enterprises Ltd</t>
        </is>
      </c>
      <c r="C109" s="31" t="inlineStr">
        <is>
          <t>auto</t>
        </is>
      </c>
      <c r="D109" s="31" t="inlineStr">
        <is>
          <t>plastics products</t>
        </is>
      </c>
      <c r="E109" s="31" t="inlineStr">
        <is>
          <t>midcap</t>
        </is>
      </c>
      <c r="F109" s="31" t="n">
        <v>7654.67</v>
      </c>
      <c r="G109" s="31" t="n">
        <v>2483.4</v>
      </c>
      <c r="H109" s="31" t="n">
        <v>3.83</v>
      </c>
      <c r="I109" s="31" t="n">
        <v>156038</v>
      </c>
      <c r="J109" s="31" t="inlineStr">
        <is>
          <t>543387</t>
        </is>
      </c>
    </row>
    <row r="110">
      <c r="A110" s="31" t="inlineStr">
        <is>
          <t>ADOR</t>
        </is>
      </c>
      <c r="B110" s="31" t="inlineStr">
        <is>
          <t>Ador Welding Ltd</t>
        </is>
      </c>
      <c r="C110" s="31" t="inlineStr">
        <is>
          <t>industrials</t>
        </is>
      </c>
      <c r="D110" s="31" t="inlineStr">
        <is>
          <t>electrodes - welding equipment</t>
        </is>
      </c>
      <c r="E110" s="31" t="inlineStr">
        <is>
          <t>smallcap</t>
        </is>
      </c>
      <c r="F110" s="31" t="n">
        <v>2514.18</v>
      </c>
      <c r="G110" s="31" t="n">
        <v>1500</v>
      </c>
      <c r="H110" s="31" t="n">
        <v>3.83</v>
      </c>
      <c r="I110" s="31" t="n">
        <v>60085</v>
      </c>
      <c r="J110" s="31" t="inlineStr">
        <is>
          <t>517041</t>
        </is>
      </c>
    </row>
    <row r="111">
      <c r="A111" s="31" t="inlineStr">
        <is>
          <t>MINDACORP</t>
        </is>
      </c>
      <c r="B111" s="31" t="inlineStr">
        <is>
          <t>Minda Corporation Limited</t>
        </is>
      </c>
      <c r="C111" s="31" t="inlineStr">
        <is>
          <t>auto</t>
        </is>
      </c>
      <c r="D111" s="31" t="inlineStr">
        <is>
          <t>auto ancillaries</t>
        </is>
      </c>
      <c r="E111" s="31" t="inlineStr">
        <is>
          <t>midcap</t>
        </is>
      </c>
      <c r="F111" s="31" t="n">
        <v>16758.27</v>
      </c>
      <c r="G111" s="31" t="n">
        <v>727.6</v>
      </c>
      <c r="H111" s="31" t="n">
        <v>3.8</v>
      </c>
      <c r="I111" s="31" t="n">
        <v>749804</v>
      </c>
      <c r="J111" s="31" t="inlineStr">
        <is>
          <t>538962</t>
        </is>
      </c>
    </row>
    <row r="112">
      <c r="A112" s="31" t="inlineStr">
        <is>
          <t>CENTUM</t>
        </is>
      </c>
      <c r="B112" s="31" t="inlineStr">
        <is>
          <t>Centum Electronics Limited</t>
        </is>
      </c>
      <c r="C112" s="31" t="inlineStr">
        <is>
          <t>aerospace &amp; defence</t>
        </is>
      </c>
      <c r="D112" s="31" t="inlineStr">
        <is>
          <t>electronics - components</t>
        </is>
      </c>
      <c r="E112" s="31" t="inlineStr">
        <is>
          <t>midcap</t>
        </is>
      </c>
      <c r="F112" s="31" t="n">
        <v>5229.27</v>
      </c>
      <c r="G112" s="31" t="n">
        <v>3676.5</v>
      </c>
      <c r="H112" s="31" t="n">
        <v>3.77</v>
      </c>
      <c r="I112" s="31" t="n">
        <v>52835</v>
      </c>
      <c r="J112" s="31" t="inlineStr">
        <is>
          <t>517544</t>
        </is>
      </c>
    </row>
    <row r="113">
      <c r="A113" s="31" t="inlineStr">
        <is>
          <t>QUESS</t>
        </is>
      </c>
      <c r="B113" s="31" t="inlineStr">
        <is>
          <t>Quess Corp Limited</t>
        </is>
      </c>
      <c r="C113" s="31" t="inlineStr">
        <is>
          <t>miscellaneous</t>
        </is>
      </c>
      <c r="D113" s="31" t="inlineStr">
        <is>
          <t>diversified - large</t>
        </is>
      </c>
      <c r="E113" s="31" t="inlineStr">
        <is>
          <t>smallcap</t>
        </is>
      </c>
      <c r="F113" s="31" t="n">
        <v>4966.96</v>
      </c>
      <c r="G113" s="31" t="n">
        <v>345.05</v>
      </c>
      <c r="H113" s="31" t="n">
        <v>3.76</v>
      </c>
      <c r="I113" s="31" t="n">
        <v>1991991</v>
      </c>
      <c r="J113" s="31" t="inlineStr">
        <is>
          <t>539978</t>
        </is>
      </c>
    </row>
    <row r="114">
      <c r="A114" s="31" t="inlineStr">
        <is>
          <t>RAJRATAN</t>
        </is>
      </c>
      <c r="B114" s="31" t="inlineStr">
        <is>
          <t>Rajratan Global Wire Ltd</t>
        </is>
      </c>
      <c r="C114" s="31" t="inlineStr">
        <is>
          <t>metals &amp; mining</t>
        </is>
      </c>
      <c r="D114" s="31" t="inlineStr">
        <is>
          <t>steel - medium / small</t>
        </is>
      </c>
      <c r="E114" s="31" t="inlineStr">
        <is>
          <t>smallcap</t>
        </is>
      </c>
      <c r="F114" s="31" t="n">
        <v>2513.16</v>
      </c>
      <c r="G114" s="31" t="n">
        <v>513.5</v>
      </c>
      <c r="H114" s="31" t="n">
        <v>3.74</v>
      </c>
      <c r="I114" s="31" t="n">
        <v>154153</v>
      </c>
      <c r="J114" s="31" t="inlineStr">
        <is>
          <t>517522</t>
        </is>
      </c>
    </row>
    <row r="115">
      <c r="A115" s="31" t="inlineStr">
        <is>
          <t>SIEMENS</t>
        </is>
      </c>
      <c r="B115" s="31" t="inlineStr">
        <is>
          <t>Siemens Limited</t>
        </is>
      </c>
      <c r="C115" s="31" t="inlineStr">
        <is>
          <t>industrials</t>
        </is>
      </c>
      <c r="D115" s="31" t="inlineStr">
        <is>
          <t>electric equipment</t>
        </is>
      </c>
      <c r="E115" s="31" t="inlineStr">
        <is>
          <t>largecap</t>
        </is>
      </c>
      <c r="F115" s="31" t="n">
        <v>133901.31</v>
      </c>
      <c r="G115" s="31" t="n">
        <v>3900</v>
      </c>
      <c r="H115" s="31" t="n">
        <v>3.72</v>
      </c>
      <c r="I115" s="31" t="n">
        <v>1813599</v>
      </c>
      <c r="J115" s="31" t="inlineStr">
        <is>
          <t>500550</t>
        </is>
      </c>
    </row>
    <row r="116">
      <c r="A116" s="31" t="inlineStr">
        <is>
          <t>TFCILTD</t>
        </is>
      </c>
      <c r="B116" s="31" t="inlineStr">
        <is>
          <t>Tourism Finance Corporation Of India Limited</t>
        </is>
      </c>
      <c r="C116" s="31" t="inlineStr">
        <is>
          <t>financials</t>
        </is>
      </c>
      <c r="D116" s="31" t="inlineStr">
        <is>
          <t>finance - term-lending institutions</t>
        </is>
      </c>
      <c r="E116" s="31" t="inlineStr">
        <is>
          <t>smallcap</t>
        </is>
      </c>
      <c r="F116" s="31" t="n">
        <v>4716.35</v>
      </c>
      <c r="G116" s="31" t="n">
        <v>105.62</v>
      </c>
      <c r="H116" s="31" t="n">
        <v>3.68</v>
      </c>
      <c r="I116" s="31" t="n">
        <v>13190800</v>
      </c>
      <c r="J116" s="31" t="inlineStr">
        <is>
          <t>526650</t>
        </is>
      </c>
    </row>
    <row r="117">
      <c r="A117" s="31" t="inlineStr">
        <is>
          <t>KROSS</t>
        </is>
      </c>
      <c r="B117" s="31" t="inlineStr">
        <is>
          <t>Kross Ltd</t>
        </is>
      </c>
      <c r="C117" s="31" t="inlineStr">
        <is>
          <t>auto</t>
        </is>
      </c>
      <c r="D117" s="31" t="inlineStr">
        <is>
          <t>auto ancillaries</t>
        </is>
      </c>
      <c r="E117" s="31" t="inlineStr">
        <is>
          <t>smallcap</t>
        </is>
      </c>
      <c r="F117" s="31" t="n">
        <v>1265.67</v>
      </c>
      <c r="G117" s="31" t="n">
        <v>203.39</v>
      </c>
      <c r="H117" s="31" t="n">
        <v>3.66</v>
      </c>
      <c r="I117" s="31" t="n">
        <v>421877</v>
      </c>
      <c r="J117" s="31" t="inlineStr">
        <is>
          <t>544253</t>
        </is>
      </c>
    </row>
    <row r="118">
      <c r="A118" s="31" t="inlineStr">
        <is>
          <t>LUMAXTECH</t>
        </is>
      </c>
      <c r="B118" s="31" t="inlineStr">
        <is>
          <t>Lumax Auto Technologies Limited</t>
        </is>
      </c>
      <c r="C118" s="31" t="inlineStr">
        <is>
          <t>auto</t>
        </is>
      </c>
      <c r="D118" s="31" t="inlineStr">
        <is>
          <t>auto ancillaries</t>
        </is>
      </c>
      <c r="E118" s="31" t="inlineStr">
        <is>
          <t>midcap</t>
        </is>
      </c>
      <c r="F118" s="31" t="n">
        <v>10689.17</v>
      </c>
      <c r="G118" s="31" t="n">
        <v>1625.7</v>
      </c>
      <c r="H118" s="31" t="n">
        <v>3.66</v>
      </c>
      <c r="I118" s="31" t="n">
        <v>309091</v>
      </c>
      <c r="J118" s="31" t="inlineStr">
        <is>
          <t>532796</t>
        </is>
      </c>
    </row>
    <row r="119">
      <c r="A119" s="31" t="inlineStr">
        <is>
          <t>SHREECEM</t>
        </is>
      </c>
      <c r="B119" s="31" t="inlineStr">
        <is>
          <t>Shree Cements Limited</t>
        </is>
      </c>
      <c r="C119" s="31" t="inlineStr">
        <is>
          <t>building materials</t>
        </is>
      </c>
      <c r="D119" s="31" t="inlineStr">
        <is>
          <t>cement - north india</t>
        </is>
      </c>
      <c r="E119" s="31" t="inlineStr">
        <is>
          <t>largecap</t>
        </is>
      </c>
      <c r="F119" s="31" t="n">
        <v>94008.39</v>
      </c>
      <c r="G119" s="31" t="n">
        <v>27000</v>
      </c>
      <c r="H119" s="31" t="n">
        <v>3.63</v>
      </c>
      <c r="I119" s="31" t="n">
        <v>99561</v>
      </c>
      <c r="J119" s="31" t="inlineStr">
        <is>
          <t>500387</t>
        </is>
      </c>
    </row>
    <row r="120">
      <c r="A120" s="31" t="inlineStr">
        <is>
          <t>DOLPHIN</t>
        </is>
      </c>
      <c r="B120" s="31" t="inlineStr">
        <is>
          <t>Dolphin Offshore Enterprises (India) Ltd</t>
        </is>
      </c>
      <c r="C120" s="31" t="inlineStr">
        <is>
          <t>energy</t>
        </is>
      </c>
      <c r="D120" s="31" t="inlineStr">
        <is>
          <t>oil drilling / allied services</t>
        </is>
      </c>
      <c r="E120" s="31" t="inlineStr">
        <is>
          <t>smallcap</t>
        </is>
      </c>
      <c r="F120" s="31" t="n">
        <v>1575.38</v>
      </c>
      <c r="G120" s="31" t="n">
        <v>408</v>
      </c>
      <c r="H120" s="31" t="n">
        <v>3.61</v>
      </c>
      <c r="I120" s="31" t="n">
        <v>69378</v>
      </c>
      <c r="J120" s="31" t="inlineStr">
        <is>
          <t>522261</t>
        </is>
      </c>
    </row>
    <row r="121">
      <c r="A121" s="31" t="inlineStr">
        <is>
          <t>CRAFTSMAN</t>
        </is>
      </c>
      <c r="B121" s="31" t="inlineStr">
        <is>
          <t>Craftsman Automation Ltd</t>
        </is>
      </c>
      <c r="C121" s="31" t="inlineStr">
        <is>
          <t>auto</t>
        </is>
      </c>
      <c r="D121" s="31" t="inlineStr">
        <is>
          <t>auto ancillaries</t>
        </is>
      </c>
      <c r="E121" s="31" t="inlineStr">
        <is>
          <t>largecap</t>
        </is>
      </c>
      <c r="F121" s="31" t="n">
        <v>25823.58</v>
      </c>
      <c r="G121" s="31" t="n">
        <v>10228.5</v>
      </c>
      <c r="H121" s="31" t="n">
        <v>3.6</v>
      </c>
      <c r="I121" s="31" t="n">
        <v>85274</v>
      </c>
      <c r="J121" s="31" t="inlineStr">
        <is>
          <t>543276</t>
        </is>
      </c>
    </row>
    <row r="122">
      <c r="A122" s="31" t="inlineStr">
        <is>
          <t>LLOYDSENGG</t>
        </is>
      </c>
      <c r="B122" s="31" t="inlineStr">
        <is>
          <t>Lloyds Engineering Works Ltd</t>
        </is>
      </c>
      <c r="C122" s="31" t="inlineStr">
        <is>
          <t>industrials</t>
        </is>
      </c>
      <c r="D122" s="31" t="inlineStr">
        <is>
          <t>engineering</t>
        </is>
      </c>
      <c r="E122" s="31" t="inlineStr">
        <is>
          <t>midcap</t>
        </is>
      </c>
      <c r="F122" s="31" t="n">
        <v>13124.31</v>
      </c>
      <c r="G122" s="31" t="n">
        <v>91.84</v>
      </c>
      <c r="H122" s="31" t="n">
        <v>3.59</v>
      </c>
      <c r="I122" s="31" t="n">
        <v>10908908</v>
      </c>
      <c r="J122" s="31" t="inlineStr">
        <is>
          <t>539992</t>
        </is>
      </c>
    </row>
    <row r="123">
      <c r="A123" s="31" t="inlineStr">
        <is>
          <t>FEDERALBNK</t>
        </is>
      </c>
      <c r="B123" s="31" t="inlineStr">
        <is>
          <t>The Federal Bank  Limited</t>
        </is>
      </c>
      <c r="C123" s="31" t="inlineStr">
        <is>
          <t>bank</t>
        </is>
      </c>
      <c r="D123" s="31" t="inlineStr">
        <is>
          <t>banks - private sector</t>
        </is>
      </c>
      <c r="E123" s="31" t="inlineStr">
        <is>
          <t>largecap</t>
        </is>
      </c>
      <c r="F123" s="31" t="n">
        <v>88565.58</v>
      </c>
      <c r="G123" s="31" t="n">
        <v>371.7</v>
      </c>
      <c r="H123" s="31" t="n">
        <v>3.58</v>
      </c>
      <c r="I123" s="31" t="n">
        <v>12420780</v>
      </c>
      <c r="J123" s="31" t="inlineStr">
        <is>
          <t>500469</t>
        </is>
      </c>
    </row>
    <row r="124">
      <c r="A124" s="31" t="inlineStr">
        <is>
          <t>WOCKPHARMA</t>
        </is>
      </c>
      <c r="B124" s="31" t="inlineStr">
        <is>
          <t>Wockhardt Limited</t>
        </is>
      </c>
      <c r="C124" s="31" t="inlineStr">
        <is>
          <t>healthcare</t>
        </is>
      </c>
      <c r="D124" s="31" t="inlineStr">
        <is>
          <t>pharmaceuticals - indian - bulk drugs &amp; formln</t>
        </is>
      </c>
      <c r="E124" s="31" t="inlineStr">
        <is>
          <t>largecap</t>
        </is>
      </c>
      <c r="F124" s="31" t="n">
        <v>31843.59</v>
      </c>
      <c r="G124" s="31" t="n">
        <v>2028.4</v>
      </c>
      <c r="H124" s="31" t="n">
        <v>3.51</v>
      </c>
      <c r="I124" s="31" t="n">
        <v>1182036</v>
      </c>
      <c r="J124" s="31" t="inlineStr">
        <is>
          <t>532300</t>
        </is>
      </c>
    </row>
    <row r="125">
      <c r="A125" s="31" t="inlineStr">
        <is>
          <t>PNBHOUSING</t>
        </is>
      </c>
      <c r="B125" s="31" t="inlineStr">
        <is>
          <t>Pnb Housing Finance Limited</t>
        </is>
      </c>
      <c r="C125" s="31" t="inlineStr">
        <is>
          <t>financials</t>
        </is>
      </c>
      <c r="D125" s="31" t="inlineStr">
        <is>
          <t>finance - housing</t>
        </is>
      </c>
      <c r="E125" s="31" t="inlineStr">
        <is>
          <t>largecap</t>
        </is>
      </c>
      <c r="F125" s="31" t="n">
        <v>27442.72</v>
      </c>
      <c r="G125" s="31" t="n">
        <v>1090</v>
      </c>
      <c r="H125" s="31" t="n">
        <v>3.5</v>
      </c>
      <c r="I125" s="31" t="n">
        <v>3577645</v>
      </c>
      <c r="J125" s="31" t="inlineStr">
        <is>
          <t>540173</t>
        </is>
      </c>
    </row>
    <row r="126">
      <c r="A126" s="31" t="inlineStr">
        <is>
          <t>SUNDARMFIN</t>
        </is>
      </c>
      <c r="B126" s="31" t="inlineStr">
        <is>
          <t>Sundaram Finance Limited</t>
        </is>
      </c>
      <c r="C126" s="31" t="inlineStr">
        <is>
          <t>financials</t>
        </is>
      </c>
      <c r="D126" s="31" t="inlineStr">
        <is>
          <t>finance &amp; investments</t>
        </is>
      </c>
      <c r="E126" s="31" t="inlineStr">
        <is>
          <t>largecap</t>
        </is>
      </c>
      <c r="F126" s="31" t="n">
        <v>51836.62</v>
      </c>
      <c r="G126" s="31" t="n">
        <v>4828.7</v>
      </c>
      <c r="H126" s="31" t="n">
        <v>3.5</v>
      </c>
      <c r="I126" s="31" t="n">
        <v>309684</v>
      </c>
      <c r="J126" s="31" t="inlineStr">
        <is>
          <t>590071</t>
        </is>
      </c>
    </row>
    <row r="127">
      <c r="A127" s="31" t="inlineStr">
        <is>
          <t>AKUMS</t>
        </is>
      </c>
      <c r="B127" s="31" t="inlineStr">
        <is>
          <t>Akums Drugs &amp; Pharmaceuticals Ltd</t>
        </is>
      </c>
      <c r="C127" s="31" t="inlineStr">
        <is>
          <t>healthcare</t>
        </is>
      </c>
      <c r="D127" s="31" t="inlineStr">
        <is>
          <t>pharmaceuticals - indian - bulk drugs &amp; formln</t>
        </is>
      </c>
      <c r="E127" s="31" t="inlineStr">
        <is>
          <t>midcap</t>
        </is>
      </c>
      <c r="F127" s="31" t="n">
        <v>10362.03</v>
      </c>
      <c r="G127" s="31" t="n">
        <v>681.2</v>
      </c>
      <c r="H127" s="31" t="n">
        <v>3.47</v>
      </c>
      <c r="I127" s="31" t="n">
        <v>143860</v>
      </c>
      <c r="J127" s="31" t="inlineStr">
        <is>
          <t>544222</t>
        </is>
      </c>
    </row>
    <row r="128">
      <c r="A128" s="31" t="inlineStr">
        <is>
          <t>NAUKRI</t>
        </is>
      </c>
      <c r="B128" s="31" t="inlineStr">
        <is>
          <t>Info Edge (india) Limited</t>
        </is>
      </c>
      <c r="C128" s="31" t="inlineStr">
        <is>
          <t>i.t</t>
        </is>
      </c>
      <c r="D128" s="31" t="inlineStr">
        <is>
          <t>miscellaneous</t>
        </is>
      </c>
      <c r="E128" s="31" t="inlineStr">
        <is>
          <t>largecap</t>
        </is>
      </c>
      <c r="F128" s="31" t="n">
        <v>79512.58</v>
      </c>
      <c r="G128" s="31" t="n">
        <v>1268.8</v>
      </c>
      <c r="H128" s="31" t="n">
        <v>3.47</v>
      </c>
      <c r="I128" s="31" t="n">
        <v>2727234</v>
      </c>
      <c r="J128" s="31" t="inlineStr">
        <is>
          <t>532777</t>
        </is>
      </c>
    </row>
    <row r="129">
      <c r="A129" s="31" t="inlineStr">
        <is>
          <t>NYKAA</t>
        </is>
      </c>
      <c r="B129" s="31" t="inlineStr">
        <is>
          <t>FSN E-Commerce Ventures Ltd</t>
        </is>
      </c>
      <c r="C129" s="31" t="inlineStr">
        <is>
          <t>i.t</t>
        </is>
      </c>
      <c r="D129" s="31" t="inlineStr">
        <is>
          <t>trading</t>
        </is>
      </c>
      <c r="E129" s="31" t="inlineStr">
        <is>
          <t>largecap</t>
        </is>
      </c>
      <c r="F129" s="31" t="n">
        <v>95479.89999999999</v>
      </c>
      <c r="G129" s="31" t="n">
        <v>344.9</v>
      </c>
      <c r="H129" s="31" t="n">
        <v>3.45</v>
      </c>
      <c r="I129" s="31" t="n">
        <v>20553807</v>
      </c>
      <c r="J129" s="31" t="inlineStr">
        <is>
          <t>543384</t>
        </is>
      </c>
    </row>
    <row r="130">
      <c r="A130" s="31" t="inlineStr">
        <is>
          <t>3MINDIA</t>
        </is>
      </c>
      <c r="B130" s="31" t="inlineStr">
        <is>
          <t>3m India Limited</t>
        </is>
      </c>
      <c r="C130" s="31" t="inlineStr">
        <is>
          <t>miscellaneous</t>
        </is>
      </c>
      <c r="D130" s="31" t="inlineStr">
        <is>
          <t>diversified - large</t>
        </is>
      </c>
      <c r="E130" s="31" t="inlineStr">
        <is>
          <t>largecap</t>
        </is>
      </c>
      <c r="F130" s="31" t="n">
        <v>38994.04</v>
      </c>
      <c r="G130" s="31" t="n">
        <v>35800</v>
      </c>
      <c r="H130" s="31" t="n">
        <v>3.42</v>
      </c>
      <c r="I130" s="31" t="n">
        <v>6489</v>
      </c>
      <c r="J130" s="31" t="inlineStr">
        <is>
          <t>523395</t>
        </is>
      </c>
    </row>
    <row r="131">
      <c r="A131" s="31" t="inlineStr">
        <is>
          <t>BCLIND</t>
        </is>
      </c>
      <c r="B131" s="31" t="inlineStr">
        <is>
          <t>BCL Industries Ltd</t>
        </is>
      </c>
      <c r="C131" s="31" t="inlineStr">
        <is>
          <t>fmcg</t>
        </is>
      </c>
      <c r="D131" s="31" t="inlineStr">
        <is>
          <t>breweries &amp; distilleries</t>
        </is>
      </c>
      <c r="E131" s="31" t="inlineStr">
        <is>
          <t>smallcap</t>
        </is>
      </c>
      <c r="F131" s="31" t="n">
        <v>1084.43</v>
      </c>
      <c r="G131" s="31" t="n">
        <v>37.99</v>
      </c>
      <c r="H131" s="31" t="n">
        <v>3.4</v>
      </c>
      <c r="I131" s="31" t="n">
        <v>1467556</v>
      </c>
      <c r="J131" s="31" t="inlineStr">
        <is>
          <t>524332</t>
        </is>
      </c>
    </row>
    <row r="132">
      <c r="A132" s="31" t="inlineStr">
        <is>
          <t>SANDHAR</t>
        </is>
      </c>
      <c r="B132" s="31" t="inlineStr">
        <is>
          <t>Sandhar Technologies Limited</t>
        </is>
      </c>
      <c r="C132" s="31" t="inlineStr">
        <is>
          <t>auto</t>
        </is>
      </c>
      <c r="D132" s="31" t="inlineStr">
        <is>
          <t>auto ancillaries</t>
        </is>
      </c>
      <c r="E132" s="31" t="inlineStr">
        <is>
          <t>smallcap</t>
        </is>
      </c>
      <c r="F132" s="31" t="n">
        <v>3772.75</v>
      </c>
      <c r="G132" s="31" t="n">
        <v>647.95</v>
      </c>
      <c r="H132" s="31" t="n">
        <v>3.37</v>
      </c>
      <c r="I132" s="31" t="n">
        <v>597988</v>
      </c>
      <c r="J132" s="31" t="inlineStr">
        <is>
          <t>541163</t>
        </is>
      </c>
    </row>
    <row r="133">
      <c r="A133" s="31" t="inlineStr">
        <is>
          <t>NEULANDLAB</t>
        </is>
      </c>
      <c r="B133" s="31" t="inlineStr">
        <is>
          <t>Neuland Laboratories Limited</t>
        </is>
      </c>
      <c r="C133" s="31" t="inlineStr">
        <is>
          <t>healthcare</t>
        </is>
      </c>
      <c r="D133" s="31" t="inlineStr">
        <is>
          <t>pharmaceuticals - indian - bulk drugs</t>
        </is>
      </c>
      <c r="E133" s="31" t="inlineStr">
        <is>
          <t>largecap</t>
        </is>
      </c>
      <c r="F133" s="31" t="n">
        <v>24431.96</v>
      </c>
      <c r="G133" s="31" t="n">
        <v>19675</v>
      </c>
      <c r="H133" s="31" t="n">
        <v>3.32</v>
      </c>
      <c r="I133" s="31" t="n">
        <v>46146</v>
      </c>
      <c r="J133" s="31" t="inlineStr">
        <is>
          <t>524558</t>
        </is>
      </c>
    </row>
    <row r="134">
      <c r="A134" s="31" t="inlineStr">
        <is>
          <t>BAJAJFINSV</t>
        </is>
      </c>
      <c r="B134" s="31" t="inlineStr">
        <is>
          <t>Bajaj Finserv Limited</t>
        </is>
      </c>
      <c r="C134" s="31" t="inlineStr">
        <is>
          <t>financials</t>
        </is>
      </c>
      <c r="D134" s="31" t="inlineStr">
        <is>
          <t>finance &amp; investments</t>
        </is>
      </c>
      <c r="E134" s="31" t="inlineStr">
        <is>
          <t>largecap</t>
        </is>
      </c>
      <c r="F134" s="31" t="n">
        <v>324767.6</v>
      </c>
      <c r="G134" s="31" t="n">
        <v>2096</v>
      </c>
      <c r="H134" s="31" t="n">
        <v>3.3</v>
      </c>
      <c r="I134" s="31" t="n">
        <v>8499184</v>
      </c>
      <c r="J134" s="31" t="inlineStr">
        <is>
          <t>532978</t>
        </is>
      </c>
    </row>
    <row r="135">
      <c r="A135" s="31" t="inlineStr">
        <is>
          <t>ACE</t>
        </is>
      </c>
      <c r="B135" s="31" t="inlineStr">
        <is>
          <t>Action Construction Equipment Limited</t>
        </is>
      </c>
      <c r="C135" s="31" t="inlineStr">
        <is>
          <t>industrials</t>
        </is>
      </c>
      <c r="D135" s="31" t="inlineStr">
        <is>
          <t>engineering</t>
        </is>
      </c>
      <c r="E135" s="31" t="inlineStr">
        <is>
          <t>midcap</t>
        </is>
      </c>
      <c r="F135" s="31" t="n">
        <v>12745.47</v>
      </c>
      <c r="G135" s="31" t="n">
        <v>1105.4</v>
      </c>
      <c r="H135" s="31" t="n">
        <v>3.28</v>
      </c>
      <c r="I135" s="31" t="n">
        <v>853698</v>
      </c>
      <c r="J135" s="31" t="inlineStr">
        <is>
          <t>532762</t>
        </is>
      </c>
    </row>
    <row r="136">
      <c r="A136" s="31" t="inlineStr">
        <is>
          <t>RITCO</t>
        </is>
      </c>
      <c r="B136" s="31" t="inlineStr">
        <is>
          <t>Ritco Logistics Ltd</t>
        </is>
      </c>
      <c r="C136" s="31" t="inlineStr">
        <is>
          <t>transportation</t>
        </is>
      </c>
      <c r="D136" s="31" t="inlineStr">
        <is>
          <t>miscellaneous</t>
        </is>
      </c>
      <c r="E136" s="31" t="inlineStr">
        <is>
          <t>smallcap</t>
        </is>
      </c>
      <c r="F136" s="31" t="n">
        <v>834.9299999999999</v>
      </c>
      <c r="G136" s="31" t="n">
        <v>301.25</v>
      </c>
      <c r="H136" s="31" t="n">
        <v>3.27</v>
      </c>
      <c r="I136" s="31" t="n">
        <v>268515</v>
      </c>
      <c r="J136" s="31" t="inlineStr">
        <is>
          <t>542383</t>
        </is>
      </c>
    </row>
    <row r="137">
      <c r="A137" s="31" t="inlineStr">
        <is>
          <t>IGIL</t>
        </is>
      </c>
      <c r="B137" s="31" t="inlineStr">
        <is>
          <t>International Gemmological Institute (India) Ltd</t>
        </is>
      </c>
      <c r="C137" s="31" t="inlineStr">
        <is>
          <t>miscellaneous</t>
        </is>
      </c>
      <c r="D137" s="31" t="inlineStr">
        <is>
          <t>miscellaneous</t>
        </is>
      </c>
      <c r="E137" s="31" t="inlineStr">
        <is>
          <t>midcap</t>
        </is>
      </c>
      <c r="F137" s="31" t="n">
        <v>15274.68</v>
      </c>
      <c r="G137" s="31" t="n">
        <v>364.95</v>
      </c>
      <c r="H137" s="31" t="n">
        <v>3.25</v>
      </c>
      <c r="I137" s="31" t="n">
        <v>1357157</v>
      </c>
      <c r="J137" s="31" t="inlineStr">
        <is>
          <t>544311</t>
        </is>
      </c>
    </row>
    <row r="138">
      <c r="A138" s="31" t="inlineStr">
        <is>
          <t>MANCREDIT</t>
        </is>
      </c>
      <c r="B138" s="31" t="inlineStr">
        <is>
          <t>Mangal Credit &amp; Fincorp Ltd</t>
        </is>
      </c>
      <c r="C138" s="31" t="inlineStr">
        <is>
          <t>financials</t>
        </is>
      </c>
      <c r="D138" s="31" t="inlineStr">
        <is>
          <t>finance &amp; investments</t>
        </is>
      </c>
      <c r="E138" s="31" t="inlineStr">
        <is>
          <t>smallcap</t>
        </is>
      </c>
      <c r="F138" s="31" t="n">
        <v>517.88</v>
      </c>
      <c r="G138" s="31" t="n">
        <v>253.25</v>
      </c>
      <c r="H138" s="31" t="n">
        <v>3.25</v>
      </c>
      <c r="I138" s="31" t="n">
        <v>285884</v>
      </c>
      <c r="J138" s="31" t="inlineStr">
        <is>
          <t>505850</t>
        </is>
      </c>
    </row>
    <row r="139">
      <c r="A139" s="31" t="inlineStr">
        <is>
          <t>TRAVELFOOD</t>
        </is>
      </c>
      <c r="B139" s="31" t="inlineStr">
        <is>
          <t>Travel Food Services Ltd</t>
        </is>
      </c>
      <c r="C139" s="31" t="inlineStr">
        <is>
          <t>consumer discretionary</t>
        </is>
      </c>
      <c r="D139" s="31" t="inlineStr">
        <is>
          <t>hotels</t>
        </is>
      </c>
      <c r="E139" s="31" t="inlineStr">
        <is>
          <t>midcap</t>
        </is>
      </c>
      <c r="F139" s="31" t="n">
        <v>17156.52</v>
      </c>
      <c r="G139" s="31" t="n">
        <v>1344.6</v>
      </c>
      <c r="H139" s="31" t="n">
        <v>3.2</v>
      </c>
      <c r="I139" s="31" t="n">
        <v>37162</v>
      </c>
      <c r="J139" s="31" t="inlineStr">
        <is>
          <t>544443</t>
        </is>
      </c>
    </row>
    <row r="140">
      <c r="A140" s="31" t="inlineStr">
        <is>
          <t>BPCL</t>
        </is>
      </c>
      <c r="B140" s="31" t="inlineStr">
        <is>
          <t>Bharat Petroleum Corporation Limited</t>
        </is>
      </c>
      <c r="C140" s="31" t="inlineStr">
        <is>
          <t>energy</t>
        </is>
      </c>
      <c r="D140" s="31" t="inlineStr">
        <is>
          <t>refineries</t>
        </is>
      </c>
      <c r="E140" s="31" t="inlineStr">
        <is>
          <t>largecap</t>
        </is>
      </c>
      <c r="F140" s="31" t="n">
        <v>138723.71</v>
      </c>
      <c r="G140" s="31" t="n">
        <v>329.95</v>
      </c>
      <c r="H140" s="31" t="n">
        <v>3.19</v>
      </c>
      <c r="I140" s="31" t="n">
        <v>16887433</v>
      </c>
      <c r="J140" s="31" t="inlineStr">
        <is>
          <t>500547</t>
        </is>
      </c>
    </row>
    <row r="141">
      <c r="A141" s="31" t="inlineStr">
        <is>
          <t>OPTIEMUS</t>
        </is>
      </c>
      <c r="B141" s="31" t="inlineStr">
        <is>
          <t>Optiemus Infracom Ltd</t>
        </is>
      </c>
      <c r="C141" s="31" t="inlineStr">
        <is>
          <t>telecom</t>
        </is>
      </c>
      <c r="D141" s="31" t="inlineStr">
        <is>
          <t>trading</t>
        </is>
      </c>
      <c r="E141" s="31" t="inlineStr">
        <is>
          <t>midcap</t>
        </is>
      </c>
      <c r="F141" s="31" t="n">
        <v>5691.74</v>
      </c>
      <c r="G141" s="31" t="n">
        <v>657.8</v>
      </c>
      <c r="H141" s="31" t="n">
        <v>3.16</v>
      </c>
      <c r="I141" s="31" t="n">
        <v>394348</v>
      </c>
      <c r="J141" s="31" t="inlineStr">
        <is>
          <t>530135</t>
        </is>
      </c>
    </row>
    <row r="142">
      <c r="A142" s="31" t="inlineStr">
        <is>
          <t>MEDANTA</t>
        </is>
      </c>
      <c r="B142" s="31" t="inlineStr">
        <is>
          <t>Global Health Ltd</t>
        </is>
      </c>
      <c r="C142" s="31" t="inlineStr">
        <is>
          <t>healthcare</t>
        </is>
      </c>
      <c r="D142" s="31" t="inlineStr">
        <is>
          <t>healthcare</t>
        </is>
      </c>
      <c r="E142" s="31" t="inlineStr">
        <is>
          <t>largecap</t>
        </is>
      </c>
      <c r="F142" s="31" t="n">
        <v>37792.62</v>
      </c>
      <c r="G142" s="31" t="n">
        <v>1450</v>
      </c>
      <c r="H142" s="31" t="n">
        <v>3.16</v>
      </c>
      <c r="I142" s="31" t="n">
        <v>382840</v>
      </c>
      <c r="J142" s="31" t="inlineStr">
        <is>
          <t>543654</t>
        </is>
      </c>
    </row>
    <row r="143">
      <c r="A143" s="31" t="inlineStr">
        <is>
          <t>SANSERA</t>
        </is>
      </c>
      <c r="B143" s="31" t="inlineStr">
        <is>
          <t>Sansera Engineering Ltd</t>
        </is>
      </c>
      <c r="C143" s="31" t="inlineStr">
        <is>
          <t>auto</t>
        </is>
      </c>
      <c r="D143" s="31" t="inlineStr">
        <is>
          <t>auto ancillaries</t>
        </is>
      </c>
      <c r="E143" s="31" t="inlineStr">
        <is>
          <t>largecap</t>
        </is>
      </c>
      <c r="F143" s="31" t="n">
        <v>20885.85</v>
      </c>
      <c r="G143" s="31" t="n">
        <v>3452.7</v>
      </c>
      <c r="H143" s="31" t="n">
        <v>3.16</v>
      </c>
      <c r="I143" s="31" t="n">
        <v>174571</v>
      </c>
      <c r="J143" s="31" t="inlineStr">
        <is>
          <t>543358</t>
        </is>
      </c>
    </row>
    <row r="144">
      <c r="A144" s="31" t="inlineStr">
        <is>
          <t>THEJO</t>
        </is>
      </c>
      <c r="B144" s="31" t="inlineStr">
        <is>
          <t>Thejo Engineering Ltd</t>
        </is>
      </c>
      <c r="C144" s="31" t="inlineStr">
        <is>
          <t>industrials</t>
        </is>
      </c>
      <c r="D144" s="31" t="inlineStr">
        <is>
          <t>engineering</t>
        </is>
      </c>
      <c r="E144" s="31" t="inlineStr">
        <is>
          <t>smallcap</t>
        </is>
      </c>
      <c r="F144" s="31" t="n">
        <v>2287.41</v>
      </c>
      <c r="G144" s="31" t="n">
        <v>2175</v>
      </c>
      <c r="H144" s="31" t="n">
        <v>3.14</v>
      </c>
      <c r="I144" s="31" t="n">
        <v>21034</v>
      </c>
      <c r="J144" s="31" t="inlineStr">
        <is>
          <t>500492</t>
        </is>
      </c>
    </row>
    <row r="145">
      <c r="A145" s="31" t="inlineStr">
        <is>
          <t>DEEPAKNTR</t>
        </is>
      </c>
      <c r="B145" s="31" t="inlineStr">
        <is>
          <t>Deepak Nitrite Limited</t>
        </is>
      </c>
      <c r="C145" s="31" t="inlineStr">
        <is>
          <t>chemicals</t>
        </is>
      </c>
      <c r="D145" s="31" t="inlineStr">
        <is>
          <t>chemicals</t>
        </is>
      </c>
      <c r="E145" s="31" t="inlineStr">
        <is>
          <t>largecap</t>
        </is>
      </c>
      <c r="F145" s="31" t="n">
        <v>22671.25</v>
      </c>
      <c r="G145" s="31" t="n">
        <v>1713.8</v>
      </c>
      <c r="H145" s="31" t="n">
        <v>3.1</v>
      </c>
      <c r="I145" s="31" t="n">
        <v>179793</v>
      </c>
      <c r="J145" s="31" t="inlineStr">
        <is>
          <t>506401</t>
        </is>
      </c>
    </row>
    <row r="146">
      <c r="A146" s="31" t="inlineStr">
        <is>
          <t>GOCLCORP</t>
        </is>
      </c>
      <c r="B146" s="31" t="inlineStr">
        <is>
          <t>Gocl Corporation Limited</t>
        </is>
      </c>
      <c r="C146" s="31" t="inlineStr">
        <is>
          <t>miscellaneous</t>
        </is>
      </c>
      <c r="D146" s="31" t="inlineStr">
        <is>
          <t>diversified - medium / small</t>
        </is>
      </c>
      <c r="E146" s="31" t="inlineStr">
        <is>
          <t>smallcap</t>
        </is>
      </c>
      <c r="F146" s="31" t="n">
        <v>1995.54</v>
      </c>
      <c r="G146" s="31" t="n">
        <v>415</v>
      </c>
      <c r="H146" s="31" t="n">
        <v>3.09</v>
      </c>
      <c r="I146" s="31" t="n">
        <v>109585</v>
      </c>
      <c r="J146" s="31" t="inlineStr">
        <is>
          <t>506480</t>
        </is>
      </c>
    </row>
    <row r="147">
      <c r="A147" s="31" t="inlineStr">
        <is>
          <t>TCPLPACK</t>
        </is>
      </c>
      <c r="B147" s="31" t="inlineStr">
        <is>
          <t>TCPL Packaging Ltd</t>
        </is>
      </c>
      <c r="C147" s="31" t="inlineStr">
        <is>
          <t>industrials</t>
        </is>
      </c>
      <c r="D147" s="31" t="inlineStr">
        <is>
          <t>packaging</t>
        </is>
      </c>
      <c r="E147" s="31" t="inlineStr">
        <is>
          <t>smallcap</t>
        </is>
      </c>
      <c r="F147" s="31" t="n">
        <v>2869.59</v>
      </c>
      <c r="G147" s="31" t="n">
        <v>3250.8</v>
      </c>
      <c r="H147" s="31" t="n">
        <v>3.09</v>
      </c>
      <c r="I147" s="31" t="n">
        <v>4115</v>
      </c>
      <c r="J147" s="31" t="inlineStr">
        <is>
          <t>523301</t>
        </is>
      </c>
    </row>
    <row r="148">
      <c r="A148" s="31" t="inlineStr">
        <is>
          <t>KENNAMET</t>
        </is>
      </c>
      <c r="B148" s="31" t="inlineStr">
        <is>
          <t>Kennametal India Ltd</t>
        </is>
      </c>
      <c r="C148" s="31" t="inlineStr">
        <is>
          <t>industrials</t>
        </is>
      </c>
      <c r="D148" s="31" t="inlineStr">
        <is>
          <t>castings &amp; forgings</t>
        </is>
      </c>
      <c r="E148" s="31" t="inlineStr">
        <is>
          <t>midcap</t>
        </is>
      </c>
      <c r="F148" s="31" t="n">
        <v>6200.94</v>
      </c>
      <c r="G148" s="31" t="n">
        <v>2907.5</v>
      </c>
      <c r="H148" s="31" t="n">
        <v>3.05</v>
      </c>
      <c r="I148" s="31" t="n">
        <v>16804</v>
      </c>
      <c r="J148" s="31" t="inlineStr">
        <is>
          <t>505890</t>
        </is>
      </c>
    </row>
    <row r="149">
      <c r="A149" s="31" t="inlineStr">
        <is>
          <t>GLAND</t>
        </is>
      </c>
      <c r="B149" s="31" t="inlineStr">
        <is>
          <t>Gland Pharma Ltd</t>
        </is>
      </c>
      <c r="C149" s="31" t="inlineStr">
        <is>
          <t>healthcare</t>
        </is>
      </c>
      <c r="D149" s="31" t="inlineStr">
        <is>
          <t>pharmaceuticals - indian - formulations</t>
        </is>
      </c>
      <c r="E149" s="31" t="inlineStr">
        <is>
          <t>largecap</t>
        </is>
      </c>
      <c r="F149" s="31" t="n">
        <v>41287.76</v>
      </c>
      <c r="G149" s="31" t="n">
        <v>2579.2</v>
      </c>
      <c r="H149" s="31" t="n">
        <v>3.05</v>
      </c>
      <c r="I149" s="31" t="n">
        <v>502554</v>
      </c>
      <c r="J149" s="31" t="inlineStr">
        <is>
          <t>543245</t>
        </is>
      </c>
    </row>
    <row r="150">
      <c r="A150" s="31" t="inlineStr">
        <is>
          <t>ASIANENE</t>
        </is>
      </c>
      <c r="B150" s="31" t="inlineStr">
        <is>
          <t>Asian Energy Services Ltd</t>
        </is>
      </c>
      <c r="C150" s="31" t="inlineStr">
        <is>
          <t>energy</t>
        </is>
      </c>
      <c r="D150" s="31" t="inlineStr">
        <is>
          <t>oil drilling / allied services</t>
        </is>
      </c>
      <c r="E150" s="31" t="inlineStr">
        <is>
          <t>smallcap</t>
        </is>
      </c>
      <c r="F150" s="31" t="n">
        <v>1938.13</v>
      </c>
      <c r="G150" s="31" t="n">
        <v>410.65</v>
      </c>
      <c r="H150" s="31" t="n">
        <v>3.04</v>
      </c>
      <c r="I150" s="31" t="n">
        <v>835789</v>
      </c>
      <c r="J150" s="31" t="inlineStr">
        <is>
          <t>530355</t>
        </is>
      </c>
    </row>
    <row r="151">
      <c r="A151" s="31" t="inlineStr">
        <is>
          <t>POLICYBZR</t>
        </is>
      </c>
      <c r="B151" s="31" t="inlineStr">
        <is>
          <t>PB Fintech Ltd</t>
        </is>
      </c>
      <c r="C151" s="31" t="inlineStr">
        <is>
          <t>i.t</t>
        </is>
      </c>
      <c r="D151" s="31" t="inlineStr">
        <is>
          <t>miscellaneous</t>
        </is>
      </c>
      <c r="E151" s="31" t="inlineStr">
        <is>
          <t>largecap</t>
        </is>
      </c>
      <c r="F151" s="31" t="n">
        <v>74100.58</v>
      </c>
      <c r="G151" s="31" t="n">
        <v>1650</v>
      </c>
      <c r="H151" s="31" t="n">
        <v>3.03</v>
      </c>
      <c r="I151" s="31" t="n">
        <v>1901991</v>
      </c>
      <c r="J151" s="31" t="inlineStr">
        <is>
          <t>543390</t>
        </is>
      </c>
    </row>
    <row r="152">
      <c r="A152" s="31" t="inlineStr">
        <is>
          <t>IMFA</t>
        </is>
      </c>
      <c r="B152" s="31" t="inlineStr">
        <is>
          <t>Indian Metals &amp; Ferro Alloys Limited</t>
        </is>
      </c>
      <c r="C152" s="31" t="inlineStr">
        <is>
          <t>metals &amp; mining</t>
        </is>
      </c>
      <c r="D152" s="31" t="inlineStr">
        <is>
          <t>mining / minerals / metals</t>
        </is>
      </c>
      <c r="E152" s="31" t="inlineStr">
        <is>
          <t>midcap</t>
        </is>
      </c>
      <c r="F152" s="31" t="n">
        <v>7815.79</v>
      </c>
      <c r="G152" s="31" t="n">
        <v>1492</v>
      </c>
      <c r="H152" s="31" t="n">
        <v>3</v>
      </c>
      <c r="I152" s="31" t="n">
        <v>229842</v>
      </c>
      <c r="J152" s="31" t="inlineStr">
        <is>
          <t>533047</t>
        </is>
      </c>
    </row>
    <row r="153">
      <c r="A153" s="31" t="inlineStr">
        <is>
          <t>GANESHBE</t>
        </is>
      </c>
      <c r="B153" s="31" t="inlineStr">
        <is>
          <t>Ganesh Benzoplast Ltd</t>
        </is>
      </c>
      <c r="C153" s="31" t="inlineStr">
        <is>
          <t>miscellaneous</t>
        </is>
      </c>
      <c r="D153" s="31" t="inlineStr">
        <is>
          <t>miscellaneous</t>
        </is>
      </c>
      <c r="E153" s="31" t="inlineStr">
        <is>
          <t>smallcap</t>
        </is>
      </c>
      <c r="F153" s="31" t="n">
        <v>808.66</v>
      </c>
      <c r="G153" s="31" t="n">
        <v>115.69</v>
      </c>
      <c r="H153" s="31" t="n">
        <v>2.99</v>
      </c>
      <c r="I153" s="31" t="n">
        <v>155254</v>
      </c>
      <c r="J153" s="31" t="inlineStr">
        <is>
          <t>500153</t>
        </is>
      </c>
    </row>
    <row r="154">
      <c r="A154" s="31" t="inlineStr">
        <is>
          <t>CLSEL</t>
        </is>
      </c>
      <c r="B154" s="31" t="inlineStr">
        <is>
          <t>Chamanlal Setia Exports Ltd</t>
        </is>
      </c>
      <c r="C154" s="31" t="inlineStr">
        <is>
          <t>fmcg</t>
        </is>
      </c>
      <c r="D154" s="31" t="inlineStr">
        <is>
          <t>food - processing - indian</t>
        </is>
      </c>
      <c r="E154" s="31" t="inlineStr">
        <is>
          <t>smallcap</t>
        </is>
      </c>
      <c r="F154" s="31" t="n">
        <v>1419.67</v>
      </c>
      <c r="G154" s="31" t="n">
        <v>294</v>
      </c>
      <c r="H154" s="31" t="n">
        <v>2.98</v>
      </c>
      <c r="I154" s="31" t="n">
        <v>87977</v>
      </c>
      <c r="J154" s="31" t="inlineStr">
        <is>
          <t>530307</t>
        </is>
      </c>
    </row>
    <row r="155">
      <c r="A155" s="31" t="inlineStr">
        <is>
          <t>JUBLINGREA</t>
        </is>
      </c>
      <c r="B155" s="31" t="inlineStr">
        <is>
          <t>Jubilant Ingrevia Ltd</t>
        </is>
      </c>
      <c r="C155" s="31" t="inlineStr">
        <is>
          <t>chemicals</t>
        </is>
      </c>
      <c r="D155" s="31" t="inlineStr">
        <is>
          <t>chemicals</t>
        </is>
      </c>
      <c r="E155" s="31" t="inlineStr">
        <is>
          <t>midcap</t>
        </is>
      </c>
      <c r="F155" s="31" t="n">
        <v>11718.31</v>
      </c>
      <c r="G155" s="31" t="n">
        <v>757.45</v>
      </c>
      <c r="H155" s="31" t="n">
        <v>2.96</v>
      </c>
      <c r="I155" s="31" t="n">
        <v>300726</v>
      </c>
      <c r="J155" s="31" t="inlineStr">
        <is>
          <t>543271</t>
        </is>
      </c>
    </row>
    <row r="156">
      <c r="A156" s="31" t="inlineStr">
        <is>
          <t>SANATHAN</t>
        </is>
      </c>
      <c r="B156" s="31" t="inlineStr">
        <is>
          <t>Sanathan Textiles Ltd</t>
        </is>
      </c>
      <c r="C156" s="31" t="inlineStr">
        <is>
          <t>textiles</t>
        </is>
      </c>
      <c r="D156" s="31" t="inlineStr">
        <is>
          <t>textiles - cotton/blended</t>
        </is>
      </c>
      <c r="E156" s="31" t="inlineStr">
        <is>
          <t>smallcap</t>
        </is>
      </c>
      <c r="F156" s="31" t="n">
        <v>4008.77</v>
      </c>
      <c r="G156" s="31" t="n">
        <v>489</v>
      </c>
      <c r="H156" s="31" t="n">
        <v>2.96</v>
      </c>
      <c r="I156" s="31" t="n">
        <v>74545</v>
      </c>
      <c r="J156" s="31" t="inlineStr">
        <is>
          <t>544314</t>
        </is>
      </c>
    </row>
    <row r="157">
      <c r="A157" s="31" t="inlineStr">
        <is>
          <t>RAIN</t>
        </is>
      </c>
      <c r="B157" s="31" t="inlineStr">
        <is>
          <t>Rain Industries Limited</t>
        </is>
      </c>
      <c r="C157" s="31" t="inlineStr">
        <is>
          <t>miscellaneous</t>
        </is>
      </c>
      <c r="D157" s="31" t="inlineStr">
        <is>
          <t>miscellaneous</t>
        </is>
      </c>
      <c r="E157" s="31" t="inlineStr">
        <is>
          <t>midcap</t>
        </is>
      </c>
      <c r="F157" s="31" t="n">
        <v>7498.83</v>
      </c>
      <c r="G157" s="31" t="n">
        <v>229.53</v>
      </c>
      <c r="H157" s="31" t="n">
        <v>2.95</v>
      </c>
      <c r="I157" s="31" t="n">
        <v>5598426</v>
      </c>
      <c r="J157" s="31" t="inlineStr">
        <is>
          <t>500339</t>
        </is>
      </c>
    </row>
    <row r="158">
      <c r="A158" s="31" t="inlineStr">
        <is>
          <t>SHRIPISTON</t>
        </is>
      </c>
      <c r="B158" s="31" t="inlineStr">
        <is>
          <t>Shriram Pistons &amp; Rings Limited</t>
        </is>
      </c>
      <c r="C158" s="31" t="inlineStr">
        <is>
          <t>auto</t>
        </is>
      </c>
      <c r="D158" s="31" t="inlineStr">
        <is>
          <t>auto ancillaries</t>
        </is>
      </c>
      <c r="E158" s="31" t="inlineStr">
        <is>
          <t>midcap</t>
        </is>
      </c>
      <c r="F158" s="31" t="n">
        <v>19360.78</v>
      </c>
      <c r="G158" s="31" t="n">
        <v>4524.4</v>
      </c>
      <c r="H158" s="31" t="n">
        <v>2.94</v>
      </c>
      <c r="I158" s="31" t="n">
        <v>66254</v>
      </c>
      <c r="J158" s="31" t="n"/>
    </row>
    <row r="159">
      <c r="A159" s="31" t="inlineStr">
        <is>
          <t>CERA</t>
        </is>
      </c>
      <c r="B159" s="31" t="inlineStr">
        <is>
          <t>Cera Sanitaryware Limited</t>
        </is>
      </c>
      <c r="C159" s="31" t="inlineStr">
        <is>
          <t>building materials</t>
        </is>
      </c>
      <c r="D159" s="31" t="inlineStr">
        <is>
          <t>ceramics - tiles / sanitaryware</t>
        </is>
      </c>
      <c r="E159" s="31" t="inlineStr">
        <is>
          <t>midcap</t>
        </is>
      </c>
      <c r="F159" s="31" t="n">
        <v>7901.03</v>
      </c>
      <c r="G159" s="31" t="n">
        <v>6305</v>
      </c>
      <c r="H159" s="31" t="n">
        <v>2.92</v>
      </c>
      <c r="I159" s="31" t="n">
        <v>6740</v>
      </c>
      <c r="J159" s="31" t="inlineStr">
        <is>
          <t>532443</t>
        </is>
      </c>
    </row>
    <row r="160">
      <c r="A160" s="31" t="inlineStr">
        <is>
          <t>BAJAJ-AUTO</t>
        </is>
      </c>
      <c r="B160" s="31" t="inlineStr">
        <is>
          <t>Bajaj Auto Limited</t>
        </is>
      </c>
      <c r="C160" s="31" t="inlineStr">
        <is>
          <t>auto</t>
        </is>
      </c>
      <c r="D160" s="31" t="inlineStr">
        <is>
          <t>automobiles - scooters and 3 - wheelers</t>
        </is>
      </c>
      <c r="E160" s="31" t="inlineStr">
        <is>
          <t>largecap</t>
        </is>
      </c>
      <c r="F160" s="31" t="n">
        <v>321995.48</v>
      </c>
      <c r="G160" s="31" t="n">
        <v>11856</v>
      </c>
      <c r="H160" s="31" t="n">
        <v>2.91</v>
      </c>
      <c r="I160" s="31" t="n">
        <v>824041</v>
      </c>
      <c r="J160" s="31" t="inlineStr">
        <is>
          <t>532977</t>
        </is>
      </c>
    </row>
    <row r="161">
      <c r="A161" s="31" t="inlineStr">
        <is>
          <t>GOKULAGRO</t>
        </is>
      </c>
      <c r="B161" s="31" t="inlineStr">
        <is>
          <t>Gokul Agro Resources Limited</t>
        </is>
      </c>
      <c r="C161" s="31" t="inlineStr">
        <is>
          <t>fmcg</t>
        </is>
      </c>
      <c r="D161" s="31" t="inlineStr">
        <is>
          <t>solvent extraction</t>
        </is>
      </c>
      <c r="E161" s="31" t="inlineStr">
        <is>
          <t>midcap</t>
        </is>
      </c>
      <c r="F161" s="31" t="n">
        <v>6642.7</v>
      </c>
      <c r="G161" s="31" t="n">
        <v>231.58</v>
      </c>
      <c r="H161" s="31" t="n">
        <v>2.87</v>
      </c>
      <c r="I161" s="31" t="n">
        <v>704980</v>
      </c>
      <c r="J161" s="31" t="inlineStr">
        <is>
          <t>539725</t>
        </is>
      </c>
    </row>
    <row r="162">
      <c r="A162" s="31" t="inlineStr">
        <is>
          <t>NRAIL</t>
        </is>
      </c>
      <c r="B162" s="31" t="inlineStr">
        <is>
          <t>N R Agarwal Industries Ltd</t>
        </is>
      </c>
      <c r="C162" s="31" t="inlineStr">
        <is>
          <t>building materials</t>
        </is>
      </c>
      <c r="D162" s="31" t="inlineStr">
        <is>
          <t>paper</t>
        </is>
      </c>
      <c r="E162" s="31" t="inlineStr">
        <is>
          <t>smallcap</t>
        </is>
      </c>
      <c r="F162" s="31" t="n">
        <v>805.6799999999999</v>
      </c>
      <c r="G162" s="31" t="n">
        <v>487</v>
      </c>
      <c r="H162" s="31" t="n">
        <v>2.87</v>
      </c>
      <c r="I162" s="31" t="n">
        <v>3263</v>
      </c>
      <c r="J162" s="31" t="inlineStr">
        <is>
          <t>516082</t>
        </is>
      </c>
    </row>
    <row r="163">
      <c r="A163" s="31" t="inlineStr">
        <is>
          <t>PARAS</t>
        </is>
      </c>
      <c r="B163" s="31" t="inlineStr">
        <is>
          <t>Paras Defence and Space Technologies Ltd</t>
        </is>
      </c>
      <c r="C163" s="31" t="inlineStr">
        <is>
          <t>aerospace &amp; defence</t>
        </is>
      </c>
      <c r="D163" s="31" t="inlineStr">
        <is>
          <t>engineering</t>
        </is>
      </c>
      <c r="E163" s="31" t="inlineStr">
        <is>
          <t>midcap</t>
        </is>
      </c>
      <c r="F163" s="31" t="n">
        <v>10125.8</v>
      </c>
      <c r="G163" s="31" t="n">
        <v>1292.3</v>
      </c>
      <c r="H163" s="31" t="n">
        <v>2.85</v>
      </c>
      <c r="I163" s="31" t="n">
        <v>1553831</v>
      </c>
      <c r="J163" s="31" t="inlineStr">
        <is>
          <t>543367</t>
        </is>
      </c>
    </row>
    <row r="164">
      <c r="A164" s="31" t="inlineStr">
        <is>
          <t>MOTHERSON</t>
        </is>
      </c>
      <c r="B164" s="31" t="inlineStr">
        <is>
          <t>Samvardhana Motherson International Ltd</t>
        </is>
      </c>
      <c r="C164" s="31" t="inlineStr">
        <is>
          <t>auto</t>
        </is>
      </c>
      <c r="D164" s="31" t="inlineStr">
        <is>
          <t>auto ancillaries</t>
        </is>
      </c>
      <c r="E164" s="31" t="inlineStr">
        <is>
          <t>largecap</t>
        </is>
      </c>
      <c r="F164" s="31" t="n">
        <v>159108.22</v>
      </c>
      <c r="G164" s="31" t="n">
        <v>155.01</v>
      </c>
      <c r="H164" s="31" t="n">
        <v>2.83</v>
      </c>
      <c r="I164" s="31" t="n">
        <v>52302690</v>
      </c>
      <c r="J164" s="31" t="inlineStr">
        <is>
          <t>517334</t>
        </is>
      </c>
    </row>
    <row r="165">
      <c r="A165" s="31" t="inlineStr">
        <is>
          <t>HAPPYFORGE</t>
        </is>
      </c>
      <c r="B165" s="31" t="inlineStr">
        <is>
          <t>Happy Forgings Ltd</t>
        </is>
      </c>
      <c r="C165" s="31" t="inlineStr">
        <is>
          <t>industrials</t>
        </is>
      </c>
      <c r="D165" s="31" t="inlineStr">
        <is>
          <t>castings &amp; forgings</t>
        </is>
      </c>
      <c r="E165" s="31" t="inlineStr">
        <is>
          <t>midcap</t>
        </is>
      </c>
      <c r="F165" s="31" t="n">
        <v>15597.97</v>
      </c>
      <c r="G165" s="31" t="n">
        <v>1699.2</v>
      </c>
      <c r="H165" s="31" t="n">
        <v>2.81</v>
      </c>
      <c r="I165" s="31" t="n">
        <v>56505</v>
      </c>
      <c r="J165" s="31" t="inlineStr">
        <is>
          <t>544057</t>
        </is>
      </c>
    </row>
    <row r="166">
      <c r="A166" s="31" t="inlineStr">
        <is>
          <t>TNPL</t>
        </is>
      </c>
      <c r="B166" s="31" t="inlineStr">
        <is>
          <t>Tamil Nadu Newsprint &amp; Papers Limited</t>
        </is>
      </c>
      <c r="C166" s="31" t="inlineStr">
        <is>
          <t>building materials</t>
        </is>
      </c>
      <c r="D166" s="31" t="inlineStr">
        <is>
          <t>paper</t>
        </is>
      </c>
      <c r="E166" s="31" t="inlineStr">
        <is>
          <t>smallcap</t>
        </is>
      </c>
      <c r="F166" s="31" t="n">
        <v>1042.87</v>
      </c>
      <c r="G166" s="31" t="n">
        <v>154.88</v>
      </c>
      <c r="H166" s="31" t="n">
        <v>2.79</v>
      </c>
      <c r="I166" s="31" t="n">
        <v>254861</v>
      </c>
      <c r="J166" s="31" t="inlineStr">
        <is>
          <t>531426</t>
        </is>
      </c>
    </row>
    <row r="167">
      <c r="A167" s="31" t="inlineStr">
        <is>
          <t>APARINDS</t>
        </is>
      </c>
      <c r="B167" s="31" t="inlineStr">
        <is>
          <t>Apar Industries Limited</t>
        </is>
      </c>
      <c r="C167" s="31" t="inlineStr">
        <is>
          <t>industrials</t>
        </is>
      </c>
      <c r="D167" s="31" t="inlineStr">
        <is>
          <t>electric equipment</t>
        </is>
      </c>
      <c r="E167" s="31" t="inlineStr">
        <is>
          <t>largecap</t>
        </is>
      </c>
      <c r="F167" s="31" t="n">
        <v>57641.99</v>
      </c>
      <c r="G167" s="31" t="n">
        <v>14746</v>
      </c>
      <c r="H167" s="31" t="n">
        <v>2.77</v>
      </c>
      <c r="I167" s="31" t="n">
        <v>281772</v>
      </c>
      <c r="J167" s="31" t="inlineStr">
        <is>
          <t>532259</t>
        </is>
      </c>
    </row>
    <row r="168">
      <c r="A168" s="31" t="inlineStr">
        <is>
          <t>MPSLTD</t>
        </is>
      </c>
      <c r="B168" s="31" t="inlineStr">
        <is>
          <t>Mps Limited</t>
        </is>
      </c>
      <c r="C168" s="31" t="inlineStr">
        <is>
          <t>i.t</t>
        </is>
      </c>
      <c r="D168" s="31" t="inlineStr">
        <is>
          <t>computers - software - medium / small</t>
        </is>
      </c>
      <c r="E168" s="31" t="inlineStr">
        <is>
          <t>smallcap</t>
        </is>
      </c>
      <c r="F168" s="31" t="n">
        <v>4611.73</v>
      </c>
      <c r="G168" s="31" t="n">
        <v>2770.5</v>
      </c>
      <c r="H168" s="31" t="n">
        <v>2.76</v>
      </c>
      <c r="I168" s="31" t="n">
        <v>61657</v>
      </c>
      <c r="J168" s="31" t="inlineStr">
        <is>
          <t>532440</t>
        </is>
      </c>
    </row>
    <row r="169">
      <c r="A169" s="31" t="inlineStr">
        <is>
          <t>EICHERMOT</t>
        </is>
      </c>
      <c r="B169" s="31" t="inlineStr">
        <is>
          <t>Eicher Motors Limited</t>
        </is>
      </c>
      <c r="C169" s="31" t="inlineStr">
        <is>
          <t>auto</t>
        </is>
      </c>
      <c r="D169" s="31" t="inlineStr">
        <is>
          <t>automobiles - motorcycles / mopeds</t>
        </is>
      </c>
      <c r="E169" s="31" t="inlineStr">
        <is>
          <t>largecap</t>
        </is>
      </c>
      <c r="F169" s="31" t="n">
        <v>215027.64</v>
      </c>
      <c r="G169" s="31" t="n">
        <v>8050</v>
      </c>
      <c r="H169" s="31" t="n">
        <v>2.76</v>
      </c>
      <c r="I169" s="31" t="n">
        <v>2997862</v>
      </c>
      <c r="J169" s="31" t="inlineStr">
        <is>
          <t>505200</t>
        </is>
      </c>
    </row>
    <row r="170">
      <c r="A170" s="31" t="inlineStr">
        <is>
          <t>COFORGE</t>
        </is>
      </c>
      <c r="B170" s="31" t="inlineStr">
        <is>
          <t>Coforge (Niit Tech) Ltd</t>
        </is>
      </c>
      <c r="C170" s="31" t="inlineStr">
        <is>
          <t>i.t</t>
        </is>
      </c>
      <c r="D170" s="31" t="inlineStr">
        <is>
          <t>computers - software - large</t>
        </is>
      </c>
      <c r="E170" s="31" t="inlineStr">
        <is>
          <t>largecap</t>
        </is>
      </c>
      <c r="F170" s="31" t="n">
        <v>76187.09</v>
      </c>
      <c r="G170" s="31" t="n">
        <v>1768</v>
      </c>
      <c r="H170" s="31" t="n">
        <v>2.73</v>
      </c>
      <c r="I170" s="31" t="n">
        <v>7002088</v>
      </c>
      <c r="J170" s="31" t="inlineStr">
        <is>
          <t>532541</t>
        </is>
      </c>
    </row>
    <row r="171">
      <c r="A171" s="31" t="inlineStr">
        <is>
          <t>RADICO</t>
        </is>
      </c>
      <c r="B171" s="31" t="inlineStr">
        <is>
          <t>Radico Khaitan Limited</t>
        </is>
      </c>
      <c r="C171" s="31" t="inlineStr">
        <is>
          <t>fmcg</t>
        </is>
      </c>
      <c r="D171" s="31" t="inlineStr">
        <is>
          <t>breweries &amp; distilleries</t>
        </is>
      </c>
      <c r="E171" s="31" t="inlineStr">
        <is>
          <t>largecap</t>
        </is>
      </c>
      <c r="F171" s="31" t="n">
        <v>58136.92</v>
      </c>
      <c r="G171" s="31" t="n">
        <v>4459.1</v>
      </c>
      <c r="H171" s="31" t="n">
        <v>2.73</v>
      </c>
      <c r="I171" s="31" t="n">
        <v>1037529</v>
      </c>
      <c r="J171" s="31" t="inlineStr">
        <is>
          <t>532497</t>
        </is>
      </c>
    </row>
    <row r="172">
      <c r="A172" s="31" t="inlineStr">
        <is>
          <t>MANALIPETC</t>
        </is>
      </c>
      <c r="B172" s="31" t="inlineStr">
        <is>
          <t>Manali Petrochemicals Limited</t>
        </is>
      </c>
      <c r="C172" s="31" t="inlineStr">
        <is>
          <t>energy</t>
        </is>
      </c>
      <c r="D172" s="31" t="inlineStr">
        <is>
          <t>petrochemicals</t>
        </is>
      </c>
      <c r="E172" s="31" t="inlineStr">
        <is>
          <t>smallcap</t>
        </is>
      </c>
      <c r="F172" s="31" t="n">
        <v>1116.1</v>
      </c>
      <c r="G172" s="31" t="n">
        <v>66.64</v>
      </c>
      <c r="H172" s="31" t="n">
        <v>2.7</v>
      </c>
      <c r="I172" s="31" t="n">
        <v>541368</v>
      </c>
      <c r="J172" s="31" t="inlineStr">
        <is>
          <t>500268</t>
        </is>
      </c>
    </row>
    <row r="173">
      <c r="A173" s="31" t="inlineStr">
        <is>
          <t>IONEXCHANG</t>
        </is>
      </c>
      <c r="B173" s="31" t="inlineStr">
        <is>
          <t>Ion Exchange (India) Ltd</t>
        </is>
      </c>
      <c r="C173" s="31" t="inlineStr">
        <is>
          <t>realty</t>
        </is>
      </c>
      <c r="D173" s="31" t="inlineStr">
        <is>
          <t>engineering - turnkey services</t>
        </is>
      </c>
      <c r="E173" s="31" t="inlineStr">
        <is>
          <t>midcap</t>
        </is>
      </c>
      <c r="F173" s="31" t="n">
        <v>6170.26</v>
      </c>
      <c r="G173" s="31" t="n">
        <v>432</v>
      </c>
      <c r="H173" s="31" t="n">
        <v>2.69</v>
      </c>
      <c r="I173" s="31" t="n">
        <v>322009</v>
      </c>
      <c r="J173" s="31" t="inlineStr">
        <is>
          <t>500214</t>
        </is>
      </c>
    </row>
    <row r="174">
      <c r="A174" s="31" t="inlineStr">
        <is>
          <t>FLUOROCHEM</t>
        </is>
      </c>
      <c r="B174" s="31" t="inlineStr">
        <is>
          <t>Gujarat Fluorochemicals Ltd</t>
        </is>
      </c>
      <c r="C174" s="31" t="inlineStr">
        <is>
          <t>chemicals</t>
        </is>
      </c>
      <c r="D174" s="31" t="inlineStr">
        <is>
          <t>chemicals</t>
        </is>
      </c>
      <c r="E174" s="31" t="inlineStr">
        <is>
          <t>largecap</t>
        </is>
      </c>
      <c r="F174" s="31" t="n">
        <v>47969.3</v>
      </c>
      <c r="G174" s="31" t="n">
        <v>4483.5</v>
      </c>
      <c r="H174" s="31" t="n">
        <v>2.67</v>
      </c>
      <c r="I174" s="31" t="n">
        <v>125714</v>
      </c>
      <c r="J174" s="31" t="inlineStr">
        <is>
          <t>542812</t>
        </is>
      </c>
    </row>
    <row r="175">
      <c r="A175" s="31" t="inlineStr">
        <is>
          <t>ETERNAL</t>
        </is>
      </c>
      <c r="B175" s="31" t="inlineStr">
        <is>
          <t>Eternal Ltd</t>
        </is>
      </c>
      <c r="C175" s="31" t="inlineStr">
        <is>
          <t>i.t</t>
        </is>
      </c>
      <c r="D175" s="31" t="inlineStr">
        <is>
          <t>miscellaneous</t>
        </is>
      </c>
      <c r="E175" s="31" t="inlineStr">
        <is>
          <t>largecap</t>
        </is>
      </c>
      <c r="F175" s="31" t="n">
        <v>291874.86</v>
      </c>
      <c r="G175" s="31" t="n">
        <v>310.5</v>
      </c>
      <c r="H175" s="31" t="n">
        <v>2.66</v>
      </c>
      <c r="I175" s="31" t="n">
        <v>77946526</v>
      </c>
      <c r="J175" s="31" t="inlineStr">
        <is>
          <t>543320</t>
        </is>
      </c>
    </row>
    <row r="176">
      <c r="A176" s="31" t="inlineStr">
        <is>
          <t>KILITCH</t>
        </is>
      </c>
      <c r="B176" s="31" t="inlineStr">
        <is>
          <t>Kilitch Drugs (india) Limited</t>
        </is>
      </c>
      <c r="C176" s="31" t="inlineStr">
        <is>
          <t>healthcare</t>
        </is>
      </c>
      <c r="D176" s="31" t="inlineStr">
        <is>
          <t>pharmaceuticals - indian - formulations</t>
        </is>
      </c>
      <c r="E176" s="31" t="inlineStr">
        <is>
          <t>smallcap</t>
        </is>
      </c>
      <c r="F176" s="31" t="n">
        <v>652.35</v>
      </c>
      <c r="G176" s="31" t="n">
        <v>191.5</v>
      </c>
      <c r="H176" s="31" t="n">
        <v>2.63</v>
      </c>
      <c r="I176" s="31" t="n">
        <v>18122</v>
      </c>
      <c r="J176" s="31" t="inlineStr">
        <is>
          <t>524500</t>
        </is>
      </c>
    </row>
    <row r="177">
      <c r="A177" s="31" t="inlineStr">
        <is>
          <t>KKCL</t>
        </is>
      </c>
      <c r="B177" s="31" t="inlineStr">
        <is>
          <t>Kewal Kiran Clothing Limited</t>
        </is>
      </c>
      <c r="C177" s="31" t="inlineStr">
        <is>
          <t>consumer discretionary</t>
        </is>
      </c>
      <c r="D177" s="31" t="inlineStr">
        <is>
          <t>textiles - products</t>
        </is>
      </c>
      <c r="E177" s="31" t="inlineStr">
        <is>
          <t>smallcap</t>
        </is>
      </c>
      <c r="F177" s="31" t="n">
        <v>3062.77</v>
      </c>
      <c r="G177" s="31" t="n">
        <v>509.95</v>
      </c>
      <c r="H177" s="31" t="n">
        <v>2.61</v>
      </c>
      <c r="I177" s="31" t="n">
        <v>32894</v>
      </c>
      <c r="J177" s="31" t="inlineStr">
        <is>
          <t>532732</t>
        </is>
      </c>
    </row>
    <row r="178">
      <c r="A178" s="31" t="inlineStr">
        <is>
          <t>BHAGCHEM</t>
        </is>
      </c>
      <c r="B178" s="31" t="inlineStr">
        <is>
          <t>Bhagiradha Chemicals &amp; Industries Ltd</t>
        </is>
      </c>
      <c r="C178" s="31" t="inlineStr">
        <is>
          <t>chemicals</t>
        </is>
      </c>
      <c r="D178" s="31" t="inlineStr">
        <is>
          <t>pesticides / agrochemicals - indian</t>
        </is>
      </c>
      <c r="E178" s="31" t="inlineStr">
        <is>
          <t>smallcap</t>
        </is>
      </c>
      <c r="F178" s="31" t="n">
        <v>3770.13</v>
      </c>
      <c r="G178" s="31" t="n">
        <v>298.35</v>
      </c>
      <c r="H178" s="31" t="n">
        <v>2.61</v>
      </c>
      <c r="I178" s="31" t="n">
        <v>1299990</v>
      </c>
      <c r="J178" s="31" t="inlineStr">
        <is>
          <t>531719</t>
        </is>
      </c>
    </row>
    <row r="179">
      <c r="A179" s="31" t="inlineStr">
        <is>
          <t>JSWENERGY</t>
        </is>
      </c>
      <c r="B179" s="31" t="inlineStr">
        <is>
          <t>Jsw Energy Limited</t>
        </is>
      </c>
      <c r="C179" s="31" t="inlineStr">
        <is>
          <t>power &amp; utilities</t>
        </is>
      </c>
      <c r="D179" s="31" t="inlineStr">
        <is>
          <t>power generation and supply</t>
        </is>
      </c>
      <c r="E179" s="31" t="inlineStr">
        <is>
          <t>largecap</t>
        </is>
      </c>
      <c r="F179" s="31" t="n">
        <v>101694.12</v>
      </c>
      <c r="G179" s="31" t="n">
        <v>569</v>
      </c>
      <c r="H179" s="31" t="n">
        <v>2.59</v>
      </c>
      <c r="I179" s="31" t="n">
        <v>8396583</v>
      </c>
      <c r="J179" s="31" t="inlineStr">
        <is>
          <t>533148</t>
        </is>
      </c>
    </row>
    <row r="180">
      <c r="A180" s="31" t="inlineStr">
        <is>
          <t>AJAXENGG</t>
        </is>
      </c>
      <c r="B180" s="31" t="inlineStr">
        <is>
          <t>Ajax Engineering Ltd</t>
        </is>
      </c>
      <c r="C180" s="31" t="inlineStr">
        <is>
          <t>industrials</t>
        </is>
      </c>
      <c r="D180" s="31" t="inlineStr">
        <is>
          <t>engineering</t>
        </is>
      </c>
      <c r="E180" s="31" t="inlineStr">
        <is>
          <t>midcap</t>
        </is>
      </c>
      <c r="F180" s="31" t="n">
        <v>6637.31</v>
      </c>
      <c r="G180" s="31" t="n">
        <v>595.05</v>
      </c>
      <c r="H180" s="31" t="n">
        <v>2.57</v>
      </c>
      <c r="I180" s="31" t="n">
        <v>49060</v>
      </c>
      <c r="J180" s="31" t="inlineStr">
        <is>
          <t>544356</t>
        </is>
      </c>
    </row>
    <row r="181">
      <c r="A181" s="31" t="inlineStr">
        <is>
          <t>TITAN</t>
        </is>
      </c>
      <c r="B181" s="31" t="inlineStr">
        <is>
          <t>Titan Company Limited</t>
        </is>
      </c>
      <c r="C181" s="31" t="inlineStr">
        <is>
          <t>consumer discretionary</t>
        </is>
      </c>
      <c r="D181" s="31" t="inlineStr">
        <is>
          <t>diamond cutting / jewellery</t>
        </is>
      </c>
      <c r="E181" s="31" t="inlineStr">
        <is>
          <t>largecap</t>
        </is>
      </c>
      <c r="F181" s="31" t="n">
        <v>432813.51</v>
      </c>
      <c r="G181" s="31" t="n">
        <v>5000</v>
      </c>
      <c r="H181" s="31" t="n">
        <v>2.56</v>
      </c>
      <c r="I181" s="31" t="n">
        <v>1442659</v>
      </c>
      <c r="J181" s="31" t="inlineStr">
        <is>
          <t>500114</t>
        </is>
      </c>
    </row>
    <row r="182">
      <c r="A182" s="31" t="inlineStr">
        <is>
          <t>ANTHEM</t>
        </is>
      </c>
      <c r="B182" s="31" t="inlineStr">
        <is>
          <t>Anthem Biosciences Ltd</t>
        </is>
      </c>
      <c r="C182" s="31" t="inlineStr">
        <is>
          <t>healthcare</t>
        </is>
      </c>
      <c r="D182" s="31" t="inlineStr">
        <is>
          <t>pharmaceuticals - indian - bulk drugs &amp; formln</t>
        </is>
      </c>
      <c r="E182" s="31" t="inlineStr">
        <is>
          <t>largecap</t>
        </is>
      </c>
      <c r="F182" s="31" t="n">
        <v>45589.09</v>
      </c>
      <c r="G182" s="31" t="n">
        <v>829.85</v>
      </c>
      <c r="H182" s="31" t="n">
        <v>2.55</v>
      </c>
      <c r="I182" s="31" t="n">
        <v>960097</v>
      </c>
      <c r="J182" s="31" t="inlineStr">
        <is>
          <t>544449</t>
        </is>
      </c>
    </row>
    <row r="183">
      <c r="A183" s="31" t="inlineStr">
        <is>
          <t>KANORICHEM</t>
        </is>
      </c>
      <c r="B183" s="31" t="inlineStr">
        <is>
          <t>Kanoria Chemicals &amp; Industries Limited</t>
        </is>
      </c>
      <c r="C183" s="31" t="inlineStr">
        <is>
          <t>chemicals</t>
        </is>
      </c>
      <c r="D183" s="31" t="inlineStr">
        <is>
          <t>chemicals</t>
        </is>
      </c>
      <c r="E183" s="31" t="inlineStr">
        <is>
          <t>smallcap</t>
        </is>
      </c>
      <c r="F183" s="31" t="n">
        <v>622.11</v>
      </c>
      <c r="G183" s="31" t="n">
        <v>145.95</v>
      </c>
      <c r="H183" s="31" t="n">
        <v>2.51</v>
      </c>
      <c r="I183" s="31" t="n">
        <v>14019</v>
      </c>
      <c r="J183" s="31" t="inlineStr">
        <is>
          <t>506525</t>
        </is>
      </c>
    </row>
    <row r="184">
      <c r="A184" s="31" t="inlineStr">
        <is>
          <t>UNOMINDA</t>
        </is>
      </c>
      <c r="B184" s="31" t="inlineStr">
        <is>
          <t>Uno Minda Ltd</t>
        </is>
      </c>
      <c r="C184" s="31" t="inlineStr">
        <is>
          <t>auto</t>
        </is>
      </c>
      <c r="D184" s="31" t="inlineStr">
        <is>
          <t>auto ancillaries</t>
        </is>
      </c>
      <c r="E184" s="31" t="inlineStr">
        <is>
          <t>largecap</t>
        </is>
      </c>
      <c r="F184" s="31" t="n">
        <v>68170</v>
      </c>
      <c r="G184" s="31" t="n">
        <v>1210</v>
      </c>
      <c r="H184" s="31" t="n">
        <v>2.5</v>
      </c>
      <c r="I184" s="31" t="n">
        <v>2418994</v>
      </c>
      <c r="J184" s="31" t="inlineStr">
        <is>
          <t>532539</t>
        </is>
      </c>
    </row>
    <row r="185">
      <c r="A185" s="31" t="inlineStr">
        <is>
          <t>VRLLOG</t>
        </is>
      </c>
      <c r="B185" s="31" t="inlineStr">
        <is>
          <t>Vrl Logistics Limited</t>
        </is>
      </c>
      <c r="C185" s="31" t="inlineStr">
        <is>
          <t>transportation</t>
        </is>
      </c>
      <c r="D185" s="31" t="inlineStr">
        <is>
          <t>miscellaneous</t>
        </is>
      </c>
      <c r="E185" s="31" t="inlineStr">
        <is>
          <t>smallcap</t>
        </is>
      </c>
      <c r="F185" s="31" t="n">
        <v>4647.2</v>
      </c>
      <c r="G185" s="31" t="n">
        <v>272.1</v>
      </c>
      <c r="H185" s="31" t="n">
        <v>2.43</v>
      </c>
      <c r="I185" s="31" t="n">
        <v>842050</v>
      </c>
      <c r="J185" s="31" t="inlineStr">
        <is>
          <t>539118</t>
        </is>
      </c>
    </row>
    <row r="186">
      <c r="A186" s="31" t="inlineStr">
        <is>
          <t>MRPL</t>
        </is>
      </c>
      <c r="B186" s="31" t="inlineStr">
        <is>
          <t>Mangalore Refinery And Petrochemicals Limited</t>
        </is>
      </c>
      <c r="C186" s="31" t="inlineStr">
        <is>
          <t>energy</t>
        </is>
      </c>
      <c r="D186" s="31" t="inlineStr">
        <is>
          <t>refineries</t>
        </is>
      </c>
      <c r="E186" s="31" t="inlineStr">
        <is>
          <t>largecap</t>
        </is>
      </c>
      <c r="F186" s="31" t="n">
        <v>29783.66</v>
      </c>
      <c r="G186" s="31" t="n">
        <v>174.06</v>
      </c>
      <c r="H186" s="31" t="n">
        <v>2.42</v>
      </c>
      <c r="I186" s="31" t="n">
        <v>8771868</v>
      </c>
      <c r="J186" s="31" t="inlineStr">
        <is>
          <t>500109</t>
        </is>
      </c>
    </row>
    <row r="187">
      <c r="A187" s="31" t="inlineStr">
        <is>
          <t>SSWL</t>
        </is>
      </c>
      <c r="B187" s="31" t="inlineStr">
        <is>
          <t>Steel Strips Wheels Limited</t>
        </is>
      </c>
      <c r="C187" s="31" t="inlineStr">
        <is>
          <t>auto</t>
        </is>
      </c>
      <c r="D187" s="31" t="inlineStr">
        <is>
          <t>auto ancillaries</t>
        </is>
      </c>
      <c r="E187" s="31" t="inlineStr">
        <is>
          <t>smallcap</t>
        </is>
      </c>
      <c r="F187" s="31" t="n">
        <v>4878.25</v>
      </c>
      <c r="G187" s="31" t="n">
        <v>317.85</v>
      </c>
      <c r="H187" s="31" t="n">
        <v>2.41</v>
      </c>
      <c r="I187" s="31" t="n">
        <v>1702280</v>
      </c>
      <c r="J187" s="31" t="inlineStr">
        <is>
          <t>513262</t>
        </is>
      </c>
    </row>
    <row r="188">
      <c r="A188" s="31" t="inlineStr">
        <is>
          <t>GEECEE</t>
        </is>
      </c>
      <c r="B188" s="31" t="inlineStr">
        <is>
          <t>Geecee Ventures Limited</t>
        </is>
      </c>
      <c r="C188" s="31" t="inlineStr">
        <is>
          <t>financials</t>
        </is>
      </c>
      <c r="D188" s="31" t="inlineStr">
        <is>
          <t>finance &amp; investments</t>
        </is>
      </c>
      <c r="E188" s="31" t="inlineStr">
        <is>
          <t>smallcap</t>
        </is>
      </c>
      <c r="F188" s="31" t="n">
        <v>736.2</v>
      </c>
      <c r="G188" s="31" t="n">
        <v>360.5</v>
      </c>
      <c r="H188" s="31" t="n">
        <v>2.4</v>
      </c>
      <c r="I188" s="31" t="n">
        <v>5161</v>
      </c>
      <c r="J188" s="31" t="inlineStr">
        <is>
          <t>532764</t>
        </is>
      </c>
    </row>
    <row r="189">
      <c r="A189" s="31" t="inlineStr">
        <is>
          <t>METROPOLIS</t>
        </is>
      </c>
      <c r="B189" s="31" t="inlineStr">
        <is>
          <t>Metropolis Healthcare Ltd</t>
        </is>
      </c>
      <c r="C189" s="31" t="inlineStr">
        <is>
          <t>healthcare</t>
        </is>
      </c>
      <c r="D189" s="31" t="inlineStr">
        <is>
          <t>healthcare</t>
        </is>
      </c>
      <c r="E189" s="31" t="inlineStr">
        <is>
          <t>midcap</t>
        </is>
      </c>
      <c r="F189" s="31" t="n">
        <v>12076.05</v>
      </c>
      <c r="G189" s="31" t="n">
        <v>596.45</v>
      </c>
      <c r="H189" s="31" t="n">
        <v>2.4</v>
      </c>
      <c r="I189" s="31" t="n">
        <v>184833</v>
      </c>
      <c r="J189" s="31" t="inlineStr">
        <is>
          <t>542650</t>
        </is>
      </c>
    </row>
    <row r="190">
      <c r="A190" s="31" t="inlineStr">
        <is>
          <t>ARE&amp;M</t>
        </is>
      </c>
      <c r="B190" s="31" t="inlineStr">
        <is>
          <t>Amara Raja Energy &amp; Mobility Ltd</t>
        </is>
      </c>
      <c r="C190" s="31" t="inlineStr">
        <is>
          <t>auto</t>
        </is>
      </c>
      <c r="D190" s="31" t="inlineStr">
        <is>
          <t>auto ancillaries</t>
        </is>
      </c>
      <c r="E190" s="31" t="inlineStr">
        <is>
          <t>midcap</t>
        </is>
      </c>
      <c r="F190" s="31" t="n">
        <v>16663.54</v>
      </c>
      <c r="G190" s="31" t="n">
        <v>932.3</v>
      </c>
      <c r="H190" s="31" t="n">
        <v>2.4</v>
      </c>
      <c r="I190" s="31" t="n">
        <v>1710264</v>
      </c>
      <c r="J190" s="31" t="inlineStr">
        <is>
          <t>500008</t>
        </is>
      </c>
    </row>
    <row r="191">
      <c r="A191" s="31" t="inlineStr">
        <is>
          <t>NAHARPOLY</t>
        </is>
      </c>
      <c r="B191" s="31" t="inlineStr">
        <is>
          <t>Nahar Poly Films Limited</t>
        </is>
      </c>
      <c r="C191" s="31" t="inlineStr">
        <is>
          <t>industrials</t>
        </is>
      </c>
      <c r="D191" s="31" t="inlineStr">
        <is>
          <t>packaging</t>
        </is>
      </c>
      <c r="E191" s="31" t="inlineStr">
        <is>
          <t>smallcap</t>
        </is>
      </c>
      <c r="F191" s="31" t="n">
        <v>660.5599999999999</v>
      </c>
      <c r="G191" s="31" t="n">
        <v>275.05</v>
      </c>
      <c r="H191" s="31" t="n">
        <v>2.38</v>
      </c>
      <c r="I191" s="31" t="n">
        <v>28525</v>
      </c>
      <c r="J191" s="31" t="inlineStr">
        <is>
          <t>523391</t>
        </is>
      </c>
    </row>
    <row r="192">
      <c r="A192" s="31" t="inlineStr">
        <is>
          <t>THYROCARE</t>
        </is>
      </c>
      <c r="B192" s="31" t="inlineStr">
        <is>
          <t>Thyrocare Technologies Limited</t>
        </is>
      </c>
      <c r="C192" s="31" t="inlineStr">
        <is>
          <t>healthcare</t>
        </is>
      </c>
      <c r="D192" s="31" t="inlineStr">
        <is>
          <t>healthcare</t>
        </is>
      </c>
      <c r="E192" s="31" t="inlineStr">
        <is>
          <t>midcap</t>
        </is>
      </c>
      <c r="F192" s="31" t="n">
        <v>9215.67</v>
      </c>
      <c r="G192" s="31" t="n">
        <v>592.55</v>
      </c>
      <c r="H192" s="31" t="n">
        <v>2.34</v>
      </c>
      <c r="I192" s="31" t="n">
        <v>642124</v>
      </c>
      <c r="J192" s="31" t="inlineStr">
        <is>
          <t>539871</t>
        </is>
      </c>
    </row>
    <row r="193">
      <c r="A193" s="31" t="inlineStr">
        <is>
          <t>UNIPARTS</t>
        </is>
      </c>
      <c r="B193" s="31" t="inlineStr">
        <is>
          <t>Uniparts India Ltd</t>
        </is>
      </c>
      <c r="C193" s="31" t="inlineStr">
        <is>
          <t>industrials</t>
        </is>
      </c>
      <c r="D193" s="31" t="inlineStr">
        <is>
          <t>engineering</t>
        </is>
      </c>
      <c r="E193" s="31" t="inlineStr">
        <is>
          <t>smallcap</t>
        </is>
      </c>
      <c r="F193" s="31" t="n">
        <v>3286.42</v>
      </c>
      <c r="G193" s="31" t="n">
        <v>745</v>
      </c>
      <c r="H193" s="31" t="n">
        <v>2.34</v>
      </c>
      <c r="I193" s="31" t="n">
        <v>134584</v>
      </c>
      <c r="J193" s="31" t="inlineStr">
        <is>
          <t>543689</t>
        </is>
      </c>
    </row>
    <row r="194">
      <c r="A194" s="31" t="inlineStr">
        <is>
          <t>HONASA</t>
        </is>
      </c>
      <c r="B194" s="31" t="inlineStr">
        <is>
          <t>Honasa Consumer Ltd</t>
        </is>
      </c>
      <c r="C194" s="31" t="inlineStr">
        <is>
          <t>services</t>
        </is>
      </c>
      <c r="D194" s="31" t="inlineStr">
        <is>
          <t>trading</t>
        </is>
      </c>
      <c r="E194" s="31" t="inlineStr">
        <is>
          <t>midcap</t>
        </is>
      </c>
      <c r="F194" s="31" t="n">
        <v>14656.42</v>
      </c>
      <c r="G194" s="31" t="n">
        <v>460</v>
      </c>
      <c r="H194" s="31" t="n">
        <v>2.32</v>
      </c>
      <c r="I194" s="31" t="n">
        <v>725342</v>
      </c>
      <c r="J194" s="31" t="inlineStr">
        <is>
          <t>544014</t>
        </is>
      </c>
    </row>
    <row r="195">
      <c r="A195" s="31" t="inlineStr">
        <is>
          <t>ASIANPAINT</t>
        </is>
      </c>
      <c r="B195" s="31" t="inlineStr">
        <is>
          <t>Asian Paints Limited</t>
        </is>
      </c>
      <c r="C195" s="31" t="inlineStr">
        <is>
          <t>building materials</t>
        </is>
      </c>
      <c r="D195" s="31" t="inlineStr">
        <is>
          <t>paints / varnishes</t>
        </is>
      </c>
      <c r="E195" s="31" t="inlineStr">
        <is>
          <t>largecap</t>
        </is>
      </c>
      <c r="F195" s="31" t="n">
        <v>263520.41</v>
      </c>
      <c r="G195" s="31" t="n">
        <v>2810</v>
      </c>
      <c r="H195" s="31" t="n">
        <v>2.28</v>
      </c>
      <c r="I195" s="31" t="n">
        <v>3007125</v>
      </c>
      <c r="J195" s="31" t="inlineStr">
        <is>
          <t>500820</t>
        </is>
      </c>
    </row>
    <row r="196">
      <c r="A196" s="31" t="inlineStr">
        <is>
          <t>DEEDEV</t>
        </is>
      </c>
      <c r="B196" s="31" t="inlineStr">
        <is>
          <t>DEE Development Engineers Ltd</t>
        </is>
      </c>
      <c r="C196" s="31" t="inlineStr">
        <is>
          <t>metals &amp; mining</t>
        </is>
      </c>
      <c r="D196" s="31" t="inlineStr">
        <is>
          <t>steel - medium / small</t>
        </is>
      </c>
      <c r="E196" s="31" t="inlineStr">
        <is>
          <t>midcap</t>
        </is>
      </c>
      <c r="F196" s="31" t="n">
        <v>5105.37</v>
      </c>
      <c r="G196" s="31" t="n">
        <v>694</v>
      </c>
      <c r="H196" s="31" t="n">
        <v>2.28</v>
      </c>
      <c r="I196" s="31" t="n">
        <v>56180</v>
      </c>
      <c r="J196" s="31" t="n"/>
    </row>
    <row r="197">
      <c r="A197" s="31" t="inlineStr">
        <is>
          <t>STYLAMIND</t>
        </is>
      </c>
      <c r="B197" s="31" t="inlineStr">
        <is>
          <t>Stylam Industries Ltd</t>
        </is>
      </c>
      <c r="C197" s="31" t="inlineStr">
        <is>
          <t>building materials</t>
        </is>
      </c>
      <c r="D197" s="31" t="inlineStr">
        <is>
          <t>miscellaneous</t>
        </is>
      </c>
      <c r="E197" s="31" t="inlineStr">
        <is>
          <t>midcap</t>
        </is>
      </c>
      <c r="F197" s="31" t="n">
        <v>5735.73</v>
      </c>
      <c r="G197" s="31" t="n">
        <v>3461</v>
      </c>
      <c r="H197" s="31" t="n">
        <v>2.27</v>
      </c>
      <c r="I197" s="31" t="n">
        <v>30619</v>
      </c>
      <c r="J197" s="31" t="inlineStr">
        <is>
          <t>526951</t>
        </is>
      </c>
    </row>
    <row r="198">
      <c r="A198" s="31" t="inlineStr">
        <is>
          <t>HNDFDS</t>
        </is>
      </c>
      <c r="B198" s="31" t="inlineStr">
        <is>
          <t>Hindustan Foods Ltd</t>
        </is>
      </c>
      <c r="C198" s="31" t="inlineStr">
        <is>
          <t>fmcg</t>
        </is>
      </c>
      <c r="D198" s="31" t="inlineStr">
        <is>
          <t>diversified - large</t>
        </is>
      </c>
      <c r="E198" s="31" t="inlineStr">
        <is>
          <t>midcap</t>
        </is>
      </c>
      <c r="F198" s="31" t="n">
        <v>6962.61</v>
      </c>
      <c r="G198" s="31" t="n">
        <v>587.55</v>
      </c>
      <c r="H198" s="31" t="n">
        <v>2.24</v>
      </c>
      <c r="I198" s="31" t="n">
        <v>104737</v>
      </c>
      <c r="J198" s="31" t="inlineStr">
        <is>
          <t>519126</t>
        </is>
      </c>
    </row>
    <row r="199">
      <c r="A199" s="31" t="inlineStr">
        <is>
          <t>PICCADIL</t>
        </is>
      </c>
      <c r="B199" s="31" t="inlineStr">
        <is>
          <t>Piccadily Agro Industries Ltd</t>
        </is>
      </c>
      <c r="C199" s="31" t="inlineStr">
        <is>
          <t>fmcg</t>
        </is>
      </c>
      <c r="D199" s="31" t="inlineStr">
        <is>
          <t>breweries &amp; distilleries</t>
        </is>
      </c>
      <c r="E199" s="31" t="inlineStr">
        <is>
          <t>midcap</t>
        </is>
      </c>
      <c r="F199" s="31" t="n">
        <v>7233.72</v>
      </c>
      <c r="G199" s="31" t="n">
        <v>750</v>
      </c>
      <c r="H199" s="31" t="n">
        <v>2.2</v>
      </c>
      <c r="I199" s="31" t="n">
        <v>299304</v>
      </c>
      <c r="J199" s="31" t="inlineStr">
        <is>
          <t>530305</t>
        </is>
      </c>
    </row>
    <row r="200">
      <c r="A200" s="31" t="inlineStr">
        <is>
          <t>LT</t>
        </is>
      </c>
      <c r="B200" s="31" t="inlineStr">
        <is>
          <t>Larsen &amp; Toubro Limited</t>
        </is>
      </c>
      <c r="C200" s="31" t="inlineStr">
        <is>
          <t>realty</t>
        </is>
      </c>
      <c r="D200" s="31" t="inlineStr">
        <is>
          <t>engineering - turnkey services</t>
        </is>
      </c>
      <c r="E200" s="31" t="inlineStr">
        <is>
          <t>largecap</t>
        </is>
      </c>
      <c r="F200" s="31" t="n">
        <v>541885.97</v>
      </c>
      <c r="G200" s="31" t="n">
        <v>4025</v>
      </c>
      <c r="H200" s="31" t="n">
        <v>2.19</v>
      </c>
      <c r="I200" s="31" t="n">
        <v>5512775</v>
      </c>
      <c r="J200" s="31" t="inlineStr">
        <is>
          <t>500510</t>
        </is>
      </c>
    </row>
    <row r="201">
      <c r="A201" s="31" t="inlineStr">
        <is>
          <t>LTF</t>
        </is>
      </c>
      <c r="B201" s="31" t="inlineStr">
        <is>
          <t>L&amp;T Finance Ltd</t>
        </is>
      </c>
      <c r="C201" s="31" t="inlineStr">
        <is>
          <t>financials</t>
        </is>
      </c>
      <c r="D201" s="31" t="inlineStr">
        <is>
          <t>finance &amp; investments</t>
        </is>
      </c>
      <c r="E201" s="31" t="inlineStr">
        <is>
          <t>largecap</t>
        </is>
      </c>
      <c r="F201" s="31" t="n">
        <v>77983.88</v>
      </c>
      <c r="G201" s="31" t="n">
        <v>318</v>
      </c>
      <c r="H201" s="31" t="n">
        <v>2.17</v>
      </c>
      <c r="I201" s="31" t="n">
        <v>26464958</v>
      </c>
      <c r="J201" s="31" t="inlineStr">
        <is>
          <t>533519</t>
        </is>
      </c>
    </row>
    <row r="202">
      <c r="A202" s="31" t="inlineStr">
        <is>
          <t>BELRISE</t>
        </is>
      </c>
      <c r="B202" s="31" t="inlineStr">
        <is>
          <t>Belrise Industries Ltd</t>
        </is>
      </c>
      <c r="C202" s="31" t="inlineStr">
        <is>
          <t>auto</t>
        </is>
      </c>
      <c r="D202" s="31" t="inlineStr">
        <is>
          <t>auto ancillaries</t>
        </is>
      </c>
      <c r="E202" s="31" t="inlineStr">
        <is>
          <t>largecap</t>
        </is>
      </c>
      <c r="F202" s="31" t="n">
        <v>22895.39</v>
      </c>
      <c r="G202" s="31" t="n">
        <v>241.86</v>
      </c>
      <c r="H202" s="31" t="n">
        <v>2.17</v>
      </c>
      <c r="I202" s="31" t="n">
        <v>5748763</v>
      </c>
      <c r="J202" s="31" t="n"/>
    </row>
    <row r="203">
      <c r="A203" s="31" t="inlineStr">
        <is>
          <t>TATATECH</t>
        </is>
      </c>
      <c r="B203" s="31" t="inlineStr">
        <is>
          <t>Tata Technologies Ltd</t>
        </is>
      </c>
      <c r="C203" s="31" t="inlineStr">
        <is>
          <t>i.t</t>
        </is>
      </c>
      <c r="D203" s="31" t="inlineStr">
        <is>
          <t>computers - software - medium / small</t>
        </is>
      </c>
      <c r="E203" s="31" t="inlineStr">
        <is>
          <t>largecap</t>
        </is>
      </c>
      <c r="F203" s="31" t="n">
        <v>30358.47</v>
      </c>
      <c r="G203" s="31" t="n">
        <v>763.8</v>
      </c>
      <c r="H203" s="31" t="n">
        <v>2.16</v>
      </c>
      <c r="I203" s="31" t="n">
        <v>814680</v>
      </c>
      <c r="J203" s="31" t="inlineStr">
        <is>
          <t>544028</t>
        </is>
      </c>
    </row>
    <row r="204">
      <c r="A204" s="31" t="inlineStr">
        <is>
          <t>PYRAMID</t>
        </is>
      </c>
      <c r="B204" s="31" t="inlineStr">
        <is>
          <t>Pyramid Technoplast Ltd</t>
        </is>
      </c>
      <c r="C204" s="31" t="inlineStr">
        <is>
          <t>industrials</t>
        </is>
      </c>
      <c r="D204" s="31" t="inlineStr">
        <is>
          <t>packaging</t>
        </is>
      </c>
      <c r="E204" s="31" t="inlineStr">
        <is>
          <t>smallcap</t>
        </is>
      </c>
      <c r="F204" s="31" t="n">
        <v>666.25</v>
      </c>
      <c r="G204" s="31" t="n">
        <v>184.97</v>
      </c>
      <c r="H204" s="31" t="n">
        <v>2.13</v>
      </c>
      <c r="I204" s="31" t="n">
        <v>58320</v>
      </c>
      <c r="J204" s="31" t="inlineStr">
        <is>
          <t>543969</t>
        </is>
      </c>
    </row>
    <row r="205">
      <c r="A205" s="31" t="inlineStr">
        <is>
          <t>ICIL</t>
        </is>
      </c>
      <c r="B205" s="31" t="inlineStr">
        <is>
          <t>Indo Count Industries Limited</t>
        </is>
      </c>
      <c r="C205" s="31" t="inlineStr">
        <is>
          <t>textiles</t>
        </is>
      </c>
      <c r="D205" s="31" t="inlineStr">
        <is>
          <t>textiles - cotton/blended</t>
        </is>
      </c>
      <c r="E205" s="31" t="inlineStr">
        <is>
          <t>midcap</t>
        </is>
      </c>
      <c r="F205" s="31" t="n">
        <v>7946.93</v>
      </c>
      <c r="G205" s="31" t="n">
        <v>409.7</v>
      </c>
      <c r="H205" s="31" t="n">
        <v>2.11</v>
      </c>
      <c r="I205" s="31" t="n">
        <v>487006</v>
      </c>
      <c r="J205" s="31" t="inlineStr">
        <is>
          <t>521016</t>
        </is>
      </c>
    </row>
    <row r="206">
      <c r="A206" s="31" t="inlineStr">
        <is>
          <t>HINDALCO</t>
        </is>
      </c>
      <c r="B206" s="31" t="inlineStr">
        <is>
          <t>Hindalco Industries Limited</t>
        </is>
      </c>
      <c r="C206" s="31" t="inlineStr">
        <is>
          <t>metals &amp; mining</t>
        </is>
      </c>
      <c r="D206" s="31" t="inlineStr">
        <is>
          <t>aluminium and aluminium products</t>
        </is>
      </c>
      <c r="E206" s="31" t="inlineStr">
        <is>
          <t>largecap</t>
        </is>
      </c>
      <c r="F206" s="31" t="n">
        <v>218980.99</v>
      </c>
      <c r="G206" s="31" t="n">
        <v>994.9</v>
      </c>
      <c r="H206" s="31" t="n">
        <v>2.1</v>
      </c>
      <c r="I206" s="31" t="n">
        <v>16572203</v>
      </c>
      <c r="J206" s="31" t="inlineStr">
        <is>
          <t>500440</t>
        </is>
      </c>
    </row>
    <row r="207">
      <c r="A207" s="31" t="inlineStr">
        <is>
          <t>BHARTIHEXA</t>
        </is>
      </c>
      <c r="B207" s="31" t="inlineStr">
        <is>
          <t>Bharti Hexacom Ltd</t>
        </is>
      </c>
      <c r="C207" s="31" t="inlineStr">
        <is>
          <t>telecom-service</t>
        </is>
      </c>
      <c r="D207" s="31" t="inlineStr">
        <is>
          <t>telecommunications - service provider</t>
        </is>
      </c>
      <c r="E207" s="31" t="inlineStr">
        <is>
          <t>largecap</t>
        </is>
      </c>
      <c r="F207" s="31" t="n">
        <v>80375</v>
      </c>
      <c r="G207" s="31" t="n">
        <v>1641</v>
      </c>
      <c r="H207" s="31" t="n">
        <v>2.08</v>
      </c>
      <c r="I207" s="31" t="n">
        <v>68641</v>
      </c>
      <c r="J207" s="31" t="inlineStr">
        <is>
          <t>544162</t>
        </is>
      </c>
    </row>
    <row r="208">
      <c r="A208" s="31" t="inlineStr">
        <is>
          <t>CHOLAFIN</t>
        </is>
      </c>
      <c r="B208" s="31" t="inlineStr">
        <is>
          <t>Cholamandalam Investment And Finance Company Limited</t>
        </is>
      </c>
      <c r="C208" s="31" t="inlineStr">
        <is>
          <t>financials</t>
        </is>
      </c>
      <c r="D208" s="31" t="inlineStr">
        <is>
          <t>finance &amp; investments</t>
        </is>
      </c>
      <c r="E208" s="31" t="inlineStr">
        <is>
          <t>largecap</t>
        </is>
      </c>
      <c r="F208" s="31" t="n">
        <v>157720</v>
      </c>
      <c r="G208" s="31" t="n">
        <v>1888.2</v>
      </c>
      <c r="H208" s="31" t="n">
        <v>2.07</v>
      </c>
      <c r="I208" s="31" t="n">
        <v>6750207</v>
      </c>
      <c r="J208" s="31" t="inlineStr">
        <is>
          <t>511243</t>
        </is>
      </c>
    </row>
    <row r="209">
      <c r="A209" s="31" t="inlineStr">
        <is>
          <t>RBZJEWEL</t>
        </is>
      </c>
      <c r="B209" s="31" t="inlineStr">
        <is>
          <t>RBZ Jewellers Ltd</t>
        </is>
      </c>
      <c r="C209" s="31" t="inlineStr">
        <is>
          <t>consumer discretionary</t>
        </is>
      </c>
      <c r="D209" s="31" t="inlineStr">
        <is>
          <t>diamond cutting / jewellery</t>
        </is>
      </c>
      <c r="E209" s="31" t="inlineStr">
        <is>
          <t>smallcap</t>
        </is>
      </c>
      <c r="F209" s="31" t="n">
        <v>595.92</v>
      </c>
      <c r="G209" s="31" t="n">
        <v>152</v>
      </c>
      <c r="H209" s="31" t="n">
        <v>2.03</v>
      </c>
      <c r="I209" s="31" t="n">
        <v>102323</v>
      </c>
      <c r="J209" s="31" t="inlineStr">
        <is>
          <t>544060</t>
        </is>
      </c>
    </row>
    <row r="210">
      <c r="A210" s="31" t="inlineStr">
        <is>
          <t>SONACOMS</t>
        </is>
      </c>
      <c r="B210" s="31" t="inlineStr">
        <is>
          <t>Sona BLW Precision Forgings Ltd</t>
        </is>
      </c>
      <c r="C210" s="31" t="inlineStr">
        <is>
          <t>auto</t>
        </is>
      </c>
      <c r="D210" s="31" t="inlineStr">
        <is>
          <t>auto ancillaries</t>
        </is>
      </c>
      <c r="E210" s="31" t="inlineStr">
        <is>
          <t>largecap</t>
        </is>
      </c>
      <c r="F210" s="31" t="n">
        <v>47859.36</v>
      </c>
      <c r="G210" s="31" t="n">
        <v>785</v>
      </c>
      <c r="H210" s="31" t="n">
        <v>2.03</v>
      </c>
      <c r="I210" s="31" t="n">
        <v>7488346</v>
      </c>
      <c r="J210" s="31" t="inlineStr">
        <is>
          <t>543300</t>
        </is>
      </c>
    </row>
    <row r="211">
      <c r="A211" s="31" t="inlineStr">
        <is>
          <t>LLOYDSENT</t>
        </is>
      </c>
      <c r="B211" s="31" t="inlineStr">
        <is>
          <t>Lloyds Enterprises Ltd</t>
        </is>
      </c>
      <c r="C211" s="31" t="inlineStr">
        <is>
          <t>services</t>
        </is>
      </c>
      <c r="D211" s="31" t="inlineStr">
        <is>
          <t>trading</t>
        </is>
      </c>
      <c r="E211" s="31" t="inlineStr">
        <is>
          <t>midcap</t>
        </is>
      </c>
      <c r="F211" s="31" t="n">
        <v>12206.31</v>
      </c>
      <c r="G211" s="31" t="n">
        <v>81.56999999999999</v>
      </c>
      <c r="H211" s="31" t="n">
        <v>2.01</v>
      </c>
      <c r="I211" s="31" t="n">
        <v>3960227</v>
      </c>
      <c r="J211" s="31" t="inlineStr">
        <is>
          <t>512463</t>
        </is>
      </c>
    </row>
    <row r="212">
      <c r="A212" s="31" t="inlineStr">
        <is>
          <t>COSMOFIRST</t>
        </is>
      </c>
      <c r="B212" s="31" t="inlineStr">
        <is>
          <t>Cosmo First Ltd</t>
        </is>
      </c>
      <c r="C212" s="31" t="inlineStr">
        <is>
          <t>industrials</t>
        </is>
      </c>
      <c r="D212" s="31" t="inlineStr">
        <is>
          <t>packaging</t>
        </is>
      </c>
      <c r="E212" s="31" t="inlineStr">
        <is>
          <t>smallcap</t>
        </is>
      </c>
      <c r="F212" s="31" t="n">
        <v>2342.26</v>
      </c>
      <c r="G212" s="31" t="n">
        <v>910.05</v>
      </c>
      <c r="H212" s="31" t="n">
        <v>1.99</v>
      </c>
      <c r="I212" s="31" t="n">
        <v>102857</v>
      </c>
      <c r="J212" s="31" t="inlineStr">
        <is>
          <t>508814</t>
        </is>
      </c>
    </row>
    <row r="213">
      <c r="A213" s="31" t="inlineStr">
        <is>
          <t>KIMS</t>
        </is>
      </c>
      <c r="B213" s="31" t="inlineStr">
        <is>
          <t>Krishna Institute of Medical Sciences Ltd</t>
        </is>
      </c>
      <c r="C213" s="31" t="inlineStr">
        <is>
          <t>healthcare</t>
        </is>
      </c>
      <c r="D213" s="31" t="inlineStr">
        <is>
          <t>healthcare</t>
        </is>
      </c>
      <c r="E213" s="31" t="inlineStr">
        <is>
          <t>largecap</t>
        </is>
      </c>
      <c r="F213" s="31" t="n">
        <v>33797.92</v>
      </c>
      <c r="G213" s="31" t="n">
        <v>820.6</v>
      </c>
      <c r="H213" s="31" t="n">
        <v>1.98</v>
      </c>
      <c r="I213" s="31" t="n">
        <v>818924</v>
      </c>
      <c r="J213" s="31" t="inlineStr">
        <is>
          <t>543307</t>
        </is>
      </c>
    </row>
    <row r="214">
      <c r="A214" s="31" t="inlineStr">
        <is>
          <t>VADILALIND</t>
        </is>
      </c>
      <c r="B214" s="31" t="inlineStr">
        <is>
          <t>Vadilal Industries Limited</t>
        </is>
      </c>
      <c r="C214" s="31" t="inlineStr">
        <is>
          <t>fmcg</t>
        </is>
      </c>
      <c r="D214" s="31" t="inlineStr">
        <is>
          <t>food - processing - indian</t>
        </is>
      </c>
      <c r="E214" s="31" t="inlineStr">
        <is>
          <t>midcap</t>
        </is>
      </c>
      <c r="F214" s="31" t="n">
        <v>5185.66</v>
      </c>
      <c r="G214" s="31" t="n">
        <v>7356.5</v>
      </c>
      <c r="H214" s="31" t="n">
        <v>1.97</v>
      </c>
      <c r="I214" s="31" t="n">
        <v>24838</v>
      </c>
      <c r="J214" s="31" t="inlineStr">
        <is>
          <t>519156</t>
        </is>
      </c>
    </row>
    <row r="215">
      <c r="A215" s="31" t="inlineStr">
        <is>
          <t>INDSWFTLAB</t>
        </is>
      </c>
      <c r="B215" s="31" t="inlineStr">
        <is>
          <t>Ind-swift Laboratories Limited</t>
        </is>
      </c>
      <c r="C215" s="31" t="inlineStr">
        <is>
          <t>healthcare</t>
        </is>
      </c>
      <c r="D215" s="31" t="inlineStr">
        <is>
          <t>pharmaceuticals - indian - bulk drugs &amp; formln</t>
        </is>
      </c>
      <c r="E215" s="31" t="inlineStr">
        <is>
          <t>smallcap</t>
        </is>
      </c>
      <c r="F215" s="31" t="n">
        <v>1950.29</v>
      </c>
      <c r="G215" s="31" t="n">
        <v>228.63</v>
      </c>
      <c r="H215" s="31" t="n">
        <v>1.94</v>
      </c>
      <c r="I215" s="31" t="n">
        <v>195407</v>
      </c>
      <c r="J215" s="31" t="inlineStr">
        <is>
          <t>532305</t>
        </is>
      </c>
    </row>
    <row r="216">
      <c r="A216" s="31" t="inlineStr">
        <is>
          <t>PIDILITIND</t>
        </is>
      </c>
      <c r="B216" s="31" t="inlineStr">
        <is>
          <t>Pidilite Industries Limited</t>
        </is>
      </c>
      <c r="C216" s="31" t="inlineStr">
        <is>
          <t>chemicals</t>
        </is>
      </c>
      <c r="D216" s="31" t="inlineStr">
        <is>
          <t>chemicals</t>
        </is>
      </c>
      <c r="E216" s="31" t="inlineStr">
        <is>
          <t>largecap</t>
        </is>
      </c>
      <c r="F216" s="31" t="n">
        <v>164004.32</v>
      </c>
      <c r="G216" s="31" t="n">
        <v>1642.5</v>
      </c>
      <c r="H216" s="31" t="n">
        <v>1.93</v>
      </c>
      <c r="I216" s="31" t="n">
        <v>1895424</v>
      </c>
      <c r="J216" s="31" t="inlineStr">
        <is>
          <t>500331</t>
        </is>
      </c>
    </row>
    <row r="217">
      <c r="A217" s="31" t="inlineStr">
        <is>
          <t>UNIMECH</t>
        </is>
      </c>
      <c r="B217" s="31" t="inlineStr">
        <is>
          <t>Unimech Aerospace and Manufacturing Ltd</t>
        </is>
      </c>
      <c r="C217" s="31" t="inlineStr">
        <is>
          <t>aerospace &amp; defence</t>
        </is>
      </c>
      <c r="D217" s="31" t="inlineStr">
        <is>
          <t>engineering</t>
        </is>
      </c>
      <c r="E217" s="31" t="inlineStr">
        <is>
          <t>midcap</t>
        </is>
      </c>
      <c r="F217" s="31" t="n">
        <v>6285.4</v>
      </c>
      <c r="G217" s="31" t="n">
        <v>1259.8</v>
      </c>
      <c r="H217" s="31" t="n">
        <v>1.93</v>
      </c>
      <c r="I217" s="31" t="n">
        <v>152774</v>
      </c>
      <c r="J217" s="31" t="inlineStr">
        <is>
          <t>544322</t>
        </is>
      </c>
    </row>
    <row r="218">
      <c r="A218" s="31" t="inlineStr">
        <is>
          <t>SWANDEF</t>
        </is>
      </c>
      <c r="B218" s="31" t="inlineStr">
        <is>
          <t>Swan Defence and Heavy Industries Ltd</t>
        </is>
      </c>
      <c r="C218" s="31" t="inlineStr">
        <is>
          <t>transportation</t>
        </is>
      </c>
      <c r="D218" s="31" t="inlineStr">
        <is>
          <t>miscellaneous</t>
        </is>
      </c>
      <c r="E218" s="31" t="inlineStr">
        <is>
          <t>midcap</t>
        </is>
      </c>
      <c r="F218" s="31" t="n">
        <v>13031.98</v>
      </c>
      <c r="G218" s="31" t="n">
        <v>2521</v>
      </c>
      <c r="H218" s="31" t="n">
        <v>1.91</v>
      </c>
      <c r="I218" s="31" t="n">
        <v>23401</v>
      </c>
      <c r="J218" s="31" t="inlineStr">
        <is>
          <t>533107</t>
        </is>
      </c>
    </row>
    <row r="219">
      <c r="A219" s="31" t="inlineStr">
        <is>
          <t>UNIVPHOTO</t>
        </is>
      </c>
      <c r="B219" s="31" t="inlineStr">
        <is>
          <t>Universus Photo Imagings Ltd</t>
        </is>
      </c>
      <c r="C219" s="31" t="inlineStr">
        <is>
          <t>consumer discretionary</t>
        </is>
      </c>
      <c r="D219" s="31" t="inlineStr">
        <is>
          <t>photographic and allied products</t>
        </is>
      </c>
      <c r="E219" s="31" t="inlineStr">
        <is>
          <t>smallcap</t>
        </is>
      </c>
      <c r="F219" s="31" t="n">
        <v>519.96</v>
      </c>
      <c r="G219" s="31" t="n">
        <v>484</v>
      </c>
      <c r="H219" s="31" t="n">
        <v>1.89</v>
      </c>
      <c r="I219" s="31" t="n">
        <v>1308</v>
      </c>
      <c r="J219" s="31" t="inlineStr">
        <is>
          <t>542933</t>
        </is>
      </c>
    </row>
    <row r="220">
      <c r="A220" s="31" t="inlineStr">
        <is>
          <t>PPLPHARMA</t>
        </is>
      </c>
      <c r="B220" s="31" t="inlineStr">
        <is>
          <t>Piramal Pharma Ltd</t>
        </is>
      </c>
      <c r="C220" s="31" t="inlineStr">
        <is>
          <t>healthcare</t>
        </is>
      </c>
      <c r="D220" s="31" t="inlineStr">
        <is>
          <t>pharmaceuticals - indian - bulk drugs &amp; formln</t>
        </is>
      </c>
      <c r="E220" s="31" t="inlineStr">
        <is>
          <t>largecap</t>
        </is>
      </c>
      <c r="F220" s="31" t="n">
        <v>26042.5</v>
      </c>
      <c r="G220" s="31" t="n">
        <v>199.28</v>
      </c>
      <c r="H220" s="31" t="n">
        <v>1.88</v>
      </c>
      <c r="I220" s="31" t="n">
        <v>7051662</v>
      </c>
      <c r="J220" s="31" t="inlineStr">
        <is>
          <t>543635</t>
        </is>
      </c>
    </row>
    <row r="221">
      <c r="A221" s="31" t="inlineStr">
        <is>
          <t>PFIZER</t>
        </is>
      </c>
      <c r="B221" s="31" t="inlineStr">
        <is>
          <t>Pfizer Limited</t>
        </is>
      </c>
      <c r="C221" s="31" t="inlineStr">
        <is>
          <t>healthcare</t>
        </is>
      </c>
      <c r="D221" s="31" t="inlineStr">
        <is>
          <t>pharmaceuticals - multinational</t>
        </is>
      </c>
      <c r="E221" s="31" t="inlineStr">
        <is>
          <t>largecap</t>
        </is>
      </c>
      <c r="F221" s="31" t="n">
        <v>22068.25</v>
      </c>
      <c r="G221" s="31" t="n">
        <v>4914.6</v>
      </c>
      <c r="H221" s="31" t="n">
        <v>1.88</v>
      </c>
      <c r="I221" s="31" t="n">
        <v>44140</v>
      </c>
      <c r="J221" s="31" t="inlineStr">
        <is>
          <t>500680</t>
        </is>
      </c>
    </row>
    <row r="222">
      <c r="A222" s="31" t="inlineStr">
        <is>
          <t>SBCL</t>
        </is>
      </c>
      <c r="B222" s="31" t="inlineStr">
        <is>
          <t>Shivalik Bimetal Controls Ltd</t>
        </is>
      </c>
      <c r="C222" s="31" t="inlineStr">
        <is>
          <t>metals &amp; mining</t>
        </is>
      </c>
      <c r="D222" s="31" t="inlineStr">
        <is>
          <t>mining / minerals / metals</t>
        </is>
      </c>
      <c r="E222" s="31" t="inlineStr">
        <is>
          <t>smallcap</t>
        </is>
      </c>
      <c r="F222" s="31" t="n">
        <v>4317.15</v>
      </c>
      <c r="G222" s="31" t="n">
        <v>763.45</v>
      </c>
      <c r="H222" s="31" t="n">
        <v>1.87</v>
      </c>
      <c r="I222" s="31" t="n">
        <v>213225</v>
      </c>
      <c r="J222" s="31" t="inlineStr">
        <is>
          <t>513097</t>
        </is>
      </c>
    </row>
    <row r="223">
      <c r="A223" s="31" t="inlineStr">
        <is>
          <t>PGIL</t>
        </is>
      </c>
      <c r="B223" s="31" t="inlineStr">
        <is>
          <t>Pearl Global Industries Limited</t>
        </is>
      </c>
      <c r="C223" s="31" t="inlineStr">
        <is>
          <t>consumer discretionary</t>
        </is>
      </c>
      <c r="D223" s="31" t="inlineStr">
        <is>
          <t>textiles - products</t>
        </is>
      </c>
      <c r="E223" s="31" t="inlineStr">
        <is>
          <t>midcap</t>
        </is>
      </c>
      <c r="F223" s="31" t="n">
        <v>9536.1</v>
      </c>
      <c r="G223" s="31" t="n">
        <v>2103.4</v>
      </c>
      <c r="H223" s="31" t="n">
        <v>1.87</v>
      </c>
      <c r="I223" s="31" t="n">
        <v>70472</v>
      </c>
      <c r="J223" s="31" t="inlineStr">
        <is>
          <t>532808</t>
        </is>
      </c>
    </row>
    <row r="224">
      <c r="A224" s="31" t="inlineStr">
        <is>
          <t>KOTAKBANK</t>
        </is>
      </c>
      <c r="B224" s="31" t="inlineStr">
        <is>
          <t>Kotak Mahindra Bank Limited</t>
        </is>
      </c>
      <c r="C224" s="31" t="inlineStr">
        <is>
          <t>bank</t>
        </is>
      </c>
      <c r="D224" s="31" t="inlineStr">
        <is>
          <t>banks - private sector</t>
        </is>
      </c>
      <c r="E224" s="31" t="inlineStr">
        <is>
          <t>largecap</t>
        </is>
      </c>
      <c r="F224" s="31" t="n">
        <v>388220.06</v>
      </c>
      <c r="G224" s="31" t="n">
        <v>397.5</v>
      </c>
      <c r="H224" s="31" t="n">
        <v>1.84</v>
      </c>
      <c r="I224" s="31" t="n">
        <v>32331357</v>
      </c>
      <c r="J224" s="31" t="inlineStr">
        <is>
          <t>500247</t>
        </is>
      </c>
    </row>
    <row r="225">
      <c r="A225" s="31" t="inlineStr">
        <is>
          <t>CENTENKA</t>
        </is>
      </c>
      <c r="B225" s="31" t="inlineStr">
        <is>
          <t>Century Enka Limited</t>
        </is>
      </c>
      <c r="C225" s="31" t="inlineStr">
        <is>
          <t>textiles</t>
        </is>
      </c>
      <c r="D225" s="31" t="inlineStr">
        <is>
          <t>textiles - manmade</t>
        </is>
      </c>
      <c r="E225" s="31" t="inlineStr">
        <is>
          <t>smallcap</t>
        </is>
      </c>
      <c r="F225" s="31" t="n">
        <v>1333.87</v>
      </c>
      <c r="G225" s="31" t="n">
        <v>621.6</v>
      </c>
      <c r="H225" s="31" t="n">
        <v>1.83</v>
      </c>
      <c r="I225" s="31" t="n">
        <v>161418</v>
      </c>
      <c r="J225" s="31" t="inlineStr">
        <is>
          <t>500280</t>
        </is>
      </c>
    </row>
    <row r="226">
      <c r="A226" s="31" t="inlineStr">
        <is>
          <t>OBEROIRLTY</t>
        </is>
      </c>
      <c r="B226" s="31" t="inlineStr">
        <is>
          <t>Oberoi Realty Limited</t>
        </is>
      </c>
      <c r="C226" s="31" t="inlineStr">
        <is>
          <t>realty</t>
        </is>
      </c>
      <c r="D226" s="31" t="inlineStr">
        <is>
          <t>construction</t>
        </is>
      </c>
      <c r="E226" s="31" t="inlineStr">
        <is>
          <t>largecap</t>
        </is>
      </c>
      <c r="F226" s="31" t="n">
        <v>66455.58</v>
      </c>
      <c r="G226" s="31" t="n">
        <v>1861.1</v>
      </c>
      <c r="H226" s="31" t="n">
        <v>1.83</v>
      </c>
      <c r="I226" s="31" t="n">
        <v>508208</v>
      </c>
      <c r="J226" s="31" t="inlineStr">
        <is>
          <t>533273</t>
        </is>
      </c>
    </row>
    <row r="227">
      <c r="A227" s="31" t="inlineStr">
        <is>
          <t>INDHOTEL</t>
        </is>
      </c>
      <c r="B227" s="31" t="inlineStr">
        <is>
          <t>The Indian Hotels Company Limited</t>
        </is>
      </c>
      <c r="C227" s="31" t="inlineStr">
        <is>
          <t>services</t>
        </is>
      </c>
      <c r="D227" s="31" t="inlineStr">
        <is>
          <t>hotels</t>
        </is>
      </c>
      <c r="E227" s="31" t="inlineStr">
        <is>
          <t>largecap</t>
        </is>
      </c>
      <c r="F227" s="31" t="n">
        <v>105127.59</v>
      </c>
      <c r="G227" s="31" t="n">
        <v>752</v>
      </c>
      <c r="H227" s="31" t="n">
        <v>1.82</v>
      </c>
      <c r="I227" s="31" t="n">
        <v>5822772</v>
      </c>
      <c r="J227" s="31" t="inlineStr">
        <is>
          <t>500850</t>
        </is>
      </c>
    </row>
    <row r="228">
      <c r="A228" s="31" t="inlineStr">
        <is>
          <t>POONAWALLA</t>
        </is>
      </c>
      <c r="B228" s="31" t="inlineStr">
        <is>
          <t>Poonawalla Fincorp Ltd</t>
        </is>
      </c>
      <c r="C228" s="31" t="inlineStr">
        <is>
          <t>financials</t>
        </is>
      </c>
      <c r="D228" s="31" t="inlineStr">
        <is>
          <t>finance &amp; investments</t>
        </is>
      </c>
      <c r="E228" s="31" t="inlineStr">
        <is>
          <t>largecap</t>
        </is>
      </c>
      <c r="F228" s="31" t="n">
        <v>40815.52</v>
      </c>
      <c r="G228" s="31" t="n">
        <v>471.9</v>
      </c>
      <c r="H228" s="31" t="n">
        <v>1.8</v>
      </c>
      <c r="I228" s="31" t="n">
        <v>855278</v>
      </c>
      <c r="J228" s="31" t="inlineStr">
        <is>
          <t>524000</t>
        </is>
      </c>
    </row>
    <row r="229">
      <c r="A229" s="31" t="inlineStr">
        <is>
          <t>MANORAMA</t>
        </is>
      </c>
      <c r="B229" s="31" t="inlineStr">
        <is>
          <t>Manorama Industries Ltd</t>
        </is>
      </c>
      <c r="C229" s="31" t="inlineStr">
        <is>
          <t>fmcg</t>
        </is>
      </c>
      <c r="D229" s="31" t="inlineStr">
        <is>
          <t>food - processing - indian</t>
        </is>
      </c>
      <c r="E229" s="31" t="inlineStr">
        <is>
          <t>midcap</t>
        </is>
      </c>
      <c r="F229" s="31" t="n">
        <v>9580.23</v>
      </c>
      <c r="G229" s="31" t="n">
        <v>1633</v>
      </c>
      <c r="H229" s="31" t="n">
        <v>1.78</v>
      </c>
      <c r="I229" s="31" t="n">
        <v>67319</v>
      </c>
      <c r="J229" s="31" t="inlineStr">
        <is>
          <t>541974</t>
        </is>
      </c>
    </row>
    <row r="230">
      <c r="A230" s="31" t="inlineStr">
        <is>
          <t>MAHASTEEL</t>
        </is>
      </c>
      <c r="B230" s="31" t="inlineStr">
        <is>
          <t>Mahamaya Steel Industries Limited</t>
        </is>
      </c>
      <c r="C230" s="31" t="inlineStr">
        <is>
          <t>metals &amp; mining</t>
        </is>
      </c>
      <c r="D230" s="31" t="inlineStr">
        <is>
          <t>steel - medium / small</t>
        </is>
      </c>
      <c r="E230" s="31" t="inlineStr">
        <is>
          <t>smallcap</t>
        </is>
      </c>
      <c r="F230" s="31" t="n">
        <v>1645.49</v>
      </c>
      <c r="G230" s="31" t="n">
        <v>1018.9</v>
      </c>
      <c r="H230" s="31" t="n">
        <v>1.76</v>
      </c>
      <c r="I230" s="31" t="n">
        <v>29414</v>
      </c>
      <c r="J230" s="31" t="inlineStr">
        <is>
          <t>513554</t>
        </is>
      </c>
    </row>
    <row r="231">
      <c r="A231" s="31" t="inlineStr">
        <is>
          <t>TVSMOTOR</t>
        </is>
      </c>
      <c r="B231" s="31" t="inlineStr">
        <is>
          <t>Tvs Motor Company Limited</t>
        </is>
      </c>
      <c r="C231" s="31" t="inlineStr">
        <is>
          <t>auto</t>
        </is>
      </c>
      <c r="D231" s="31" t="inlineStr">
        <is>
          <t>automobiles - motorcycles / mopeds</t>
        </is>
      </c>
      <c r="E231" s="31" t="inlineStr">
        <is>
          <t>largecap</t>
        </is>
      </c>
      <c r="F231" s="31" t="n">
        <v>204909.82</v>
      </c>
      <c r="G231" s="31" t="n">
        <v>4389</v>
      </c>
      <c r="H231" s="31" t="n">
        <v>1.76</v>
      </c>
      <c r="I231" s="31" t="n">
        <v>4755005</v>
      </c>
      <c r="J231" s="31" t="inlineStr">
        <is>
          <t>532343</t>
        </is>
      </c>
    </row>
    <row r="232">
      <c r="A232" s="31" t="inlineStr">
        <is>
          <t>AIIL</t>
        </is>
      </c>
      <c r="B232" s="31" t="inlineStr">
        <is>
          <t>Authum Investment &amp; Infrastructure Ltd</t>
        </is>
      </c>
      <c r="C232" s="31" t="inlineStr">
        <is>
          <t>financials</t>
        </is>
      </c>
      <c r="D232" s="31" t="inlineStr">
        <is>
          <t>finance &amp; investments</t>
        </is>
      </c>
      <c r="E232" s="31" t="inlineStr">
        <is>
          <t>largecap</t>
        </is>
      </c>
      <c r="F232" s="31" t="n">
        <v>45798.73</v>
      </c>
      <c r="G232" s="31" t="n">
        <v>548.8</v>
      </c>
      <c r="H232" s="31" t="n">
        <v>1.76</v>
      </c>
      <c r="I232" s="31" t="n">
        <v>105935</v>
      </c>
      <c r="J232" s="31" t="inlineStr">
        <is>
          <t>539177</t>
        </is>
      </c>
    </row>
    <row r="233">
      <c r="A233" s="31" t="inlineStr">
        <is>
          <t>JSWSTEEL</t>
        </is>
      </c>
      <c r="B233" s="31" t="inlineStr">
        <is>
          <t>Jsw Steel Limited</t>
        </is>
      </c>
      <c r="C233" s="31" t="inlineStr">
        <is>
          <t>metals &amp; mining</t>
        </is>
      </c>
      <c r="D233" s="31" t="inlineStr">
        <is>
          <t>steel - large</t>
        </is>
      </c>
      <c r="E233" s="31" t="inlineStr">
        <is>
          <t>largecap</t>
        </is>
      </c>
      <c r="F233" s="31" t="n">
        <v>310572.65</v>
      </c>
      <c r="G233" s="31" t="n">
        <v>1292.3</v>
      </c>
      <c r="H233" s="31" t="n">
        <v>1.76</v>
      </c>
      <c r="I233" s="31" t="n">
        <v>7634414</v>
      </c>
      <c r="J233" s="31" t="inlineStr">
        <is>
          <t>500228</t>
        </is>
      </c>
    </row>
    <row r="234">
      <c r="A234" s="31" t="inlineStr">
        <is>
          <t>MUKANDLTD</t>
        </is>
      </c>
      <c r="B234" s="31" t="inlineStr">
        <is>
          <t>Mukand Limited</t>
        </is>
      </c>
      <c r="C234" s="31" t="inlineStr">
        <is>
          <t>metals &amp; mining</t>
        </is>
      </c>
      <c r="D234" s="31" t="inlineStr">
        <is>
          <t>steel - medium / small</t>
        </is>
      </c>
      <c r="E234" s="31" t="inlineStr">
        <is>
          <t>smallcap</t>
        </is>
      </c>
      <c r="F234" s="31" t="n">
        <v>2043.46</v>
      </c>
      <c r="G234" s="31" t="n">
        <v>143.89</v>
      </c>
      <c r="H234" s="31" t="n">
        <v>1.75</v>
      </c>
      <c r="I234" s="31" t="n">
        <v>114563</v>
      </c>
      <c r="J234" s="31" t="inlineStr">
        <is>
          <t>500460</t>
        </is>
      </c>
    </row>
    <row r="235">
      <c r="A235" s="31" t="inlineStr">
        <is>
          <t>SBILIFE</t>
        </is>
      </c>
      <c r="B235" s="31" t="inlineStr">
        <is>
          <t>SBI Life Insurance Company Ltd</t>
        </is>
      </c>
      <c r="C235" s="31" t="inlineStr">
        <is>
          <t>financials</t>
        </is>
      </c>
      <c r="D235" s="31" t="inlineStr">
        <is>
          <t>finance &amp; investments</t>
        </is>
      </c>
      <c r="E235" s="31" t="inlineStr">
        <is>
          <t>largecap</t>
        </is>
      </c>
      <c r="F235" s="31" t="n">
        <v>188809.87</v>
      </c>
      <c r="G235" s="31" t="n">
        <v>1915</v>
      </c>
      <c r="H235" s="31" t="n">
        <v>1.75</v>
      </c>
      <c r="I235" s="31" t="n">
        <v>2597290</v>
      </c>
      <c r="J235" s="31" t="inlineStr">
        <is>
          <t>540719</t>
        </is>
      </c>
    </row>
    <row r="236">
      <c r="A236" s="31" t="inlineStr">
        <is>
          <t>PRUDENT</t>
        </is>
      </c>
      <c r="B236" s="31" t="inlineStr">
        <is>
          <t>Prudent Corporate Advisory Services Ltd</t>
        </is>
      </c>
      <c r="C236" s="31" t="inlineStr">
        <is>
          <t>financials</t>
        </is>
      </c>
      <c r="D236" s="31" t="inlineStr">
        <is>
          <t>finance &amp; investments</t>
        </is>
      </c>
      <c r="E236" s="31" t="inlineStr">
        <is>
          <t>midcap</t>
        </is>
      </c>
      <c r="F236" s="31" t="n">
        <v>13631.08</v>
      </c>
      <c r="G236" s="31" t="n">
        <v>3349</v>
      </c>
      <c r="H236" s="31" t="n">
        <v>1.73</v>
      </c>
      <c r="I236" s="31" t="n">
        <v>27699</v>
      </c>
      <c r="J236" s="31" t="inlineStr">
        <is>
          <t>543527</t>
        </is>
      </c>
    </row>
    <row r="237">
      <c r="A237" s="31" t="inlineStr">
        <is>
          <t>JSFB</t>
        </is>
      </c>
      <c r="B237" s="31" t="inlineStr">
        <is>
          <t>Jana Small Finance Bank Ltd</t>
        </is>
      </c>
      <c r="C237" s="31" t="inlineStr">
        <is>
          <t>bank</t>
        </is>
      </c>
      <c r="D237" s="31" t="inlineStr">
        <is>
          <t>banks - private sector</t>
        </is>
      </c>
      <c r="E237" s="31" t="inlineStr">
        <is>
          <t>midcap</t>
        </is>
      </c>
      <c r="F237" s="31" t="n">
        <v>6057.11</v>
      </c>
      <c r="G237" s="31" t="n">
        <v>584.85</v>
      </c>
      <c r="H237" s="31" t="n">
        <v>1.71</v>
      </c>
      <c r="I237" s="31" t="n">
        <v>673206</v>
      </c>
      <c r="J237" s="31" t="n"/>
    </row>
    <row r="238">
      <c r="A238" s="31" t="inlineStr">
        <is>
          <t>ICICIBANK</t>
        </is>
      </c>
      <c r="B238" s="31" t="inlineStr">
        <is>
          <t>Icici Bank Limited</t>
        </is>
      </c>
      <c r="C238" s="31" t="inlineStr">
        <is>
          <t>bank</t>
        </is>
      </c>
      <c r="D238" s="31" t="inlineStr">
        <is>
          <t>banks - private sector</t>
        </is>
      </c>
      <c r="E238" s="31" t="inlineStr">
        <is>
          <t>largecap</t>
        </is>
      </c>
      <c r="F238" s="31" t="n">
        <v>1029700.8</v>
      </c>
      <c r="G238" s="31" t="n">
        <v>1460</v>
      </c>
      <c r="H238" s="31" t="n">
        <v>1.71</v>
      </c>
      <c r="I238" s="31" t="n">
        <v>21988499</v>
      </c>
      <c r="J238" s="31" t="inlineStr">
        <is>
          <t>532174</t>
        </is>
      </c>
    </row>
    <row r="239">
      <c r="A239" s="31" t="inlineStr">
        <is>
          <t>SHILPAMED</t>
        </is>
      </c>
      <c r="B239" s="31" t="inlineStr">
        <is>
          <t>Shilpa Medicare Limited</t>
        </is>
      </c>
      <c r="C239" s="31" t="inlineStr">
        <is>
          <t>healthcare</t>
        </is>
      </c>
      <c r="D239" s="31" t="inlineStr">
        <is>
          <t>pharmaceuticals - indian - formulations</t>
        </is>
      </c>
      <c r="E239" s="31" t="inlineStr">
        <is>
          <t>midcap</t>
        </is>
      </c>
      <c r="F239" s="31" t="n">
        <v>11954.94</v>
      </c>
      <c r="G239" s="31" t="n">
        <v>621.7</v>
      </c>
      <c r="H239" s="31" t="n">
        <v>1.71</v>
      </c>
      <c r="I239" s="31" t="n">
        <v>477775</v>
      </c>
      <c r="J239" s="31" t="inlineStr">
        <is>
          <t>530549</t>
        </is>
      </c>
    </row>
    <row r="240">
      <c r="A240" s="31" t="inlineStr">
        <is>
          <t>SBIN</t>
        </is>
      </c>
      <c r="B240" s="31" t="inlineStr">
        <is>
          <t>State Bank Of India Ltd</t>
        </is>
      </c>
      <c r="C240" s="31" t="inlineStr">
        <is>
          <t>bank</t>
        </is>
      </c>
      <c r="D240" s="31" t="inlineStr">
        <is>
          <t>banks - public sector</t>
        </is>
      </c>
      <c r="E240" s="31" t="inlineStr">
        <is>
          <t>largecap</t>
        </is>
      </c>
      <c r="F240" s="31" t="n">
        <v>948353.65</v>
      </c>
      <c r="G240" s="31" t="n">
        <v>1045</v>
      </c>
      <c r="H240" s="31" t="n">
        <v>1.71</v>
      </c>
      <c r="I240" s="31" t="n">
        <v>31058970</v>
      </c>
      <c r="J240" s="31" t="inlineStr">
        <is>
          <t>500112</t>
        </is>
      </c>
    </row>
    <row r="241">
      <c r="A241" s="31" t="inlineStr">
        <is>
          <t>ARMANFIN</t>
        </is>
      </c>
      <c r="B241" s="31" t="inlineStr">
        <is>
          <t>Arman Financial Services Limited</t>
        </is>
      </c>
      <c r="C241" s="31" t="inlineStr">
        <is>
          <t>financials</t>
        </is>
      </c>
      <c r="D241" s="31" t="inlineStr">
        <is>
          <t>finance &amp; investments</t>
        </is>
      </c>
      <c r="E241" s="31" t="inlineStr">
        <is>
          <t>smallcap</t>
        </is>
      </c>
      <c r="F241" s="31" t="n">
        <v>2040.92</v>
      </c>
      <c r="G241" s="31" t="n">
        <v>1973.5</v>
      </c>
      <c r="H241" s="31" t="n">
        <v>1.67</v>
      </c>
      <c r="I241" s="31" t="n">
        <v>34160</v>
      </c>
      <c r="J241" s="31" t="inlineStr">
        <is>
          <t>531179</t>
        </is>
      </c>
    </row>
    <row r="242">
      <c r="A242" s="31" t="inlineStr">
        <is>
          <t>TALBROAUTO</t>
        </is>
      </c>
      <c r="B242" s="31" t="inlineStr">
        <is>
          <t>Talbros Automotive Components Limited</t>
        </is>
      </c>
      <c r="C242" s="31" t="inlineStr">
        <is>
          <t>auto</t>
        </is>
      </c>
      <c r="D242" s="31" t="inlineStr">
        <is>
          <t>auto ancillaries</t>
        </is>
      </c>
      <c r="E242" s="31" t="inlineStr">
        <is>
          <t>smallcap</t>
        </is>
      </c>
      <c r="F242" s="31" t="n">
        <v>2516.97</v>
      </c>
      <c r="G242" s="31" t="n">
        <v>414.5</v>
      </c>
      <c r="H242" s="31" t="n">
        <v>1.66</v>
      </c>
      <c r="I242" s="31" t="n">
        <v>180850</v>
      </c>
      <c r="J242" s="31" t="inlineStr">
        <is>
          <t>505160</t>
        </is>
      </c>
    </row>
    <row r="243">
      <c r="A243" s="31" t="inlineStr">
        <is>
          <t>KTKBANK</t>
        </is>
      </c>
      <c r="B243" s="31" t="inlineStr">
        <is>
          <t>The Karnataka Bank Limited</t>
        </is>
      </c>
      <c r="C243" s="31" t="inlineStr">
        <is>
          <t>bank</t>
        </is>
      </c>
      <c r="D243" s="31" t="inlineStr">
        <is>
          <t>banks - private sector</t>
        </is>
      </c>
      <c r="E243" s="31" t="inlineStr">
        <is>
          <t>midcap</t>
        </is>
      </c>
      <c r="F243" s="31" t="n">
        <v>10769.34</v>
      </c>
      <c r="G243" s="31" t="n">
        <v>289.45</v>
      </c>
      <c r="H243" s="31" t="n">
        <v>1.65</v>
      </c>
      <c r="I243" s="31" t="n">
        <v>3342740</v>
      </c>
      <c r="J243" s="31" t="inlineStr">
        <is>
          <t>532652</t>
        </is>
      </c>
    </row>
    <row r="244">
      <c r="A244" s="31" t="inlineStr">
        <is>
          <t>KARURVYSYA</t>
        </is>
      </c>
      <c r="B244" s="31" t="inlineStr">
        <is>
          <t>Karur Vysya Bank Limited</t>
        </is>
      </c>
      <c r="C244" s="31" t="inlineStr">
        <is>
          <t>bank</t>
        </is>
      </c>
      <c r="D244" s="31" t="inlineStr">
        <is>
          <t>banks - private sector</t>
        </is>
      </c>
      <c r="E244" s="31" t="inlineStr">
        <is>
          <t>largecap</t>
        </is>
      </c>
      <c r="F244" s="31" t="n">
        <v>33103.57</v>
      </c>
      <c r="G244" s="31" t="n">
        <v>348.1</v>
      </c>
      <c r="H244" s="31" t="n">
        <v>1.65</v>
      </c>
      <c r="I244" s="31" t="n">
        <v>3406254</v>
      </c>
      <c r="J244" s="31" t="inlineStr">
        <is>
          <t>590003</t>
        </is>
      </c>
    </row>
    <row r="245">
      <c r="A245" s="31" t="inlineStr">
        <is>
          <t>KOLTEPATIL</t>
        </is>
      </c>
      <c r="B245" s="31" t="inlineStr">
        <is>
          <t>Kolte - Patil Developers Limited</t>
        </is>
      </c>
      <c r="C245" s="31" t="inlineStr">
        <is>
          <t>realty</t>
        </is>
      </c>
      <c r="D245" s="31" t="inlineStr">
        <is>
          <t>construction</t>
        </is>
      </c>
      <c r="E245" s="31" t="inlineStr">
        <is>
          <t>smallcap</t>
        </is>
      </c>
      <c r="F245" s="31" t="n">
        <v>3415.07</v>
      </c>
      <c r="G245" s="31" t="n">
        <v>391.4</v>
      </c>
      <c r="H245" s="31" t="n">
        <v>1.64</v>
      </c>
      <c r="I245" s="31" t="n">
        <v>164593</v>
      </c>
      <c r="J245" s="31" t="inlineStr">
        <is>
          <t>532924</t>
        </is>
      </c>
    </row>
    <row r="246">
      <c r="A246" s="31" t="inlineStr">
        <is>
          <t>INDUSINDBK</t>
        </is>
      </c>
      <c r="B246" s="31" t="inlineStr">
        <is>
          <t>Indusind Bank Limited</t>
        </is>
      </c>
      <c r="C246" s="31" t="inlineStr">
        <is>
          <t>bank</t>
        </is>
      </c>
      <c r="D246" s="31" t="inlineStr">
        <is>
          <t>banks - private sector</t>
        </is>
      </c>
      <c r="E246" s="31" t="inlineStr">
        <is>
          <t>largecap</t>
        </is>
      </c>
      <c r="F246" s="31" t="n">
        <v>78883.3</v>
      </c>
      <c r="G246" s="31" t="n">
        <v>1028.9</v>
      </c>
      <c r="H246" s="31" t="n">
        <v>1.62</v>
      </c>
      <c r="I246" s="31" t="n">
        <v>2456753</v>
      </c>
      <c r="J246" s="31" t="inlineStr">
        <is>
          <t>532187</t>
        </is>
      </c>
    </row>
    <row r="247">
      <c r="A247" s="31" t="inlineStr">
        <is>
          <t>UNIONBANK</t>
        </is>
      </c>
      <c r="B247" s="31" t="inlineStr">
        <is>
          <t>Union Bank Of India Ltd</t>
        </is>
      </c>
      <c r="C247" s="31" t="inlineStr">
        <is>
          <t>bank</t>
        </is>
      </c>
      <c r="D247" s="31" t="inlineStr">
        <is>
          <t>banks - public sector</t>
        </is>
      </c>
      <c r="E247" s="31" t="inlineStr">
        <is>
          <t>largecap</t>
        </is>
      </c>
      <c r="F247" s="31" t="n">
        <v>130717.86</v>
      </c>
      <c r="G247" s="31" t="n">
        <v>174</v>
      </c>
      <c r="H247" s="31" t="n">
        <v>1.61</v>
      </c>
      <c r="I247" s="31" t="n">
        <v>24699262</v>
      </c>
      <c r="J247" s="31" t="inlineStr">
        <is>
          <t>532477</t>
        </is>
      </c>
    </row>
    <row r="248">
      <c r="A248" s="31" t="inlineStr">
        <is>
          <t>SUPRAJIT</t>
        </is>
      </c>
      <c r="B248" s="31" t="inlineStr">
        <is>
          <t>Suprajit Engineering Limited</t>
        </is>
      </c>
      <c r="C248" s="31" t="inlineStr">
        <is>
          <t>auto</t>
        </is>
      </c>
      <c r="D248" s="31" t="inlineStr">
        <is>
          <t>auto ancillaries</t>
        </is>
      </c>
      <c r="E248" s="31" t="inlineStr">
        <is>
          <t>midcap</t>
        </is>
      </c>
      <c r="F248" s="31" t="n">
        <v>6921.66</v>
      </c>
      <c r="G248" s="31" t="n">
        <v>512.7</v>
      </c>
      <c r="H248" s="31" t="n">
        <v>1.61</v>
      </c>
      <c r="I248" s="31" t="n">
        <v>341775</v>
      </c>
      <c r="J248" s="31" t="inlineStr">
        <is>
          <t>532509</t>
        </is>
      </c>
    </row>
    <row r="249">
      <c r="A249" s="31" t="inlineStr">
        <is>
          <t>RPSGVENT</t>
        </is>
      </c>
      <c r="B249" s="31" t="inlineStr">
        <is>
          <t>RPSG Ventures Ltd</t>
        </is>
      </c>
      <c r="C249" s="31" t="inlineStr">
        <is>
          <t>i.t</t>
        </is>
      </c>
      <c r="D249" s="31" t="inlineStr">
        <is>
          <t>computers - software - medium / small</t>
        </is>
      </c>
      <c r="E249" s="31" t="inlineStr">
        <is>
          <t>smallcap</t>
        </is>
      </c>
      <c r="F249" s="31" t="n">
        <v>3094.41</v>
      </c>
      <c r="G249" s="31" t="n">
        <v>950</v>
      </c>
      <c r="H249" s="31" t="n">
        <v>1.58</v>
      </c>
      <c r="I249" s="31" t="n">
        <v>32582</v>
      </c>
      <c r="J249" s="31" t="n"/>
    </row>
    <row r="250">
      <c r="A250" s="31" t="inlineStr">
        <is>
          <t>SUNDRMFAST</t>
        </is>
      </c>
      <c r="B250" s="31" t="inlineStr">
        <is>
          <t>Sundram Fasteners Limited</t>
        </is>
      </c>
      <c r="C250" s="31" t="inlineStr">
        <is>
          <t>auto</t>
        </is>
      </c>
      <c r="D250" s="31" t="inlineStr">
        <is>
          <t>auto ancillaries</t>
        </is>
      </c>
      <c r="E250" s="31" t="inlineStr">
        <is>
          <t>largecap</t>
        </is>
      </c>
      <c r="F250" s="31" t="n">
        <v>20539</v>
      </c>
      <c r="G250" s="31" t="n">
        <v>992.9</v>
      </c>
      <c r="H250" s="31" t="n">
        <v>1.58</v>
      </c>
      <c r="I250" s="31" t="n">
        <v>151032</v>
      </c>
      <c r="J250" s="31" t="inlineStr">
        <is>
          <t>500403</t>
        </is>
      </c>
    </row>
    <row r="251">
      <c r="A251" s="31" t="inlineStr">
        <is>
          <t>IDFCFIRSTB</t>
        </is>
      </c>
      <c r="B251" s="31" t="inlineStr">
        <is>
          <t>IDFC First Bank Ltd</t>
        </is>
      </c>
      <c r="C251" s="31" t="inlineStr">
        <is>
          <t>bank</t>
        </is>
      </c>
      <c r="D251" s="31" t="inlineStr">
        <is>
          <t>banks - private sector</t>
        </is>
      </c>
      <c r="E251" s="31" t="inlineStr">
        <is>
          <t>largecap</t>
        </is>
      </c>
      <c r="F251" s="31" t="n">
        <v>72949.58</v>
      </c>
      <c r="G251" s="31" t="n">
        <v>86</v>
      </c>
      <c r="H251" s="31" t="n">
        <v>1.56</v>
      </c>
      <c r="I251" s="31" t="n">
        <v>37749784</v>
      </c>
      <c r="J251" s="31" t="inlineStr">
        <is>
          <t>539437</t>
        </is>
      </c>
    </row>
    <row r="252">
      <c r="A252" s="31" t="inlineStr">
        <is>
          <t>IIFL</t>
        </is>
      </c>
      <c r="B252" s="31" t="inlineStr">
        <is>
          <t>IIFL Finance Ltd</t>
        </is>
      </c>
      <c r="C252" s="31" t="inlineStr">
        <is>
          <t>financials</t>
        </is>
      </c>
      <c r="D252" s="31" t="inlineStr">
        <is>
          <t>finance &amp; investments</t>
        </is>
      </c>
      <c r="E252" s="31" t="inlineStr">
        <is>
          <t>largecap</t>
        </is>
      </c>
      <c r="F252" s="31" t="n">
        <v>25887.41</v>
      </c>
      <c r="G252" s="31" t="n">
        <v>618.1</v>
      </c>
      <c r="H252" s="31" t="n">
        <v>1.55</v>
      </c>
      <c r="I252" s="31" t="n">
        <v>2681421</v>
      </c>
      <c r="J252" s="31" t="inlineStr">
        <is>
          <t>532636</t>
        </is>
      </c>
    </row>
    <row r="253">
      <c r="A253" s="31" t="inlineStr">
        <is>
          <t>PAISALO</t>
        </is>
      </c>
      <c r="B253" s="31" t="inlineStr">
        <is>
          <t>Paisalo Digital Ltd</t>
        </is>
      </c>
      <c r="C253" s="31" t="inlineStr">
        <is>
          <t>financials</t>
        </is>
      </c>
      <c r="D253" s="31" t="inlineStr">
        <is>
          <t>finance &amp; investments</t>
        </is>
      </c>
      <c r="E253" s="31" t="inlineStr">
        <is>
          <t>midcap</t>
        </is>
      </c>
      <c r="F253" s="31" t="n">
        <v>6475.8</v>
      </c>
      <c r="G253" s="31" t="n">
        <v>72.29000000000001</v>
      </c>
      <c r="H253" s="31" t="n">
        <v>1.53</v>
      </c>
      <c r="I253" s="31" t="n">
        <v>9209700</v>
      </c>
      <c r="J253" s="31" t="inlineStr">
        <is>
          <t>532900</t>
        </is>
      </c>
    </row>
    <row r="254">
      <c r="A254" s="31" t="inlineStr">
        <is>
          <t>PANACHE</t>
        </is>
      </c>
      <c r="B254" s="31" t="inlineStr">
        <is>
          <t>Panache Digilife Ltd</t>
        </is>
      </c>
      <c r="C254" s="31" t="inlineStr">
        <is>
          <t>i.t</t>
        </is>
      </c>
      <c r="D254" s="31" t="inlineStr">
        <is>
          <t>computers - hardware</t>
        </is>
      </c>
      <c r="E254" s="31" t="inlineStr">
        <is>
          <t>smallcap</t>
        </is>
      </c>
      <c r="F254" s="31" t="n">
        <v>689.4</v>
      </c>
      <c r="G254" s="31" t="n">
        <v>437.1</v>
      </c>
      <c r="H254" s="31" t="n">
        <v>1.53</v>
      </c>
      <c r="I254" s="31" t="n">
        <v>3619</v>
      </c>
      <c r="J254" s="31" t="inlineStr">
        <is>
          <t>538424</t>
        </is>
      </c>
    </row>
    <row r="255">
      <c r="A255" s="31" t="inlineStr">
        <is>
          <t>MAHLOG</t>
        </is>
      </c>
      <c r="B255" s="31" t="inlineStr">
        <is>
          <t>Mahindra Logistics Ltd</t>
        </is>
      </c>
      <c r="C255" s="31" t="inlineStr">
        <is>
          <t>transportation</t>
        </is>
      </c>
      <c r="D255" s="31" t="inlineStr">
        <is>
          <t>miscellaneous</t>
        </is>
      </c>
      <c r="E255" s="31" t="inlineStr">
        <is>
          <t>smallcap</t>
        </is>
      </c>
      <c r="F255" s="31" t="n">
        <v>4063.16</v>
      </c>
      <c r="G255" s="31" t="n">
        <v>415.5</v>
      </c>
      <c r="H255" s="31" t="n">
        <v>1.47</v>
      </c>
      <c r="I255" s="31" t="n">
        <v>184166</v>
      </c>
      <c r="J255" s="31" t="inlineStr">
        <is>
          <t>540768</t>
        </is>
      </c>
    </row>
    <row r="256">
      <c r="A256" s="31" t="inlineStr">
        <is>
          <t>TRENT</t>
        </is>
      </c>
      <c r="B256" s="31" t="inlineStr">
        <is>
          <t>Trent Limited</t>
        </is>
      </c>
      <c r="C256" s="31" t="inlineStr">
        <is>
          <t>consumer discretionary</t>
        </is>
      </c>
      <c r="D256" s="31" t="inlineStr">
        <is>
          <t>trading</t>
        </is>
      </c>
      <c r="E256" s="31" t="inlineStr">
        <is>
          <t>largecap</t>
        </is>
      </c>
      <c r="F256" s="31" t="n">
        <v>160284.3</v>
      </c>
      <c r="G256" s="31" t="n">
        <v>3050</v>
      </c>
      <c r="H256" s="31" t="n">
        <v>1.47</v>
      </c>
      <c r="I256" s="31" t="n">
        <v>2581844</v>
      </c>
      <c r="J256" s="31" t="inlineStr">
        <is>
          <t>500251</t>
        </is>
      </c>
    </row>
    <row r="257">
      <c r="A257" s="31" t="inlineStr">
        <is>
          <t>PETRONET</t>
        </is>
      </c>
      <c r="B257" s="31" t="inlineStr">
        <is>
          <t>Petronet Lng Limited</t>
        </is>
      </c>
      <c r="C257" s="31" t="inlineStr">
        <is>
          <t>energy</t>
        </is>
      </c>
      <c r="D257" s="31" t="inlineStr">
        <is>
          <t>miscellaneous</t>
        </is>
      </c>
      <c r="E257" s="31" t="inlineStr">
        <is>
          <t>largecap</t>
        </is>
      </c>
      <c r="F257" s="31" t="n">
        <v>42112.5</v>
      </c>
      <c r="G257" s="31" t="n">
        <v>284.85</v>
      </c>
      <c r="H257" s="31" t="n">
        <v>1.46</v>
      </c>
      <c r="I257" s="31" t="n">
        <v>4320782</v>
      </c>
      <c r="J257" s="31" t="inlineStr">
        <is>
          <t>532522</t>
        </is>
      </c>
    </row>
    <row r="258">
      <c r="A258" s="31" t="inlineStr">
        <is>
          <t>THELEELA</t>
        </is>
      </c>
      <c r="B258" s="31" t="inlineStr">
        <is>
          <t>Leela Palaces Hotels &amp; Resorts Ltd</t>
        </is>
      </c>
      <c r="C258" s="31" t="inlineStr">
        <is>
          <t>services</t>
        </is>
      </c>
      <c r="D258" s="31" t="inlineStr">
        <is>
          <t>hotels</t>
        </is>
      </c>
      <c r="E258" s="31" t="inlineStr">
        <is>
          <t>midcap</t>
        </is>
      </c>
      <c r="F258" s="31" t="n">
        <v>16517.56</v>
      </c>
      <c r="G258" s="31" t="n">
        <v>501.8</v>
      </c>
      <c r="H258" s="31" t="n">
        <v>1.46</v>
      </c>
      <c r="I258" s="31" t="n">
        <v>2192952</v>
      </c>
      <c r="J258" s="31" t="inlineStr">
        <is>
          <t>544408</t>
        </is>
      </c>
    </row>
    <row r="259">
      <c r="A259" s="31" t="inlineStr">
        <is>
          <t>SOLARINDS</t>
        </is>
      </c>
      <c r="B259" s="31" t="inlineStr">
        <is>
          <t>Solar Industries India Limited</t>
        </is>
      </c>
      <c r="C259" s="31" t="inlineStr">
        <is>
          <t>aerospace &amp; defence</t>
        </is>
      </c>
      <c r="D259" s="31" t="inlineStr">
        <is>
          <t>chemicals</t>
        </is>
      </c>
      <c r="E259" s="31" t="inlineStr">
        <is>
          <t>largecap</t>
        </is>
      </c>
      <c r="F259" s="31" t="n">
        <v>166420.26</v>
      </c>
      <c r="G259" s="31" t="n">
        <v>18659</v>
      </c>
      <c r="H259" s="31" t="n">
        <v>1.46</v>
      </c>
      <c r="I259" s="31" t="n">
        <v>154505</v>
      </c>
      <c r="J259" s="31" t="inlineStr">
        <is>
          <t>532725</t>
        </is>
      </c>
    </row>
    <row r="260">
      <c r="A260" s="31" t="inlineStr">
        <is>
          <t>MAHLIFE</t>
        </is>
      </c>
      <c r="B260" s="31" t="inlineStr">
        <is>
          <t>Mahindra Lifespace Developers Limited</t>
        </is>
      </c>
      <c r="C260" s="31" t="inlineStr">
        <is>
          <t>realty</t>
        </is>
      </c>
      <c r="D260" s="31" t="inlineStr">
        <is>
          <t>construction</t>
        </is>
      </c>
      <c r="E260" s="31" t="inlineStr">
        <is>
          <t>midcap</t>
        </is>
      </c>
      <c r="F260" s="31" t="n">
        <v>8376.9</v>
      </c>
      <c r="G260" s="31" t="n">
        <v>398.25</v>
      </c>
      <c r="H260" s="31" t="n">
        <v>1.43</v>
      </c>
      <c r="I260" s="31" t="n">
        <v>142818</v>
      </c>
      <c r="J260" s="31" t="inlineStr">
        <is>
          <t>532313</t>
        </is>
      </c>
    </row>
    <row r="261">
      <c r="A261" s="31" t="inlineStr">
        <is>
          <t>AJANTPHARM</t>
        </is>
      </c>
      <c r="B261" s="31" t="inlineStr">
        <is>
          <t>Ajanta Pharma Limited</t>
        </is>
      </c>
      <c r="C261" s="31" t="inlineStr">
        <is>
          <t>healthcare</t>
        </is>
      </c>
      <c r="D261" s="31" t="inlineStr">
        <is>
          <t>pharmaceuticals - indian - formulations</t>
        </is>
      </c>
      <c r="E261" s="31" t="inlineStr">
        <is>
          <t>largecap</t>
        </is>
      </c>
      <c r="F261" s="31" t="n">
        <v>43292.69</v>
      </c>
      <c r="G261" s="31" t="n">
        <v>3513.9</v>
      </c>
      <c r="H261" s="31" t="n">
        <v>1.41</v>
      </c>
      <c r="I261" s="31" t="n">
        <v>119278</v>
      </c>
      <c r="J261" s="31" t="inlineStr">
        <is>
          <t>532331</t>
        </is>
      </c>
    </row>
    <row r="262">
      <c r="A262" s="31" t="inlineStr">
        <is>
          <t>GODREJIND</t>
        </is>
      </c>
      <c r="B262" s="31" t="inlineStr">
        <is>
          <t>Godrej Industries Limited</t>
        </is>
      </c>
      <c r="C262" s="31" t="inlineStr">
        <is>
          <t>chemicals</t>
        </is>
      </c>
      <c r="D262" s="31" t="inlineStr">
        <is>
          <t>chemicals</t>
        </is>
      </c>
      <c r="E262" s="31" t="inlineStr">
        <is>
          <t>largecap</t>
        </is>
      </c>
      <c r="F262" s="31" t="n">
        <v>44377.41</v>
      </c>
      <c r="G262" s="31" t="n">
        <v>1336.2</v>
      </c>
      <c r="H262" s="31" t="n">
        <v>1.41</v>
      </c>
      <c r="I262" s="31" t="n">
        <v>78905</v>
      </c>
      <c r="J262" s="31" t="inlineStr">
        <is>
          <t>500164</t>
        </is>
      </c>
    </row>
    <row r="263">
      <c r="A263" s="31" t="inlineStr">
        <is>
          <t>SAILIFE</t>
        </is>
      </c>
      <c r="B263" s="31" t="inlineStr">
        <is>
          <t>Sai Life Sciences Ltd</t>
        </is>
      </c>
      <c r="C263" s="31" t="inlineStr">
        <is>
          <t>healthcare</t>
        </is>
      </c>
      <c r="D263" s="31" t="inlineStr">
        <is>
          <t>pharmaceuticals - indian - bulk drugs &amp; formln</t>
        </is>
      </c>
      <c r="E263" s="31" t="inlineStr">
        <is>
          <t>largecap</t>
        </is>
      </c>
      <c r="F263" s="31" t="n">
        <v>27917.73</v>
      </c>
      <c r="G263" s="31" t="n">
        <v>1333.4</v>
      </c>
      <c r="H263" s="31" t="n">
        <v>1.39</v>
      </c>
      <c r="I263" s="31" t="n">
        <v>316148</v>
      </c>
      <c r="J263" s="31" t="inlineStr">
        <is>
          <t>544306</t>
        </is>
      </c>
    </row>
    <row r="264">
      <c r="A264" s="31" t="inlineStr">
        <is>
          <t>PTCIL</t>
        </is>
      </c>
      <c r="B264" s="31" t="inlineStr">
        <is>
          <t>PTC Industries Ltd</t>
        </is>
      </c>
      <c r="C264" s="31" t="inlineStr">
        <is>
          <t>industrials</t>
        </is>
      </c>
      <c r="D264" s="31" t="inlineStr">
        <is>
          <t>castings &amp; forgings</t>
        </is>
      </c>
      <c r="E264" s="31" t="inlineStr">
        <is>
          <t>largecap</t>
        </is>
      </c>
      <c r="F264" s="31" t="n">
        <v>26592.28</v>
      </c>
      <c r="G264" s="31" t="n">
        <v>17981</v>
      </c>
      <c r="H264" s="31" t="n">
        <v>1.38</v>
      </c>
      <c r="I264" s="31" t="n">
        <v>8055</v>
      </c>
      <c r="J264" s="31" t="inlineStr">
        <is>
          <t>539006</t>
        </is>
      </c>
    </row>
    <row r="265">
      <c r="A265" s="31" t="inlineStr">
        <is>
          <t>TPLPLASTEH</t>
        </is>
      </c>
      <c r="B265" s="31" t="inlineStr">
        <is>
          <t>Tpl Plastech Limited</t>
        </is>
      </c>
      <c r="C265" s="31" t="inlineStr">
        <is>
          <t>industrials</t>
        </is>
      </c>
      <c r="D265" s="31" t="inlineStr">
        <is>
          <t>packaging</t>
        </is>
      </c>
      <c r="E265" s="31" t="inlineStr">
        <is>
          <t>smallcap</t>
        </is>
      </c>
      <c r="F265" s="31" t="n">
        <v>618.64</v>
      </c>
      <c r="G265" s="31" t="n">
        <v>80.40000000000001</v>
      </c>
      <c r="H265" s="31" t="n">
        <v>1.37</v>
      </c>
      <c r="I265" s="31" t="n">
        <v>123769</v>
      </c>
      <c r="J265" s="31" t="inlineStr">
        <is>
          <t>526582</t>
        </is>
      </c>
    </row>
    <row r="266">
      <c r="A266" s="31" t="inlineStr">
        <is>
          <t>IDEAFORGE</t>
        </is>
      </c>
      <c r="B266" s="31" t="inlineStr">
        <is>
          <t>Ideaforge Technology Ltd</t>
        </is>
      </c>
      <c r="C266" s="31" t="inlineStr">
        <is>
          <t>aerospace &amp; defence</t>
        </is>
      </c>
      <c r="D266" s="31" t="inlineStr">
        <is>
          <t>engineering</t>
        </is>
      </c>
      <c r="E266" s="31" t="inlineStr">
        <is>
          <t>smallcap</t>
        </is>
      </c>
      <c r="F266" s="31" t="n">
        <v>4347.99</v>
      </c>
      <c r="G266" s="31" t="n">
        <v>887.1</v>
      </c>
      <c r="H266" s="31" t="n">
        <v>1.37</v>
      </c>
      <c r="I266" s="31" t="n">
        <v>124447</v>
      </c>
      <c r="J266" s="31" t="inlineStr">
        <is>
          <t>543932</t>
        </is>
      </c>
    </row>
    <row r="267">
      <c r="A267" s="31" t="inlineStr">
        <is>
          <t>HEROMOTOCO</t>
        </is>
      </c>
      <c r="B267" s="31" t="inlineStr">
        <is>
          <t>Hero Motocorp Limited</t>
        </is>
      </c>
      <c r="C267" s="31" t="inlineStr">
        <is>
          <t>auto</t>
        </is>
      </c>
      <c r="D267" s="31" t="inlineStr">
        <is>
          <t>automobiles - motorcycles / mopeds</t>
        </is>
      </c>
      <c r="E267" s="31" t="inlineStr">
        <is>
          <t>largecap</t>
        </is>
      </c>
      <c r="F267" s="31" t="n">
        <v>107770.06</v>
      </c>
      <c r="G267" s="31" t="n">
        <v>5460</v>
      </c>
      <c r="H267" s="31" t="n">
        <v>1.37</v>
      </c>
      <c r="I267" s="31" t="n">
        <v>1777644</v>
      </c>
      <c r="J267" s="31" t="inlineStr">
        <is>
          <t>500182</t>
        </is>
      </c>
    </row>
    <row r="268">
      <c r="A268" s="31" t="inlineStr">
        <is>
          <t>NETWEB</t>
        </is>
      </c>
      <c r="B268" s="31" t="inlineStr">
        <is>
          <t>Netweb Technologies India Ltd</t>
        </is>
      </c>
      <c r="C268" s="31" t="inlineStr">
        <is>
          <t>i.t</t>
        </is>
      </c>
      <c r="D268" s="31" t="inlineStr">
        <is>
          <t>computers - hardware</t>
        </is>
      </c>
      <c r="E268" s="31" t="inlineStr">
        <is>
          <t>largecap</t>
        </is>
      </c>
      <c r="F268" s="31" t="n">
        <v>25759.97</v>
      </c>
      <c r="G268" s="31" t="n">
        <v>4586</v>
      </c>
      <c r="H268" s="31" t="n">
        <v>1.37</v>
      </c>
      <c r="I268" s="31" t="n">
        <v>2334968</v>
      </c>
      <c r="J268" s="31" t="inlineStr">
        <is>
          <t>543945</t>
        </is>
      </c>
    </row>
    <row r="269">
      <c r="A269" s="31" t="inlineStr">
        <is>
          <t>VISAKAIND</t>
        </is>
      </c>
      <c r="B269" s="31" t="inlineStr">
        <is>
          <t>Visaka Industries Limited</t>
        </is>
      </c>
      <c r="C269" s="31" t="inlineStr">
        <is>
          <t>building materials</t>
        </is>
      </c>
      <c r="D269" s="31" t="inlineStr">
        <is>
          <t>cement products</t>
        </is>
      </c>
      <c r="E269" s="31" t="inlineStr">
        <is>
          <t>smallcap</t>
        </is>
      </c>
      <c r="F269" s="31" t="n">
        <v>737.38</v>
      </c>
      <c r="G269" s="31" t="n">
        <v>86.5</v>
      </c>
      <c r="H269" s="31" t="n">
        <v>1.36</v>
      </c>
      <c r="I269" s="31" t="n">
        <v>535341</v>
      </c>
      <c r="J269" s="31" t="inlineStr">
        <is>
          <t>509055</t>
        </is>
      </c>
    </row>
    <row r="270">
      <c r="A270" s="31" t="inlineStr">
        <is>
          <t>NESTLEIND</t>
        </is>
      </c>
      <c r="B270" s="31" t="inlineStr">
        <is>
          <t>Nestle India Limited</t>
        </is>
      </c>
      <c r="C270" s="31" t="inlineStr">
        <is>
          <t>fmcg</t>
        </is>
      </c>
      <c r="D270" s="31" t="inlineStr">
        <is>
          <t>food - processing - mnc</t>
        </is>
      </c>
      <c r="E270" s="31" t="inlineStr">
        <is>
          <t>largecap</t>
        </is>
      </c>
      <c r="F270" s="31" t="n">
        <v>291098.33</v>
      </c>
      <c r="G270" s="31" t="n">
        <v>1530</v>
      </c>
      <c r="H270" s="31" t="n">
        <v>1.35</v>
      </c>
      <c r="I270" s="31" t="n">
        <v>3504036</v>
      </c>
      <c r="J270" s="31" t="inlineStr">
        <is>
          <t>500790</t>
        </is>
      </c>
    </row>
    <row r="271">
      <c r="A271" s="31" t="inlineStr">
        <is>
          <t>DIVGIITTS</t>
        </is>
      </c>
      <c r="B271" s="31" t="inlineStr">
        <is>
          <t>Divgi Torqtransfer Systems Ltd</t>
        </is>
      </c>
      <c r="C271" s="31" t="inlineStr">
        <is>
          <t>auto</t>
        </is>
      </c>
      <c r="D271" s="31" t="inlineStr">
        <is>
          <t>auto ancillaries</t>
        </is>
      </c>
      <c r="E271" s="31" t="inlineStr">
        <is>
          <t>smallcap</t>
        </is>
      </c>
      <c r="F271" s="31" t="n">
        <v>2944.37</v>
      </c>
      <c r="G271" s="31" t="n">
        <v>975.6</v>
      </c>
      <c r="H271" s="31" t="n">
        <v>1.33</v>
      </c>
      <c r="I271" s="31" t="n">
        <v>25192</v>
      </c>
      <c r="J271" s="31" t="inlineStr">
        <is>
          <t>543812</t>
        </is>
      </c>
    </row>
    <row r="272">
      <c r="A272" s="31" t="inlineStr">
        <is>
          <t>GUFICBIO</t>
        </is>
      </c>
      <c r="B272" s="31" t="inlineStr">
        <is>
          <t>Gufic Biosciences Limited</t>
        </is>
      </c>
      <c r="C272" s="31" t="inlineStr">
        <is>
          <t>healthcare</t>
        </is>
      </c>
      <c r="D272" s="31" t="inlineStr">
        <is>
          <t>pharmaceuticals - indian - bulk drugs &amp; formln</t>
        </is>
      </c>
      <c r="E272" s="31" t="inlineStr">
        <is>
          <t>smallcap</t>
        </is>
      </c>
      <c r="F272" s="31" t="n">
        <v>3909.51</v>
      </c>
      <c r="G272" s="31" t="n">
        <v>395</v>
      </c>
      <c r="H272" s="31" t="n">
        <v>1.32</v>
      </c>
      <c r="I272" s="31" t="n">
        <v>35368</v>
      </c>
      <c r="J272" s="31" t="inlineStr">
        <is>
          <t>509079</t>
        </is>
      </c>
    </row>
    <row r="273">
      <c r="A273" s="31" t="inlineStr">
        <is>
          <t>RAINBOW</t>
        </is>
      </c>
      <c r="B273" s="31" t="inlineStr">
        <is>
          <t>Rainbow Childrens Medicare Ltd</t>
        </is>
      </c>
      <c r="C273" s="31" t="inlineStr">
        <is>
          <t>healthcare</t>
        </is>
      </c>
      <c r="D273" s="31" t="inlineStr">
        <is>
          <t>healthcare</t>
        </is>
      </c>
      <c r="E273" s="31" t="inlineStr">
        <is>
          <t>midcap</t>
        </is>
      </c>
      <c r="F273" s="31" t="n">
        <v>15491.83</v>
      </c>
      <c r="G273" s="31" t="n">
        <v>1545.6</v>
      </c>
      <c r="H273" s="31" t="n">
        <v>1.32</v>
      </c>
      <c r="I273" s="31" t="n">
        <v>161412</v>
      </c>
      <c r="J273" s="31" t="inlineStr">
        <is>
          <t>543524</t>
        </is>
      </c>
    </row>
    <row r="274">
      <c r="A274" s="31" t="inlineStr">
        <is>
          <t>OFSS</t>
        </is>
      </c>
      <c r="B274" s="31" t="inlineStr">
        <is>
          <t>Oracle Financial Services Software Limited</t>
        </is>
      </c>
      <c r="C274" s="31" t="inlineStr">
        <is>
          <t>i.t</t>
        </is>
      </c>
      <c r="D274" s="31" t="inlineStr">
        <is>
          <t>computers - software - large</t>
        </is>
      </c>
      <c r="E274" s="31" t="inlineStr">
        <is>
          <t>largecap</t>
        </is>
      </c>
      <c r="F274" s="31" t="n">
        <v>97398.89</v>
      </c>
      <c r="G274" s="31" t="n">
        <v>11332</v>
      </c>
      <c r="H274" s="31" t="n">
        <v>1.31</v>
      </c>
      <c r="I274" s="31" t="n">
        <v>482773</v>
      </c>
      <c r="J274" s="31" t="inlineStr">
        <is>
          <t>532466</t>
        </is>
      </c>
    </row>
    <row r="275">
      <c r="A275" s="31" t="inlineStr">
        <is>
          <t>PRECOT</t>
        </is>
      </c>
      <c r="B275" s="31" t="inlineStr">
        <is>
          <t>Precot Meridian Limited</t>
        </is>
      </c>
      <c r="C275" s="31" t="inlineStr">
        <is>
          <t>textiles</t>
        </is>
      </c>
      <c r="D275" s="31" t="inlineStr">
        <is>
          <t>textiles - cotton/blended</t>
        </is>
      </c>
      <c r="E275" s="31" t="inlineStr">
        <is>
          <t>smallcap</t>
        </is>
      </c>
      <c r="F275" s="31" t="n">
        <v>971.46</v>
      </c>
      <c r="G275" s="31" t="n">
        <v>820</v>
      </c>
      <c r="H275" s="31" t="n">
        <v>1.29</v>
      </c>
      <c r="I275" s="31" t="n">
        <v>11057</v>
      </c>
      <c r="J275" s="31" t="inlineStr">
        <is>
          <t>521184</t>
        </is>
      </c>
    </row>
    <row r="276">
      <c r="A276" s="31" t="inlineStr">
        <is>
          <t>ULTRACEMCO</t>
        </is>
      </c>
      <c r="B276" s="31" t="inlineStr">
        <is>
          <t>Ultratech Cement Limited</t>
        </is>
      </c>
      <c r="C276" s="31" t="inlineStr">
        <is>
          <t>building materials</t>
        </is>
      </c>
      <c r="D276" s="31" t="inlineStr">
        <is>
          <t>cement - north india</t>
        </is>
      </c>
      <c r="E276" s="31" t="inlineStr">
        <is>
          <t>largecap</t>
        </is>
      </c>
      <c r="F276" s="31" t="n">
        <v>350756.62</v>
      </c>
      <c r="G276" s="31" t="n">
        <v>12054</v>
      </c>
      <c r="H276" s="31" t="n">
        <v>1.27</v>
      </c>
      <c r="I276" s="31" t="n">
        <v>461385</v>
      </c>
      <c r="J276" s="31" t="inlineStr">
        <is>
          <t>532538</t>
        </is>
      </c>
    </row>
    <row r="277">
      <c r="A277" s="31" t="inlineStr">
        <is>
          <t>BERGEPAINT</t>
        </is>
      </c>
      <c r="B277" s="31" t="inlineStr">
        <is>
          <t>Berger Paints (i) Limited</t>
        </is>
      </c>
      <c r="C277" s="31" t="inlineStr">
        <is>
          <t>building materials</t>
        </is>
      </c>
      <c r="D277" s="31" t="inlineStr">
        <is>
          <t>paints / varnishes</t>
        </is>
      </c>
      <c r="E277" s="31" t="inlineStr">
        <is>
          <t>largecap</t>
        </is>
      </c>
      <c r="F277" s="31" t="n">
        <v>60684.62</v>
      </c>
      <c r="G277" s="31" t="n">
        <v>527</v>
      </c>
      <c r="H277" s="31" t="n">
        <v>1.26</v>
      </c>
      <c r="I277" s="31" t="n">
        <v>389074</v>
      </c>
      <c r="J277" s="31" t="inlineStr">
        <is>
          <t>509480</t>
        </is>
      </c>
    </row>
    <row r="278">
      <c r="A278" s="31" t="inlineStr">
        <is>
          <t>SETL</t>
        </is>
      </c>
      <c r="B278" s="31" t="inlineStr">
        <is>
          <t>Standard Enginnering Technology Ltd</t>
        </is>
      </c>
      <c r="C278" s="31" t="inlineStr">
        <is>
          <t>industrials</t>
        </is>
      </c>
      <c r="D278" s="31" t="inlineStr">
        <is>
          <t>engineering</t>
        </is>
      </c>
      <c r="E278" s="31" t="inlineStr">
        <is>
          <t>midcap</t>
        </is>
      </c>
      <c r="F278" s="31" t="n">
        <v>5488.02</v>
      </c>
      <c r="G278" s="31" t="n">
        <v>278.55</v>
      </c>
      <c r="H278" s="31" t="n">
        <v>1.25</v>
      </c>
      <c r="I278" s="31" t="n">
        <v>223337</v>
      </c>
      <c r="J278" s="31" t="inlineStr">
        <is>
          <t>544333</t>
        </is>
      </c>
    </row>
    <row r="279">
      <c r="A279" s="31" t="inlineStr">
        <is>
          <t>ARTEMISMED</t>
        </is>
      </c>
      <c r="B279" s="31" t="inlineStr">
        <is>
          <t>Artemis Medicare Services Ltd</t>
        </is>
      </c>
      <c r="C279" s="31" t="inlineStr">
        <is>
          <t>healthcare</t>
        </is>
      </c>
      <c r="D279" s="31" t="inlineStr">
        <is>
          <t>healthcare</t>
        </is>
      </c>
      <c r="E279" s="31" t="inlineStr">
        <is>
          <t>smallcap</t>
        </is>
      </c>
      <c r="F279" s="31" t="n">
        <v>4725.44</v>
      </c>
      <c r="G279" s="31" t="n">
        <v>302.2</v>
      </c>
      <c r="H279" s="31" t="n">
        <v>1.24</v>
      </c>
      <c r="I279" s="31" t="n">
        <v>261601</v>
      </c>
      <c r="J279" s="31" t="inlineStr">
        <is>
          <t>542919</t>
        </is>
      </c>
    </row>
    <row r="280">
      <c r="A280" s="31" t="inlineStr">
        <is>
          <t>KMEW</t>
        </is>
      </c>
      <c r="B280" s="31" t="inlineStr">
        <is>
          <t>Knowledge Marine &amp; Engineering Works Ltd</t>
        </is>
      </c>
      <c r="C280" s="31" t="inlineStr">
        <is>
          <t>transportation</t>
        </is>
      </c>
      <c r="D280" s="31" t="inlineStr">
        <is>
          <t>miscellaneous</t>
        </is>
      </c>
      <c r="E280" s="31" t="inlineStr">
        <is>
          <t>midcap</t>
        </is>
      </c>
      <c r="F280" s="31" t="n">
        <v>6021.32</v>
      </c>
      <c r="G280" s="31" t="n">
        <v>2493.5</v>
      </c>
      <c r="H280" s="31" t="n">
        <v>1.23</v>
      </c>
      <c r="I280" s="31" t="n">
        <v>51459</v>
      </c>
      <c r="J280" s="31" t="inlineStr">
        <is>
          <t>543273</t>
        </is>
      </c>
    </row>
    <row r="281">
      <c r="A281" s="31" t="inlineStr">
        <is>
          <t>JGCHEM</t>
        </is>
      </c>
      <c r="B281" s="31" t="inlineStr">
        <is>
          <t>J.G.Chemicals Ltd</t>
        </is>
      </c>
      <c r="C281" s="31" t="inlineStr">
        <is>
          <t>chemicals</t>
        </is>
      </c>
      <c r="D281" s="31" t="inlineStr">
        <is>
          <t>chemicals</t>
        </is>
      </c>
      <c r="E281" s="31" t="inlineStr">
        <is>
          <t>smallcap</t>
        </is>
      </c>
      <c r="F281" s="31" t="n">
        <v>1974.19</v>
      </c>
      <c r="G281" s="31" t="n">
        <v>510</v>
      </c>
      <c r="H281" s="31" t="n">
        <v>1.23</v>
      </c>
      <c r="I281" s="31" t="n">
        <v>84625</v>
      </c>
      <c r="J281" s="31" t="n"/>
    </row>
    <row r="282">
      <c r="A282" s="31" t="inlineStr">
        <is>
          <t>HEG</t>
        </is>
      </c>
      <c r="B282" s="31" t="inlineStr">
        <is>
          <t>Heg Limited</t>
        </is>
      </c>
      <c r="C282" s="31" t="inlineStr">
        <is>
          <t>industrials</t>
        </is>
      </c>
      <c r="D282" s="31" t="inlineStr">
        <is>
          <t>electrodes - graphites</t>
        </is>
      </c>
      <c r="E282" s="31" t="inlineStr">
        <is>
          <t>midcap</t>
        </is>
      </c>
      <c r="F282" s="31" t="n">
        <v>12683.45</v>
      </c>
      <c r="G282" s="31" t="n">
        <v>665.25</v>
      </c>
      <c r="H282" s="31" t="n">
        <v>1.22</v>
      </c>
      <c r="I282" s="31" t="n">
        <v>722406</v>
      </c>
      <c r="J282" s="31" t="inlineStr">
        <is>
          <t>509631</t>
        </is>
      </c>
    </row>
    <row r="283">
      <c r="A283" s="31" t="inlineStr">
        <is>
          <t>AUBANK</t>
        </is>
      </c>
      <c r="B283" s="31" t="inlineStr">
        <is>
          <t>AU Small Finance Bank Ltd</t>
        </is>
      </c>
      <c r="C283" s="31" t="inlineStr">
        <is>
          <t>bank</t>
        </is>
      </c>
      <c r="D283" s="31" t="inlineStr">
        <is>
          <t>banks - private sector</t>
        </is>
      </c>
      <c r="E283" s="31" t="inlineStr">
        <is>
          <t>largecap</t>
        </is>
      </c>
      <c r="F283" s="31" t="n">
        <v>78439.83</v>
      </c>
      <c r="G283" s="31" t="n">
        <v>1060</v>
      </c>
      <c r="H283" s="31" t="n">
        <v>1.21</v>
      </c>
      <c r="I283" s="31" t="n">
        <v>3970564</v>
      </c>
      <c r="J283" s="31" t="inlineStr">
        <is>
          <t>540611</t>
        </is>
      </c>
    </row>
    <row r="284">
      <c r="A284" s="31" t="inlineStr">
        <is>
          <t>LTFOODS</t>
        </is>
      </c>
      <c r="B284" s="31" t="inlineStr">
        <is>
          <t>L T Foods Ltd</t>
        </is>
      </c>
      <c r="C284" s="31" t="inlineStr">
        <is>
          <t>fmcg</t>
        </is>
      </c>
      <c r="D284" s="31" t="inlineStr">
        <is>
          <t>food - processing - indian</t>
        </is>
      </c>
      <c r="E284" s="31" t="inlineStr">
        <is>
          <t>midcap</t>
        </is>
      </c>
      <c r="F284" s="31" t="n">
        <v>14249.52</v>
      </c>
      <c r="G284" s="31" t="n">
        <v>415.3</v>
      </c>
      <c r="H284" s="31" t="n">
        <v>1.21</v>
      </c>
      <c r="I284" s="31" t="n">
        <v>748298</v>
      </c>
      <c r="J284" s="31" t="inlineStr">
        <is>
          <t>532783</t>
        </is>
      </c>
    </row>
    <row r="285">
      <c r="A285" s="31" t="inlineStr">
        <is>
          <t>RBLBANK</t>
        </is>
      </c>
      <c r="B285" s="31" t="inlineStr">
        <is>
          <t>Rbl Bank Limited</t>
        </is>
      </c>
      <c r="C285" s="31" t="inlineStr">
        <is>
          <t>bank</t>
        </is>
      </c>
      <c r="D285" s="31" t="inlineStr">
        <is>
          <t>banks - private sector</t>
        </is>
      </c>
      <c r="E285" s="31" t="inlineStr">
        <is>
          <t>largecap</t>
        </is>
      </c>
      <c r="F285" s="31" t="n">
        <v>58148.35</v>
      </c>
      <c r="G285" s="31" t="n">
        <v>379.95</v>
      </c>
      <c r="H285" s="31" t="n">
        <v>1.19</v>
      </c>
      <c r="I285" s="31" t="n">
        <v>10198538</v>
      </c>
      <c r="J285" s="31" t="inlineStr">
        <is>
          <t>540065</t>
        </is>
      </c>
    </row>
    <row r="286">
      <c r="A286" s="31" t="inlineStr">
        <is>
          <t>MARICO</t>
        </is>
      </c>
      <c r="B286" s="31" t="inlineStr">
        <is>
          <t>Marico Limited</t>
        </is>
      </c>
      <c r="C286" s="31" t="inlineStr">
        <is>
          <t>fmcg</t>
        </is>
      </c>
      <c r="D286" s="31" t="inlineStr">
        <is>
          <t>solvent extraction</t>
        </is>
      </c>
      <c r="E286" s="31" t="inlineStr">
        <is>
          <t>largecap</t>
        </is>
      </c>
      <c r="F286" s="31" t="n">
        <v>113044.01</v>
      </c>
      <c r="G286" s="31" t="n">
        <v>880.95</v>
      </c>
      <c r="H286" s="31" t="n">
        <v>1.18</v>
      </c>
      <c r="I286" s="31" t="n">
        <v>7011749</v>
      </c>
      <c r="J286" s="31" t="inlineStr">
        <is>
          <t>531642</t>
        </is>
      </c>
    </row>
    <row r="287">
      <c r="A287" s="31" t="inlineStr">
        <is>
          <t>TMB</t>
        </is>
      </c>
      <c r="B287" s="31" t="inlineStr">
        <is>
          <t>Tamilnad Mercantile Bank Ltd</t>
        </is>
      </c>
      <c r="C287" s="31" t="inlineStr">
        <is>
          <t>bank</t>
        </is>
      </c>
      <c r="D287" s="31" t="inlineStr">
        <is>
          <t>banks - private sector</t>
        </is>
      </c>
      <c r="E287" s="31" t="inlineStr">
        <is>
          <t>midcap</t>
        </is>
      </c>
      <c r="F287" s="31" t="n">
        <v>13486.79</v>
      </c>
      <c r="G287" s="31" t="n">
        <v>861.55</v>
      </c>
      <c r="H287" s="31" t="n">
        <v>1.16</v>
      </c>
      <c r="I287" s="31" t="n">
        <v>226900</v>
      </c>
      <c r="J287" s="31" t="inlineStr">
        <is>
          <t>543596</t>
        </is>
      </c>
    </row>
    <row r="288">
      <c r="A288" s="31" t="inlineStr">
        <is>
          <t>JAYAGROGN</t>
        </is>
      </c>
      <c r="B288" s="31" t="inlineStr">
        <is>
          <t>Jayant Agro Organics Limited</t>
        </is>
      </c>
      <c r="C288" s="31" t="inlineStr">
        <is>
          <t>chemicals</t>
        </is>
      </c>
      <c r="D288" s="31" t="inlineStr">
        <is>
          <t>chemicals</t>
        </is>
      </c>
      <c r="E288" s="31" t="inlineStr">
        <is>
          <t>smallcap</t>
        </is>
      </c>
      <c r="F288" s="31" t="n">
        <v>688.05</v>
      </c>
      <c r="G288" s="31" t="n">
        <v>232</v>
      </c>
      <c r="H288" s="31" t="n">
        <v>1.16</v>
      </c>
      <c r="I288" s="31" t="n">
        <v>42437</v>
      </c>
      <c r="J288" s="31" t="inlineStr">
        <is>
          <t>524330</t>
        </is>
      </c>
    </row>
    <row r="289">
      <c r="A289" s="31" t="inlineStr">
        <is>
          <t>VARROC</t>
        </is>
      </c>
      <c r="B289" s="31" t="inlineStr">
        <is>
          <t>Varroc Engineering Ltd</t>
        </is>
      </c>
      <c r="C289" s="31" t="inlineStr">
        <is>
          <t>auto</t>
        </is>
      </c>
      <c r="D289" s="31" t="inlineStr">
        <is>
          <t>auto ancillaries</t>
        </is>
      </c>
      <c r="E289" s="31" t="inlineStr">
        <is>
          <t>midcap</t>
        </is>
      </c>
      <c r="F289" s="31" t="n">
        <v>10377.25</v>
      </c>
      <c r="G289" s="31" t="n">
        <v>686.9</v>
      </c>
      <c r="H289" s="31" t="n">
        <v>1.13</v>
      </c>
      <c r="I289" s="31" t="n">
        <v>365591</v>
      </c>
      <c r="J289" s="31" t="inlineStr">
        <is>
          <t>541578</t>
        </is>
      </c>
    </row>
    <row r="290">
      <c r="A290" s="31" t="inlineStr">
        <is>
          <t>RRKABEL</t>
        </is>
      </c>
      <c r="B290" s="31" t="inlineStr">
        <is>
          <t>R R Kabel Ltd</t>
        </is>
      </c>
      <c r="C290" s="31" t="inlineStr">
        <is>
          <t>industrials</t>
        </is>
      </c>
      <c r="D290" s="31" t="inlineStr">
        <is>
          <t>cables - power</t>
        </is>
      </c>
      <c r="E290" s="31" t="inlineStr">
        <is>
          <t>largecap</t>
        </is>
      </c>
      <c r="F290" s="31" t="n">
        <v>29439.1</v>
      </c>
      <c r="G290" s="31" t="n">
        <v>2631.9</v>
      </c>
      <c r="H290" s="31" t="n">
        <v>1.12</v>
      </c>
      <c r="I290" s="31" t="n">
        <v>287192</v>
      </c>
      <c r="J290" s="31" t="inlineStr">
        <is>
          <t>543981</t>
        </is>
      </c>
    </row>
    <row r="291">
      <c r="A291" s="31" t="inlineStr">
        <is>
          <t>360ONE</t>
        </is>
      </c>
      <c r="B291" s="31" t="inlineStr">
        <is>
          <t>360 ONE WAM Ltd</t>
        </is>
      </c>
      <c r="C291" s="31" t="inlineStr">
        <is>
          <t>financials</t>
        </is>
      </c>
      <c r="D291" s="31" t="inlineStr">
        <is>
          <t>finance &amp; investments</t>
        </is>
      </c>
      <c r="E291" s="31" t="inlineStr">
        <is>
          <t>largecap</t>
        </is>
      </c>
      <c r="F291" s="31" t="n">
        <v>46170.95</v>
      </c>
      <c r="G291" s="31" t="n">
        <v>1147.8</v>
      </c>
      <c r="H291" s="31" t="n">
        <v>1.1</v>
      </c>
      <c r="I291" s="31" t="n">
        <v>1080457</v>
      </c>
      <c r="J291" s="31" t="inlineStr">
        <is>
          <t>542772</t>
        </is>
      </c>
    </row>
    <row r="292">
      <c r="A292" s="31" t="inlineStr">
        <is>
          <t>ORBTEXP</t>
        </is>
      </c>
      <c r="B292" s="31" t="inlineStr">
        <is>
          <t>Orbit Exports Limited</t>
        </is>
      </c>
      <c r="C292" s="31" t="inlineStr">
        <is>
          <t>textiles</t>
        </is>
      </c>
      <c r="D292" s="31" t="inlineStr">
        <is>
          <t>textiles - processing</t>
        </is>
      </c>
      <c r="E292" s="31" t="inlineStr">
        <is>
          <t>smallcap</t>
        </is>
      </c>
      <c r="F292" s="31" t="n">
        <v>639.29</v>
      </c>
      <c r="G292" s="31" t="n">
        <v>243.79</v>
      </c>
      <c r="H292" s="31" t="n">
        <v>1.1</v>
      </c>
      <c r="I292" s="31" t="n">
        <v>39107</v>
      </c>
      <c r="J292" s="31" t="inlineStr">
        <is>
          <t>512626</t>
        </is>
      </c>
    </row>
    <row r="293">
      <c r="A293" s="31" t="inlineStr">
        <is>
          <t>SHAREINDIA</t>
        </is>
      </c>
      <c r="B293" s="31" t="inlineStr">
        <is>
          <t>Share India Securities Ltd</t>
        </is>
      </c>
      <c r="C293" s="31" t="inlineStr">
        <is>
          <t>financials</t>
        </is>
      </c>
      <c r="D293" s="31" t="inlineStr">
        <is>
          <t>finance &amp; investments</t>
        </is>
      </c>
      <c r="E293" s="31" t="inlineStr">
        <is>
          <t>smallcap</t>
        </is>
      </c>
      <c r="F293" s="31" t="n">
        <v>3905.6</v>
      </c>
      <c r="G293" s="31" t="n">
        <v>180.4</v>
      </c>
      <c r="H293" s="31" t="n">
        <v>1.08</v>
      </c>
      <c r="I293" s="31" t="n">
        <v>406589</v>
      </c>
      <c r="J293" s="31" t="inlineStr">
        <is>
          <t>540725</t>
        </is>
      </c>
    </row>
    <row r="294">
      <c r="A294" s="31" t="inlineStr">
        <is>
          <t>ENDURANCE</t>
        </is>
      </c>
      <c r="B294" s="31" t="inlineStr">
        <is>
          <t>Endurance Technologies Limited</t>
        </is>
      </c>
      <c r="C294" s="31" t="inlineStr">
        <is>
          <t>auto</t>
        </is>
      </c>
      <c r="D294" s="31" t="inlineStr">
        <is>
          <t>auto ancillaries</t>
        </is>
      </c>
      <c r="E294" s="31" t="inlineStr">
        <is>
          <t>largecap</t>
        </is>
      </c>
      <c r="F294" s="31" t="n">
        <v>38799.03</v>
      </c>
      <c r="G294" s="31" t="n">
        <v>2787.6</v>
      </c>
      <c r="H294" s="31" t="n">
        <v>1.06</v>
      </c>
      <c r="I294" s="31" t="n">
        <v>125969</v>
      </c>
      <c r="J294" s="31" t="inlineStr">
        <is>
          <t>540153</t>
        </is>
      </c>
    </row>
    <row r="295">
      <c r="A295" s="31" t="inlineStr">
        <is>
          <t>ARROWGREEN</t>
        </is>
      </c>
      <c r="B295" s="31" t="inlineStr">
        <is>
          <t>Arrow Greentech Limited</t>
        </is>
      </c>
      <c r="C295" s="31" t="inlineStr">
        <is>
          <t>plastic products</t>
        </is>
      </c>
      <c r="D295" s="31" t="inlineStr">
        <is>
          <t>plastics products</t>
        </is>
      </c>
      <c r="E295" s="31" t="inlineStr">
        <is>
          <t>smallcap</t>
        </is>
      </c>
      <c r="F295" s="31" t="n">
        <v>1089.95</v>
      </c>
      <c r="G295" s="31" t="n">
        <v>730</v>
      </c>
      <c r="H295" s="31" t="n">
        <v>1.05</v>
      </c>
      <c r="I295" s="31" t="n">
        <v>10422</v>
      </c>
      <c r="J295" s="31" t="inlineStr">
        <is>
          <t>516064</t>
        </is>
      </c>
    </row>
    <row r="296">
      <c r="A296" s="31" t="inlineStr">
        <is>
          <t>BAJFINANCE</t>
        </is>
      </c>
      <c r="B296" s="31" t="inlineStr">
        <is>
          <t>Bajaj Finance Limited</t>
        </is>
      </c>
      <c r="C296" s="31" t="inlineStr">
        <is>
          <t>financials</t>
        </is>
      </c>
      <c r="D296" s="31" t="inlineStr">
        <is>
          <t>finance &amp; investments</t>
        </is>
      </c>
      <c r="E296" s="31" t="inlineStr">
        <is>
          <t>largecap</t>
        </is>
      </c>
      <c r="F296" s="31" t="n">
        <v>710505.91</v>
      </c>
      <c r="G296" s="31" t="n">
        <v>1153</v>
      </c>
      <c r="H296" s="31" t="n">
        <v>1.03</v>
      </c>
      <c r="I296" s="31" t="n">
        <v>40512609</v>
      </c>
      <c r="J296" s="31" t="inlineStr">
        <is>
          <t>500034</t>
        </is>
      </c>
    </row>
    <row r="297">
      <c r="A297" s="31" t="inlineStr">
        <is>
          <t>APCOTEXIND</t>
        </is>
      </c>
      <c r="B297" s="31" t="inlineStr">
        <is>
          <t>Apcotex Industries Limited</t>
        </is>
      </c>
      <c r="C297" s="31" t="inlineStr">
        <is>
          <t>chemicals</t>
        </is>
      </c>
      <c r="D297" s="31" t="inlineStr">
        <is>
          <t>miscellaneous</t>
        </is>
      </c>
      <c r="E297" s="31" t="inlineStr">
        <is>
          <t>smallcap</t>
        </is>
      </c>
      <c r="F297" s="31" t="n">
        <v>3169.54</v>
      </c>
      <c r="G297" s="31" t="n">
        <v>617.6</v>
      </c>
      <c r="H297" s="31" t="n">
        <v>1.02</v>
      </c>
      <c r="I297" s="31" t="n">
        <v>621336</v>
      </c>
      <c r="J297" s="31" t="inlineStr">
        <is>
          <t>523694</t>
        </is>
      </c>
    </row>
    <row r="298">
      <c r="A298" s="31" t="inlineStr">
        <is>
          <t>IFCI</t>
        </is>
      </c>
      <c r="B298" s="31" t="inlineStr">
        <is>
          <t>Ifci Limited</t>
        </is>
      </c>
      <c r="C298" s="31" t="inlineStr">
        <is>
          <t>financials</t>
        </is>
      </c>
      <c r="D298" s="31" t="inlineStr">
        <is>
          <t>finance - term-lending institutions</t>
        </is>
      </c>
      <c r="E298" s="31" t="inlineStr">
        <is>
          <t>largecap</t>
        </is>
      </c>
      <c r="F298" s="31" t="n">
        <v>20622.28</v>
      </c>
      <c r="G298" s="31" t="n">
        <v>77.31</v>
      </c>
      <c r="H298" s="31" t="n">
        <v>1.01</v>
      </c>
      <c r="I298" s="31" t="n">
        <v>20354825</v>
      </c>
      <c r="J298" s="31" t="inlineStr">
        <is>
          <t>500106</t>
        </is>
      </c>
    </row>
    <row r="299">
      <c r="A299" s="31" t="inlineStr">
        <is>
          <t>NGLFINE</t>
        </is>
      </c>
      <c r="B299" s="31" t="inlineStr">
        <is>
          <t>NGL Fine Chem Ltd</t>
        </is>
      </c>
      <c r="C299" s="31" t="inlineStr">
        <is>
          <t>healthcare</t>
        </is>
      </c>
      <c r="D299" s="31" t="inlineStr">
        <is>
          <t>pharmaceuticals - indian - bulk drugs</t>
        </is>
      </c>
      <c r="E299" s="31" t="inlineStr">
        <is>
          <t>smallcap</t>
        </is>
      </c>
      <c r="F299" s="31" t="n">
        <v>2014.22</v>
      </c>
      <c r="G299" s="31" t="n">
        <v>3292.8</v>
      </c>
      <c r="H299" s="31" t="n">
        <v>1</v>
      </c>
      <c r="I299" s="31" t="n">
        <v>18043</v>
      </c>
      <c r="J299" s="31" t="inlineStr">
        <is>
          <t>524774</t>
        </is>
      </c>
    </row>
    <row r="300">
      <c r="A300" s="31" t="inlineStr">
        <is>
          <t>ATHERENERG</t>
        </is>
      </c>
      <c r="B300" s="31" t="inlineStr">
        <is>
          <t>Ather Energy Ltd</t>
        </is>
      </c>
      <c r="C300" s="31" t="inlineStr">
        <is>
          <t>auto</t>
        </is>
      </c>
      <c r="D300" s="31" t="inlineStr">
        <is>
          <t>automobiles - scooters and 3 - wheelers</t>
        </is>
      </c>
      <c r="E300" s="31" t="inlineStr">
        <is>
          <t>largecap</t>
        </is>
      </c>
      <c r="F300" s="31" t="n">
        <v>49671.61</v>
      </c>
      <c r="G300" s="31" t="n">
        <v>1272.7</v>
      </c>
      <c r="H300" s="31" t="n">
        <v>0.98</v>
      </c>
      <c r="I300" s="31" t="n">
        <v>3918562</v>
      </c>
      <c r="J300" s="31" t="inlineStr">
        <is>
          <t>544397</t>
        </is>
      </c>
    </row>
    <row r="301">
      <c r="A301" s="31" t="inlineStr">
        <is>
          <t>PANAMAPET</t>
        </is>
      </c>
      <c r="B301" s="31" t="inlineStr">
        <is>
          <t>Panama Petrochem Limited</t>
        </is>
      </c>
      <c r="C301" s="31" t="inlineStr">
        <is>
          <t>energy</t>
        </is>
      </c>
      <c r="D301" s="31" t="inlineStr">
        <is>
          <t>petrochemicals</t>
        </is>
      </c>
      <c r="E301" s="31" t="inlineStr">
        <is>
          <t>smallcap</t>
        </is>
      </c>
      <c r="F301" s="31" t="n">
        <v>2743.69</v>
      </c>
      <c r="G301" s="31" t="n">
        <v>458</v>
      </c>
      <c r="H301" s="31" t="n">
        <v>0.98</v>
      </c>
      <c r="I301" s="31" t="n">
        <v>132370</v>
      </c>
      <c r="J301" s="31" t="inlineStr">
        <is>
          <t>524820</t>
        </is>
      </c>
    </row>
    <row r="302">
      <c r="A302" s="31" t="inlineStr">
        <is>
          <t>PVRINOX</t>
        </is>
      </c>
      <c r="B302" s="31" t="inlineStr">
        <is>
          <t>PVR Inox Ltd</t>
        </is>
      </c>
      <c r="C302" s="31" t="inlineStr">
        <is>
          <t>media</t>
        </is>
      </c>
      <c r="D302" s="31" t="inlineStr">
        <is>
          <t>entertainment / electronic media software</t>
        </is>
      </c>
      <c r="E302" s="31" t="inlineStr">
        <is>
          <t>midcap</t>
        </is>
      </c>
      <c r="F302" s="31" t="n">
        <v>11102.49</v>
      </c>
      <c r="G302" s="31" t="n">
        <v>1141.4</v>
      </c>
      <c r="H302" s="31" t="n">
        <v>0.96</v>
      </c>
      <c r="I302" s="31" t="n">
        <v>583974</v>
      </c>
      <c r="J302" s="31" t="inlineStr">
        <is>
          <t>532689</t>
        </is>
      </c>
    </row>
    <row r="303">
      <c r="A303" s="31" t="inlineStr">
        <is>
          <t>MMFL</t>
        </is>
      </c>
      <c r="B303" s="31" t="inlineStr">
        <is>
          <t>Mm Forgings Limited</t>
        </is>
      </c>
      <c r="C303" s="31" t="inlineStr">
        <is>
          <t>industrials</t>
        </is>
      </c>
      <c r="D303" s="31" t="inlineStr">
        <is>
          <t>castings &amp; forgings</t>
        </is>
      </c>
      <c r="E303" s="31" t="inlineStr">
        <is>
          <t>smallcap</t>
        </is>
      </c>
      <c r="F303" s="31" t="n">
        <v>2640.28</v>
      </c>
      <c r="G303" s="31" t="n">
        <v>552</v>
      </c>
      <c r="H303" s="31" t="n">
        <v>0.9399999999999999</v>
      </c>
      <c r="I303" s="31" t="n">
        <v>57880</v>
      </c>
      <c r="J303" s="31" t="inlineStr">
        <is>
          <t>522241</t>
        </is>
      </c>
    </row>
    <row r="304">
      <c r="A304" s="31" t="inlineStr">
        <is>
          <t>HAL</t>
        </is>
      </c>
      <c r="B304" s="31" t="inlineStr">
        <is>
          <t>Hindustan Aeronautics Ltd</t>
        </is>
      </c>
      <c r="C304" s="31" t="inlineStr">
        <is>
          <t>aerospace &amp; defence</t>
        </is>
      </c>
      <c r="D304" s="31" t="inlineStr">
        <is>
          <t>engineering</t>
        </is>
      </c>
      <c r="E304" s="31" t="inlineStr">
        <is>
          <t>largecap</t>
        </is>
      </c>
      <c r="F304" s="31" t="n">
        <v>310746.3</v>
      </c>
      <c r="G304" s="31" t="n">
        <v>4690</v>
      </c>
      <c r="H304" s="31" t="n">
        <v>0.9399999999999999</v>
      </c>
      <c r="I304" s="31" t="n">
        <v>1362299</v>
      </c>
      <c r="J304" s="31" t="inlineStr">
        <is>
          <t>541154</t>
        </is>
      </c>
    </row>
    <row r="305">
      <c r="A305" s="31" t="inlineStr">
        <is>
          <t>UNITDSPR</t>
        </is>
      </c>
      <c r="B305" s="31" t="inlineStr">
        <is>
          <t>United Spirits Ltd</t>
        </is>
      </c>
      <c r="C305" s="31" t="inlineStr">
        <is>
          <t>fmcg</t>
        </is>
      </c>
      <c r="D305" s="31" t="inlineStr">
        <is>
          <t>breweries &amp; distilleries</t>
        </is>
      </c>
      <c r="E305" s="31" t="inlineStr">
        <is>
          <t>largecap</t>
        </is>
      </c>
      <c r="F305" s="31" t="n">
        <v>110259.12</v>
      </c>
      <c r="G305" s="31" t="n">
        <v>1530</v>
      </c>
      <c r="H305" s="31" t="n">
        <v>0.93</v>
      </c>
      <c r="I305" s="31" t="n">
        <v>1203458</v>
      </c>
      <c r="J305" s="31" t="inlineStr">
        <is>
          <t>532432</t>
        </is>
      </c>
    </row>
    <row r="306">
      <c r="A306" s="31" t="inlineStr">
        <is>
          <t>HMVL</t>
        </is>
      </c>
      <c r="B306" s="31" t="inlineStr">
        <is>
          <t>Hindustan Media Ventures Limited</t>
        </is>
      </c>
      <c r="C306" s="31" t="inlineStr">
        <is>
          <t>media</t>
        </is>
      </c>
      <c r="D306" s="31" t="inlineStr">
        <is>
          <t>entertainment / electronic media software</t>
        </is>
      </c>
      <c r="E306" s="31" t="inlineStr">
        <is>
          <t>smallcap</t>
        </is>
      </c>
      <c r="F306" s="31" t="n">
        <v>697.15</v>
      </c>
      <c r="G306" s="31" t="n">
        <v>95.5</v>
      </c>
      <c r="H306" s="31" t="n">
        <v>0.92</v>
      </c>
      <c r="I306" s="31" t="n">
        <v>44985</v>
      </c>
      <c r="J306" s="31" t="inlineStr">
        <is>
          <t>533217</t>
        </is>
      </c>
    </row>
    <row r="307">
      <c r="A307" s="31" t="inlineStr">
        <is>
          <t>SOUTHWEST</t>
        </is>
      </c>
      <c r="B307" s="31" t="inlineStr">
        <is>
          <t>South West Pinnacle Exploration Ltd</t>
        </is>
      </c>
      <c r="C307" s="31" t="inlineStr">
        <is>
          <t>metals &amp; mining</t>
        </is>
      </c>
      <c r="D307" s="31" t="inlineStr">
        <is>
          <t>mining / minerals / metals</t>
        </is>
      </c>
      <c r="E307" s="31" t="inlineStr">
        <is>
          <t>smallcap</t>
        </is>
      </c>
      <c r="F307" s="31" t="n">
        <v>777.99</v>
      </c>
      <c r="G307" s="31" t="n">
        <v>240.44</v>
      </c>
      <c r="H307" s="31" t="n">
        <v>0.91</v>
      </c>
      <c r="I307" s="31" t="n">
        <v>106951</v>
      </c>
      <c r="J307" s="31" t="inlineStr">
        <is>
          <t>535049</t>
        </is>
      </c>
    </row>
    <row r="308">
      <c r="A308" s="31" t="inlineStr">
        <is>
          <t>M&amp;M</t>
        </is>
      </c>
      <c r="B308" s="31" t="inlineStr">
        <is>
          <t>Mahindra &amp; Mahindra Limited</t>
        </is>
      </c>
      <c r="C308" s="31" t="inlineStr">
        <is>
          <t>auto</t>
        </is>
      </c>
      <c r="D308" s="31" t="inlineStr">
        <is>
          <t>automobiles - passenger cars</t>
        </is>
      </c>
      <c r="E308" s="31" t="inlineStr">
        <is>
          <t>largecap</t>
        </is>
      </c>
      <c r="F308" s="31" t="n">
        <v>422613.27</v>
      </c>
      <c r="G308" s="31" t="n">
        <v>3428.6</v>
      </c>
      <c r="H308" s="31" t="n">
        <v>0.89</v>
      </c>
      <c r="I308" s="31" t="n">
        <v>6294453</v>
      </c>
      <c r="J308" s="31" t="inlineStr">
        <is>
          <t>500520</t>
        </is>
      </c>
    </row>
    <row r="309">
      <c r="A309" s="31" t="inlineStr">
        <is>
          <t>SFL</t>
        </is>
      </c>
      <c r="B309" s="31" t="inlineStr">
        <is>
          <t>Sheela Foam Limited</t>
        </is>
      </c>
      <c r="C309" s="31" t="inlineStr">
        <is>
          <t>consumer discretionary</t>
        </is>
      </c>
      <c r="D309" s="31" t="inlineStr">
        <is>
          <t>miscellaneous</t>
        </is>
      </c>
      <c r="E309" s="31" t="inlineStr">
        <is>
          <t>midcap</t>
        </is>
      </c>
      <c r="F309" s="31" t="n">
        <v>8559.360000000001</v>
      </c>
      <c r="G309" s="31" t="n">
        <v>790.6</v>
      </c>
      <c r="H309" s="31" t="n">
        <v>0.87</v>
      </c>
      <c r="I309" s="31" t="n">
        <v>92503</v>
      </c>
      <c r="J309" s="31" t="inlineStr">
        <is>
          <t>540203</t>
        </is>
      </c>
    </row>
    <row r="310">
      <c r="A310" s="31" t="inlineStr">
        <is>
          <t>TVSHLTD</t>
        </is>
      </c>
      <c r="B310" s="31" t="inlineStr">
        <is>
          <t>TVS Holdings Ltd</t>
        </is>
      </c>
      <c r="C310" s="31" t="inlineStr">
        <is>
          <t>financials</t>
        </is>
      </c>
      <c r="D310" s="31" t="inlineStr">
        <is>
          <t>finance &amp; investments</t>
        </is>
      </c>
      <c r="E310" s="31" t="inlineStr">
        <is>
          <t>largecap</t>
        </is>
      </c>
      <c r="F310" s="31" t="n">
        <v>29767.49</v>
      </c>
      <c r="G310" s="31" t="n">
        <v>14837</v>
      </c>
      <c r="H310" s="31" t="n">
        <v>0.84</v>
      </c>
      <c r="I310" s="31" t="n">
        <v>2983</v>
      </c>
      <c r="J310" s="31" t="inlineStr">
        <is>
          <t>520056</t>
        </is>
      </c>
    </row>
    <row r="311">
      <c r="A311" s="31" t="inlineStr">
        <is>
          <t>BALKRISIND</t>
        </is>
      </c>
      <c r="B311" s="31" t="inlineStr">
        <is>
          <t>Balkrishna Industries Limited</t>
        </is>
      </c>
      <c r="C311" s="31" t="inlineStr">
        <is>
          <t>auto</t>
        </is>
      </c>
      <c r="D311" s="31" t="inlineStr">
        <is>
          <t>tyres</t>
        </is>
      </c>
      <c r="E311" s="31" t="inlineStr">
        <is>
          <t>largecap</t>
        </is>
      </c>
      <c r="F311" s="31" t="n">
        <v>47817.01</v>
      </c>
      <c r="G311" s="31" t="n">
        <v>2492.2</v>
      </c>
      <c r="H311" s="31" t="n">
        <v>0.76</v>
      </c>
      <c r="I311" s="31" t="n">
        <v>541482</v>
      </c>
      <c r="J311" s="31" t="inlineStr">
        <is>
          <t>502355</t>
        </is>
      </c>
    </row>
    <row r="312">
      <c r="A312" s="31" t="inlineStr">
        <is>
          <t>TIMETECHNO</t>
        </is>
      </c>
      <c r="B312" s="31" t="inlineStr">
        <is>
          <t>Time Technoplast Limited</t>
        </is>
      </c>
      <c r="C312" s="31" t="inlineStr">
        <is>
          <t>plastic products</t>
        </is>
      </c>
      <c r="D312" s="31" t="inlineStr">
        <is>
          <t>plastics products</t>
        </is>
      </c>
      <c r="E312" s="31" t="inlineStr">
        <is>
          <t>midcap</t>
        </is>
      </c>
      <c r="F312" s="31" t="n">
        <v>10295.26</v>
      </c>
      <c r="G312" s="31" t="n">
        <v>210.15</v>
      </c>
      <c r="H312" s="31" t="n">
        <v>0.76</v>
      </c>
      <c r="I312" s="31" t="n">
        <v>3019188</v>
      </c>
      <c r="J312" s="31" t="inlineStr">
        <is>
          <t>532856</t>
        </is>
      </c>
    </row>
    <row r="313">
      <c r="A313" s="31" t="inlineStr">
        <is>
          <t>CARERATING</t>
        </is>
      </c>
      <c r="B313" s="31" t="inlineStr">
        <is>
          <t>CARE Ratings Ltd</t>
        </is>
      </c>
      <c r="C313" s="31" t="inlineStr">
        <is>
          <t>financials</t>
        </is>
      </c>
      <c r="D313" s="31" t="inlineStr">
        <is>
          <t>miscellaneous</t>
        </is>
      </c>
      <c r="E313" s="31" t="inlineStr">
        <is>
          <t>midcap</t>
        </is>
      </c>
      <c r="F313" s="31" t="n">
        <v>5138.83</v>
      </c>
      <c r="G313" s="31" t="n">
        <v>1722</v>
      </c>
      <c r="H313" s="31" t="n">
        <v>0.73</v>
      </c>
      <c r="I313" s="31" t="n">
        <v>50880</v>
      </c>
      <c r="J313" s="31" t="inlineStr">
        <is>
          <t>534804</t>
        </is>
      </c>
    </row>
    <row r="314">
      <c r="A314" s="31" t="inlineStr">
        <is>
          <t>YASHO</t>
        </is>
      </c>
      <c r="B314" s="31" t="inlineStr">
        <is>
          <t>Yasho Industries Ltd</t>
        </is>
      </c>
      <c r="C314" s="31" t="inlineStr">
        <is>
          <t>chemicals</t>
        </is>
      </c>
      <c r="D314" s="31" t="inlineStr">
        <is>
          <t>chemicals</t>
        </is>
      </c>
      <c r="E314" s="31" t="inlineStr">
        <is>
          <t>smallcap</t>
        </is>
      </c>
      <c r="F314" s="31" t="n">
        <v>4650.58</v>
      </c>
      <c r="G314" s="31" t="n">
        <v>3884.8</v>
      </c>
      <c r="H314" s="31" t="n">
        <v>0.68</v>
      </c>
      <c r="I314" s="31" t="n">
        <v>438114</v>
      </c>
      <c r="J314" s="31" t="inlineStr">
        <is>
          <t>541167</t>
        </is>
      </c>
    </row>
    <row r="315">
      <c r="A315" s="31" t="inlineStr">
        <is>
          <t>GHCLTEXTIL</t>
        </is>
      </c>
      <c r="B315" s="31" t="inlineStr">
        <is>
          <t>GHCL Textiles Ltd</t>
        </is>
      </c>
      <c r="C315" s="31" t="inlineStr">
        <is>
          <t>textiles</t>
        </is>
      </c>
      <c r="D315" s="31" t="inlineStr">
        <is>
          <t>textiles - spinning - synthetic / blended</t>
        </is>
      </c>
      <c r="E315" s="31" t="inlineStr">
        <is>
          <t>smallcap</t>
        </is>
      </c>
      <c r="F315" s="31" t="n">
        <v>1086.05</v>
      </c>
      <c r="G315" s="31" t="n">
        <v>114.36</v>
      </c>
      <c r="H315" s="31" t="n">
        <v>0.65</v>
      </c>
      <c r="I315" s="31" t="n">
        <v>1160474</v>
      </c>
      <c r="J315" s="31" t="inlineStr">
        <is>
          <t>543918</t>
        </is>
      </c>
    </row>
    <row r="316">
      <c r="A316" s="31" t="inlineStr">
        <is>
          <t>CHOICEIN</t>
        </is>
      </c>
      <c r="B316" s="31" t="inlineStr">
        <is>
          <t>Choice International Ltd</t>
        </is>
      </c>
      <c r="C316" s="31" t="inlineStr">
        <is>
          <t>financials</t>
        </is>
      </c>
      <c r="D316" s="31" t="inlineStr">
        <is>
          <t>finance &amp; investments</t>
        </is>
      </c>
      <c r="E316" s="31" t="inlineStr">
        <is>
          <t>midcap</t>
        </is>
      </c>
      <c r="F316" s="31" t="n">
        <v>18333.39</v>
      </c>
      <c r="G316" s="31" t="n">
        <v>828.1</v>
      </c>
      <c r="H316" s="31" t="n">
        <v>0.63</v>
      </c>
      <c r="I316" s="31" t="n">
        <v>550388</v>
      </c>
      <c r="J316" s="31" t="inlineStr">
        <is>
          <t>531358</t>
        </is>
      </c>
    </row>
    <row r="317">
      <c r="A317" s="31" t="inlineStr">
        <is>
          <t>HUHTAMAKI</t>
        </is>
      </c>
      <c r="B317" s="31" t="inlineStr">
        <is>
          <t>Huhtamaki India Ltd</t>
        </is>
      </c>
      <c r="C317" s="31" t="inlineStr">
        <is>
          <t>industrials</t>
        </is>
      </c>
      <c r="D317" s="31" t="inlineStr">
        <is>
          <t>packaging</t>
        </is>
      </c>
      <c r="E317" s="31" t="inlineStr">
        <is>
          <t>smallcap</t>
        </is>
      </c>
      <c r="F317" s="31" t="n">
        <v>2251.61</v>
      </c>
      <c r="G317" s="31" t="n">
        <v>300</v>
      </c>
      <c r="H317" s="31" t="n">
        <v>0.62</v>
      </c>
      <c r="I317" s="31" t="n">
        <v>459451</v>
      </c>
      <c r="J317" s="31" t="inlineStr">
        <is>
          <t>509820</t>
        </is>
      </c>
    </row>
    <row r="318">
      <c r="A318" s="31" t="inlineStr">
        <is>
          <t>KAMDHENU</t>
        </is>
      </c>
      <c r="B318" s="31" t="inlineStr">
        <is>
          <t>Kamdhenu Limited</t>
        </is>
      </c>
      <c r="C318" s="31" t="inlineStr">
        <is>
          <t>metals &amp; mining</t>
        </is>
      </c>
      <c r="D318" s="31" t="inlineStr">
        <is>
          <t>steel - medium / small</t>
        </is>
      </c>
      <c r="E318" s="31" t="inlineStr">
        <is>
          <t>smallcap</t>
        </is>
      </c>
      <c r="F318" s="31" t="n">
        <v>966.86</v>
      </c>
      <c r="G318" s="31" t="n">
        <v>34.51</v>
      </c>
      <c r="H318" s="31" t="n">
        <v>0.61</v>
      </c>
      <c r="I318" s="31" t="n">
        <v>368546</v>
      </c>
      <c r="J318" s="31" t="inlineStr">
        <is>
          <t>532741</t>
        </is>
      </c>
    </row>
    <row r="319">
      <c r="A319" s="31" t="inlineStr">
        <is>
          <t>ONWARDTEC</t>
        </is>
      </c>
      <c r="B319" s="31" t="inlineStr">
        <is>
          <t>Onward Technologies Limited</t>
        </is>
      </c>
      <c r="C319" s="31" t="inlineStr">
        <is>
          <t>i.t</t>
        </is>
      </c>
      <c r="D319" s="31" t="inlineStr">
        <is>
          <t>computers - software - medium / small</t>
        </is>
      </c>
      <c r="E319" s="31" t="inlineStr">
        <is>
          <t>smallcap</t>
        </is>
      </c>
      <c r="F319" s="31" t="n">
        <v>649.71</v>
      </c>
      <c r="G319" s="31" t="n">
        <v>293.85</v>
      </c>
      <c r="H319" s="31" t="n">
        <v>0.6</v>
      </c>
      <c r="I319" s="31" t="n">
        <v>49559</v>
      </c>
      <c r="J319" s="31" t="inlineStr">
        <is>
          <t>517536</t>
        </is>
      </c>
    </row>
    <row r="320">
      <c r="A320" s="31" t="inlineStr">
        <is>
          <t>GRWRHITECH</t>
        </is>
      </c>
      <c r="B320" s="31" t="inlineStr">
        <is>
          <t>Garware Hi Tech Films Ltd</t>
        </is>
      </c>
      <c r="C320" s="31" t="inlineStr">
        <is>
          <t>industrials</t>
        </is>
      </c>
      <c r="D320" s="31" t="inlineStr">
        <is>
          <t>packaging</t>
        </is>
      </c>
      <c r="E320" s="31" t="inlineStr">
        <is>
          <t>midcap</t>
        </is>
      </c>
      <c r="F320" s="31" t="n">
        <v>16614.65</v>
      </c>
      <c r="G320" s="31" t="n">
        <v>7192</v>
      </c>
      <c r="H320" s="31" t="n">
        <v>0.57</v>
      </c>
      <c r="I320" s="31" t="n">
        <v>38146</v>
      </c>
      <c r="J320" s="31" t="inlineStr">
        <is>
          <t>500655</t>
        </is>
      </c>
    </row>
    <row r="321">
      <c r="A321" s="31" t="inlineStr">
        <is>
          <t>GANDHITUBE</t>
        </is>
      </c>
      <c r="B321" s="31" t="inlineStr">
        <is>
          <t>Gandhi Special Tubes Limited</t>
        </is>
      </c>
      <c r="C321" s="31" t="inlineStr">
        <is>
          <t>metals &amp; mining</t>
        </is>
      </c>
      <c r="D321" s="31" t="inlineStr">
        <is>
          <t>steel - medium / small</t>
        </is>
      </c>
      <c r="E321" s="31" t="inlineStr">
        <is>
          <t>smallcap</t>
        </is>
      </c>
      <c r="F321" s="31" t="n">
        <v>1064.94</v>
      </c>
      <c r="G321" s="31" t="n">
        <v>881.1</v>
      </c>
      <c r="H321" s="31" t="n">
        <v>0.54</v>
      </c>
      <c r="I321" s="31" t="n">
        <v>4749</v>
      </c>
      <c r="J321" s="31" t="inlineStr">
        <is>
          <t>513108</t>
        </is>
      </c>
    </row>
    <row r="322">
      <c r="A322" s="31" t="inlineStr">
        <is>
          <t>CONSOFINVT</t>
        </is>
      </c>
      <c r="B322" s="31" t="inlineStr">
        <is>
          <t>Consolidated Finvest &amp; Holdings Limited</t>
        </is>
      </c>
      <c r="C322" s="31" t="inlineStr">
        <is>
          <t>financials</t>
        </is>
      </c>
      <c r="D322" s="31" t="inlineStr">
        <is>
          <t>finance &amp; investments</t>
        </is>
      </c>
      <c r="E322" s="31" t="inlineStr">
        <is>
          <t>smallcap</t>
        </is>
      </c>
      <c r="F322" s="31" t="n">
        <v>964.13</v>
      </c>
      <c r="G322" s="31" t="n">
        <v>299.8</v>
      </c>
      <c r="H322" s="31" t="n">
        <v>0.52</v>
      </c>
      <c r="I322" s="31" t="n">
        <v>6274</v>
      </c>
      <c r="J322" s="31" t="inlineStr">
        <is>
          <t>500226</t>
        </is>
      </c>
    </row>
    <row r="323">
      <c r="A323" s="31" t="inlineStr">
        <is>
          <t>TARSONS</t>
        </is>
      </c>
      <c r="B323" s="31" t="inlineStr">
        <is>
          <t>Tarsons Products Ltd</t>
        </is>
      </c>
      <c r="C323" s="31" t="inlineStr">
        <is>
          <t>healthcare</t>
        </is>
      </c>
      <c r="D323" s="31" t="inlineStr">
        <is>
          <t>miscellaneous</t>
        </is>
      </c>
      <c r="E323" s="31" t="inlineStr">
        <is>
          <t>smallcap</t>
        </is>
      </c>
      <c r="F323" s="31" t="n">
        <v>1673.87</v>
      </c>
      <c r="G323" s="31" t="n">
        <v>316.25</v>
      </c>
      <c r="H323" s="31" t="n">
        <v>0.52</v>
      </c>
      <c r="I323" s="31" t="n">
        <v>107915</v>
      </c>
      <c r="J323" s="31" t="inlineStr">
        <is>
          <t>543399</t>
        </is>
      </c>
    </row>
    <row r="324">
      <c r="A324" s="31" t="inlineStr">
        <is>
          <t>BHARATFORG</t>
        </is>
      </c>
      <c r="B324" s="31" t="inlineStr">
        <is>
          <t>Bharat Forge Limited</t>
        </is>
      </c>
      <c r="C324" s="31" t="inlineStr">
        <is>
          <t>industrials</t>
        </is>
      </c>
      <c r="D324" s="31" t="inlineStr">
        <is>
          <t>castings &amp; forgings</t>
        </is>
      </c>
      <c r="E324" s="31" t="inlineStr">
        <is>
          <t>largecap</t>
        </is>
      </c>
      <c r="F324" s="31" t="n">
        <v>105169.94</v>
      </c>
      <c r="G324" s="31" t="n">
        <v>2211</v>
      </c>
      <c r="H324" s="31" t="n">
        <v>0.51</v>
      </c>
      <c r="I324" s="31" t="n">
        <v>1732438</v>
      </c>
      <c r="J324" s="31" t="inlineStr">
        <is>
          <t>500493</t>
        </is>
      </c>
    </row>
    <row r="325">
      <c r="A325" s="31" t="inlineStr">
        <is>
          <t>INDOTECH</t>
        </is>
      </c>
      <c r="B325" s="31" t="inlineStr">
        <is>
          <t>Indo Tech Transformers Limited</t>
        </is>
      </c>
      <c r="C325" s="31" t="inlineStr">
        <is>
          <t>industrials</t>
        </is>
      </c>
      <c r="D325" s="31" t="inlineStr">
        <is>
          <t>electric equipment</t>
        </is>
      </c>
      <c r="E325" s="31" t="inlineStr">
        <is>
          <t>smallcap</t>
        </is>
      </c>
      <c r="F325" s="31" t="n">
        <v>3667.94</v>
      </c>
      <c r="G325" s="31" t="n">
        <v>3470.7</v>
      </c>
      <c r="H325" s="31" t="n">
        <v>0.49</v>
      </c>
      <c r="I325" s="31" t="n">
        <v>20773</v>
      </c>
      <c r="J325" s="31" t="inlineStr">
        <is>
          <t>532717</t>
        </is>
      </c>
    </row>
    <row r="326">
      <c r="A326" s="31" t="inlineStr">
        <is>
          <t>PERSISTENT</t>
        </is>
      </c>
      <c r="B326" s="31" t="inlineStr">
        <is>
          <t>Persistent Systems Limited</t>
        </is>
      </c>
      <c r="C326" s="31" t="inlineStr">
        <is>
          <t>i.t</t>
        </is>
      </c>
      <c r="D326" s="31" t="inlineStr">
        <is>
          <t>computers - software - large</t>
        </is>
      </c>
      <c r="E326" s="31" t="inlineStr">
        <is>
          <t>largecap</t>
        </is>
      </c>
      <c r="F326" s="31" t="n">
        <v>87535.48</v>
      </c>
      <c r="G326" s="31" t="n">
        <v>5575</v>
      </c>
      <c r="H326" s="31" t="n">
        <v>0.47</v>
      </c>
      <c r="I326" s="31" t="n">
        <v>3965510</v>
      </c>
      <c r="J326" s="31" t="inlineStr">
        <is>
          <t>533179</t>
        </is>
      </c>
    </row>
    <row r="327">
      <c r="A327" s="31" t="inlineStr">
        <is>
          <t>IRISDOREME</t>
        </is>
      </c>
      <c r="B327" s="31" t="inlineStr">
        <is>
          <t>Iris Clothings Ltd</t>
        </is>
      </c>
      <c r="C327" s="31" t="inlineStr">
        <is>
          <t>consumer discretionary</t>
        </is>
      </c>
      <c r="D327" s="31" t="inlineStr">
        <is>
          <t>textiles - products</t>
        </is>
      </c>
      <c r="E327" s="31" t="inlineStr">
        <is>
          <t>smallcap</t>
        </is>
      </c>
      <c r="F327" s="31" t="n">
        <v>1008</v>
      </c>
      <c r="G327" s="31" t="n">
        <v>53.2</v>
      </c>
      <c r="H327" s="31" t="n">
        <v>0.45</v>
      </c>
      <c r="I327" s="31" t="n">
        <v>459961</v>
      </c>
      <c r="J327" s="31" t="inlineStr">
        <is>
          <t>535123</t>
        </is>
      </c>
    </row>
    <row r="328">
      <c r="A328" s="31" t="inlineStr">
        <is>
          <t>SUNFLAG</t>
        </is>
      </c>
      <c r="B328" s="31" t="inlineStr">
        <is>
          <t>Sunflag Iron And Steel Company Limited</t>
        </is>
      </c>
      <c r="C328" s="31" t="inlineStr">
        <is>
          <t>metals &amp; mining</t>
        </is>
      </c>
      <c r="D328" s="31" t="inlineStr">
        <is>
          <t>steel - medium / small</t>
        </is>
      </c>
      <c r="E328" s="31" t="inlineStr">
        <is>
          <t>midcap</t>
        </is>
      </c>
      <c r="F328" s="31" t="n">
        <v>6583.42</v>
      </c>
      <c r="G328" s="31" t="n">
        <v>366.85</v>
      </c>
      <c r="H328" s="31" t="n">
        <v>0.42</v>
      </c>
      <c r="I328" s="31" t="n">
        <v>422640</v>
      </c>
      <c r="J328" s="31" t="inlineStr">
        <is>
          <t>500404</t>
        </is>
      </c>
    </row>
    <row r="329">
      <c r="A329" s="31" t="inlineStr">
        <is>
          <t>ATUL</t>
        </is>
      </c>
      <c r="B329" s="31" t="inlineStr">
        <is>
          <t>Atul Limited</t>
        </is>
      </c>
      <c r="C329" s="31" t="inlineStr">
        <is>
          <t>chemicals</t>
        </is>
      </c>
      <c r="D329" s="31" t="inlineStr">
        <is>
          <t>chemicals</t>
        </is>
      </c>
      <c r="E329" s="31" t="inlineStr">
        <is>
          <t>midcap</t>
        </is>
      </c>
      <c r="F329" s="31" t="n">
        <v>19833.44</v>
      </c>
      <c r="G329" s="31" t="n">
        <v>6765</v>
      </c>
      <c r="H329" s="31" t="n">
        <v>0.42</v>
      </c>
      <c r="I329" s="31" t="n">
        <v>23390</v>
      </c>
      <c r="J329" s="31" t="inlineStr">
        <is>
          <t>500027</t>
        </is>
      </c>
    </row>
    <row r="330">
      <c r="A330" s="31" t="inlineStr">
        <is>
          <t>VSSL</t>
        </is>
      </c>
      <c r="B330" s="31" t="inlineStr">
        <is>
          <t>Vardhman Special Steels Limited</t>
        </is>
      </c>
      <c r="C330" s="31" t="inlineStr">
        <is>
          <t>metals &amp; mining</t>
        </is>
      </c>
      <c r="D330" s="31" t="inlineStr">
        <is>
          <t>steel - medium / small</t>
        </is>
      </c>
      <c r="E330" s="31" t="inlineStr">
        <is>
          <t>smallcap</t>
        </is>
      </c>
      <c r="F330" s="31" t="n">
        <v>2946.5</v>
      </c>
      <c r="G330" s="31" t="n">
        <v>306</v>
      </c>
      <c r="H330" s="31" t="n">
        <v>0.41</v>
      </c>
      <c r="I330" s="31" t="n">
        <v>76665</v>
      </c>
      <c r="J330" s="31" t="inlineStr">
        <is>
          <t>534392</t>
        </is>
      </c>
    </row>
    <row r="331">
      <c r="A331" s="31" t="inlineStr">
        <is>
          <t>LANDMARK</t>
        </is>
      </c>
      <c r="B331" s="31" t="inlineStr">
        <is>
          <t>Landmark Cars Ltd</t>
        </is>
      </c>
      <c r="C331" s="31" t="inlineStr">
        <is>
          <t>consumer discretionary</t>
        </is>
      </c>
      <c r="D331" s="31" t="inlineStr">
        <is>
          <t>trading</t>
        </is>
      </c>
      <c r="E331" s="31" t="inlineStr">
        <is>
          <t>smallcap</t>
        </is>
      </c>
      <c r="F331" s="31" t="n">
        <v>2242.22</v>
      </c>
      <c r="G331" s="31" t="n">
        <v>542.9</v>
      </c>
      <c r="H331" s="31" t="n">
        <v>0.4</v>
      </c>
      <c r="I331" s="31" t="n">
        <v>265415</v>
      </c>
      <c r="J331" s="31" t="inlineStr">
        <is>
          <t>543714</t>
        </is>
      </c>
    </row>
    <row r="332">
      <c r="A332" s="31" t="inlineStr">
        <is>
          <t>MMP</t>
        </is>
      </c>
      <c r="B332" s="31" t="inlineStr">
        <is>
          <t>MMP Industries Ltd</t>
        </is>
      </c>
      <c r="C332" s="31" t="inlineStr">
        <is>
          <t>metals &amp; mining</t>
        </is>
      </c>
      <c r="D332" s="31" t="inlineStr">
        <is>
          <t>aluminium and aluminium products</t>
        </is>
      </c>
      <c r="E332" s="31" t="inlineStr">
        <is>
          <t>smallcap</t>
        </is>
      </c>
      <c r="F332" s="31" t="n">
        <v>553.4299999999999</v>
      </c>
      <c r="G332" s="31" t="n">
        <v>293.6</v>
      </c>
      <c r="H332" s="31" t="n">
        <v>0.38</v>
      </c>
      <c r="I332" s="31" t="n">
        <v>48024</v>
      </c>
      <c r="J332" s="31" t="inlineStr">
        <is>
          <t>535071</t>
        </is>
      </c>
    </row>
    <row r="333">
      <c r="A333" s="31" t="inlineStr">
        <is>
          <t>KRYSTAL</t>
        </is>
      </c>
      <c r="B333" s="31" t="inlineStr">
        <is>
          <t>Krystal Integrated Services Ltd</t>
        </is>
      </c>
      <c r="C333" s="31" t="inlineStr">
        <is>
          <t>miscellaneous</t>
        </is>
      </c>
      <c r="D333" s="31" t="inlineStr">
        <is>
          <t>miscellaneous</t>
        </is>
      </c>
      <c r="E333" s="31" t="inlineStr">
        <is>
          <t>smallcap</t>
        </is>
      </c>
      <c r="F333" s="31" t="n">
        <v>838.39</v>
      </c>
      <c r="G333" s="31" t="n">
        <v>602.2</v>
      </c>
      <c r="H333" s="31" t="n">
        <v>0.36</v>
      </c>
      <c r="I333" s="31" t="n">
        <v>12573</v>
      </c>
      <c r="J333" s="31" t="inlineStr">
        <is>
          <t>544149</t>
        </is>
      </c>
    </row>
    <row r="334">
      <c r="A334" s="31" t="inlineStr">
        <is>
          <t>KIRLOSIND</t>
        </is>
      </c>
      <c r="B334" s="31" t="inlineStr">
        <is>
          <t>Kirloskar Industries Limited</t>
        </is>
      </c>
      <c r="C334" s="31" t="inlineStr">
        <is>
          <t>financials</t>
        </is>
      </c>
      <c r="D334" s="31" t="inlineStr">
        <is>
          <t>finance &amp; investments</t>
        </is>
      </c>
      <c r="E334" s="31" t="inlineStr">
        <is>
          <t>smallcap</t>
        </is>
      </c>
      <c r="F334" s="31" t="n">
        <v>4141.53</v>
      </c>
      <c r="G334" s="31" t="n">
        <v>3952.6</v>
      </c>
      <c r="H334" s="31" t="n">
        <v>0.3</v>
      </c>
      <c r="I334" s="31" t="n">
        <v>10677</v>
      </c>
      <c r="J334" s="31" t="inlineStr">
        <is>
          <t>500243</t>
        </is>
      </c>
    </row>
    <row r="335">
      <c r="A335" s="31" t="inlineStr">
        <is>
          <t>PNB</t>
        </is>
      </c>
      <c r="B335" s="31" t="inlineStr">
        <is>
          <t>Punjab National Bank Ltd</t>
        </is>
      </c>
      <c r="C335" s="31" t="inlineStr">
        <is>
          <t>bank</t>
        </is>
      </c>
      <c r="D335" s="31" t="inlineStr">
        <is>
          <t>banks - public sector</t>
        </is>
      </c>
      <c r="E335" s="31" t="inlineStr">
        <is>
          <t>largecap</t>
        </is>
      </c>
      <c r="F335" s="31" t="n">
        <v>129536.96</v>
      </c>
      <c r="G335" s="31" t="n">
        <v>113</v>
      </c>
      <c r="H335" s="31" t="n">
        <v>0.26</v>
      </c>
      <c r="I335" s="31" t="n">
        <v>35587161</v>
      </c>
      <c r="J335" s="31" t="inlineStr">
        <is>
          <t>532461</t>
        </is>
      </c>
    </row>
    <row r="336">
      <c r="A336" s="31" t="inlineStr">
        <is>
          <t>GLAXO</t>
        </is>
      </c>
      <c r="B336" s="31" t="inlineStr">
        <is>
          <t>Glaxosmithkline Pharmaceuticals Limited</t>
        </is>
      </c>
      <c r="C336" s="31" t="inlineStr">
        <is>
          <t>healthcare</t>
        </is>
      </c>
      <c r="D336" s="31" t="inlineStr">
        <is>
          <t>pharmaceuticals - multinational</t>
        </is>
      </c>
      <c r="E336" s="31" t="inlineStr">
        <is>
          <t>largecap</t>
        </is>
      </c>
      <c r="F336" s="31" t="n">
        <v>44984.08</v>
      </c>
      <c r="G336" s="31" t="n">
        <v>2662.3</v>
      </c>
      <c r="H336" s="31" t="n">
        <v>0.26</v>
      </c>
      <c r="I336" s="31" t="n">
        <v>89411</v>
      </c>
      <c r="J336" s="31" t="inlineStr">
        <is>
          <t>500660</t>
        </is>
      </c>
    </row>
    <row r="337">
      <c r="A337" s="31" t="inlineStr">
        <is>
          <t>ANANTRAJ</t>
        </is>
      </c>
      <c r="B337" s="31" t="inlineStr">
        <is>
          <t>Anant Raj Limited</t>
        </is>
      </c>
      <c r="C337" s="31" t="inlineStr">
        <is>
          <t>realty</t>
        </is>
      </c>
      <c r="D337" s="31" t="inlineStr">
        <is>
          <t>construction</t>
        </is>
      </c>
      <c r="E337" s="31" t="inlineStr">
        <is>
          <t>largecap</t>
        </is>
      </c>
      <c r="F337" s="31" t="n">
        <v>22474.31</v>
      </c>
      <c r="G337" s="31" t="n">
        <v>626.15</v>
      </c>
      <c r="H337" s="31" t="n">
        <v>0.26</v>
      </c>
      <c r="I337" s="31" t="n">
        <v>2761055</v>
      </c>
      <c r="J337" s="31" t="inlineStr">
        <is>
          <t>515055</t>
        </is>
      </c>
    </row>
    <row r="338">
      <c r="A338" s="31" t="inlineStr">
        <is>
          <t>CYIENTDLM</t>
        </is>
      </c>
      <c r="B338" s="31" t="inlineStr">
        <is>
          <t>Cyient DLM Ltd</t>
        </is>
      </c>
      <c r="C338" s="31" t="inlineStr">
        <is>
          <t>consumer discretionary</t>
        </is>
      </c>
      <c r="D338" s="31" t="inlineStr">
        <is>
          <t>electronics - components</t>
        </is>
      </c>
      <c r="E338" s="31" t="inlineStr">
        <is>
          <t>midcap</t>
        </is>
      </c>
      <c r="F338" s="31" t="n">
        <v>5319.08</v>
      </c>
      <c r="G338" s="31" t="n">
        <v>671.7</v>
      </c>
      <c r="H338" s="31" t="n">
        <v>0.25</v>
      </c>
      <c r="I338" s="31" t="n">
        <v>207998</v>
      </c>
      <c r="J338" s="31" t="inlineStr">
        <is>
          <t>543933</t>
        </is>
      </c>
    </row>
    <row r="339">
      <c r="A339" s="31" t="inlineStr">
        <is>
          <t>JINDALSTEL</t>
        </is>
      </c>
      <c r="B339" s="31" t="inlineStr">
        <is>
          <t>Jindal Steel Ltd</t>
        </is>
      </c>
      <c r="C339" s="31" t="inlineStr">
        <is>
          <t>metals &amp; mining</t>
        </is>
      </c>
      <c r="D339" s="31" t="inlineStr">
        <is>
          <t>steel - large</t>
        </is>
      </c>
      <c r="E339" s="31" t="inlineStr">
        <is>
          <t>largecap</t>
        </is>
      </c>
      <c r="F339" s="31" t="n">
        <v>112454.51</v>
      </c>
      <c r="G339" s="31" t="n">
        <v>1105.1</v>
      </c>
      <c r="H339" s="31" t="n">
        <v>0.24</v>
      </c>
      <c r="I339" s="31" t="n">
        <v>3452355</v>
      </c>
      <c r="J339" s="31" t="inlineStr">
        <is>
          <t>532286</t>
        </is>
      </c>
    </row>
    <row r="340">
      <c r="A340" s="31" t="inlineStr">
        <is>
          <t>INDNIPPON</t>
        </is>
      </c>
      <c r="B340" s="31" t="inlineStr">
        <is>
          <t>India Nippon Electricals Limited</t>
        </is>
      </c>
      <c r="C340" s="31" t="inlineStr">
        <is>
          <t>auto</t>
        </is>
      </c>
      <c r="D340" s="31" t="inlineStr">
        <is>
          <t>auto ancillaries</t>
        </is>
      </c>
      <c r="E340" s="31" t="inlineStr">
        <is>
          <t>smallcap</t>
        </is>
      </c>
      <c r="F340" s="31" t="n">
        <v>2647.61</v>
      </c>
      <c r="G340" s="31" t="n">
        <v>1173.2</v>
      </c>
      <c r="H340" s="31" t="n">
        <v>0.24</v>
      </c>
      <c r="I340" s="31" t="n">
        <v>64388</v>
      </c>
      <c r="J340" s="31" t="inlineStr">
        <is>
          <t>532240</t>
        </is>
      </c>
    </row>
    <row r="341">
      <c r="A341" s="31" t="inlineStr">
        <is>
          <t>HCG</t>
        </is>
      </c>
      <c r="B341" s="31" t="inlineStr">
        <is>
          <t>Healthcare Global Enterprises Limited</t>
        </is>
      </c>
      <c r="C341" s="31" t="inlineStr">
        <is>
          <t>healthcare</t>
        </is>
      </c>
      <c r="D341" s="31" t="inlineStr">
        <is>
          <t>healthcare</t>
        </is>
      </c>
      <c r="E341" s="31" t="inlineStr">
        <is>
          <t>midcap</t>
        </is>
      </c>
      <c r="F341" s="31" t="n">
        <v>10021.16</v>
      </c>
      <c r="G341" s="31" t="n">
        <v>672.75</v>
      </c>
      <c r="H341" s="31" t="n">
        <v>0.23</v>
      </c>
      <c r="I341" s="31" t="n">
        <v>77148</v>
      </c>
      <c r="J341" s="31" t="inlineStr">
        <is>
          <t>539787</t>
        </is>
      </c>
    </row>
    <row r="342">
      <c r="A342" s="31" t="inlineStr">
        <is>
          <t>RICOAUTO</t>
        </is>
      </c>
      <c r="B342" s="31" t="inlineStr">
        <is>
          <t>Rico Auto Industries Limited</t>
        </is>
      </c>
      <c r="C342" s="31" t="inlineStr">
        <is>
          <t>auto</t>
        </is>
      </c>
      <c r="D342" s="31" t="inlineStr">
        <is>
          <t>auto ancillaries</t>
        </is>
      </c>
      <c r="E342" s="31" t="inlineStr">
        <is>
          <t>smallcap</t>
        </is>
      </c>
      <c r="F342" s="31" t="n">
        <v>1917.94</v>
      </c>
      <c r="G342" s="31" t="n">
        <v>142.07</v>
      </c>
      <c r="H342" s="31" t="n">
        <v>0.21</v>
      </c>
      <c r="I342" s="31" t="n">
        <v>1456706</v>
      </c>
      <c r="J342" s="31" t="inlineStr">
        <is>
          <t>520008</t>
        </is>
      </c>
    </row>
    <row r="343">
      <c r="A343" s="31" t="inlineStr">
        <is>
          <t>SUYOG</t>
        </is>
      </c>
      <c r="B343" s="31" t="inlineStr">
        <is>
          <t>Suyog Telematics Ltd</t>
        </is>
      </c>
      <c r="C343" s="31" t="inlineStr">
        <is>
          <t>telecom</t>
        </is>
      </c>
      <c r="D343" s="31" t="inlineStr">
        <is>
          <t>transmisson line towers / equipment</t>
        </is>
      </c>
      <c r="E343" s="31" t="inlineStr">
        <is>
          <t>smallcap</t>
        </is>
      </c>
      <c r="F343" s="31" t="n">
        <v>1015</v>
      </c>
      <c r="G343" s="31" t="n">
        <v>868</v>
      </c>
      <c r="H343" s="31" t="n">
        <v>0.2</v>
      </c>
      <c r="I343" s="31" t="n">
        <v>15733</v>
      </c>
      <c r="J343" s="31" t="inlineStr">
        <is>
          <t>537259</t>
        </is>
      </c>
    </row>
    <row r="344">
      <c r="A344" s="31" t="inlineStr">
        <is>
          <t>LLOYDSME</t>
        </is>
      </c>
      <c r="B344" s="31" t="inlineStr">
        <is>
          <t>Lloyds Metals &amp; Energy Ltd</t>
        </is>
      </c>
      <c r="C344" s="31" t="inlineStr">
        <is>
          <t>metals &amp; mining</t>
        </is>
      </c>
      <c r="D344" s="31" t="inlineStr">
        <is>
          <t>mining / minerals / metals</t>
        </is>
      </c>
      <c r="E344" s="31" t="inlineStr">
        <is>
          <t>largecap</t>
        </is>
      </c>
      <c r="F344" s="31" t="n">
        <v>115227.05</v>
      </c>
      <c r="G344" s="31" t="n">
        <v>2050.6</v>
      </c>
      <c r="H344" s="31" t="n">
        <v>0.18</v>
      </c>
      <c r="I344" s="31" t="n">
        <v>607396</v>
      </c>
      <c r="J344" s="31" t="inlineStr">
        <is>
          <t>512455</t>
        </is>
      </c>
    </row>
    <row r="345">
      <c r="A345" s="31" t="inlineStr">
        <is>
          <t>TI</t>
        </is>
      </c>
      <c r="B345" s="31" t="inlineStr">
        <is>
          <t>Tilaknagar Industries Limited</t>
        </is>
      </c>
      <c r="C345" s="31" t="inlineStr">
        <is>
          <t>fmcg</t>
        </is>
      </c>
      <c r="D345" s="31" t="inlineStr">
        <is>
          <t>breweries &amp; distilleries</t>
        </is>
      </c>
      <c r="E345" s="31" t="inlineStr">
        <is>
          <t>midcap</t>
        </is>
      </c>
      <c r="F345" s="31" t="n">
        <v>11511.25</v>
      </c>
      <c r="G345" s="31" t="n">
        <v>465.8</v>
      </c>
      <c r="H345" s="31" t="n">
        <v>0.14</v>
      </c>
      <c r="I345" s="31" t="n">
        <v>1070942</v>
      </c>
      <c r="J345" s="31" t="inlineStr">
        <is>
          <t>507205</t>
        </is>
      </c>
    </row>
    <row r="346">
      <c r="A346" s="31" t="inlineStr">
        <is>
          <t>CUPID</t>
        </is>
      </c>
      <c r="B346" s="31" t="inlineStr">
        <is>
          <t>Cupid Limited</t>
        </is>
      </c>
      <c r="C346" s="31" t="inlineStr">
        <is>
          <t>fmcg</t>
        </is>
      </c>
      <c r="D346" s="31" t="inlineStr">
        <is>
          <t>personal care - indian</t>
        </is>
      </c>
      <c r="E346" s="31" t="inlineStr">
        <is>
          <t>largecap</t>
        </is>
      </c>
      <c r="F346" s="31" t="n">
        <v>31010.57</v>
      </c>
      <c r="G346" s="31" t="n">
        <v>230.95</v>
      </c>
      <c r="H346" s="31" t="n">
        <v>0.14</v>
      </c>
      <c r="I346" s="31" t="n">
        <v>11488810</v>
      </c>
      <c r="J346" s="31" t="inlineStr">
        <is>
          <t>530843</t>
        </is>
      </c>
    </row>
    <row r="347">
      <c r="A347" s="31" t="inlineStr">
        <is>
          <t>BLSE</t>
        </is>
      </c>
      <c r="B347" s="31" t="inlineStr">
        <is>
          <t>BLS E-Services Ltd</t>
        </is>
      </c>
      <c r="C347" s="31" t="inlineStr">
        <is>
          <t>i.t</t>
        </is>
      </c>
      <c r="D347" s="31" t="inlineStr">
        <is>
          <t>computers - software - medium / small</t>
        </is>
      </c>
      <c r="E347" s="31" t="inlineStr">
        <is>
          <t>smallcap</t>
        </is>
      </c>
      <c r="F347" s="31" t="n">
        <v>2731.69</v>
      </c>
      <c r="G347" s="31" t="n">
        <v>301</v>
      </c>
      <c r="H347" s="31" t="n">
        <v>0.11</v>
      </c>
      <c r="I347" s="31" t="n">
        <v>824838</v>
      </c>
      <c r="J347" s="31" t="inlineStr">
        <is>
          <t>544107</t>
        </is>
      </c>
    </row>
    <row r="348">
      <c r="A348" s="31" t="inlineStr">
        <is>
          <t>KICL</t>
        </is>
      </c>
      <c r="B348" s="31" t="inlineStr">
        <is>
          <t>Kalyani Investment Company Limited</t>
        </is>
      </c>
      <c r="C348" s="31" t="inlineStr">
        <is>
          <t>financials</t>
        </is>
      </c>
      <c r="D348" s="31" t="inlineStr">
        <is>
          <t>finance &amp; investments</t>
        </is>
      </c>
      <c r="E348" s="31" t="inlineStr">
        <is>
          <t>smallcap</t>
        </is>
      </c>
      <c r="F348" s="31" t="n">
        <v>2400.26</v>
      </c>
      <c r="G348" s="31" t="n">
        <v>5504.5</v>
      </c>
      <c r="H348" s="31" t="n">
        <v>0.11</v>
      </c>
      <c r="I348" s="31" t="n">
        <v>1262</v>
      </c>
      <c r="J348" s="31" t="inlineStr">
        <is>
          <t>533302</t>
        </is>
      </c>
    </row>
    <row r="349">
      <c r="A349" s="31" t="inlineStr">
        <is>
          <t>HIRECT</t>
        </is>
      </c>
      <c r="B349" s="31" t="inlineStr">
        <is>
          <t>Hind Rectifiers Limited</t>
        </is>
      </c>
      <c r="C349" s="31" t="inlineStr">
        <is>
          <t>consumer discretionary</t>
        </is>
      </c>
      <c r="D349" s="31" t="inlineStr">
        <is>
          <t>electronics - components</t>
        </is>
      </c>
      <c r="E349" s="31" t="inlineStr">
        <is>
          <t>smallcap</t>
        </is>
      </c>
      <c r="F349" s="31" t="n">
        <v>4745.43</v>
      </c>
      <c r="G349" s="31" t="n">
        <v>1339.4</v>
      </c>
      <c r="H349" s="31" t="n">
        <v>0.08</v>
      </c>
      <c r="I349" s="31" t="n">
        <v>80334</v>
      </c>
      <c r="J349" s="31" t="inlineStr">
        <is>
          <t>504036</t>
        </is>
      </c>
    </row>
    <row r="350">
      <c r="A350" s="31" t="inlineStr">
        <is>
          <t>CIPLA</t>
        </is>
      </c>
      <c r="B350" s="31" t="inlineStr">
        <is>
          <t>Cipla Limited</t>
        </is>
      </c>
      <c r="C350" s="31" t="inlineStr">
        <is>
          <t>healthcare</t>
        </is>
      </c>
      <c r="D350" s="31" t="inlineStr">
        <is>
          <t>pharmaceuticals - indian - bulk drugs &amp; formln</t>
        </is>
      </c>
      <c r="E350" s="31" t="inlineStr">
        <is>
          <t>largecap</t>
        </is>
      </c>
      <c r="F350" s="31" t="n">
        <v>119011.77</v>
      </c>
      <c r="G350" s="31" t="n">
        <v>1474.4</v>
      </c>
      <c r="H350" s="31" t="n">
        <v>0.08</v>
      </c>
      <c r="I350" s="31" t="n">
        <v>2329154</v>
      </c>
      <c r="J350" s="31" t="inlineStr">
        <is>
          <t>500087</t>
        </is>
      </c>
    </row>
    <row r="351">
      <c r="A351" s="31" t="inlineStr">
        <is>
          <t>UFBL</t>
        </is>
      </c>
      <c r="B351" s="31" t="inlineStr">
        <is>
          <t>United Foodbrands Ltd</t>
        </is>
      </c>
      <c r="C351" s="31" t="inlineStr">
        <is>
          <t>consumer discretionary</t>
        </is>
      </c>
      <c r="D351" s="31" t="inlineStr">
        <is>
          <t>hotels</t>
        </is>
      </c>
      <c r="E351" s="31" t="inlineStr">
        <is>
          <t>smallcap</t>
        </is>
      </c>
      <c r="F351" s="31" t="n">
        <v>2742.5</v>
      </c>
      <c r="G351" s="31" t="n">
        <v>702</v>
      </c>
      <c r="H351" s="31" t="n">
        <v>0.05</v>
      </c>
      <c r="I351" s="31" t="n">
        <v>101664</v>
      </c>
      <c r="J351" s="31" t="inlineStr">
        <is>
          <t>543283</t>
        </is>
      </c>
    </row>
    <row r="352">
      <c r="A352" s="31" t="inlineStr">
        <is>
          <t>MUFIN</t>
        </is>
      </c>
      <c r="B352" s="31" t="inlineStr">
        <is>
          <t>Mufin Green Finance Ltd</t>
        </is>
      </c>
      <c r="C352" s="31" t="inlineStr">
        <is>
          <t>financials</t>
        </is>
      </c>
      <c r="D352" s="31" t="inlineStr">
        <is>
          <t>finance &amp; investments</t>
        </is>
      </c>
      <c r="E352" s="31" t="inlineStr">
        <is>
          <t>smallcap</t>
        </is>
      </c>
      <c r="F352" s="31" t="n">
        <v>2610.59</v>
      </c>
      <c r="G352" s="31" t="n">
        <v>131.75</v>
      </c>
      <c r="H352" s="31" t="n">
        <v>0.01</v>
      </c>
      <c r="I352" s="31" t="n">
        <v>1896535</v>
      </c>
      <c r="J352" s="31" t="inlineStr">
        <is>
          <t>542774</t>
        </is>
      </c>
    </row>
    <row r="353">
      <c r="A353" s="31" t="inlineStr">
        <is>
          <t>TEXINFRA</t>
        </is>
      </c>
      <c r="B353" s="31" t="inlineStr">
        <is>
          <t>Texmaco Infrastructure &amp; Holdings Limited</t>
        </is>
      </c>
      <c r="C353" s="31" t="inlineStr">
        <is>
          <t>realty</t>
        </is>
      </c>
      <c r="D353" s="31" t="inlineStr">
        <is>
          <t>construction</t>
        </is>
      </c>
      <c r="E353" s="31" t="inlineStr">
        <is>
          <t>smallcap</t>
        </is>
      </c>
      <c r="F353" s="31" t="n">
        <v>1452.54</v>
      </c>
      <c r="G353" s="31" t="n">
        <v>114</v>
      </c>
      <c r="H353" s="31" t="n">
        <v>0.01</v>
      </c>
      <c r="I353" s="31" t="n">
        <v>94802</v>
      </c>
      <c r="J353" s="31" t="inlineStr">
        <is>
          <t>505400</t>
        </is>
      </c>
    </row>
    <row r="354">
      <c r="A354" s="31" t="inlineStr">
        <is>
          <t>HSCL</t>
        </is>
      </c>
      <c r="B354" s="31" t="inlineStr">
        <is>
          <t>Himadri Speciality Chemical Limited</t>
        </is>
      </c>
      <c r="C354" s="31" t="inlineStr">
        <is>
          <t>chemicals</t>
        </is>
      </c>
      <c r="D354" s="31" t="inlineStr">
        <is>
          <t>chemicals</t>
        </is>
      </c>
      <c r="E354" s="31" t="inlineStr">
        <is>
          <t>largecap</t>
        </is>
      </c>
      <c r="F354" s="31" t="n">
        <v>37873.42</v>
      </c>
      <c r="G354" s="31" t="n">
        <v>750.65</v>
      </c>
      <c r="H354" s="31" t="n">
        <v>0</v>
      </c>
      <c r="I354" s="31" t="n">
        <v>3226235</v>
      </c>
      <c r="J354" s="31" t="inlineStr">
        <is>
          <t>500184</t>
        </is>
      </c>
    </row>
    <row r="355">
      <c r="A355" s="31" t="inlineStr">
        <is>
          <t>NAZARA</t>
        </is>
      </c>
      <c r="B355" s="31" t="inlineStr">
        <is>
          <t>Nazara Technologies Ltd</t>
        </is>
      </c>
      <c r="C355" s="31" t="inlineStr">
        <is>
          <t>i.t</t>
        </is>
      </c>
      <c r="D355" s="31" t="inlineStr">
        <is>
          <t>telecommunications - service provider</t>
        </is>
      </c>
      <c r="E355" s="31" t="inlineStr">
        <is>
          <t>midcap</t>
        </is>
      </c>
      <c r="F355" s="31" t="n">
        <v>12558.76</v>
      </c>
      <c r="G355" s="31" t="n">
        <v>339</v>
      </c>
      <c r="H355" s="31" t="n">
        <v>0</v>
      </c>
      <c r="I355" s="31" t="n">
        <v>3028157</v>
      </c>
      <c r="J355" s="31" t="inlineStr">
        <is>
          <t>543280</t>
        </is>
      </c>
    </row>
    <row r="356">
      <c r="A356" s="31" t="inlineStr">
        <is>
          <t>MACPOWER</t>
        </is>
      </c>
      <c r="B356" s="31" t="inlineStr">
        <is>
          <t>Macpower CNC Machines Ltd</t>
        </is>
      </c>
      <c r="C356" s="31" t="inlineStr">
        <is>
          <t>industrials</t>
        </is>
      </c>
      <c r="D356" s="31" t="inlineStr">
        <is>
          <t>engineering</t>
        </is>
      </c>
      <c r="E356" s="31" t="inlineStr">
        <is>
          <t>smallcap</t>
        </is>
      </c>
      <c r="F356" s="31" t="n">
        <v>1458.81</v>
      </c>
      <c r="G356" s="31" t="n">
        <v>1457.8</v>
      </c>
      <c r="H356" s="31" t="n">
        <v>-0.03</v>
      </c>
      <c r="I356" s="31" t="n">
        <v>38918</v>
      </c>
      <c r="J356" s="31" t="inlineStr">
        <is>
          <t>535057</t>
        </is>
      </c>
    </row>
    <row r="357">
      <c r="A357" s="31" t="inlineStr">
        <is>
          <t>SBC</t>
        </is>
      </c>
      <c r="B357" s="31" t="inlineStr">
        <is>
          <t>SBC Exports Ltd</t>
        </is>
      </c>
      <c r="C357" s="31" t="inlineStr">
        <is>
          <t>textiles</t>
        </is>
      </c>
      <c r="D357" s="31" t="inlineStr">
        <is>
          <t>textiles - products</t>
        </is>
      </c>
      <c r="E357" s="31" t="inlineStr">
        <is>
          <t>smallcap</t>
        </is>
      </c>
      <c r="F357" s="31" t="n">
        <v>2000.47</v>
      </c>
      <c r="G357" s="31" t="n">
        <v>41.99</v>
      </c>
      <c r="H357" s="31" t="n">
        <v>-0.05</v>
      </c>
      <c r="I357" s="31" t="n">
        <v>7304655</v>
      </c>
      <c r="J357" s="31" t="inlineStr">
        <is>
          <t>542725</t>
        </is>
      </c>
    </row>
    <row r="358">
      <c r="A358" s="31" t="inlineStr">
        <is>
          <t>SAMBHV</t>
        </is>
      </c>
      <c r="B358" s="31" t="inlineStr">
        <is>
          <t>Sambhv Steel Tubes Ltd</t>
        </is>
      </c>
      <c r="C358" s="31" t="inlineStr">
        <is>
          <t>metals &amp; mining</t>
        </is>
      </c>
      <c r="D358" s="31" t="inlineStr">
        <is>
          <t>steel - medium / small</t>
        </is>
      </c>
      <c r="E358" s="31" t="inlineStr">
        <is>
          <t>smallcap</t>
        </is>
      </c>
      <c r="F358" s="31" t="n">
        <v>3537.83</v>
      </c>
      <c r="G358" s="31" t="n">
        <v>119.96</v>
      </c>
      <c r="H358" s="31" t="n">
        <v>-0.08</v>
      </c>
      <c r="I358" s="31" t="n">
        <v>1664183</v>
      </c>
      <c r="J358" s="31" t="inlineStr">
        <is>
          <t>544430</t>
        </is>
      </c>
    </row>
    <row r="359">
      <c r="A359" s="31" t="inlineStr">
        <is>
          <t>BHARTIARTL</t>
        </is>
      </c>
      <c r="B359" s="31" t="inlineStr">
        <is>
          <t>Bharti Airtel Limited</t>
        </is>
      </c>
      <c r="C359" s="31" t="inlineStr">
        <is>
          <t>telecom-service</t>
        </is>
      </c>
      <c r="D359" s="31" t="inlineStr">
        <is>
          <t>telecommunications - service provider</t>
        </is>
      </c>
      <c r="E359" s="31" t="inlineStr">
        <is>
          <t>largecap</t>
        </is>
      </c>
      <c r="F359" s="31" t="n">
        <v>1230755.63</v>
      </c>
      <c r="G359" s="31" t="n">
        <v>1970.5</v>
      </c>
      <c r="H359" s="31" t="n">
        <v>-0.08</v>
      </c>
      <c r="I359" s="31" t="n">
        <v>12473984</v>
      </c>
      <c r="J359" s="31" t="inlineStr">
        <is>
          <t>532454</t>
        </is>
      </c>
    </row>
    <row r="360">
      <c r="A360" s="31" t="inlineStr">
        <is>
          <t>AYMSYNTEX</t>
        </is>
      </c>
      <c r="B360" s="31" t="inlineStr">
        <is>
          <t>Aym Syntex Limited</t>
        </is>
      </c>
      <c r="C360" s="31" t="inlineStr">
        <is>
          <t>textiles</t>
        </is>
      </c>
      <c r="D360" s="31" t="inlineStr">
        <is>
          <t>textiles - processing</t>
        </is>
      </c>
      <c r="E360" s="31" t="inlineStr">
        <is>
          <t>smallcap</t>
        </is>
      </c>
      <c r="F360" s="31" t="n">
        <v>1478.98</v>
      </c>
      <c r="G360" s="31" t="n">
        <v>251.6</v>
      </c>
      <c r="H360" s="31" t="n">
        <v>-0.08</v>
      </c>
      <c r="I360" s="31" t="n">
        <v>14782</v>
      </c>
      <c r="J360" s="31" t="inlineStr">
        <is>
          <t>508933</t>
        </is>
      </c>
    </row>
    <row r="361">
      <c r="A361" s="31" t="inlineStr">
        <is>
          <t>CONCOR</t>
        </is>
      </c>
      <c r="B361" s="31" t="inlineStr">
        <is>
          <t>Container Corporation Of India Limited</t>
        </is>
      </c>
      <c r="C361" s="31" t="inlineStr">
        <is>
          <t>transportation</t>
        </is>
      </c>
      <c r="D361" s="31" t="inlineStr">
        <is>
          <t>miscellaneous</t>
        </is>
      </c>
      <c r="E361" s="31" t="inlineStr">
        <is>
          <t>largecap</t>
        </is>
      </c>
      <c r="F361" s="31" t="n">
        <v>40023.02</v>
      </c>
      <c r="G361" s="31" t="n">
        <v>525</v>
      </c>
      <c r="H361" s="31" t="n">
        <v>-0.1</v>
      </c>
      <c r="I361" s="31" t="n">
        <v>5759365</v>
      </c>
      <c r="J361" s="31" t="inlineStr">
        <is>
          <t>531344</t>
        </is>
      </c>
    </row>
    <row r="362">
      <c r="A362" s="31" t="inlineStr">
        <is>
          <t>MBAPL</t>
        </is>
      </c>
      <c r="B362" s="31" t="inlineStr">
        <is>
          <t>Madhya Bharat Agro Products Ltd</t>
        </is>
      </c>
      <c r="C362" s="31" t="inlineStr">
        <is>
          <t>chemicals</t>
        </is>
      </c>
      <c r="D362" s="31" t="inlineStr">
        <is>
          <t>fertilizers</t>
        </is>
      </c>
      <c r="E362" s="31" t="inlineStr">
        <is>
          <t>smallcap</t>
        </is>
      </c>
      <c r="F362" s="31" t="n">
        <v>1403.78</v>
      </c>
      <c r="G362" s="31" t="n">
        <v>160.01</v>
      </c>
      <c r="H362" s="31" t="n">
        <v>-0.12</v>
      </c>
      <c r="I362" s="31" t="n">
        <v>686360</v>
      </c>
      <c r="J362" s="31" t="inlineStr">
        <is>
          <t>538370</t>
        </is>
      </c>
    </row>
    <row r="363">
      <c r="A363" s="31" t="inlineStr">
        <is>
          <t>TECHM</t>
        </is>
      </c>
      <c r="B363" s="31" t="inlineStr">
        <is>
          <t>Tech Mahindra Limited</t>
        </is>
      </c>
      <c r="C363" s="31" t="inlineStr">
        <is>
          <t>i.t</t>
        </is>
      </c>
      <c r="D363" s="31" t="inlineStr">
        <is>
          <t>computers - software - large</t>
        </is>
      </c>
      <c r="E363" s="31" t="inlineStr">
        <is>
          <t>largecap</t>
        </is>
      </c>
      <c r="F363" s="31" t="n">
        <v>161836.97</v>
      </c>
      <c r="G363" s="31" t="n">
        <v>1649</v>
      </c>
      <c r="H363" s="31" t="n">
        <v>-0.14</v>
      </c>
      <c r="I363" s="31" t="n">
        <v>12240898</v>
      </c>
      <c r="J363" s="31" t="inlineStr">
        <is>
          <t>532755</t>
        </is>
      </c>
    </row>
    <row r="364">
      <c r="A364" s="31" t="inlineStr">
        <is>
          <t>VMART</t>
        </is>
      </c>
      <c r="B364" s="31" t="inlineStr">
        <is>
          <t>V-mart Retail Limited</t>
        </is>
      </c>
      <c r="C364" s="31" t="inlineStr">
        <is>
          <t>consumer discretionary</t>
        </is>
      </c>
      <c r="D364" s="31" t="inlineStr">
        <is>
          <t>trading</t>
        </is>
      </c>
      <c r="E364" s="31" t="inlineStr">
        <is>
          <t>midcap</t>
        </is>
      </c>
      <c r="F364" s="31" t="n">
        <v>6197.58</v>
      </c>
      <c r="G364" s="31" t="n">
        <v>777.95</v>
      </c>
      <c r="H364" s="31" t="n">
        <v>-0.15</v>
      </c>
      <c r="I364" s="31" t="n">
        <v>104165</v>
      </c>
      <c r="J364" s="31" t="inlineStr">
        <is>
          <t>534976</t>
        </is>
      </c>
    </row>
    <row r="365">
      <c r="A365" s="31" t="inlineStr">
        <is>
          <t>EMCURE</t>
        </is>
      </c>
      <c r="B365" s="31" t="inlineStr">
        <is>
          <t>Emcure Pharmaceuticals Ltd</t>
        </is>
      </c>
      <c r="C365" s="31" t="inlineStr">
        <is>
          <t>healthcare</t>
        </is>
      </c>
      <c r="D365" s="31" t="inlineStr">
        <is>
          <t>pharmaceuticals - indian - bulk drugs &amp; formln</t>
        </is>
      </c>
      <c r="E365" s="31" t="inlineStr">
        <is>
          <t>largecap</t>
        </is>
      </c>
      <c r="F365" s="31" t="n">
        <v>37179.21</v>
      </c>
      <c r="G365" s="31" t="n">
        <v>1957</v>
      </c>
      <c r="H365" s="31" t="n">
        <v>-0.16</v>
      </c>
      <c r="I365" s="31" t="n">
        <v>116048</v>
      </c>
      <c r="J365" s="31" t="inlineStr">
        <is>
          <t>544210</t>
        </is>
      </c>
    </row>
    <row r="366">
      <c r="A366" s="31" t="inlineStr">
        <is>
          <t>SHAILY</t>
        </is>
      </c>
      <c r="B366" s="31" t="inlineStr">
        <is>
          <t>Shaily Engineering Plastics Ltd</t>
        </is>
      </c>
      <c r="C366" s="31" t="inlineStr">
        <is>
          <t>plastic products</t>
        </is>
      </c>
      <c r="D366" s="31" t="inlineStr">
        <is>
          <t>plastics products</t>
        </is>
      </c>
      <c r="E366" s="31" t="inlineStr">
        <is>
          <t>midcap</t>
        </is>
      </c>
      <c r="F366" s="31" t="n">
        <v>14080.99</v>
      </c>
      <c r="G366" s="31" t="n">
        <v>3056</v>
      </c>
      <c r="H366" s="31" t="n">
        <v>-0.18</v>
      </c>
      <c r="I366" s="31" t="n">
        <v>104738</v>
      </c>
      <c r="J366" s="31" t="inlineStr">
        <is>
          <t>501423</t>
        </is>
      </c>
    </row>
    <row r="367">
      <c r="A367" s="31" t="inlineStr">
        <is>
          <t>ARIHANT</t>
        </is>
      </c>
      <c r="B367" s="31" t="inlineStr">
        <is>
          <t>Arihant Foundations &amp; Housing Limited</t>
        </is>
      </c>
      <c r="C367" s="31" t="inlineStr">
        <is>
          <t>realty</t>
        </is>
      </c>
      <c r="D367" s="31" t="inlineStr">
        <is>
          <t>construction</t>
        </is>
      </c>
      <c r="E367" s="31" t="inlineStr">
        <is>
          <t>smallcap</t>
        </is>
      </c>
      <c r="F367" s="31" t="n">
        <v>1138.82</v>
      </c>
      <c r="G367" s="31" t="n">
        <v>1140</v>
      </c>
      <c r="H367" s="31" t="n">
        <v>-0.24</v>
      </c>
      <c r="I367" s="31" t="n">
        <v>1636</v>
      </c>
      <c r="J367" s="31" t="inlineStr">
        <is>
          <t>531381</t>
        </is>
      </c>
    </row>
    <row r="368">
      <c r="A368" s="31" t="inlineStr">
        <is>
          <t>LALPATHLAB</t>
        </is>
      </c>
      <c r="B368" s="31" t="inlineStr">
        <is>
          <t>Dr. Lal Path Labs Ltd.</t>
        </is>
      </c>
      <c r="C368" s="31" t="inlineStr">
        <is>
          <t>healthcare</t>
        </is>
      </c>
      <c r="D368" s="31" t="inlineStr">
        <is>
          <t>healthcare</t>
        </is>
      </c>
      <c r="E368" s="31" t="inlineStr">
        <is>
          <t>largecap</t>
        </is>
      </c>
      <c r="F368" s="31" t="n">
        <v>31938.35</v>
      </c>
      <c r="G368" s="31" t="n">
        <v>1900.4</v>
      </c>
      <c r="H368" s="31" t="n">
        <v>-0.25</v>
      </c>
      <c r="I368" s="31" t="n">
        <v>718505</v>
      </c>
      <c r="J368" s="31" t="inlineStr">
        <is>
          <t>539524</t>
        </is>
      </c>
    </row>
    <row r="369">
      <c r="A369" s="31" t="inlineStr">
        <is>
          <t>LAURUSLABS</t>
        </is>
      </c>
      <c r="B369" s="31" t="inlineStr">
        <is>
          <t>Laurus Labs Limited</t>
        </is>
      </c>
      <c r="C369" s="31" t="inlineStr">
        <is>
          <t>healthcare</t>
        </is>
      </c>
      <c r="D369" s="31" t="inlineStr">
        <is>
          <t>pharmaceuticals - indian - bulk drugs &amp; formln</t>
        </is>
      </c>
      <c r="E369" s="31" t="inlineStr">
        <is>
          <t>largecap</t>
        </is>
      </c>
      <c r="F369" s="31" t="n">
        <v>98120.13</v>
      </c>
      <c r="G369" s="31" t="n">
        <v>1811.4</v>
      </c>
      <c r="H369" s="31" t="n">
        <v>-0.26</v>
      </c>
      <c r="I369" s="31" t="n">
        <v>5687054</v>
      </c>
      <c r="J369" s="31" t="inlineStr">
        <is>
          <t>540222</t>
        </is>
      </c>
    </row>
    <row r="370">
      <c r="A370" s="31" t="inlineStr">
        <is>
          <t>LODHA</t>
        </is>
      </c>
      <c r="B370" s="31" t="inlineStr">
        <is>
          <t>Lodha Developers Ltd</t>
        </is>
      </c>
      <c r="C370" s="31" t="inlineStr">
        <is>
          <t>realty</t>
        </is>
      </c>
      <c r="D370" s="31" t="inlineStr">
        <is>
          <t>construction</t>
        </is>
      </c>
      <c r="E370" s="31" t="inlineStr">
        <is>
          <t>largecap</t>
        </is>
      </c>
      <c r="F370" s="31" t="n">
        <v>124282.35</v>
      </c>
      <c r="G370" s="31" t="n">
        <v>1239.8</v>
      </c>
      <c r="H370" s="31" t="n">
        <v>-0.33</v>
      </c>
      <c r="I370" s="31" t="n">
        <v>5447350</v>
      </c>
      <c r="J370" s="31" t="inlineStr">
        <is>
          <t>543287</t>
        </is>
      </c>
    </row>
    <row r="371">
      <c r="A371" s="31" t="inlineStr">
        <is>
          <t>DIACABS</t>
        </is>
      </c>
      <c r="B371" s="31" t="inlineStr">
        <is>
          <t>Diamond Power Infrastructure Ltd</t>
        </is>
      </c>
      <c r="C371" s="31" t="inlineStr">
        <is>
          <t>industrials</t>
        </is>
      </c>
      <c r="D371" s="31" t="inlineStr">
        <is>
          <t>cables - power</t>
        </is>
      </c>
      <c r="E371" s="31" t="inlineStr">
        <is>
          <t>midcap</t>
        </is>
      </c>
      <c r="F371" s="31" t="n">
        <v>17072.28</v>
      </c>
      <c r="G371" s="31" t="n">
        <v>322.85</v>
      </c>
      <c r="H371" s="31" t="n">
        <v>-0.35</v>
      </c>
      <c r="I371" s="31" t="n">
        <v>3140561</v>
      </c>
      <c r="J371" s="31" t="inlineStr">
        <is>
          <t>522163</t>
        </is>
      </c>
    </row>
    <row r="372">
      <c r="A372" s="31" t="inlineStr">
        <is>
          <t>HITECHCORP</t>
        </is>
      </c>
      <c r="B372" s="31" t="inlineStr">
        <is>
          <t>Hitech Corporation</t>
        </is>
      </c>
      <c r="C372" s="31" t="inlineStr">
        <is>
          <t>industrials</t>
        </is>
      </c>
      <c r="D372" s="31" t="inlineStr">
        <is>
          <t>packaging</t>
        </is>
      </c>
      <c r="E372" s="31" t="inlineStr">
        <is>
          <t>smallcap</t>
        </is>
      </c>
      <c r="F372" s="31" t="n">
        <v>549.97</v>
      </c>
      <c r="G372" s="31" t="n">
        <v>319.05</v>
      </c>
      <c r="H372" s="31" t="n">
        <v>-0.36</v>
      </c>
      <c r="I372" s="31" t="n">
        <v>14915</v>
      </c>
      <c r="J372" s="31" t="inlineStr">
        <is>
          <t>526217</t>
        </is>
      </c>
    </row>
    <row r="373">
      <c r="A373" s="31" t="inlineStr">
        <is>
          <t>KINGFA</t>
        </is>
      </c>
      <c r="B373" s="31" t="inlineStr">
        <is>
          <t>Kingfa Science &amp; Technology (india) Limited</t>
        </is>
      </c>
      <c r="C373" s="31" t="inlineStr">
        <is>
          <t>plastic products</t>
        </is>
      </c>
      <c r="D373" s="31" t="inlineStr">
        <is>
          <t>plastics products</t>
        </is>
      </c>
      <c r="E373" s="31" t="inlineStr">
        <is>
          <t>midcap</t>
        </is>
      </c>
      <c r="F373" s="31" t="n">
        <v>7112.44</v>
      </c>
      <c r="G373" s="31" t="n">
        <v>5225</v>
      </c>
      <c r="H373" s="31" t="n">
        <v>-0.45</v>
      </c>
      <c r="I373" s="31" t="n">
        <v>2836</v>
      </c>
      <c r="J373" s="31" t="inlineStr">
        <is>
          <t>524019</t>
        </is>
      </c>
    </row>
    <row r="374">
      <c r="A374" s="31" t="inlineStr">
        <is>
          <t>APOLLOPIPE</t>
        </is>
      </c>
      <c r="B374" s="31" t="inlineStr">
        <is>
          <t>Apollo Pipes Ltd</t>
        </is>
      </c>
      <c r="C374" s="31" t="inlineStr">
        <is>
          <t>plastic products</t>
        </is>
      </c>
      <c r="D374" s="31" t="inlineStr">
        <is>
          <t>plastics products</t>
        </is>
      </c>
      <c r="E374" s="31" t="inlineStr">
        <is>
          <t>smallcap</t>
        </is>
      </c>
      <c r="F374" s="31" t="n">
        <v>2271.13</v>
      </c>
      <c r="G374" s="31" t="n">
        <v>513</v>
      </c>
      <c r="H374" s="31" t="n">
        <v>-0.5</v>
      </c>
      <c r="I374" s="31" t="n">
        <v>217488</v>
      </c>
      <c r="J374" s="31" t="inlineStr">
        <is>
          <t>531761</t>
        </is>
      </c>
    </row>
    <row r="375">
      <c r="A375" s="31" t="inlineStr">
        <is>
          <t>MARUTI</t>
        </is>
      </c>
      <c r="B375" s="31" t="inlineStr">
        <is>
          <t>Maruti Suzuki India Limited</t>
        </is>
      </c>
      <c r="C375" s="31" t="inlineStr">
        <is>
          <t>auto</t>
        </is>
      </c>
      <c r="D375" s="31" t="inlineStr">
        <is>
          <t>automobiles - passenger cars</t>
        </is>
      </c>
      <c r="E375" s="31" t="inlineStr">
        <is>
          <t>largecap</t>
        </is>
      </c>
      <c r="F375" s="31" t="n">
        <v>447520.62</v>
      </c>
      <c r="G375" s="31" t="n">
        <v>14150</v>
      </c>
      <c r="H375" s="31" t="n">
        <v>-0.59</v>
      </c>
      <c r="I375" s="31" t="n">
        <v>2866394</v>
      </c>
      <c r="J375" s="31" t="inlineStr">
        <is>
          <t>532500</t>
        </is>
      </c>
    </row>
    <row r="376">
      <c r="A376" s="31" t="inlineStr">
        <is>
          <t>VAIBHAVGBL</t>
        </is>
      </c>
      <c r="B376" s="31" t="inlineStr">
        <is>
          <t>Vaibhav Global Limited</t>
        </is>
      </c>
      <c r="C376" s="31" t="inlineStr">
        <is>
          <t>consumer discretionary</t>
        </is>
      </c>
      <c r="D376" s="31" t="inlineStr">
        <is>
          <t>diamond cutting / jewellery</t>
        </is>
      </c>
      <c r="E376" s="31" t="inlineStr">
        <is>
          <t>smallcap</t>
        </is>
      </c>
      <c r="F376" s="31" t="n">
        <v>4457.59</v>
      </c>
      <c r="G376" s="31" t="n">
        <v>264.75</v>
      </c>
      <c r="H376" s="31" t="n">
        <v>-0.6</v>
      </c>
      <c r="I376" s="31" t="n">
        <v>388078</v>
      </c>
      <c r="J376" s="31" t="inlineStr">
        <is>
          <t>532156</t>
        </is>
      </c>
    </row>
    <row r="377">
      <c r="A377" s="31" t="inlineStr">
        <is>
          <t>KERNEX</t>
        </is>
      </c>
      <c r="B377" s="31" t="inlineStr">
        <is>
          <t>Kernex Microsystems (india) Limited</t>
        </is>
      </c>
      <c r="C377" s="31" t="inlineStr">
        <is>
          <t>consumer discretionary</t>
        </is>
      </c>
      <c r="D377" s="31" t="inlineStr">
        <is>
          <t>electronics - components</t>
        </is>
      </c>
      <c r="E377" s="31" t="inlineStr">
        <is>
          <t>smallcap</t>
        </is>
      </c>
      <c r="F377" s="31" t="n">
        <v>3850.89</v>
      </c>
      <c r="G377" s="31" t="n">
        <v>2278</v>
      </c>
      <c r="H377" s="31" t="n">
        <v>-0.6</v>
      </c>
      <c r="I377" s="31" t="n">
        <v>119058</v>
      </c>
      <c r="J377" s="31" t="inlineStr">
        <is>
          <t>532686</t>
        </is>
      </c>
    </row>
    <row r="378">
      <c r="A378" s="31" t="inlineStr">
        <is>
          <t>INDIAGLYCO</t>
        </is>
      </c>
      <c r="B378" s="31" t="inlineStr">
        <is>
          <t>India Glycols Limited</t>
        </is>
      </c>
      <c r="C378" s="31" t="inlineStr">
        <is>
          <t>fmcg</t>
        </is>
      </c>
      <c r="D378" s="31" t="inlineStr">
        <is>
          <t>breweries &amp; distilleries</t>
        </is>
      </c>
      <c r="E378" s="31" t="inlineStr">
        <is>
          <t>midcap</t>
        </is>
      </c>
      <c r="F378" s="31" t="n">
        <v>7690.99</v>
      </c>
      <c r="G378" s="31" t="n">
        <v>1140</v>
      </c>
      <c r="H378" s="31" t="n">
        <v>-0.65</v>
      </c>
      <c r="I378" s="31" t="n">
        <v>110003</v>
      </c>
      <c r="J378" s="31" t="inlineStr">
        <is>
          <t>500201</t>
        </is>
      </c>
    </row>
    <row r="379">
      <c r="A379" s="31" t="inlineStr">
        <is>
          <t>TINNARUBR</t>
        </is>
      </c>
      <c r="B379" s="31" t="inlineStr">
        <is>
          <t>Tinna Rubber &amp; Infrastructure Ltd</t>
        </is>
      </c>
      <c r="C379" s="31" t="inlineStr">
        <is>
          <t>fmcg</t>
        </is>
      </c>
      <c r="D379" s="31" t="inlineStr">
        <is>
          <t>miscellaneous</t>
        </is>
      </c>
      <c r="E379" s="31" t="inlineStr">
        <is>
          <t>smallcap</t>
        </is>
      </c>
      <c r="F379" s="31" t="n">
        <v>2007.68</v>
      </c>
      <c r="G379" s="31" t="n">
        <v>1106.8</v>
      </c>
      <c r="H379" s="31" t="n">
        <v>-0.68</v>
      </c>
      <c r="I379" s="31" t="n">
        <v>111490</v>
      </c>
      <c r="J379" s="31" t="inlineStr">
        <is>
          <t>530475</t>
        </is>
      </c>
    </row>
    <row r="380">
      <c r="A380" s="31" t="inlineStr">
        <is>
          <t>GNA</t>
        </is>
      </c>
      <c r="B380" s="31" t="inlineStr">
        <is>
          <t>Gna Axles Limited</t>
        </is>
      </c>
      <c r="C380" s="31" t="inlineStr">
        <is>
          <t>auto</t>
        </is>
      </c>
      <c r="D380" s="31" t="inlineStr">
        <is>
          <t>auto ancillaries</t>
        </is>
      </c>
      <c r="E380" s="31" t="inlineStr">
        <is>
          <t>smallcap</t>
        </is>
      </c>
      <c r="F380" s="31" t="n">
        <v>2300.02</v>
      </c>
      <c r="G380" s="31" t="n">
        <v>532.1</v>
      </c>
      <c r="H380" s="31" t="n">
        <v>-0.68</v>
      </c>
      <c r="I380" s="31" t="n">
        <v>184497</v>
      </c>
      <c r="J380" s="31" t="inlineStr">
        <is>
          <t>540124</t>
        </is>
      </c>
    </row>
    <row r="381">
      <c r="A381" s="31" t="inlineStr">
        <is>
          <t>ASTRAMICRO</t>
        </is>
      </c>
      <c r="B381" s="31" t="inlineStr">
        <is>
          <t>Astra Microwave Products Limited</t>
        </is>
      </c>
      <c r="C381" s="31" t="inlineStr">
        <is>
          <t>aerospace &amp; defence</t>
        </is>
      </c>
      <c r="D381" s="31" t="inlineStr">
        <is>
          <t>telecommunications - equipment</t>
        </is>
      </c>
      <c r="E381" s="31" t="inlineStr">
        <is>
          <t>midcap</t>
        </is>
      </c>
      <c r="F381" s="31" t="n">
        <v>17674.96</v>
      </c>
      <c r="G381" s="31" t="n">
        <v>1848.8</v>
      </c>
      <c r="H381" s="31" t="n">
        <v>-0.6899999999999999</v>
      </c>
      <c r="I381" s="31" t="n">
        <v>372849</v>
      </c>
      <c r="J381" s="31" t="inlineStr">
        <is>
          <t>532493</t>
        </is>
      </c>
    </row>
    <row r="382">
      <c r="A382" s="31" t="inlineStr">
        <is>
          <t>ANANDRATHI</t>
        </is>
      </c>
      <c r="B382" s="31" t="inlineStr">
        <is>
          <t>Anand Rathi Wealth Ltd</t>
        </is>
      </c>
      <c r="C382" s="31" t="inlineStr">
        <is>
          <t>financials</t>
        </is>
      </c>
      <c r="D382" s="31" t="inlineStr">
        <is>
          <t>finance &amp; investments</t>
        </is>
      </c>
      <c r="E382" s="31" t="inlineStr">
        <is>
          <t>largecap</t>
        </is>
      </c>
      <c r="F382" s="31" t="n">
        <v>34431.98</v>
      </c>
      <c r="G382" s="31" t="n">
        <v>2058.7</v>
      </c>
      <c r="H382" s="31" t="n">
        <v>-0.72</v>
      </c>
      <c r="I382" s="31" t="n">
        <v>121852</v>
      </c>
      <c r="J382" s="31" t="inlineStr">
        <is>
          <t>543415</t>
        </is>
      </c>
    </row>
    <row r="383">
      <c r="A383" s="31" t="inlineStr">
        <is>
          <t>KALYANKJIL</t>
        </is>
      </c>
      <c r="B383" s="31" t="inlineStr">
        <is>
          <t>Kalyan Jewellers India Ltd</t>
        </is>
      </c>
      <c r="C383" s="31" t="inlineStr">
        <is>
          <t>consumer discretionary</t>
        </is>
      </c>
      <c r="D383" s="31" t="inlineStr">
        <is>
          <t>diamond cutting / jewellery</t>
        </is>
      </c>
      <c r="E383" s="31" t="inlineStr">
        <is>
          <t>largecap</t>
        </is>
      </c>
      <c r="F383" s="31" t="n">
        <v>63265.67</v>
      </c>
      <c r="G383" s="31" t="n">
        <v>608</v>
      </c>
      <c r="H383" s="31" t="n">
        <v>-0.75</v>
      </c>
      <c r="I383" s="31" t="n">
        <v>46805590</v>
      </c>
      <c r="J383" s="31" t="inlineStr">
        <is>
          <t>543278</t>
        </is>
      </c>
    </row>
    <row r="384">
      <c r="A384" s="31" t="inlineStr">
        <is>
          <t>GODREJPROP</t>
        </is>
      </c>
      <c r="B384" s="31" t="inlineStr">
        <is>
          <t>Godrej Properties Limited</t>
        </is>
      </c>
      <c r="C384" s="31" t="inlineStr">
        <is>
          <t>realty</t>
        </is>
      </c>
      <c r="D384" s="31" t="inlineStr">
        <is>
          <t>construction</t>
        </is>
      </c>
      <c r="E384" s="31" t="inlineStr">
        <is>
          <t>largecap</t>
        </is>
      </c>
      <c r="F384" s="31" t="n">
        <v>63429.15</v>
      </c>
      <c r="G384" s="31" t="n">
        <v>2089.7</v>
      </c>
      <c r="H384" s="31" t="n">
        <v>-0.76</v>
      </c>
      <c r="I384" s="31" t="n">
        <v>1076300</v>
      </c>
      <c r="J384" s="31" t="inlineStr">
        <is>
          <t>533150</t>
        </is>
      </c>
    </row>
    <row r="385">
      <c r="A385" s="31" t="inlineStr">
        <is>
          <t>ALKEM</t>
        </is>
      </c>
      <c r="B385" s="31" t="inlineStr">
        <is>
          <t>Alkem Laboratories Limited</t>
        </is>
      </c>
      <c r="C385" s="31" t="inlineStr">
        <is>
          <t>healthcare</t>
        </is>
      </c>
      <c r="D385" s="31" t="inlineStr">
        <is>
          <t>pharmaceuticals - indian - bulk drugs &amp; formln</t>
        </is>
      </c>
      <c r="E385" s="31" t="inlineStr">
        <is>
          <t>largecap</t>
        </is>
      </c>
      <c r="F385" s="31" t="n">
        <v>68767.81</v>
      </c>
      <c r="G385" s="31" t="n">
        <v>5707</v>
      </c>
      <c r="H385" s="31" t="n">
        <v>-0.77</v>
      </c>
      <c r="I385" s="31" t="n">
        <v>363553</v>
      </c>
      <c r="J385" s="31" t="inlineStr">
        <is>
          <t>539523</t>
        </is>
      </c>
    </row>
    <row r="386">
      <c r="A386" s="31" t="inlineStr">
        <is>
          <t>WSTCSTPAPR</t>
        </is>
      </c>
      <c r="B386" s="31" t="inlineStr">
        <is>
          <t>West Coast Paper Mills Limited</t>
        </is>
      </c>
      <c r="C386" s="31" t="inlineStr">
        <is>
          <t>building materials</t>
        </is>
      </c>
      <c r="D386" s="31" t="inlineStr">
        <is>
          <t>paper</t>
        </is>
      </c>
      <c r="E386" s="31" t="inlineStr">
        <is>
          <t>smallcap</t>
        </is>
      </c>
      <c r="F386" s="31" t="n">
        <v>3761.49</v>
      </c>
      <c r="G386" s="31" t="n">
        <v>565</v>
      </c>
      <c r="H386" s="31" t="n">
        <v>-0.79</v>
      </c>
      <c r="I386" s="31" t="n">
        <v>110090</v>
      </c>
      <c r="J386" s="31" t="inlineStr">
        <is>
          <t>500444</t>
        </is>
      </c>
    </row>
    <row r="387">
      <c r="A387" s="31" t="inlineStr">
        <is>
          <t>JUSTDIAL</t>
        </is>
      </c>
      <c r="B387" s="31" t="inlineStr">
        <is>
          <t>Just Dial Limited</t>
        </is>
      </c>
      <c r="C387" s="31" t="inlineStr">
        <is>
          <t>i.t</t>
        </is>
      </c>
      <c r="D387" s="31" t="inlineStr">
        <is>
          <t>miscellaneous</t>
        </is>
      </c>
      <c r="E387" s="31" t="inlineStr">
        <is>
          <t>midcap</t>
        </is>
      </c>
      <c r="F387" s="31" t="n">
        <v>6095.46</v>
      </c>
      <c r="G387" s="31" t="n">
        <v>710.65</v>
      </c>
      <c r="H387" s="31" t="n">
        <v>-0.84</v>
      </c>
      <c r="I387" s="31" t="n">
        <v>399720</v>
      </c>
      <c r="J387" s="31" t="inlineStr">
        <is>
          <t>535648</t>
        </is>
      </c>
    </row>
    <row r="388">
      <c r="A388" s="31" t="inlineStr">
        <is>
          <t>ASTERDM</t>
        </is>
      </c>
      <c r="B388" s="31" t="inlineStr">
        <is>
          <t>Aster DM Healthcare Ltd</t>
        </is>
      </c>
      <c r="C388" s="31" t="inlineStr">
        <is>
          <t>healthcare</t>
        </is>
      </c>
      <c r="D388" s="31" t="inlineStr">
        <is>
          <t>healthcare</t>
        </is>
      </c>
      <c r="E388" s="31" t="inlineStr">
        <is>
          <t>largecap</t>
        </is>
      </c>
      <c r="F388" s="31" t="n">
        <v>71664.55</v>
      </c>
      <c r="G388" s="31" t="n">
        <v>815.15</v>
      </c>
      <c r="H388" s="31" t="n">
        <v>-0.85</v>
      </c>
      <c r="I388" s="31" t="n">
        <v>623524</v>
      </c>
      <c r="J388" s="31" t="inlineStr">
        <is>
          <t>540975</t>
        </is>
      </c>
    </row>
    <row r="389">
      <c r="A389" s="31" t="inlineStr">
        <is>
          <t>UJJIVANSFB</t>
        </is>
      </c>
      <c r="B389" s="31" t="inlineStr">
        <is>
          <t>Ujjivan Small Finance Bank Ltd</t>
        </is>
      </c>
      <c r="C389" s="31" t="inlineStr">
        <is>
          <t>bank</t>
        </is>
      </c>
      <c r="D389" s="31" t="inlineStr">
        <is>
          <t>banks - private sector</t>
        </is>
      </c>
      <c r="E389" s="31" t="inlineStr">
        <is>
          <t>midcap</t>
        </is>
      </c>
      <c r="F389" s="31" t="n">
        <v>13957.21</v>
      </c>
      <c r="G389" s="31" t="n">
        <v>71.14</v>
      </c>
      <c r="H389" s="31" t="n">
        <v>-0.85</v>
      </c>
      <c r="I389" s="31" t="n">
        <v>13436679</v>
      </c>
      <c r="J389" s="31" t="inlineStr">
        <is>
          <t>542904</t>
        </is>
      </c>
    </row>
    <row r="390">
      <c r="A390" s="31" t="inlineStr">
        <is>
          <t>BLUSPRING</t>
        </is>
      </c>
      <c r="B390" s="31" t="inlineStr">
        <is>
          <t>Bluspring Enterprises Ltd</t>
        </is>
      </c>
      <c r="C390" s="31" t="inlineStr">
        <is>
          <t>miscellaneous</t>
        </is>
      </c>
      <c r="D390" s="31" t="inlineStr">
        <is>
          <t>diversified - large</t>
        </is>
      </c>
      <c r="E390" s="31" t="inlineStr">
        <is>
          <t>smallcap</t>
        </is>
      </c>
      <c r="F390" s="31" t="n">
        <v>1731.27</v>
      </c>
      <c r="G390" s="31" t="n">
        <v>114.78</v>
      </c>
      <c r="H390" s="31" t="n">
        <v>-0.92</v>
      </c>
      <c r="I390" s="31" t="n">
        <v>644162</v>
      </c>
      <c r="J390" s="31" t="inlineStr">
        <is>
          <t>544414</t>
        </is>
      </c>
    </row>
    <row r="391">
      <c r="A391" s="31" t="inlineStr">
        <is>
          <t>TATVA</t>
        </is>
      </c>
      <c r="B391" s="31" t="inlineStr">
        <is>
          <t>Tatva Chintan Pharma Chem Ltd</t>
        </is>
      </c>
      <c r="C391" s="31" t="inlineStr">
        <is>
          <t>chemicals</t>
        </is>
      </c>
      <c r="D391" s="31" t="inlineStr">
        <is>
          <t>chemicals</t>
        </is>
      </c>
      <c r="E391" s="31" t="inlineStr">
        <is>
          <t>smallcap</t>
        </is>
      </c>
      <c r="F391" s="31" t="n">
        <v>4182.97</v>
      </c>
      <c r="G391" s="31" t="n">
        <v>1771</v>
      </c>
      <c r="H391" s="31" t="n">
        <v>-0.96</v>
      </c>
      <c r="I391" s="31" t="n">
        <v>114209</v>
      </c>
      <c r="J391" s="31" t="inlineStr">
        <is>
          <t>543321</t>
        </is>
      </c>
    </row>
    <row r="392">
      <c r="A392" s="31" t="inlineStr">
        <is>
          <t>SANGAMIND</t>
        </is>
      </c>
      <c r="B392" s="31" t="inlineStr">
        <is>
          <t>Sangam (india) Limited</t>
        </is>
      </c>
      <c r="C392" s="31" t="inlineStr">
        <is>
          <t>textiles</t>
        </is>
      </c>
      <c r="D392" s="31" t="inlineStr">
        <is>
          <t>textiles - spinning - synthetic / blended</t>
        </is>
      </c>
      <c r="E392" s="31" t="inlineStr">
        <is>
          <t>smallcap</t>
        </is>
      </c>
      <c r="F392" s="31" t="n">
        <v>3064.54</v>
      </c>
      <c r="G392" s="31" t="n">
        <v>603.45</v>
      </c>
      <c r="H392" s="31" t="n">
        <v>-1.06</v>
      </c>
      <c r="I392" s="31" t="n">
        <v>20611</v>
      </c>
      <c r="J392" s="31" t="inlineStr">
        <is>
          <t>514234</t>
        </is>
      </c>
    </row>
    <row r="393">
      <c r="A393" s="31" t="inlineStr">
        <is>
          <t>POLYPLEX</t>
        </is>
      </c>
      <c r="B393" s="31" t="inlineStr">
        <is>
          <t>Polyplex Corporation Limited</t>
        </is>
      </c>
      <c r="C393" s="31" t="inlineStr">
        <is>
          <t>industrials</t>
        </is>
      </c>
      <c r="D393" s="31" t="inlineStr">
        <is>
          <t>packaging</t>
        </is>
      </c>
      <c r="E393" s="31" t="inlineStr">
        <is>
          <t>smallcap</t>
        </is>
      </c>
      <c r="F393" s="31" t="n">
        <v>3469.81</v>
      </c>
      <c r="G393" s="31" t="n">
        <v>1093</v>
      </c>
      <c r="H393" s="31" t="n">
        <v>-1.11</v>
      </c>
      <c r="I393" s="31" t="n">
        <v>60391</v>
      </c>
      <c r="J393" s="31" t="inlineStr">
        <is>
          <t>524051</t>
        </is>
      </c>
    </row>
    <row r="394">
      <c r="A394" s="31" t="inlineStr">
        <is>
          <t>EXIDEIND</t>
        </is>
      </c>
      <c r="B394" s="31" t="inlineStr">
        <is>
          <t>Exide Industries Limited</t>
        </is>
      </c>
      <c r="C394" s="31" t="inlineStr">
        <is>
          <t>auto</t>
        </is>
      </c>
      <c r="D394" s="31" t="inlineStr">
        <is>
          <t>auto ancillaries</t>
        </is>
      </c>
      <c r="E394" s="31" t="inlineStr">
        <is>
          <t>largecap</t>
        </is>
      </c>
      <c r="F394" s="31" t="n">
        <v>38233</v>
      </c>
      <c r="G394" s="31" t="n">
        <v>444.7</v>
      </c>
      <c r="H394" s="31" t="n">
        <v>-1.13</v>
      </c>
      <c r="I394" s="31" t="n">
        <v>3583751</v>
      </c>
      <c r="J394" s="31" t="inlineStr">
        <is>
          <t>500086</t>
        </is>
      </c>
    </row>
    <row r="395">
      <c r="A395" s="31" t="inlineStr">
        <is>
          <t>MONARCH</t>
        </is>
      </c>
      <c r="B395" s="31" t="inlineStr">
        <is>
          <t>Monarch Networth Capital Ltd</t>
        </is>
      </c>
      <c r="C395" s="31" t="inlineStr">
        <is>
          <t>financials</t>
        </is>
      </c>
      <c r="D395" s="31" t="inlineStr">
        <is>
          <t>finance &amp; investments</t>
        </is>
      </c>
      <c r="E395" s="31" t="inlineStr">
        <is>
          <t>smallcap</t>
        </is>
      </c>
      <c r="F395" s="31" t="n">
        <v>3094.21</v>
      </c>
      <c r="G395" s="31" t="n">
        <v>385.5</v>
      </c>
      <c r="H395" s="31" t="n">
        <v>-1.19</v>
      </c>
      <c r="I395" s="31" t="n">
        <v>94423</v>
      </c>
      <c r="J395" s="31" t="inlineStr">
        <is>
          <t>511551</t>
        </is>
      </c>
    </row>
    <row r="396">
      <c r="A396" s="31" t="inlineStr">
        <is>
          <t>JKPAPER</t>
        </is>
      </c>
      <c r="B396" s="31" t="inlineStr">
        <is>
          <t>Jk Paper Limited</t>
        </is>
      </c>
      <c r="C396" s="31" t="inlineStr">
        <is>
          <t>building materials</t>
        </is>
      </c>
      <c r="D396" s="31" t="inlineStr">
        <is>
          <t>paper</t>
        </is>
      </c>
      <c r="E396" s="31" t="inlineStr">
        <is>
          <t>midcap</t>
        </is>
      </c>
      <c r="F396" s="31" t="n">
        <v>7081.4</v>
      </c>
      <c r="G396" s="31" t="n">
        <v>385.75</v>
      </c>
      <c r="H396" s="31" t="n">
        <v>-1.23</v>
      </c>
      <c r="I396" s="31" t="n">
        <v>205827</v>
      </c>
      <c r="J396" s="31" t="inlineStr">
        <is>
          <t>532162</t>
        </is>
      </c>
    </row>
    <row r="397">
      <c r="A397" s="31" t="inlineStr">
        <is>
          <t>RECLTD</t>
        </is>
      </c>
      <c r="B397" s="31" t="inlineStr">
        <is>
          <t>REC Ltd</t>
        </is>
      </c>
      <c r="C397" s="31" t="inlineStr">
        <is>
          <t>financials</t>
        </is>
      </c>
      <c r="D397" s="31" t="inlineStr">
        <is>
          <t>finance - term-lending institutions</t>
        </is>
      </c>
      <c r="E397" s="31" t="inlineStr">
        <is>
          <t>largecap</t>
        </is>
      </c>
      <c r="F397" s="31" t="n">
        <v>98206.09</v>
      </c>
      <c r="G397" s="31" t="n">
        <v>368.1</v>
      </c>
      <c r="H397" s="31" t="n">
        <v>-1.3</v>
      </c>
      <c r="I397" s="31" t="n">
        <v>10314512</v>
      </c>
      <c r="J397" s="31" t="inlineStr">
        <is>
          <t>532955</t>
        </is>
      </c>
    </row>
    <row r="398">
      <c r="A398" s="31" t="inlineStr">
        <is>
          <t>SUNPHARMA</t>
        </is>
      </c>
      <c r="B398" s="31" t="inlineStr">
        <is>
          <t>Sun Pharmaceuticals Industries Limited</t>
        </is>
      </c>
      <c r="C398" s="31" t="inlineStr">
        <is>
          <t>healthcare</t>
        </is>
      </c>
      <c r="D398" s="31" t="inlineStr">
        <is>
          <t>pharmaceuticals - indian - bulk drugs &amp; formln</t>
        </is>
      </c>
      <c r="E398" s="31" t="inlineStr">
        <is>
          <t>largecap</t>
        </is>
      </c>
      <c r="F398" s="31" t="n">
        <v>477587.63</v>
      </c>
      <c r="G398" s="31" t="n">
        <v>1963.5</v>
      </c>
      <c r="H398" s="31" t="n">
        <v>-1.36</v>
      </c>
      <c r="I398" s="31" t="n">
        <v>11763300</v>
      </c>
      <c r="J398" s="31" t="inlineStr">
        <is>
          <t>524715</t>
        </is>
      </c>
    </row>
    <row r="399">
      <c r="A399" s="31" t="inlineStr">
        <is>
          <t>SMCGLOBAL</t>
        </is>
      </c>
      <c r="B399" s="31" t="inlineStr">
        <is>
          <t>SMC Global Securities Ltd</t>
        </is>
      </c>
      <c r="C399" s="31" t="inlineStr">
        <is>
          <t>financials</t>
        </is>
      </c>
      <c r="D399" s="31" t="inlineStr">
        <is>
          <t>finance &amp; investments</t>
        </is>
      </c>
      <c r="E399" s="31" t="inlineStr">
        <is>
          <t>smallcap</t>
        </is>
      </c>
      <c r="F399" s="31" t="n">
        <v>1692.58</v>
      </c>
      <c r="G399" s="31" t="n">
        <v>79.73</v>
      </c>
      <c r="H399" s="31" t="n">
        <v>-1.36</v>
      </c>
      <c r="I399" s="31" t="n">
        <v>606572</v>
      </c>
      <c r="J399" s="31" t="inlineStr">
        <is>
          <t>543263</t>
        </is>
      </c>
    </row>
    <row r="400">
      <c r="A400" s="31" t="inlineStr">
        <is>
          <t>HESTERBIO</t>
        </is>
      </c>
      <c r="B400" s="31" t="inlineStr">
        <is>
          <t>Hester Biosciences Limited</t>
        </is>
      </c>
      <c r="C400" s="31" t="inlineStr">
        <is>
          <t>healthcare</t>
        </is>
      </c>
      <c r="D400" s="31" t="inlineStr">
        <is>
          <t>pharmaceuticals - indian - formulations</t>
        </is>
      </c>
      <c r="E400" s="31" t="inlineStr">
        <is>
          <t>smallcap</t>
        </is>
      </c>
      <c r="F400" s="31" t="n">
        <v>2107.75</v>
      </c>
      <c r="G400" s="31" t="n">
        <v>2442.4</v>
      </c>
      <c r="H400" s="31" t="n">
        <v>-1.42</v>
      </c>
      <c r="I400" s="31" t="n">
        <v>6341</v>
      </c>
      <c r="J400" s="31" t="inlineStr">
        <is>
          <t>524669</t>
        </is>
      </c>
    </row>
    <row r="401">
      <c r="A401" s="31" t="inlineStr">
        <is>
          <t>TORNTPHARM</t>
        </is>
      </c>
      <c r="B401" s="31" t="inlineStr">
        <is>
          <t>Torrent Pharmaceuticals Limited</t>
        </is>
      </c>
      <c r="C401" s="31" t="inlineStr">
        <is>
          <t>healthcare</t>
        </is>
      </c>
      <c r="D401" s="31" t="inlineStr">
        <is>
          <t>pharmaceuticals - indian - formulations</t>
        </is>
      </c>
      <c r="E401" s="31" t="inlineStr">
        <is>
          <t>largecap</t>
        </is>
      </c>
      <c r="F401" s="31" t="n">
        <v>194854.85</v>
      </c>
      <c r="G401" s="31" t="n">
        <v>5050</v>
      </c>
      <c r="H401" s="31" t="n">
        <v>-1.42</v>
      </c>
      <c r="I401" s="31" t="n">
        <v>2499890</v>
      </c>
      <c r="J401" s="31" t="inlineStr">
        <is>
          <t>500420</t>
        </is>
      </c>
    </row>
    <row r="402">
      <c r="A402" s="31" t="inlineStr">
        <is>
          <t>OIL</t>
        </is>
      </c>
      <c r="B402" s="31" t="inlineStr">
        <is>
          <t>Oil India Limited</t>
        </is>
      </c>
      <c r="C402" s="31" t="inlineStr">
        <is>
          <t>energy</t>
        </is>
      </c>
      <c r="D402" s="31" t="inlineStr">
        <is>
          <t>oil drilling / allied services</t>
        </is>
      </c>
      <c r="E402" s="31" t="inlineStr">
        <is>
          <t>largecap</t>
        </is>
      </c>
      <c r="F402" s="31" t="n">
        <v>74596.23</v>
      </c>
      <c r="G402" s="31" t="n">
        <v>452</v>
      </c>
      <c r="H402" s="31" t="n">
        <v>-1.44</v>
      </c>
      <c r="I402" s="31" t="n">
        <v>11220822</v>
      </c>
      <c r="J402" s="31" t="inlineStr">
        <is>
          <t>533106</t>
        </is>
      </c>
    </row>
    <row r="403">
      <c r="A403" s="31" t="inlineStr">
        <is>
          <t>NELCO</t>
        </is>
      </c>
      <c r="B403" s="31" t="inlineStr">
        <is>
          <t>Nelco Limited</t>
        </is>
      </c>
      <c r="C403" s="31" t="inlineStr">
        <is>
          <t>telecom</t>
        </is>
      </c>
      <c r="D403" s="31" t="inlineStr">
        <is>
          <t>telecommunications - service provider</t>
        </is>
      </c>
      <c r="E403" s="31" t="inlineStr">
        <is>
          <t>smallcap</t>
        </is>
      </c>
      <c r="F403" s="31" t="n">
        <v>2317.55</v>
      </c>
      <c r="G403" s="31" t="n">
        <v>1000.8</v>
      </c>
      <c r="H403" s="31" t="n">
        <v>-1.46</v>
      </c>
      <c r="I403" s="31" t="n">
        <v>772071</v>
      </c>
      <c r="J403" s="31" t="inlineStr">
        <is>
          <t>504112</t>
        </is>
      </c>
    </row>
    <row r="404">
      <c r="A404" s="31" t="inlineStr">
        <is>
          <t>SAREGAMA</t>
        </is>
      </c>
      <c r="B404" s="31" t="inlineStr">
        <is>
          <t>Saregama India Limited</t>
        </is>
      </c>
      <c r="C404" s="31" t="inlineStr">
        <is>
          <t>media</t>
        </is>
      </c>
      <c r="D404" s="31" t="inlineStr">
        <is>
          <t>entertainment / electronic media software</t>
        </is>
      </c>
      <c r="E404" s="31" t="inlineStr">
        <is>
          <t>midcap</t>
        </is>
      </c>
      <c r="F404" s="31" t="n">
        <v>10081.04</v>
      </c>
      <c r="G404" s="31" t="n">
        <v>514.2</v>
      </c>
      <c r="H404" s="31" t="n">
        <v>-1.65</v>
      </c>
      <c r="I404" s="31" t="n">
        <v>363756</v>
      </c>
      <c r="J404" s="31" t="inlineStr">
        <is>
          <t>532163</t>
        </is>
      </c>
    </row>
    <row r="405">
      <c r="A405" s="31" t="inlineStr">
        <is>
          <t>COMSYN</t>
        </is>
      </c>
      <c r="B405" s="31" t="inlineStr">
        <is>
          <t>Commercial Syn Bags Ltd</t>
        </is>
      </c>
      <c r="C405" s="31" t="inlineStr">
        <is>
          <t>industrials</t>
        </is>
      </c>
      <c r="D405" s="31" t="inlineStr">
        <is>
          <t>packaging</t>
        </is>
      </c>
      <c r="E405" s="31" t="inlineStr">
        <is>
          <t>smallcap</t>
        </is>
      </c>
      <c r="F405" s="31" t="n">
        <v>866.53</v>
      </c>
      <c r="G405" s="31" t="n">
        <v>211</v>
      </c>
      <c r="H405" s="31" t="n">
        <v>-1.77</v>
      </c>
      <c r="I405" s="31" t="n">
        <v>565690</v>
      </c>
      <c r="J405" s="31" t="inlineStr">
        <is>
          <t>539986</t>
        </is>
      </c>
    </row>
    <row r="406">
      <c r="A406" s="31" t="inlineStr">
        <is>
          <t>VERANDA</t>
        </is>
      </c>
      <c r="B406" s="31" t="inlineStr">
        <is>
          <t>Veranda Learning Solutions Ltd</t>
        </is>
      </c>
      <c r="C406" s="31" t="inlineStr">
        <is>
          <t>services</t>
        </is>
      </c>
      <c r="D406" s="31" t="inlineStr">
        <is>
          <t>miscellaneous</t>
        </is>
      </c>
      <c r="E406" s="31" t="inlineStr">
        <is>
          <t>smallcap</t>
        </is>
      </c>
      <c r="F406" s="31" t="n">
        <v>2495.57</v>
      </c>
      <c r="G406" s="31" t="n">
        <v>254.45</v>
      </c>
      <c r="H406" s="31" t="n">
        <v>-1.79</v>
      </c>
      <c r="I406" s="31" t="n">
        <v>1362559</v>
      </c>
      <c r="J406" s="31" t="inlineStr">
        <is>
          <t>543514</t>
        </is>
      </c>
    </row>
    <row r="407">
      <c r="A407" s="31" t="inlineStr">
        <is>
          <t>PNGJL</t>
        </is>
      </c>
      <c r="B407" s="31" t="inlineStr">
        <is>
          <t>P N Gadgil Jewellers Ltd</t>
        </is>
      </c>
      <c r="C407" s="31" t="inlineStr">
        <is>
          <t>consumer discretionary</t>
        </is>
      </c>
      <c r="D407" s="31" t="inlineStr">
        <is>
          <t>diamond cutting / jewellery</t>
        </is>
      </c>
      <c r="E407" s="31" t="inlineStr">
        <is>
          <t>midcap</t>
        </is>
      </c>
      <c r="F407" s="31" t="n">
        <v>9096.530000000001</v>
      </c>
      <c r="G407" s="31" t="n">
        <v>658.05</v>
      </c>
      <c r="H407" s="31" t="n">
        <v>-1.83</v>
      </c>
      <c r="I407" s="31" t="n">
        <v>356967</v>
      </c>
      <c r="J407" s="31" t="n"/>
    </row>
    <row r="408">
      <c r="A408" s="31" t="inlineStr">
        <is>
          <t>KRISHANA</t>
        </is>
      </c>
      <c r="B408" s="31" t="inlineStr">
        <is>
          <t>Krishana Phoschem Ltd</t>
        </is>
      </c>
      <c r="C408" s="31" t="inlineStr">
        <is>
          <t>chemicals</t>
        </is>
      </c>
      <c r="D408" s="31" t="inlineStr">
        <is>
          <t>fertilizers</t>
        </is>
      </c>
      <c r="E408" s="31" t="inlineStr">
        <is>
          <t>smallcap</t>
        </is>
      </c>
      <c r="F408" s="31" t="n">
        <v>1131.14</v>
      </c>
      <c r="G408" s="31" t="n">
        <v>179.6</v>
      </c>
      <c r="H408" s="31" t="n">
        <v>-1.83</v>
      </c>
      <c r="I408" s="31" t="n">
        <v>980140</v>
      </c>
      <c r="J408" s="31" t="inlineStr">
        <is>
          <t>538405</t>
        </is>
      </c>
    </row>
    <row r="409">
      <c r="A409" s="31" t="inlineStr">
        <is>
          <t>MANAPPURAM</t>
        </is>
      </c>
      <c r="B409" s="31" t="inlineStr">
        <is>
          <t>Manappuram Finance Limited</t>
        </is>
      </c>
      <c r="C409" s="31" t="inlineStr">
        <is>
          <t>financials</t>
        </is>
      </c>
      <c r="D409" s="31" t="inlineStr">
        <is>
          <t>finance &amp; investments</t>
        </is>
      </c>
      <c r="E409" s="31" t="inlineStr">
        <is>
          <t>largecap</t>
        </is>
      </c>
      <c r="F409" s="31" t="n">
        <v>34929.21</v>
      </c>
      <c r="G409" s="31" t="n">
        <v>365</v>
      </c>
      <c r="H409" s="31" t="n">
        <v>-1.84</v>
      </c>
      <c r="I409" s="31" t="n">
        <v>52515165</v>
      </c>
      <c r="J409" s="31" t="inlineStr">
        <is>
          <t>531213</t>
        </is>
      </c>
    </row>
    <row r="410">
      <c r="A410" s="31" t="inlineStr">
        <is>
          <t>AETHER</t>
        </is>
      </c>
      <c r="B410" s="31" t="inlineStr">
        <is>
          <t>Aether Industries Ltd</t>
        </is>
      </c>
      <c r="C410" s="31" t="inlineStr">
        <is>
          <t>chemicals</t>
        </is>
      </c>
      <c r="D410" s="31" t="inlineStr">
        <is>
          <t>chemicals</t>
        </is>
      </c>
      <c r="E410" s="31" t="inlineStr">
        <is>
          <t>largecap</t>
        </is>
      </c>
      <c r="F410" s="31" t="n">
        <v>20432.43</v>
      </c>
      <c r="G410" s="31" t="n">
        <v>1509.5</v>
      </c>
      <c r="H410" s="31" t="n">
        <v>-1.96</v>
      </c>
      <c r="I410" s="31" t="n">
        <v>557752</v>
      </c>
      <c r="J410" s="31" t="inlineStr">
        <is>
          <t>543534</t>
        </is>
      </c>
    </row>
    <row r="411">
      <c r="A411" s="31" t="inlineStr">
        <is>
          <t>KECL</t>
        </is>
      </c>
      <c r="B411" s="31" t="inlineStr">
        <is>
          <t>Kirloskar Electric Company Limited</t>
        </is>
      </c>
      <c r="C411" s="31" t="inlineStr">
        <is>
          <t>industrials</t>
        </is>
      </c>
      <c r="D411" s="31" t="inlineStr">
        <is>
          <t>electric equipment</t>
        </is>
      </c>
      <c r="E411" s="31" t="inlineStr">
        <is>
          <t>smallcap</t>
        </is>
      </c>
      <c r="F411" s="31" t="n">
        <v>915.12</v>
      </c>
      <c r="G411" s="31" t="n">
        <v>135</v>
      </c>
      <c r="H411" s="31" t="n">
        <v>-2.02</v>
      </c>
      <c r="I411" s="31" t="n">
        <v>303164</v>
      </c>
      <c r="J411" s="31" t="inlineStr">
        <is>
          <t>533193</t>
        </is>
      </c>
    </row>
    <row r="412">
      <c r="A412" s="31" t="inlineStr">
        <is>
          <t>CREDITACC</t>
        </is>
      </c>
      <c r="B412" s="31" t="inlineStr">
        <is>
          <t>CreditAccess Grameen Ltd</t>
        </is>
      </c>
      <c r="C412" s="31" t="inlineStr">
        <is>
          <t>financials</t>
        </is>
      </c>
      <c r="D412" s="31" t="inlineStr">
        <is>
          <t>finance &amp; investments</t>
        </is>
      </c>
      <c r="E412" s="31" t="inlineStr">
        <is>
          <t>largecap</t>
        </is>
      </c>
      <c r="F412" s="31" t="n">
        <v>25526.14</v>
      </c>
      <c r="G412" s="31" t="n">
        <v>1558.2</v>
      </c>
      <c r="H412" s="31" t="n">
        <v>-2.17</v>
      </c>
      <c r="I412" s="31" t="n">
        <v>290157</v>
      </c>
      <c r="J412" s="31" t="inlineStr">
        <is>
          <t>541770</t>
        </is>
      </c>
    </row>
    <row r="413">
      <c r="A413" s="31" t="inlineStr">
        <is>
          <t>INDIGOPNTS</t>
        </is>
      </c>
      <c r="B413" s="31" t="inlineStr">
        <is>
          <t>Indigo Paints Ltd</t>
        </is>
      </c>
      <c r="C413" s="31" t="inlineStr">
        <is>
          <t>building materials</t>
        </is>
      </c>
      <c r="D413" s="31" t="inlineStr">
        <is>
          <t>paints / varnishes</t>
        </is>
      </c>
      <c r="E413" s="31" t="inlineStr">
        <is>
          <t>midcap</t>
        </is>
      </c>
      <c r="F413" s="31" t="n">
        <v>5300.58</v>
      </c>
      <c r="G413" s="31" t="n">
        <v>1087.4</v>
      </c>
      <c r="H413" s="31" t="n">
        <v>-2.19</v>
      </c>
      <c r="I413" s="31" t="n">
        <v>48464</v>
      </c>
      <c r="J413" s="31" t="inlineStr">
        <is>
          <t>543258</t>
        </is>
      </c>
    </row>
    <row r="414">
      <c r="A414" s="31" t="inlineStr">
        <is>
          <t>ESAFSFB</t>
        </is>
      </c>
      <c r="B414" s="31" t="inlineStr">
        <is>
          <t>ESAF Small Finance Bank Ltd</t>
        </is>
      </c>
      <c r="C414" s="31" t="inlineStr">
        <is>
          <t>bank</t>
        </is>
      </c>
      <c r="D414" s="31" t="inlineStr">
        <is>
          <t>banks - private sector</t>
        </is>
      </c>
      <c r="E414" s="31" t="inlineStr">
        <is>
          <t>smallcap</t>
        </is>
      </c>
      <c r="F414" s="31" t="n">
        <v>2169.58</v>
      </c>
      <c r="G414" s="31" t="n">
        <v>40.92</v>
      </c>
      <c r="H414" s="31" t="n">
        <v>-2.69</v>
      </c>
      <c r="I414" s="31" t="n">
        <v>9790624</v>
      </c>
      <c r="J414" s="31" t="inlineStr">
        <is>
          <t>544020</t>
        </is>
      </c>
    </row>
    <row r="415">
      <c r="A415" s="31" t="inlineStr">
        <is>
          <t>63MOONS</t>
        </is>
      </c>
      <c r="B415" s="31" t="inlineStr">
        <is>
          <t>63 Moons Technologies Ltd</t>
        </is>
      </c>
      <c r="C415" s="31" t="inlineStr">
        <is>
          <t>i.t</t>
        </is>
      </c>
      <c r="D415" s="31" t="inlineStr">
        <is>
          <t>computers - software - medium / small</t>
        </is>
      </c>
      <c r="E415" s="31" t="inlineStr">
        <is>
          <t>smallcap</t>
        </is>
      </c>
      <c r="F415" s="31" t="n">
        <v>4291.75</v>
      </c>
      <c r="G415" s="31" t="n">
        <v>897.05</v>
      </c>
      <c r="H415" s="31" t="n">
        <v>-3.69</v>
      </c>
      <c r="I415" s="31" t="n">
        <v>2873773</v>
      </c>
      <c r="J415" s="31" t="inlineStr">
        <is>
          <t>526881</t>
        </is>
      </c>
    </row>
    <row r="416">
      <c r="A416" s="31" t="inlineStr">
        <is>
          <t>SENCO</t>
        </is>
      </c>
      <c r="B416" s="31" t="inlineStr">
        <is>
          <t>Senco Gold Ltd</t>
        </is>
      </c>
      <c r="C416" s="31" t="inlineStr">
        <is>
          <t>consumer discretionary</t>
        </is>
      </c>
      <c r="D416" s="31" t="inlineStr">
        <is>
          <t>diamond cutting / jewellery</t>
        </is>
      </c>
      <c r="E416" s="31" t="inlineStr">
        <is>
          <t>midcap</t>
        </is>
      </c>
      <c r="F416" s="31" t="n">
        <v>6605.97</v>
      </c>
      <c r="G416" s="31" t="n">
        <v>388.1</v>
      </c>
      <c r="H416" s="31" t="n">
        <v>-3.75</v>
      </c>
      <c r="I416" s="31" t="n">
        <v>1410396</v>
      </c>
      <c r="J416" s="31" t="inlineStr">
        <is>
          <t>543936</t>
        </is>
      </c>
    </row>
    <row r="417">
      <c r="A417" s="31" t="inlineStr">
        <is>
          <t>DREDGECORP</t>
        </is>
      </c>
      <c r="B417" s="31" t="inlineStr">
        <is>
          <t>Dredging Corporation Of India Limited</t>
        </is>
      </c>
      <c r="C417" s="31" t="inlineStr">
        <is>
          <t>miscellaneous</t>
        </is>
      </c>
      <c r="D417" s="31" t="inlineStr">
        <is>
          <t>miscellaneous</t>
        </is>
      </c>
      <c r="E417" s="31" t="inlineStr">
        <is>
          <t>smallcap</t>
        </is>
      </c>
      <c r="F417" s="31" t="n">
        <v>3190.32</v>
      </c>
      <c r="G417" s="31" t="n">
        <v>1096.5</v>
      </c>
      <c r="H417" s="31" t="n">
        <v>-3.77</v>
      </c>
      <c r="I417" s="31" t="n">
        <v>139028</v>
      </c>
      <c r="J417" s="31" t="inlineStr">
        <is>
          <t>523618</t>
        </is>
      </c>
    </row>
    <row r="418">
      <c r="A418" s="31" t="inlineStr">
        <is>
          <t>SMLMAH</t>
        </is>
      </c>
      <c r="B418" s="31" t="inlineStr">
        <is>
          <t>SML Mahindra Ltd</t>
        </is>
      </c>
      <c r="C418" s="31" t="inlineStr">
        <is>
          <t>auto</t>
        </is>
      </c>
      <c r="D418" s="31" t="inlineStr">
        <is>
          <t>automobiles - lcvs / hcvs</t>
        </is>
      </c>
      <c r="E418" s="31" t="inlineStr">
        <is>
          <t>midcap</t>
        </is>
      </c>
      <c r="F418" s="31" t="n">
        <v>8228</v>
      </c>
      <c r="G418" s="31" t="n">
        <v>5464</v>
      </c>
      <c r="H418" s="31" t="n">
        <v>-3.9</v>
      </c>
      <c r="I418" s="31" t="n">
        <v>257129</v>
      </c>
      <c r="J418" s="31" t="inlineStr">
        <is>
          <t>505192</t>
        </is>
      </c>
    </row>
    <row r="419">
      <c r="A419" s="31" t="inlineStr">
        <is>
          <t>GPTHEALTH</t>
        </is>
      </c>
      <c r="B419" s="31" t="inlineStr">
        <is>
          <t>GPT Healthcare Ltd</t>
        </is>
      </c>
      <c r="C419" s="31" t="inlineStr">
        <is>
          <t>healthcare</t>
        </is>
      </c>
      <c r="D419" s="31" t="inlineStr">
        <is>
          <t>healthcare</t>
        </is>
      </c>
      <c r="E419" s="31" t="inlineStr">
        <is>
          <t>smallcap</t>
        </is>
      </c>
      <c r="F419" s="31" t="n">
        <v>1398.95</v>
      </c>
      <c r="G419" s="31" t="n">
        <v>163.04</v>
      </c>
      <c r="H419" s="31" t="n">
        <v>-4.37</v>
      </c>
      <c r="I419" s="31" t="n">
        <v>509164</v>
      </c>
      <c r="J419" s="31" t="inlineStr">
        <is>
          <t>544131</t>
        </is>
      </c>
    </row>
    <row r="420">
      <c r="A420" s="31" t="inlineStr">
        <is>
          <t>SICALLOG</t>
        </is>
      </c>
      <c r="B420" s="31" t="inlineStr">
        <is>
          <t>Sical Logistics Ltd</t>
        </is>
      </c>
      <c r="C420" s="31" t="inlineStr">
        <is>
          <t>transportation</t>
        </is>
      </c>
      <c r="D420" s="31" t="inlineStr">
        <is>
          <t>miscellaneous</t>
        </is>
      </c>
      <c r="E420" s="31" t="inlineStr">
        <is>
          <t>smallcap</t>
        </is>
      </c>
      <c r="F420" s="31" t="n">
        <v>897.8200000000001</v>
      </c>
      <c r="G420" s="31" t="n">
        <v>106.91</v>
      </c>
      <c r="H420" s="31" t="n">
        <v>-4.99</v>
      </c>
      <c r="I420" s="31" t="n">
        <v>20325</v>
      </c>
      <c r="J420" s="31" t="inlineStr">
        <is>
          <t>520086</t>
        </is>
      </c>
    </row>
    <row r="421">
      <c r="A421" s="31" t="inlineStr">
        <is>
          <t>NILKAMAL</t>
        </is>
      </c>
      <c r="B421" s="31" t="inlineStr">
        <is>
          <t>Nilkamal Limited</t>
        </is>
      </c>
      <c r="C421" s="31" t="inlineStr">
        <is>
          <t>plastic products</t>
        </is>
      </c>
      <c r="D421" s="31" t="inlineStr">
        <is>
          <t>plastics products</t>
        </is>
      </c>
      <c r="E421" s="31" t="inlineStr">
        <is>
          <t>smallcap</t>
        </is>
      </c>
      <c r="F421" s="31" t="n">
        <v>2682.77</v>
      </c>
      <c r="G421" s="31" t="n">
        <v>1699.9</v>
      </c>
      <c r="H421" s="31" t="n">
        <v>-5.45</v>
      </c>
      <c r="I421" s="31" t="n">
        <v>251226</v>
      </c>
      <c r="J421" s="31" t="inlineStr">
        <is>
          <t>523385</t>
        </is>
      </c>
    </row>
  </sheetData>
  <autoFilter ref="A1:J4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5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SJS</t>
        </is>
      </c>
      <c r="E2" s="31" t="inlineStr">
        <is>
          <t>S J S Enterprises Ltd</t>
        </is>
      </c>
      <c r="F2" s="31" t="inlineStr">
        <is>
          <t>Auto Ancillaries - Diversified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20</v>
      </c>
      <c r="K2" s="31" t="n">
        <v>29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RPTECH</t>
        </is>
      </c>
      <c r="E3" s="31" t="inlineStr">
        <is>
          <t>Rashi Peripherals Ltd</t>
        </is>
      </c>
      <c r="F3" s="31" t="inlineStr">
        <is>
          <t>Trading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22</v>
      </c>
      <c r="K3" s="31" t="n">
        <v>28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NYKAA</t>
        </is>
      </c>
      <c r="E4" s="31" t="inlineStr">
        <is>
          <t>FSN E-Commerce Ventures Ltd</t>
        </is>
      </c>
      <c r="F4" s="31" t="inlineStr">
        <is>
          <t>New age - Platform - E-Retail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20</v>
      </c>
      <c r="K4" s="31" t="n">
        <v>24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SONACOMS</t>
        </is>
      </c>
      <c r="E5" s="31" t="inlineStr">
        <is>
          <t>Sona BLW Precision Forgings Ltd</t>
        </is>
      </c>
      <c r="F5" s="31" t="inlineStr">
        <is>
          <t>Castings, Forgings &amp; Fastners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18</v>
      </c>
      <c r="K5" s="31" t="n">
        <v>22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SIGMAADV</t>
        </is>
      </c>
      <c r="E6" s="31" t="inlineStr">
        <is>
          <t>Sigma Advanced System Ltd</t>
        </is>
      </c>
      <c r="F6" s="31" t="inlineStr">
        <is>
          <t>Aerospace &amp; Defence - Equipments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21</v>
      </c>
      <c r="K6" s="31" t="n">
        <v>24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CRAFTSMAN</t>
        </is>
      </c>
      <c r="E7" s="31" t="inlineStr">
        <is>
          <t>Craftsman Automation Ltd</t>
        </is>
      </c>
      <c r="F7" s="31" t="inlineStr">
        <is>
          <t>Auto &amp; Auto Ancl - CV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24</v>
      </c>
      <c r="K7" s="31" t="n">
        <v>25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DIVISLAB</t>
        </is>
      </c>
      <c r="E8" s="31" t="inlineStr">
        <is>
          <t>Divi's Laboratories Limited</t>
        </is>
      </c>
      <c r="F8" s="31" t="inlineStr">
        <is>
          <t>Pharma - API &amp; CRAMS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20</v>
      </c>
      <c r="K8" s="31" t="n">
        <v>15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GAEL</t>
        </is>
      </c>
      <c r="E9" s="31" t="inlineStr">
        <is>
          <t>Gujarat Ambuja Exports Limited</t>
        </is>
      </c>
      <c r="F9" s="31" t="inlineStr">
        <is>
          <t>Agricultural Processing - Maize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28</v>
      </c>
      <c r="K9" s="31" t="n">
        <v>10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TVSMOTOR</t>
        </is>
      </c>
      <c r="E10" s="31" t="inlineStr">
        <is>
          <t>Tvs Motor Company Limited</t>
        </is>
      </c>
      <c r="F10" s="31" t="inlineStr">
        <is>
          <t>Auto - 2 &amp; 3 Wheelers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22</v>
      </c>
      <c r="K10" s="31" t="n">
        <v>12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APCOTEXIND</t>
        </is>
      </c>
      <c r="E11" s="31" t="inlineStr">
        <is>
          <t>Apcotex Industries Limited</t>
        </is>
      </c>
      <c r="F11" s="31" t="inlineStr">
        <is>
          <t>Rubber Processing/Rubber Products</t>
        </is>
      </c>
      <c r="G11" s="31" t="n">
        <v>2</v>
      </c>
      <c r="H11" s="31" t="inlineStr">
        <is>
          <t>No</t>
        </is>
      </c>
      <c r="I11" s="31" t="inlineStr">
        <is>
          <t>Yes</t>
        </is>
      </c>
      <c r="J11" s="31" t="n">
        <v>22</v>
      </c>
      <c r="K11" s="31" t="n">
        <v>25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APLAPOLLO</t>
        </is>
      </c>
      <c r="E12" s="31" t="inlineStr">
        <is>
          <t>Apl Apollo Tubes Limited</t>
        </is>
      </c>
      <c r="F12" s="31" t="inlineStr">
        <is>
          <t>Steel - Tubes/Pipes</t>
        </is>
      </c>
      <c r="G12" s="31" t="n">
        <v>2</v>
      </c>
      <c r="H12" s="31" t="inlineStr">
        <is>
          <t>EMA Crossover</t>
        </is>
      </c>
      <c r="I12" s="31" t="inlineStr">
        <is>
          <t>Yes</t>
        </is>
      </c>
      <c r="J12" s="31" t="n">
        <v>4</v>
      </c>
      <c r="K12" s="31" t="n">
        <v>2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AEGISLOG</t>
        </is>
      </c>
      <c r="E13" s="31" t="inlineStr">
        <is>
          <t>Aegis Logistics Ltd</t>
        </is>
      </c>
      <c r="F13" s="31" t="inlineStr">
        <is>
          <t>Logistics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18</v>
      </c>
      <c r="K13" s="31" t="n">
        <v>26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PRICOLLTD</t>
        </is>
      </c>
      <c r="E14" s="31" t="inlineStr">
        <is>
          <t>Pricol Ltd.</t>
        </is>
      </c>
      <c r="F14" s="31" t="inlineStr">
        <is>
          <t>Auto Ancillaries - 2 Wheelers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24</v>
      </c>
      <c r="K14" s="31" t="n">
        <v>15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SPORTKING</t>
        </is>
      </c>
      <c r="E15" s="31" t="inlineStr">
        <is>
          <t>Sportking India Ltd</t>
        </is>
      </c>
      <c r="F15" s="31" t="inlineStr">
        <is>
          <t>Textiles - Spinning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26</v>
      </c>
      <c r="K15" s="31" t="n">
        <v>22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TFCILTD</t>
        </is>
      </c>
      <c r="E16" s="31" t="inlineStr">
        <is>
          <t>Tourism Finance Corporation Of India Limited</t>
        </is>
      </c>
      <c r="F16" s="31" t="inlineStr">
        <is>
          <t>Finance - PSU Lending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26</v>
      </c>
      <c r="K16" s="31" t="n">
        <v>17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ESAFSFB</t>
        </is>
      </c>
      <c r="E17" s="31" t="inlineStr">
        <is>
          <t>ESAF Small Finance Bank Ltd</t>
        </is>
      </c>
      <c r="F17" s="31" t="inlineStr">
        <is>
          <t>Banks - Small Finance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23</v>
      </c>
      <c r="K17" s="31" t="n">
        <v>23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REDINGTON</t>
        </is>
      </c>
      <c r="E18" s="31" t="inlineStr">
        <is>
          <t>Redington (india) Limited</t>
        </is>
      </c>
      <c r="F18" s="31" t="inlineStr">
        <is>
          <t>Computer - Hardware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24</v>
      </c>
      <c r="K18" s="31" t="n">
        <v>15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E2E</t>
        </is>
      </c>
      <c r="E19" s="31" t="inlineStr">
        <is>
          <t>E2E Networks Ltd</t>
        </is>
      </c>
      <c r="F19" s="31" t="inlineStr">
        <is>
          <t>Data Centre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22</v>
      </c>
      <c r="K19" s="31" t="n">
        <v>10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CREDITACC</t>
        </is>
      </c>
      <c r="E20" s="31" t="inlineStr">
        <is>
          <t>CreditAccess Grameen Ltd</t>
        </is>
      </c>
      <c r="F20" s="31" t="inlineStr">
        <is>
          <t>Finance &amp; Investments - Microfinance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18</v>
      </c>
      <c r="K20" s="31" t="n">
        <v>21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HUHTAMAKI</t>
        </is>
      </c>
      <c r="E21" s="31" t="inlineStr">
        <is>
          <t>Huhtamaki India Ltd</t>
        </is>
      </c>
      <c r="F21" s="31" t="inlineStr">
        <is>
          <t>Packaging - FMCG/Consumers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25</v>
      </c>
      <c r="K21" s="31" t="n">
        <v>10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JSFB</t>
        </is>
      </c>
      <c r="E22" s="31" t="inlineStr">
        <is>
          <t>Jana Small Finance Bank Ltd</t>
        </is>
      </c>
      <c r="F22" s="31" t="inlineStr">
        <is>
          <t>Banks - Small Finance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18</v>
      </c>
      <c r="K22" s="31" t="n">
        <v>11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M&amp;MFIN</t>
        </is>
      </c>
      <c r="E23" s="31" t="inlineStr">
        <is>
          <t>Mahindra &amp; Mahindra Financial Services Limited</t>
        </is>
      </c>
      <c r="F23" s="31" t="inlineStr">
        <is>
          <t>Finance &amp; Investments - CV Finance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18</v>
      </c>
      <c r="K23" s="31" t="n">
        <v>9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UJJIVANSFB</t>
        </is>
      </c>
      <c r="E24" s="31" t="inlineStr">
        <is>
          <t>Ujjivan Small Finance Bank Ltd</t>
        </is>
      </c>
      <c r="F24" s="31" t="inlineStr">
        <is>
          <t>Banks - Small Finance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24</v>
      </c>
      <c r="K24" s="31" t="n">
        <v>18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ATHERENERG</t>
        </is>
      </c>
      <c r="E25" s="31" t="inlineStr">
        <is>
          <t>Ather Energy Ltd</t>
        </is>
      </c>
      <c r="F25" s="31" t="inlineStr">
        <is>
          <t>Auto - 2 &amp; 3 Wheelers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19</v>
      </c>
      <c r="K25" s="31" t="n">
        <v>22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MENONBE</t>
        </is>
      </c>
      <c r="E26" s="31" t="inlineStr">
        <is>
          <t>Menon Bearings Limited</t>
        </is>
      </c>
      <c r="F26" s="31" t="inlineStr">
        <is>
          <t>Auto Ancillaries - Bearings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21</v>
      </c>
      <c r="K26" s="31" t="n">
        <v>24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UNIPARTS</t>
        </is>
      </c>
      <c r="E27" s="31" t="inlineStr">
        <is>
          <t>Uniparts India Ltd</t>
        </is>
      </c>
      <c r="F27" s="31" t="inlineStr">
        <is>
          <t>Castings, Forgings &amp; Fastners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20</v>
      </c>
      <c r="K27" s="31" t="n">
        <v>29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QUESS</t>
        </is>
      </c>
      <c r="E28" s="31" t="inlineStr">
        <is>
          <t>Quess Corp Limited</t>
        </is>
      </c>
      <c r="F28" s="31" t="inlineStr">
        <is>
          <t>Facility Management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23</v>
      </c>
      <c r="K28" s="31" t="n">
        <v>12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SAKAR</t>
        </is>
      </c>
      <c r="E29" s="31" t="inlineStr">
        <is>
          <t>Sakar Healthcare Ltd</t>
        </is>
      </c>
      <c r="F29" s="31" t="inlineStr">
        <is>
          <t>Hospitals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22</v>
      </c>
      <c r="K29" s="31" t="n">
        <v>22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MPSLTD</t>
        </is>
      </c>
      <c r="E30" s="31" t="inlineStr">
        <is>
          <t>Mps Limited</t>
        </is>
      </c>
      <c r="F30" s="31" t="inlineStr">
        <is>
          <t>E-Commerce - Platform - Utility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26</v>
      </c>
      <c r="K30" s="31" t="n">
        <v>8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CENTENKA</t>
        </is>
      </c>
      <c r="E31" s="31" t="inlineStr">
        <is>
          <t>Century Enka Limited</t>
        </is>
      </c>
      <c r="F31" s="31" t="inlineStr">
        <is>
          <t>Textiles - Manmade Fibre - PFY/PSF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24</v>
      </c>
      <c r="K31" s="31" t="n">
        <v>29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RAIN</t>
        </is>
      </c>
      <c r="E32" s="31" t="inlineStr">
        <is>
          <t>Rain Industries Limited</t>
        </is>
      </c>
      <c r="F32" s="31" t="inlineStr">
        <is>
          <t>Cement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19</v>
      </c>
      <c r="K32" s="31" t="n">
        <v>24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THYROCARE</t>
        </is>
      </c>
      <c r="E33" s="31" t="inlineStr">
        <is>
          <t>Thyrocare Technologies Limited</t>
        </is>
      </c>
      <c r="F33" s="31" t="inlineStr">
        <is>
          <t>Diagnostics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20</v>
      </c>
      <c r="K33" s="31" t="n">
        <v>26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MONARCH</t>
        </is>
      </c>
      <c r="E34" s="31" t="inlineStr">
        <is>
          <t>Monarch Networth Capital Ltd</t>
        </is>
      </c>
      <c r="F34" s="31" t="inlineStr">
        <is>
          <t>Finance - Capital Markets - Brokers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21</v>
      </c>
      <c r="K34" s="31" t="n">
        <v>26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CUPID</t>
        </is>
      </c>
      <c r="E35" s="31" t="inlineStr">
        <is>
          <t>Cupid Limited</t>
        </is>
      </c>
      <c r="F35" s="31" t="inlineStr">
        <is>
          <t>Contraceptives/Protectives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18</v>
      </c>
      <c r="K35" s="31" t="n">
        <v>30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RRKABEL</t>
        </is>
      </c>
      <c r="E36" s="31" t="inlineStr">
        <is>
          <t>R R Kabel Ltd</t>
        </is>
      </c>
      <c r="F36" s="31" t="inlineStr">
        <is>
          <t>Cables - Power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26</v>
      </c>
      <c r="K36" s="31" t="n">
        <v>29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INDNIPPON</t>
        </is>
      </c>
      <c r="E37" s="31" t="inlineStr">
        <is>
          <t>India Nippon Electricals Limited</t>
        </is>
      </c>
      <c r="F37" s="31" t="inlineStr">
        <is>
          <t>Auto Ancillaries - Engine Parts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19</v>
      </c>
      <c r="K37" s="31" t="n">
        <v>28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FEDERALBNK</t>
        </is>
      </c>
      <c r="E38" s="31" t="inlineStr">
        <is>
          <t>The Federal Bank  Limited</t>
        </is>
      </c>
      <c r="F38" s="31" t="inlineStr">
        <is>
          <t>Banks - Private</t>
        </is>
      </c>
      <c r="G38" s="31" t="n">
        <v>2</v>
      </c>
      <c r="H38" s="31" t="inlineStr">
        <is>
          <t>52W Breakout</t>
        </is>
      </c>
      <c r="I38" s="31" t="inlineStr">
        <is>
          <t>Yes</t>
        </is>
      </c>
      <c r="J38" s="31" t="n">
        <v>12</v>
      </c>
      <c r="K38" s="31" t="n">
        <v>30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SPECTRUM</t>
        </is>
      </c>
      <c r="E39" s="31" t="inlineStr">
        <is>
          <t>Spectrum Electrical Industries Ltd</t>
        </is>
      </c>
      <c r="F39" s="31" t="inlineStr">
        <is>
          <t>Capital Goods - Electric General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19</v>
      </c>
      <c r="K39" s="31" t="n">
        <v>30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DPABHUSHAN</t>
        </is>
      </c>
      <c r="E40" s="31" t="inlineStr">
        <is>
          <t>D.P. Abhushan Ltd</t>
        </is>
      </c>
      <c r="F40" s="31" t="inlineStr">
        <is>
          <t>Diamond, Gems &amp; Jewellery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18</v>
      </c>
      <c r="K40" s="31" t="n">
        <v>6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CYIENTDLM</t>
        </is>
      </c>
      <c r="E41" s="31" t="inlineStr">
        <is>
          <t>Cyient DLM Ltd</t>
        </is>
      </c>
      <c r="F41" s="31" t="inlineStr">
        <is>
          <t>Consumer Electronics - EMS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18</v>
      </c>
      <c r="K41" s="31" t="n">
        <v>29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NESTLEIND</t>
        </is>
      </c>
      <c r="E42" s="31" t="inlineStr">
        <is>
          <t>Nestle India Limited</t>
        </is>
      </c>
      <c r="F42" s="31" t="inlineStr">
        <is>
          <t>FMCG - Dairy Products</t>
        </is>
      </c>
      <c r="G42" s="31" t="n">
        <v>2</v>
      </c>
      <c r="H42" s="31" t="inlineStr">
        <is>
          <t>52W Breakout</t>
        </is>
      </c>
      <c r="I42" s="31" t="inlineStr">
        <is>
          <t>Yes</t>
        </is>
      </c>
      <c r="J42" s="31" t="n">
        <v>15</v>
      </c>
      <c r="K42" s="31" t="n">
        <v>9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ADOR</t>
        </is>
      </c>
      <c r="E43" s="31" t="inlineStr">
        <is>
          <t>Ador Welding Ltd</t>
        </is>
      </c>
      <c r="F43" s="31" t="inlineStr">
        <is>
          <t>Welding Equipments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21</v>
      </c>
      <c r="K43" s="31" t="n">
        <v>29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MOTHERSON</t>
        </is>
      </c>
      <c r="E44" s="31" t="inlineStr">
        <is>
          <t>Samvardhana Motherson International Ltd</t>
        </is>
      </c>
      <c r="F44" s="31" t="inlineStr">
        <is>
          <t>Auto Ancillaries - Diversified</t>
        </is>
      </c>
      <c r="G44" s="31" t="n">
        <v>2</v>
      </c>
      <c r="H44" s="31" t="inlineStr">
        <is>
          <t>52W Breakout</t>
        </is>
      </c>
      <c r="I44" s="31" t="inlineStr">
        <is>
          <t>Yes</t>
        </is>
      </c>
      <c r="J44" s="31" t="n">
        <v>14</v>
      </c>
      <c r="K44" s="31" t="n">
        <v>25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OCCLLTD</t>
        </is>
      </c>
      <c r="E45" s="31" t="inlineStr">
        <is>
          <t>OCCL Ltd</t>
        </is>
      </c>
      <c r="F45" s="31" t="inlineStr">
        <is>
          <t>Chemicals - Organic</t>
        </is>
      </c>
      <c r="G45" s="31" t="n">
        <v>2</v>
      </c>
      <c r="H45" s="31" t="inlineStr">
        <is>
          <t>52W Breakout</t>
        </is>
      </c>
      <c r="I45" s="31" t="inlineStr">
        <is>
          <t>Yes</t>
        </is>
      </c>
      <c r="J45" s="31" t="n">
        <v>4</v>
      </c>
      <c r="K45" s="31" t="n">
        <v>22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IIFL</t>
        </is>
      </c>
      <c r="E46" s="31" t="inlineStr">
        <is>
          <t>IIFL Finance Ltd</t>
        </is>
      </c>
      <c r="F46" s="31" t="inlineStr">
        <is>
          <t>Finance &amp; Investments - Gold Loan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18</v>
      </c>
      <c r="K46" s="31" t="n">
        <v>10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LAURUSLABS</t>
        </is>
      </c>
      <c r="E47" s="31" t="inlineStr">
        <is>
          <t>Laurus Labs Limited</t>
        </is>
      </c>
      <c r="F47" s="31" t="inlineStr">
        <is>
          <t>Pharma - API &amp; CRAMS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22</v>
      </c>
      <c r="K47" s="31" t="n">
        <v>30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KARURVYSYA</t>
        </is>
      </c>
      <c r="E48" s="31" t="inlineStr">
        <is>
          <t>Karur Vysya Bank Limited</t>
        </is>
      </c>
      <c r="F48" s="31" t="inlineStr">
        <is>
          <t>Banks - Private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22</v>
      </c>
      <c r="K48" s="31" t="n">
        <v>13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LALPATHLAB</t>
        </is>
      </c>
      <c r="E49" s="31" t="inlineStr">
        <is>
          <t>Dr. Lal Path Labs Ltd.</t>
        </is>
      </c>
      <c r="F49" s="31" t="inlineStr">
        <is>
          <t>Diagnostics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17</v>
      </c>
      <c r="K49" s="31" t="n">
        <v>22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STLTECH</t>
        </is>
      </c>
      <c r="E50" s="31" t="inlineStr">
        <is>
          <t>Sterlite Technologies Limited</t>
        </is>
      </c>
      <c r="F50" s="31" t="inlineStr">
        <is>
          <t>Cables - Telecom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17</v>
      </c>
      <c r="K50" s="31" t="n">
        <v>20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IRISDOREME</t>
        </is>
      </c>
      <c r="E51" s="31" t="inlineStr">
        <is>
          <t>Iris Clothings Ltd</t>
        </is>
      </c>
      <c r="F51" s="31" t="inlineStr">
        <is>
          <t>Textiles - Readymade Apparel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22</v>
      </c>
      <c r="K51" s="31" t="n">
        <v>26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THELEELA</t>
        </is>
      </c>
      <c r="E52" s="31" t="inlineStr">
        <is>
          <t>Leela Palaces Hotels &amp; Resorts Ltd</t>
        </is>
      </c>
      <c r="F52" s="31" t="inlineStr">
        <is>
          <t>Hotels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20</v>
      </c>
      <c r="K52" s="31" t="n">
        <v>19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YASHO</t>
        </is>
      </c>
      <c r="E53" s="31" t="inlineStr">
        <is>
          <t>Yasho Industries Ltd</t>
        </is>
      </c>
      <c r="F53" s="31" t="inlineStr">
        <is>
          <t>Speciality Chemicals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25</v>
      </c>
      <c r="K53" s="31" t="n">
        <v>30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GHCLTEXTIL</t>
        </is>
      </c>
      <c r="E54" s="31" t="inlineStr">
        <is>
          <t>GHCL Textiles Ltd</t>
        </is>
      </c>
      <c r="F54" s="31" t="inlineStr">
        <is>
          <t>Textiles - General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22</v>
      </c>
      <c r="K54" s="31" t="n">
        <v>17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SHRIPISTON</t>
        </is>
      </c>
      <c r="E55" s="31" t="inlineStr">
        <is>
          <t>Shriram Pistons &amp; Rings Limited</t>
        </is>
      </c>
      <c r="F55" s="31" t="inlineStr">
        <is>
          <t>Auto Ancillaries - Engine Parts</t>
        </is>
      </c>
      <c r="G55" s="31" t="n">
        <v>2</v>
      </c>
      <c r="H55" s="31" t="inlineStr">
        <is>
          <t>52W Breakout</t>
        </is>
      </c>
      <c r="I55" s="31" t="inlineStr">
        <is>
          <t>Yes</t>
        </is>
      </c>
      <c r="J55" s="31" t="n">
        <v>14</v>
      </c>
      <c r="K55" s="31" t="n">
        <v>24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HAPPYFORGE</t>
        </is>
      </c>
      <c r="E56" s="31" t="inlineStr">
        <is>
          <t>Happy Forgings Ltd</t>
        </is>
      </c>
      <c r="F56" s="31" t="inlineStr">
        <is>
          <t>Castings, Forgings &amp; Fastners</t>
        </is>
      </c>
      <c r="G56" s="31" t="n">
        <v>2</v>
      </c>
      <c r="H56" s="31" t="inlineStr">
        <is>
          <t>52W Breakout</t>
        </is>
      </c>
      <c r="I56" s="31" t="inlineStr">
        <is>
          <t>Yes</t>
        </is>
      </c>
      <c r="J56" s="31" t="n">
        <v>15</v>
      </c>
      <c r="K56" s="31" t="n">
        <v>21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SANSERA</t>
        </is>
      </c>
      <c r="E57" s="31" t="inlineStr">
        <is>
          <t>Sansera Engineering Ltd</t>
        </is>
      </c>
      <c r="F57" s="31" t="inlineStr">
        <is>
          <t>Auto Ancillaries - Diversified</t>
        </is>
      </c>
      <c r="G57" s="31" t="n">
        <v>2</v>
      </c>
      <c r="H57" s="31" t="inlineStr">
        <is>
          <t>52W Breakout</t>
        </is>
      </c>
      <c r="I57" s="31" t="inlineStr">
        <is>
          <t>Yes</t>
        </is>
      </c>
      <c r="J57" s="31" t="n">
        <v>14</v>
      </c>
      <c r="K57" s="31" t="n">
        <v>26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OFSS</t>
        </is>
      </c>
      <c r="E58" s="31" t="inlineStr">
        <is>
          <t>Oracle Financial Services Software Limited</t>
        </is>
      </c>
      <c r="F58" s="31" t="inlineStr">
        <is>
          <t>IT Product Companies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20</v>
      </c>
      <c r="K58" s="31" t="n">
        <v>15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COFORGE</t>
        </is>
      </c>
      <c r="E59" s="31" t="inlineStr">
        <is>
          <t>Coforge (Niit Tech) Ltd</t>
        </is>
      </c>
      <c r="F59" s="31" t="inlineStr">
        <is>
          <t>IT - Software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20</v>
      </c>
      <c r="K59" s="31" t="n">
        <v>4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FSL</t>
        </is>
      </c>
      <c r="E60" s="31" t="inlineStr">
        <is>
          <t>Firstsource Solutions Limited</t>
        </is>
      </c>
      <c r="F60" s="31" t="inlineStr">
        <is>
          <t>IT Enabled Services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17</v>
      </c>
      <c r="K60" s="31" t="n">
        <v>1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SSWL</t>
        </is>
      </c>
      <c r="E61" s="31" t="inlineStr">
        <is>
          <t>Steel Strips Wheels Limited</t>
        </is>
      </c>
      <c r="F61" s="31" t="inlineStr">
        <is>
          <t>Auto Ancillaries - Wheels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19</v>
      </c>
      <c r="K61" s="31" t="n">
        <v>29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MAHLIFE</t>
        </is>
      </c>
      <c r="E62" s="31" t="inlineStr">
        <is>
          <t>Mahindra Lifespace Developers Limited</t>
        </is>
      </c>
      <c r="F62" s="31" t="inlineStr">
        <is>
          <t>Construction &amp; Contracting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29</v>
      </c>
      <c r="K62" s="31" t="n">
        <v>18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KERNEX</t>
        </is>
      </c>
      <c r="E63" s="31" t="inlineStr">
        <is>
          <t>Kernex Microsystems (india) Limited</t>
        </is>
      </c>
      <c r="F63" s="31" t="inlineStr">
        <is>
          <t>Railways - Kavach/Springs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17</v>
      </c>
      <c r="K63" s="31" t="n">
        <v>28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KRISHANA</t>
        </is>
      </c>
      <c r="E64" s="31" t="inlineStr">
        <is>
          <t>Krishana Phoschem Ltd</t>
        </is>
      </c>
      <c r="F64" s="31" t="inlineStr">
        <is>
          <t>Fertilisers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25</v>
      </c>
      <c r="K64" s="31" t="n">
        <v>15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TVSHLTD</t>
        </is>
      </c>
      <c r="E65" s="31" t="inlineStr">
        <is>
          <t>TVS Holdings Ltd</t>
        </is>
      </c>
      <c r="F65" s="31" t="inlineStr">
        <is>
          <t>Finance - Holding Company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23</v>
      </c>
      <c r="K65" s="31" t="n">
        <v>9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ARTEMISMED</t>
        </is>
      </c>
      <c r="E66" s="31" t="inlineStr">
        <is>
          <t>Artemis Medicare Services Ltd</t>
        </is>
      </c>
      <c r="F66" s="31" t="inlineStr">
        <is>
          <t>Hospitals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19</v>
      </c>
      <c r="K66" s="31" t="n">
        <v>7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SKYGOLD</t>
        </is>
      </c>
      <c r="E67" s="31" t="inlineStr">
        <is>
          <t>Sky Gold Ltd</t>
        </is>
      </c>
      <c r="F67" s="31" t="inlineStr">
        <is>
          <t>Diamond, Gems &amp; Jewellery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25</v>
      </c>
      <c r="K67" s="31" t="n">
        <v>19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CHENNPETRO</t>
        </is>
      </c>
      <c r="E68" s="31" t="inlineStr">
        <is>
          <t>Chennai Petroleum Corporation Limited</t>
        </is>
      </c>
      <c r="F68" s="31" t="inlineStr">
        <is>
          <t>Refineries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24</v>
      </c>
      <c r="K68" s="31" t="n">
        <v>19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HEG</t>
        </is>
      </c>
      <c r="E69" s="31" t="inlineStr">
        <is>
          <t>Heg Limited</t>
        </is>
      </c>
      <c r="F69" s="31" t="inlineStr">
        <is>
          <t>Electrodes - Welding Equipment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17</v>
      </c>
      <c r="K69" s="31" t="n">
        <v>10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TATVA</t>
        </is>
      </c>
      <c r="E70" s="31" t="inlineStr">
        <is>
          <t>Tatva Chintan Pharma Chem Ltd</t>
        </is>
      </c>
      <c r="F70" s="31" t="inlineStr">
        <is>
          <t>Speciality Chemicals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19</v>
      </c>
      <c r="K70" s="31" t="n">
        <v>10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MACPOWER</t>
        </is>
      </c>
      <c r="E71" s="31" t="inlineStr">
        <is>
          <t>Macpower CNC Machines Ltd</t>
        </is>
      </c>
      <c r="F71" s="31" t="inlineStr">
        <is>
          <t>CNC - Machines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22</v>
      </c>
      <c r="K71" s="31" t="n">
        <v>17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SOTL</t>
        </is>
      </c>
      <c r="E72" s="31" t="inlineStr">
        <is>
          <t>Savita Oil Technologies Limited</t>
        </is>
      </c>
      <c r="F72" s="31" t="inlineStr">
        <is>
          <t>Petrochem - Others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20</v>
      </c>
      <c r="K72" s="31" t="n">
        <v>23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KABRAEXTRU</t>
        </is>
      </c>
      <c r="E73" s="31" t="inlineStr">
        <is>
          <t>Kabra Extrusion Technik Limited</t>
        </is>
      </c>
      <c r="F73" s="31" t="inlineStr">
        <is>
          <t>Capital Goods - Engineering Heavy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19</v>
      </c>
      <c r="K73" s="31" t="n">
        <v>12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PNGJL</t>
        </is>
      </c>
      <c r="E74" s="31" t="inlineStr">
        <is>
          <t>P N Gadgil Jewellers Ltd</t>
        </is>
      </c>
      <c r="F74" s="31" t="inlineStr">
        <is>
          <t>Diamond, Gems &amp; Jewellery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23</v>
      </c>
      <c r="K74" s="31" t="n">
        <v>10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LLOYDSENT</t>
        </is>
      </c>
      <c r="E75" s="31" t="inlineStr">
        <is>
          <t>Lloyds Enterprises Ltd</t>
        </is>
      </c>
      <c r="F75" s="31" t="inlineStr">
        <is>
          <t>Trading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19</v>
      </c>
      <c r="K75" s="31" t="n">
        <v>10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KOTAKBANK</t>
        </is>
      </c>
      <c r="E76" s="31" t="inlineStr">
        <is>
          <t>Kotak Mahindra Bank Limited</t>
        </is>
      </c>
      <c r="F76" s="31" t="inlineStr">
        <is>
          <t>Banks - Private</t>
        </is>
      </c>
      <c r="G76" s="31" t="n">
        <v>2</v>
      </c>
      <c r="H76" s="31" t="inlineStr">
        <is>
          <t>EMA Crossover</t>
        </is>
      </c>
      <c r="I76" s="31" t="inlineStr">
        <is>
          <t>Yes</t>
        </is>
      </c>
      <c r="J76" s="31" t="n">
        <v>2</v>
      </c>
      <c r="K76" s="31" t="n">
        <v>13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UNIVCABLES</t>
        </is>
      </c>
      <c r="E77" s="31" t="inlineStr">
        <is>
          <t>Universal Cables Limited</t>
        </is>
      </c>
      <c r="F77" s="31" t="inlineStr">
        <is>
          <t>Cables - Power</t>
        </is>
      </c>
      <c r="G77" s="31" t="n">
        <v>2</v>
      </c>
      <c r="H77" s="31" t="inlineStr">
        <is>
          <t>52W Breakout</t>
        </is>
      </c>
      <c r="I77" s="31" t="inlineStr">
        <is>
          <t>Yes</t>
        </is>
      </c>
      <c r="J77" s="31" t="n">
        <v>17</v>
      </c>
      <c r="K77" s="31" t="n">
        <v>21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KALYANKJIL</t>
        </is>
      </c>
      <c r="E78" s="31" t="inlineStr">
        <is>
          <t>Kalyan Jewellers India Ltd</t>
        </is>
      </c>
      <c r="F78" s="31" t="inlineStr">
        <is>
          <t>Diamond, Gems &amp; Jewellery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24</v>
      </c>
      <c r="K78" s="31" t="n">
        <v>10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TBZ</t>
        </is>
      </c>
      <c r="E79" s="31" t="inlineStr">
        <is>
          <t>Tribhovandas Bhimji Zaveri Limited</t>
        </is>
      </c>
      <c r="F79" s="31" t="inlineStr">
        <is>
          <t>Diamond, Gems &amp; Jewellery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20</v>
      </c>
      <c r="K79" s="31" t="n">
        <v>24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PAYTM</t>
        </is>
      </c>
      <c r="E80" s="31" t="inlineStr">
        <is>
          <t>One 97 Communications Ltd</t>
        </is>
      </c>
      <c r="F80" s="31" t="inlineStr">
        <is>
          <t>E-Commerce - Platform - Utility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20</v>
      </c>
      <c r="K80" s="31" t="n">
        <v>13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ROSSTECH</t>
        </is>
      </c>
      <c r="E81" s="31" t="inlineStr">
        <is>
          <t>Rossell Techsys Ltd</t>
        </is>
      </c>
      <c r="F81" s="31" t="inlineStr">
        <is>
          <t>Aerospace &amp; Defence - Equipments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18</v>
      </c>
      <c r="K81" s="31" t="n">
        <v>6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ASKAUTOLTD</t>
        </is>
      </c>
      <c r="E82" s="31" t="inlineStr">
        <is>
          <t>ASK Automotive Ltd</t>
        </is>
      </c>
      <c r="F82" s="31" t="inlineStr">
        <is>
          <t>Auto Ancillaries - 2 Wheelers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19</v>
      </c>
      <c r="K82" s="31" t="n">
        <v>15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LODHA</t>
        </is>
      </c>
      <c r="E83" s="31" t="inlineStr">
        <is>
          <t>Lodha Developers Ltd</t>
        </is>
      </c>
      <c r="F83" s="31" t="inlineStr">
        <is>
          <t>Realty - National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21</v>
      </c>
      <c r="K83" s="31" t="n">
        <v>7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RATNAVEER</t>
        </is>
      </c>
      <c r="E84" s="31" t="inlineStr">
        <is>
          <t>Ratnaveer Precision Engineering Ltd</t>
        </is>
      </c>
      <c r="F84" s="31" t="inlineStr">
        <is>
          <t>unknown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0</v>
      </c>
      <c r="K84" s="31" t="n">
        <v>13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TITAN</t>
        </is>
      </c>
      <c r="E85" s="31" t="inlineStr">
        <is>
          <t>Titan Company Limited</t>
        </is>
      </c>
      <c r="F85" s="31" t="inlineStr">
        <is>
          <t>Diamond, Gems &amp; Jewellery</t>
        </is>
      </c>
      <c r="G85" s="31" t="n">
        <v>2</v>
      </c>
      <c r="H85" s="31" t="inlineStr">
        <is>
          <t>52W Breakout</t>
        </is>
      </c>
      <c r="I85" s="31" t="inlineStr">
        <is>
          <t>Yes</t>
        </is>
      </c>
      <c r="J85" s="31" t="n">
        <v>9</v>
      </c>
      <c r="K85" s="31" t="n">
        <v>21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SMLMAH</t>
        </is>
      </c>
      <c r="E86" s="31" t="inlineStr">
        <is>
          <t>SML Mahindra Ltd</t>
        </is>
      </c>
      <c r="F86" s="31" t="inlineStr">
        <is>
          <t>Auto - Bus/LCVs</t>
        </is>
      </c>
      <c r="G86" s="31" t="n">
        <v>2</v>
      </c>
      <c r="H86" s="31" t="inlineStr">
        <is>
          <t>No</t>
        </is>
      </c>
      <c r="I86" s="31" t="inlineStr">
        <is>
          <t>Yes</t>
        </is>
      </c>
      <c r="J86" s="31" t="n">
        <v>18</v>
      </c>
      <c r="K86" s="31" t="n">
        <v>3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DEEPINDS</t>
        </is>
      </c>
      <c r="E87" s="31" t="inlineStr">
        <is>
          <t>Deep Industries Ltd</t>
        </is>
      </c>
      <c r="F87" s="31" t="inlineStr">
        <is>
          <t>Oil Drilling &amp; Exploration</t>
        </is>
      </c>
      <c r="G87" s="31" t="n">
        <v>2</v>
      </c>
      <c r="H87" s="31" t="inlineStr">
        <is>
          <t>No</t>
        </is>
      </c>
      <c r="I87" s="31" t="inlineStr">
        <is>
          <t>Yes</t>
        </is>
      </c>
      <c r="J87" s="31" t="n">
        <v>23</v>
      </c>
      <c r="K87" s="31" t="n">
        <v>10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DIACABS</t>
        </is>
      </c>
      <c r="E88" s="31" t="inlineStr">
        <is>
          <t>Diamond Power Infrastructure Ltd</t>
        </is>
      </c>
      <c r="F88" s="31" t="inlineStr">
        <is>
          <t>Cables - Power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18</v>
      </c>
      <c r="K88" s="31" t="n">
        <v>28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ETHOSLTD</t>
        </is>
      </c>
      <c r="E89" s="31" t="inlineStr">
        <is>
          <t>Ethos Ltd</t>
        </is>
      </c>
      <c r="F89" s="31" t="inlineStr">
        <is>
          <t>Watches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23</v>
      </c>
      <c r="K89" s="31" t="n">
        <v>4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RAJRATAN</t>
        </is>
      </c>
      <c r="E90" s="31" t="inlineStr">
        <is>
          <t>Rajratan Global Wire Ltd</t>
        </is>
      </c>
      <c r="F90" s="31" t="inlineStr">
        <is>
          <t>Tyres &amp; Tubes</t>
        </is>
      </c>
      <c r="G90" s="31" t="n">
        <v>2</v>
      </c>
      <c r="H90" s="31" t="inlineStr">
        <is>
          <t>No</t>
        </is>
      </c>
      <c r="I90" s="31" t="inlineStr">
        <is>
          <t>Yes</t>
        </is>
      </c>
      <c r="J90" s="31" t="n">
        <v>17</v>
      </c>
      <c r="K90" s="31" t="n">
        <v>22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RKFORGE</t>
        </is>
      </c>
      <c r="E91" s="31" t="inlineStr">
        <is>
          <t>Ramkrishna Forgings Limited</t>
        </is>
      </c>
      <c r="F91" s="31" t="inlineStr">
        <is>
          <t>Castings, Forgings &amp; Fastners</t>
        </is>
      </c>
      <c r="G91" s="31" t="n">
        <v>2</v>
      </c>
      <c r="H91" s="31" t="inlineStr">
        <is>
          <t>No</t>
        </is>
      </c>
      <c r="I91" s="31" t="inlineStr">
        <is>
          <t>Yes</t>
        </is>
      </c>
      <c r="J91" s="31" t="n">
        <v>20</v>
      </c>
      <c r="K91" s="31" t="n">
        <v>13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SUNDARMFIN</t>
        </is>
      </c>
      <c r="E92" s="31" t="inlineStr">
        <is>
          <t>Sundaram Finance Limited</t>
        </is>
      </c>
      <c r="F92" s="31" t="inlineStr">
        <is>
          <t>Finance &amp; Investments - CV Finance</t>
        </is>
      </c>
      <c r="G92" s="31" t="n">
        <v>2</v>
      </c>
      <c r="H92" s="31" t="inlineStr">
        <is>
          <t>EMA Crossover</t>
        </is>
      </c>
      <c r="I92" s="31" t="inlineStr">
        <is>
          <t>Yes</t>
        </is>
      </c>
      <c r="J92" s="31" t="n">
        <v>5</v>
      </c>
      <c r="K92" s="31" t="n">
        <v>1</v>
      </c>
    </row>
    <row r="93">
      <c r="A93" s="31">
        <f>IF(B93=0,"",ROW()-1)</f>
        <v/>
      </c>
      <c r="B93" s="32">
        <f>IFERROR(INDEX('Monit Non Financial'!$B$2:$B$400, MATCH(D93, 'Monit Non Financial'!$C$2:$C$400, 0)), IFERROR(INDEX('Monit Banks NBFC'!$B$2:$B$100, MATCH(D93, 'Monit Banks NBFC'!$C$2:$C$100, 0)), 0))</f>
        <v/>
      </c>
      <c r="C93" s="31">
        <f>IFERROR(INDEX('Monit Non Financial'!$L$2:$L$400, MATCH(D93, 'Monit Non Financial'!$C$2:$C$400, 0)), IFERROR(INDEX('Monit Banks NBFC'!$L$2:$L$100, MATCH(D93, 'Monit Banks NBFC'!$C$2:$C$100, 0)), ""))</f>
        <v/>
      </c>
      <c r="D93" s="31" t="inlineStr">
        <is>
          <t>GRASIM</t>
        </is>
      </c>
      <c r="E93" s="31" t="inlineStr">
        <is>
          <t>Grasim Industries Limited</t>
        </is>
      </c>
      <c r="F93" s="31" t="inlineStr">
        <is>
          <t>Diversified</t>
        </is>
      </c>
      <c r="G93" s="31" t="n">
        <v>2</v>
      </c>
      <c r="H93" s="31" t="inlineStr">
        <is>
          <t>52W Breakout</t>
        </is>
      </c>
      <c r="I93" s="31" t="inlineStr">
        <is>
          <t>Yes</t>
        </is>
      </c>
      <c r="J93" s="31" t="n">
        <v>12</v>
      </c>
      <c r="K93" s="31" t="n">
        <v>20</v>
      </c>
    </row>
    <row r="94">
      <c r="A94" s="31">
        <f>IF(B94=0,"",ROW()-1)</f>
        <v/>
      </c>
      <c r="B94" s="32">
        <f>IFERROR(INDEX('Monit Non Financial'!$B$2:$B$400, MATCH(D94, 'Monit Non Financial'!$C$2:$C$400, 0)), IFERROR(INDEX('Monit Banks NBFC'!$B$2:$B$100, MATCH(D94, 'Monit Banks NBFC'!$C$2:$C$100, 0)), 0))</f>
        <v/>
      </c>
      <c r="C94" s="31">
        <f>IFERROR(INDEX('Monit Non Financial'!$L$2:$L$400, MATCH(D94, 'Monit Non Financial'!$C$2:$C$400, 0)), IFERROR(INDEX('Monit Banks NBFC'!$L$2:$L$100, MATCH(D94, 'Monit Banks NBFC'!$C$2:$C$100, 0)), ""))</f>
        <v/>
      </c>
      <c r="D94" s="31" t="inlineStr">
        <is>
          <t>KAPSTON</t>
        </is>
      </c>
      <c r="E94" s="31" t="inlineStr">
        <is>
          <t>Kapston Services Ltd</t>
        </is>
      </c>
      <c r="F94" s="31" t="inlineStr">
        <is>
          <t>Services - Others</t>
        </is>
      </c>
      <c r="G94" s="31" t="n">
        <v>2</v>
      </c>
      <c r="H94" s="31" t="inlineStr">
        <is>
          <t>No</t>
        </is>
      </c>
      <c r="I94" s="31" t="inlineStr">
        <is>
          <t>Yes</t>
        </is>
      </c>
      <c r="J94" s="31" t="n">
        <v>18</v>
      </c>
      <c r="K94" s="31" t="n">
        <v>24</v>
      </c>
    </row>
    <row r="95">
      <c r="A95" s="31">
        <f>IF(B95=0,"",ROW()-1)</f>
        <v/>
      </c>
      <c r="B95" s="32">
        <f>IFERROR(INDEX('Monit Non Financial'!$B$2:$B$400, MATCH(D95, 'Monit Non Financial'!$C$2:$C$400, 0)), IFERROR(INDEX('Monit Banks NBFC'!$B$2:$B$100, MATCH(D95, 'Monit Banks NBFC'!$C$2:$C$100, 0)), 0))</f>
        <v/>
      </c>
      <c r="C95" s="31">
        <f>IFERROR(INDEX('Monit Non Financial'!$L$2:$L$400, MATCH(D95, 'Monit Non Financial'!$C$2:$C$400, 0)), IFERROR(INDEX('Monit Banks NBFC'!$L$2:$L$100, MATCH(D95, 'Monit Banks NBFC'!$C$2:$C$100, 0)), ""))</f>
        <v/>
      </c>
      <c r="D95" s="31" t="inlineStr">
        <is>
          <t>LLOYDSME</t>
        </is>
      </c>
      <c r="E95" s="31" t="inlineStr">
        <is>
          <t>Lloyds Metals &amp; Energy Ltd</t>
        </is>
      </c>
      <c r="F95" s="31" t="inlineStr">
        <is>
          <t>Mining/Minerals - Iron Ore</t>
        </is>
      </c>
      <c r="G95" s="31" t="n">
        <v>2</v>
      </c>
      <c r="H95" s="31" t="inlineStr">
        <is>
          <t>No</t>
        </is>
      </c>
      <c r="I95" s="31" t="inlineStr">
        <is>
          <t>Yes</t>
        </is>
      </c>
      <c r="J95" s="31" t="n">
        <v>19</v>
      </c>
      <c r="K95" s="31" t="n">
        <v>16</v>
      </c>
    </row>
  </sheetData>
  <autoFilter ref="A1:K95"/>
  <conditionalFormatting sqref="G2:G9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5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6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IF(B2=0,"",RANK(B2,$B$2:$B$366,0))</f>
        <v/>
      </c>
      <c r="B2" s="32">
        <f>SUM(N2,Y2,AA2,AC2,AE2,AG2,AI2,AK2,AM2,AO2,AQ2,AS2,AU2,AW2,AY2,BA2,BC2,BE2,BG2,BI2,BK2,BM2,BO2,BQ2,BS2,BU2,BW2,BY2,CA2,CC2,CE2)</f>
        <v/>
      </c>
      <c r="C2" s="33" t="inlineStr">
        <is>
          <t>SBCL</t>
        </is>
      </c>
      <c r="D2" s="33" t="inlineStr">
        <is>
          <t>Shivalik Bimetal Controls Ltd</t>
        </is>
      </c>
      <c r="E2" s="31" t="inlineStr">
        <is>
          <t>metals &amp; mining</t>
        </is>
      </c>
      <c r="F2" s="31" t="inlineStr">
        <is>
          <t>mining / minerals / metals</t>
        </is>
      </c>
      <c r="G2" s="31" t="inlineStr">
        <is>
          <t>smallcap</t>
        </is>
      </c>
      <c r="H2" s="32" t="n">
        <v>4317.15</v>
      </c>
      <c r="I2" s="32" t="n">
        <v>763.45</v>
      </c>
      <c r="J2" s="32" t="n">
        <v>1.87</v>
      </c>
      <c r="K2" s="32" t="n">
        <v>213225</v>
      </c>
      <c r="L2" s="31" t="n">
        <v>71</v>
      </c>
      <c r="M2" s="31" t="inlineStr">
        <is>
          <t>Underperforming</t>
        </is>
      </c>
      <c r="N2" s="32">
        <f>IF(M2="Underperforming",-5,IF(L2&gt;=95,15,IF(L2&gt;=90,10,IF(L2&gt;=80,5,0))))</f>
        <v/>
      </c>
      <c r="O2" s="32" t="n">
        <v>65.45999999999999</v>
      </c>
      <c r="P2" s="32" t="n">
        <v>43.48</v>
      </c>
      <c r="Q2" s="32" t="inlineStr"/>
      <c r="R2" s="31" t="inlineStr">
        <is>
          <t>Earnings / Momentum Support</t>
        </is>
      </c>
      <c r="S2" s="31" t="inlineStr">
        <is>
          <t>Nifty Metal</t>
        </is>
      </c>
      <c r="T2" s="32" t="n">
        <v>31.49</v>
      </c>
      <c r="U2" s="32" t="n">
        <v>23.64</v>
      </c>
      <c r="V2" s="32" t="n">
        <v>-5.97</v>
      </c>
      <c r="W2" s="32" t="n">
        <v>14.67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Monopoly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Shallow Cyclical (2 to 3 Years Growth)</t>
        </is>
      </c>
      <c r="AG2" s="31">
        <f>IF(AF2="Structural (10 Years Consistency)",10,IF(AF2="Shallow Cyclical (2 to 3 years growth)",5,0))</f>
        <v/>
      </c>
      <c r="AH2" s="31" t="inlineStr">
        <is>
          <t>Yes due to Product Mix change or Operating Leverage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Fully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20 to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Close to 52 week high or retracement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Yes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Between 1.5 to 2</t>
        </is>
      </c>
      <c r="BU2" s="31">
        <f>IF(BT2="Above 2",0,IF(BT2="Between 1.5 to 2",5,IF(BT2="Less than 1.5",10,0)))</f>
        <v/>
      </c>
      <c r="BV2" s="31" t="inlineStr">
        <is>
          <t>Less than 50%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IF(B3=0,"",RANK(B3,$B$2:$B$366,0))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APOLLOPIPE</t>
        </is>
      </c>
      <c r="D3" s="31" t="inlineStr">
        <is>
          <t>Apollo Pipes Ltd</t>
        </is>
      </c>
      <c r="E3" s="31" t="inlineStr">
        <is>
          <t>plastic products</t>
        </is>
      </c>
      <c r="F3" s="31" t="inlineStr">
        <is>
          <t>plastics products</t>
        </is>
      </c>
      <c r="G3" s="31" t="inlineStr">
        <is>
          <t>smallcap</t>
        </is>
      </c>
      <c r="H3" s="32" t="n">
        <v>2271.13</v>
      </c>
      <c r="I3" s="32" t="n">
        <v>513</v>
      </c>
      <c r="J3" s="32" t="n">
        <v>-0.5</v>
      </c>
      <c r="K3" s="32" t="n">
        <v>217488</v>
      </c>
      <c r="L3" s="31" t="n">
        <v>64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65.39</v>
      </c>
      <c r="P3" s="32" t="n">
        <v>46.55</v>
      </c>
      <c r="Q3" s="32" t="inlineStr"/>
      <c r="R3" s="31" t="inlineStr">
        <is>
          <t>Earnings / Momentum Support</t>
        </is>
      </c>
      <c r="S3" s="31" t="inlineStr">
        <is>
          <t>Nifty 50</t>
        </is>
      </c>
      <c r="T3" s="32" t="n">
        <v>-0.74</v>
      </c>
      <c r="U3" s="32" t="n">
        <v>27.8</v>
      </c>
      <c r="V3" s="32" t="n">
        <v>28.75</v>
      </c>
      <c r="W3" s="32" t="n">
        <v>12.55</v>
      </c>
      <c r="X3" s="31" t="inlineStr">
        <is>
          <t>Cyclical in an Upturn</t>
        </is>
      </c>
      <c r="Y3" s="31">
        <f>IF(X3="Growing Industry",10,IF(X3="Cyclical in an Upturn",5,0))</f>
        <v/>
      </c>
      <c r="Z3" s="31" t="inlineStr">
        <is>
          <t>Oligopoly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Cyclical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Fully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Close to 52 week high or retracement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Yes</t>
        </is>
      </c>
      <c r="BQ3" s="31">
        <f>IF(BP3="No",10,0)</f>
        <v/>
      </c>
      <c r="BR3" s="31" t="inlineStr">
        <is>
          <t>Yes</t>
        </is>
      </c>
      <c r="BS3" s="31">
        <f>IF(BR3="NO",5,0)</f>
        <v/>
      </c>
      <c r="BT3" s="31" t="inlineStr">
        <is>
          <t>Between 1.5 to 2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IF(B4=0,"",RANK(B4,$B$2:$B$366,0))</f>
        <v/>
      </c>
      <c r="B4" s="32">
        <f>SUM(N4,Y4,AA4,AC4,AE4,AG4,AI4,AK4,AM4,AO4,AQ4,AS4,AU4,AW4,AY4,BA4,BC4,BE4,BG4,BI4,BK4,BM4,BO4,BQ4,BS4,BU4,BW4,BY4,CA4,CC4,CE4)</f>
        <v/>
      </c>
      <c r="C4" s="33" t="inlineStr">
        <is>
          <t>APLAPOLLO</t>
        </is>
      </c>
      <c r="D4" s="33" t="inlineStr">
        <is>
          <t>Apl Apollo Tubes Limited</t>
        </is>
      </c>
      <c r="E4" s="31" t="inlineStr">
        <is>
          <t>industrials</t>
        </is>
      </c>
      <c r="F4" s="31" t="inlineStr">
        <is>
          <t>steel - large</t>
        </is>
      </c>
      <c r="G4" s="31" t="inlineStr">
        <is>
          <t>largecap</t>
        </is>
      </c>
      <c r="H4" s="32" t="n">
        <v>50519.95</v>
      </c>
      <c r="I4" s="32" t="n">
        <v>1941.5</v>
      </c>
      <c r="J4" s="32" t="n">
        <v>6.71</v>
      </c>
      <c r="K4" s="32" t="n">
        <v>12712232</v>
      </c>
      <c r="L4" s="31" t="n">
        <v>7</v>
      </c>
      <c r="M4" s="31" t="inlineStr">
        <is>
          <t>Underperforming</t>
        </is>
      </c>
      <c r="N4" s="32">
        <f>IF(M4="Underperforming",-5,IF(L4&gt;=95,15,IF(L4&gt;=90,10,IF(L4&gt;=80,5,0))))</f>
        <v/>
      </c>
      <c r="O4" s="32" t="n">
        <v>45.25</v>
      </c>
      <c r="P4" s="32" t="n">
        <v>9.130000000000001</v>
      </c>
      <c r="Q4" s="32" t="inlineStr"/>
      <c r="R4" s="31" t="inlineStr">
        <is>
          <t>Earnings / Momentum Support</t>
        </is>
      </c>
      <c r="S4" s="31" t="inlineStr">
        <is>
          <t>Nifty Metal</t>
        </is>
      </c>
      <c r="T4" s="32" t="n">
        <v>31.49</v>
      </c>
      <c r="U4" s="32" t="n">
        <v>8.119999999999999</v>
      </c>
      <c r="V4" s="32" t="n">
        <v>-17.78</v>
      </c>
      <c r="W4" s="32" t="n">
        <v>-0.9399999999999999</v>
      </c>
      <c r="X4" s="31" t="inlineStr">
        <is>
          <t>Cyclical in an Upturn</t>
        </is>
      </c>
      <c r="Y4" s="31">
        <f>IF(X4="Growing Industry",10,IF(X4="Cyclical in an Upturn",5,0))</f>
        <v/>
      </c>
      <c r="Z4" s="31" t="inlineStr">
        <is>
          <t>Oligopoly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Cyclical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Fully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Yes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Between 1.5 to 2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IF(B5=0,"",RANK(B5,$B$2:$B$366,0))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APCOTEXIND</t>
        </is>
      </c>
      <c r="D5" s="31" t="inlineStr">
        <is>
          <t>Apcotex Industries Limited</t>
        </is>
      </c>
      <c r="E5" s="31" t="inlineStr">
        <is>
          <t>chemicals</t>
        </is>
      </c>
      <c r="F5" s="31" t="inlineStr">
        <is>
          <t>miscellaneous</t>
        </is>
      </c>
      <c r="G5" s="31" t="inlineStr">
        <is>
          <t>smallcap</t>
        </is>
      </c>
      <c r="H5" s="32" t="n">
        <v>3169.54</v>
      </c>
      <c r="I5" s="32" t="n">
        <v>617.6</v>
      </c>
      <c r="J5" s="32" t="n">
        <v>1.02</v>
      </c>
      <c r="K5" s="32" t="n">
        <v>621336</v>
      </c>
      <c r="L5" s="31" t="n">
        <v>83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73.54000000000001</v>
      </c>
      <c r="P5" s="32" t="n">
        <v>63.36</v>
      </c>
      <c r="Q5" s="32" t="inlineStr"/>
      <c r="R5" s="31" t="inlineStr">
        <is>
          <t>Earnings / Momentum Support</t>
        </is>
      </c>
      <c r="S5" s="31" t="inlineStr">
        <is>
          <t>Nifty 50</t>
        </is>
      </c>
      <c r="T5" s="32" t="n">
        <v>-0.74</v>
      </c>
      <c r="U5" s="32" t="n">
        <v>46.64</v>
      </c>
      <c r="V5" s="32" t="n">
        <v>47.73</v>
      </c>
      <c r="W5" s="32" t="n">
        <v>20.92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Oligopoly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Cyclical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Fully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1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Sideways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Overhead supply in last 2 years in last 2 years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Between 50% to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IF(B6=0,"",RANK(B6,$B$2:$B$366,0))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SCPL</t>
        </is>
      </c>
      <c r="D6" s="31" t="inlineStr">
        <is>
          <t>Sheetal Cool Products Ltd</t>
        </is>
      </c>
      <c r="E6" s="31" t="inlineStr">
        <is>
          <t>fmcg</t>
        </is>
      </c>
      <c r="F6" s="31" t="inlineStr">
        <is>
          <t>food - processing - indian</t>
        </is>
      </c>
      <c r="G6" s="31" t="inlineStr">
        <is>
          <t>smallcap</t>
        </is>
      </c>
      <c r="H6" s="32" t="n">
        <v>645.75</v>
      </c>
      <c r="I6" s="32" t="n">
        <v>638.6</v>
      </c>
      <c r="J6" s="32" t="n">
        <v>3.84</v>
      </c>
      <c r="K6" s="32" t="n">
        <v>137704</v>
      </c>
      <c r="L6" s="31" t="n">
        <v>89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73.72</v>
      </c>
      <c r="P6" s="32" t="n">
        <v>58.81</v>
      </c>
      <c r="Q6" s="32" t="inlineStr"/>
      <c r="R6" s="31" t="inlineStr">
        <is>
          <t>Earnings / Momentum Support</t>
        </is>
      </c>
      <c r="S6" s="31" t="inlineStr">
        <is>
          <t>Nifty FMCG</t>
        </is>
      </c>
      <c r="T6" s="32" t="n">
        <v>-13.73</v>
      </c>
      <c r="U6" s="32" t="n">
        <v>62.03</v>
      </c>
      <c r="V6" s="32" t="n">
        <v>87.81999999999999</v>
      </c>
      <c r="W6" s="32" t="n">
        <v>24.27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No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3</t>
        </is>
      </c>
      <c r="BC6" s="31">
        <f>IF(BB6="Stage 2",20,IF(BB6="Stage 1",0,IF(BB6="Stage 3",5,IF(BB6="Stage 4",-5,0))))</f>
        <v/>
      </c>
      <c r="BD6" s="31" t="inlineStr">
        <is>
          <t>Negative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IF(B7=0,"",RANK(B7,$B$2:$B$366,0))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AEGISLOG</t>
        </is>
      </c>
      <c r="D7" s="31" t="inlineStr">
        <is>
          <t>Aegis Logistics Ltd</t>
        </is>
      </c>
      <c r="E7" s="31" t="inlineStr">
        <is>
          <t>services</t>
        </is>
      </c>
      <c r="F7" s="31" t="inlineStr">
        <is>
          <t>trading</t>
        </is>
      </c>
      <c r="G7" s="31" t="inlineStr">
        <is>
          <t>largecap</t>
        </is>
      </c>
      <c r="H7" s="32" t="n">
        <v>44956.08</v>
      </c>
      <c r="I7" s="32" t="n">
        <v>1388.3</v>
      </c>
      <c r="J7" s="32" t="n">
        <v>8.390000000000001</v>
      </c>
      <c r="K7" s="32" t="n">
        <v>2444883</v>
      </c>
      <c r="L7" s="31" t="n">
        <v>95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73.26000000000001</v>
      </c>
      <c r="P7" s="32" t="n">
        <v>48.76</v>
      </c>
      <c r="Q7" s="32" t="inlineStr"/>
      <c r="R7" s="31" t="inlineStr">
        <is>
          <t>Earnings / Momentum Support</t>
        </is>
      </c>
      <c r="S7" s="31" t="inlineStr">
        <is>
          <t>Nifty 50</t>
        </is>
      </c>
      <c r="T7" s="32" t="n">
        <v>-0.74</v>
      </c>
      <c r="U7" s="32" t="n">
        <v>82.11</v>
      </c>
      <c r="V7" s="32" t="n">
        <v>83.47</v>
      </c>
      <c r="W7" s="32" t="n">
        <v>33.39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No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3</t>
        </is>
      </c>
      <c r="BC7" s="31">
        <f>IF(BB7="Stage 2",20,IF(BB7="Stage 1",0,IF(BB7="Stage 3",5,IF(BB7="Stage 4",-5,0))))</f>
        <v/>
      </c>
      <c r="BD7" s="31" t="inlineStr">
        <is>
          <t>Negative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IF(B8=0,"",RANK(B8,$B$2:$B$366,0))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BLUSPRING</t>
        </is>
      </c>
      <c r="D8" s="31" t="inlineStr">
        <is>
          <t>Bluspring Enterprises Ltd</t>
        </is>
      </c>
      <c r="E8" s="31" t="inlineStr">
        <is>
          <t>miscellaneous</t>
        </is>
      </c>
      <c r="F8" s="31" t="inlineStr">
        <is>
          <t>diversified - large</t>
        </is>
      </c>
      <c r="G8" s="31" t="inlineStr">
        <is>
          <t>smallcap</t>
        </is>
      </c>
      <c r="H8" s="32" t="n">
        <v>1731.27</v>
      </c>
      <c r="I8" s="32" t="n">
        <v>114.78</v>
      </c>
      <c r="J8" s="32" t="n">
        <v>-0.92</v>
      </c>
      <c r="K8" s="32" t="n">
        <v>644162</v>
      </c>
      <c r="L8" s="31" t="n">
        <v>90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68.56</v>
      </c>
      <c r="P8" s="32" t="n">
        <v>56.1</v>
      </c>
      <c r="Q8" s="32" t="inlineStr"/>
      <c r="R8" s="31" t="inlineStr">
        <is>
          <t>Earnings / Momentum Support</t>
        </is>
      </c>
      <c r="S8" s="31" t="inlineStr">
        <is>
          <t>Nifty 50</t>
        </is>
      </c>
      <c r="T8" s="32" t="n">
        <v>-0.74</v>
      </c>
      <c r="U8" s="32" t="n">
        <v>29.34</v>
      </c>
      <c r="V8" s="32" t="n">
        <v>30.3</v>
      </c>
      <c r="W8" s="32" t="n">
        <v>26.28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No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3</t>
        </is>
      </c>
      <c r="BC8" s="31">
        <f>IF(BB8="Stage 2",20,IF(BB8="Stage 1",0,IF(BB8="Stage 3",5,IF(BB8="Stage 4",-5,0))))</f>
        <v/>
      </c>
      <c r="BD8" s="31" t="inlineStr">
        <is>
          <t>Negative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IF(B9=0,"",RANK(B9,$B$2:$B$366,0))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PRICOLLTD</t>
        </is>
      </c>
      <c r="D9" s="31" t="inlineStr">
        <is>
          <t>Pricol Ltd.</t>
        </is>
      </c>
      <c r="E9" s="31" t="inlineStr">
        <is>
          <t>auto</t>
        </is>
      </c>
      <c r="F9" s="31" t="inlineStr">
        <is>
          <t>auto ancillaries</t>
        </is>
      </c>
      <c r="G9" s="31" t="inlineStr">
        <is>
          <t>midcap</t>
        </is>
      </c>
      <c r="H9" s="32" t="n">
        <v>8490.870000000001</v>
      </c>
      <c r="I9" s="32" t="n">
        <v>732.85</v>
      </c>
      <c r="J9" s="32" t="n">
        <v>5.2</v>
      </c>
      <c r="K9" s="32" t="n">
        <v>1638587</v>
      </c>
      <c r="L9" s="31" t="n">
        <v>47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67.2</v>
      </c>
      <c r="P9" s="32" t="n">
        <v>23.11</v>
      </c>
      <c r="Q9" s="32" t="inlineStr"/>
      <c r="R9" s="31" t="inlineStr">
        <is>
          <t>Earnings / Momentum Support</t>
        </is>
      </c>
      <c r="S9" s="31" t="inlineStr">
        <is>
          <t>Nifty Auto</t>
        </is>
      </c>
      <c r="T9" s="32" t="n">
        <v>13.41</v>
      </c>
      <c r="U9" s="32" t="n">
        <v>36.08</v>
      </c>
      <c r="V9" s="32" t="n">
        <v>19.98</v>
      </c>
      <c r="W9" s="32" t="n">
        <v>7.62</v>
      </c>
      <c r="X9" s="31" t="inlineStr">
        <is>
          <t>Cyclical in an Upturn</t>
        </is>
      </c>
      <c r="Y9" s="31">
        <f>IF(X9="Growing Industry",10,IF(X9="Cyclical in an Upturn",5,0))</f>
        <v/>
      </c>
      <c r="Z9" s="31" t="inlineStr">
        <is>
          <t>Oligopoly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Shallow Cyclical (2 to 3 Years Growth)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Fully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Allocated capital in Non-core Areas</t>
        </is>
      </c>
      <c r="AU9" s="31">
        <f>IF(AT9="Good",10,0)</f>
        <v/>
      </c>
      <c r="AV9" s="31" t="inlineStr">
        <is>
          <t>Yes only for next 1 to 2 years</t>
        </is>
      </c>
      <c r="AW9" s="31">
        <f>IF(AV9="Yes for more than 2 years",10,IF(AV9="Yes only for next 1 to 2 years",5,0))</f>
        <v/>
      </c>
      <c r="AX9" s="31" t="inlineStr">
        <is>
          <t>20 to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Between 12 to 20%</t>
        </is>
      </c>
      <c r="BO9" s="31">
        <f>IF(BN9="More than 20%",10,IF(BN9="Between 12 to 20%",5,IF(BN9="Less than 12%",0,0)))</f>
        <v/>
      </c>
      <c r="BP9" s="31" t="inlineStr">
        <is>
          <t>Yes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Between 1.5 to 2</t>
        </is>
      </c>
      <c r="BU9" s="31">
        <f>IF(BT9="Above 2",0,IF(BT9="Between 1.5 to 2",5,IF(BT9="Less than 1.5",10,0)))</f>
        <v/>
      </c>
      <c r="BV9" s="31" t="inlineStr">
        <is>
          <t>Between 50% to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IF(B10=0,"",RANK(B10,$B$2:$B$366,0))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TINNARUBR</t>
        </is>
      </c>
      <c r="D10" s="31" t="inlineStr">
        <is>
          <t>Tinna Rubber &amp; Infrastructure Ltd</t>
        </is>
      </c>
      <c r="E10" s="31" t="inlineStr">
        <is>
          <t>fmcg</t>
        </is>
      </c>
      <c r="F10" s="31" t="inlineStr">
        <is>
          <t>miscellaneous</t>
        </is>
      </c>
      <c r="G10" s="31" t="inlineStr">
        <is>
          <t>smallcap</t>
        </is>
      </c>
      <c r="H10" s="32" t="n">
        <v>2007.68</v>
      </c>
      <c r="I10" s="32" t="n">
        <v>1106.8</v>
      </c>
      <c r="J10" s="32" t="n">
        <v>-0.68</v>
      </c>
      <c r="K10" s="32" t="n">
        <v>111490</v>
      </c>
      <c r="L10" s="31" t="n">
        <v>54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72.51000000000001</v>
      </c>
      <c r="P10" s="32" t="n">
        <v>40.53</v>
      </c>
      <c r="Q10" s="32" t="inlineStr"/>
      <c r="R10" s="31" t="inlineStr">
        <is>
          <t>Earnings / Momentum Support</t>
        </is>
      </c>
      <c r="S10" s="31" t="inlineStr">
        <is>
          <t>Nifty FMCG</t>
        </is>
      </c>
      <c r="T10" s="32" t="n">
        <v>-13.73</v>
      </c>
      <c r="U10" s="32" t="n">
        <v>0.8</v>
      </c>
      <c r="V10" s="32" t="n">
        <v>16.84</v>
      </c>
      <c r="W10" s="32" t="n">
        <v>9.539999999999999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B2C</t>
        </is>
      </c>
      <c r="AO10" s="31">
        <f>IF(AN10="B2C",10,IF(AN10="B2B",5,0))</f>
        <v/>
      </c>
      <c r="AP10" s="31" t="inlineStr">
        <is>
          <t>No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3</t>
        </is>
      </c>
      <c r="BC10" s="31">
        <f>IF(BB10="Stage 2",20,IF(BB10="Stage 1",0,IF(BB10="Stage 3",5,IF(BB10="Stage 4",-5,0))))</f>
        <v/>
      </c>
      <c r="BD10" s="31" t="inlineStr">
        <is>
          <t>Negative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IF(B11=0,"",RANK(B11,$B$2:$B$366,0))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SPORTKING</t>
        </is>
      </c>
      <c r="D11" s="31" t="inlineStr">
        <is>
          <t>Sportking India Ltd</t>
        </is>
      </c>
      <c r="E11" s="31" t="inlineStr">
        <is>
          <t>textiles</t>
        </is>
      </c>
      <c r="F11" s="31" t="inlineStr">
        <is>
          <t>textiles - spinning - synthetic / blended</t>
        </is>
      </c>
      <c r="G11" s="31" t="inlineStr">
        <is>
          <t>smallcap</t>
        </is>
      </c>
      <c r="H11" s="32" t="n">
        <v>2557.45</v>
      </c>
      <c r="I11" s="32" t="n">
        <v>229.63</v>
      </c>
      <c r="J11" s="32" t="n">
        <v>14.1</v>
      </c>
      <c r="K11" s="32" t="n">
        <v>12667361</v>
      </c>
      <c r="L11" s="31" t="n">
        <v>87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74.01000000000001</v>
      </c>
      <c r="P11" s="32" t="n">
        <v>70.79000000000001</v>
      </c>
      <c r="Q11" s="32" t="inlineStr"/>
      <c r="R11" s="31" t="inlineStr">
        <is>
          <t>Volume Spike / Accumulation</t>
        </is>
      </c>
      <c r="S11" s="31" t="inlineStr">
        <is>
          <t>Nifty 50</t>
        </is>
      </c>
      <c r="T11" s="32" t="n">
        <v>-0.74</v>
      </c>
      <c r="U11" s="32" t="n">
        <v>83.14</v>
      </c>
      <c r="V11" s="32" t="n">
        <v>84.51000000000001</v>
      </c>
      <c r="W11" s="32" t="n">
        <v>23.4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3</t>
        </is>
      </c>
      <c r="BC11" s="31">
        <f>IF(BB11="Stage 2",20,IF(BB11="Stage 1",0,IF(BB11="Stage 3",5,IF(BB11="Stage 4",-5,0))))</f>
        <v/>
      </c>
      <c r="BD11" s="31" t="inlineStr">
        <is>
          <t>Negative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IF(B12=0,"",RANK(B12,$B$2:$B$366,0))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CONFIPET</t>
        </is>
      </c>
      <c r="D12" s="31" t="inlineStr">
        <is>
          <t>Confidence Petroleum India Ltd</t>
        </is>
      </c>
      <c r="E12" s="31" t="inlineStr">
        <is>
          <t>miscellaneous</t>
        </is>
      </c>
      <c r="F12" s="31" t="inlineStr">
        <is>
          <t>miscellaneous</t>
        </is>
      </c>
      <c r="G12" s="31" t="inlineStr">
        <is>
          <t>smallcap</t>
        </is>
      </c>
      <c r="H12" s="32" t="n">
        <v>2646.63</v>
      </c>
      <c r="I12" s="32" t="n">
        <v>83.77</v>
      </c>
      <c r="J12" s="32" t="n">
        <v>5.16</v>
      </c>
      <c r="K12" s="32" t="n">
        <v>5301300</v>
      </c>
      <c r="L12" s="31" t="n">
        <v>89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71.63</v>
      </c>
      <c r="P12" s="32" t="n">
        <v>67.79000000000001</v>
      </c>
      <c r="Q12" s="32" t="inlineStr"/>
      <c r="R12" s="31" t="inlineStr">
        <is>
          <t>Earnings / Momentum Support</t>
        </is>
      </c>
      <c r="S12" s="31" t="inlineStr">
        <is>
          <t>Nifty 50</t>
        </is>
      </c>
      <c r="T12" s="32" t="n">
        <v>-0.74</v>
      </c>
      <c r="U12" s="32" t="n">
        <v>57.15</v>
      </c>
      <c r="V12" s="32" t="n">
        <v>58.32</v>
      </c>
      <c r="W12" s="32" t="n">
        <v>24.51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No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3</t>
        </is>
      </c>
      <c r="BC12" s="31">
        <f>IF(BB12="Stage 2",20,IF(BB12="Stage 1",0,IF(BB12="Stage 3",5,IF(BB12="Stage 4",-5,0))))</f>
        <v/>
      </c>
      <c r="BD12" s="31" t="inlineStr">
        <is>
          <t>Negative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IF(B13=0,"",RANK(B13,$B$2:$B$366,0))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E2E</t>
        </is>
      </c>
      <c r="D13" s="31" t="inlineStr">
        <is>
          <t>E2E Networks Ltd</t>
        </is>
      </c>
      <c r="E13" s="31" t="inlineStr">
        <is>
          <t>i.t</t>
        </is>
      </c>
      <c r="F13" s="31" t="inlineStr">
        <is>
          <t>computers - software - medium / small</t>
        </is>
      </c>
      <c r="G13" s="31" t="inlineStr">
        <is>
          <t>midcap</t>
        </is>
      </c>
      <c r="H13" s="32" t="n">
        <v>10630.79</v>
      </c>
      <c r="I13" s="32" t="n">
        <v>543</v>
      </c>
      <c r="J13" s="32" t="n">
        <v>5</v>
      </c>
      <c r="K13" s="32" t="n">
        <v>539520</v>
      </c>
      <c r="L13" s="31" t="n">
        <v>96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71.2</v>
      </c>
      <c r="P13" s="32" t="n">
        <v>46.49</v>
      </c>
      <c r="Q13" s="32" t="inlineStr"/>
      <c r="R13" s="31" t="inlineStr">
        <is>
          <t>Earnings / Momentum Support</t>
        </is>
      </c>
      <c r="S13" s="31" t="inlineStr">
        <is>
          <t>Nifty IT</t>
        </is>
      </c>
      <c r="T13" s="32" t="n">
        <v>-11.37</v>
      </c>
      <c r="U13" s="32" t="n">
        <v>150.34</v>
      </c>
      <c r="V13" s="32" t="n">
        <v>182.46</v>
      </c>
      <c r="W13" s="32" t="n">
        <v>41.64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No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3</t>
        </is>
      </c>
      <c r="BC13" s="31">
        <f>IF(BB13="Stage 2",20,IF(BB13="Stage 1",0,IF(BB13="Stage 3",5,IF(BB13="Stage 4",-5,0))))</f>
        <v/>
      </c>
      <c r="BD13" s="31" t="inlineStr">
        <is>
          <t>Negative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IF(B14=0,"",RANK(B14,$B$2:$B$366,0))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REDINGTON</t>
        </is>
      </c>
      <c r="D14" s="31" t="inlineStr">
        <is>
          <t>Redington (india) Limited</t>
        </is>
      </c>
      <c r="E14" s="31" t="inlineStr">
        <is>
          <t>services</t>
        </is>
      </c>
      <c r="F14" s="31" t="inlineStr">
        <is>
          <t>trading</t>
        </is>
      </c>
      <c r="G14" s="31" t="inlineStr">
        <is>
          <t>largecap</t>
        </is>
      </c>
      <c r="H14" s="32" t="n">
        <v>25145.77</v>
      </c>
      <c r="I14" s="32" t="n">
        <v>347.85</v>
      </c>
      <c r="J14" s="32" t="n">
        <v>8.15</v>
      </c>
      <c r="K14" s="32" t="n">
        <v>69118282</v>
      </c>
      <c r="L14" s="31" t="n">
        <v>79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68.05</v>
      </c>
      <c r="P14" s="32" t="n">
        <v>27.51</v>
      </c>
      <c r="Q14" s="32" t="inlineStr"/>
      <c r="R14" s="31" t="inlineStr">
        <is>
          <t>Volume Spike / Accumulation</t>
        </is>
      </c>
      <c r="S14" s="31" t="inlineStr">
        <is>
          <t>Nifty 50</t>
        </is>
      </c>
      <c r="T14" s="32" t="n">
        <v>-0.74</v>
      </c>
      <c r="U14" s="32" t="n">
        <v>31.78</v>
      </c>
      <c r="V14" s="32" t="n">
        <v>32.76</v>
      </c>
      <c r="W14" s="32" t="n">
        <v>18.46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20 to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3</t>
        </is>
      </c>
      <c r="BC14" s="31">
        <f>IF(BB14="Stage 2",20,IF(BB14="Stage 1",0,IF(BB14="Stage 3",5,IF(BB14="Stage 4",-5,0))))</f>
        <v/>
      </c>
      <c r="BD14" s="31" t="inlineStr">
        <is>
          <t>Negative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IF(B15=0,"",RANK(B15,$B$2:$B$366,0))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PREMIERPOL</t>
        </is>
      </c>
      <c r="D15" s="31" t="inlineStr">
        <is>
          <t>Premier Polyfilm Limited</t>
        </is>
      </c>
      <c r="E15" s="31" t="inlineStr">
        <is>
          <t>plastic products</t>
        </is>
      </c>
      <c r="F15" s="31" t="inlineStr">
        <is>
          <t>plastics products</t>
        </is>
      </c>
      <c r="G15" s="31" t="inlineStr">
        <is>
          <t>smallcap</t>
        </is>
      </c>
      <c r="H15" s="32" t="n">
        <v>730.89</v>
      </c>
      <c r="I15" s="32" t="n">
        <v>73.56</v>
      </c>
      <c r="J15" s="32" t="n">
        <v>5.42</v>
      </c>
      <c r="K15" s="32" t="n">
        <v>748406</v>
      </c>
      <c r="L15" s="31" t="n">
        <v>66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59.24</v>
      </c>
      <c r="P15" s="32" t="n">
        <v>49.26</v>
      </c>
      <c r="Q15" s="32" t="inlineStr"/>
      <c r="R15" s="31" t="inlineStr">
        <is>
          <t>Earnings / Momentum Support</t>
        </is>
      </c>
      <c r="S15" s="31" t="inlineStr">
        <is>
          <t>Nifty 50</t>
        </is>
      </c>
      <c r="T15" s="32" t="n">
        <v>-0.74</v>
      </c>
      <c r="U15" s="32" t="n">
        <v>39.42</v>
      </c>
      <c r="V15" s="32" t="n">
        <v>40.45</v>
      </c>
      <c r="W15" s="32" t="n">
        <v>13.65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No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3</t>
        </is>
      </c>
      <c r="BC15" s="31">
        <f>IF(BB15="Stage 2",20,IF(BB15="Stage 1",0,IF(BB15="Stage 3",5,IF(BB15="Stage 4",-5,0))))</f>
        <v/>
      </c>
      <c r="BD15" s="31" t="inlineStr">
        <is>
          <t>Negative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IF(B16=0,"",RANK(B16,$B$2:$B$366,0))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KANORICHEM</t>
        </is>
      </c>
      <c r="D16" s="31" t="inlineStr">
        <is>
          <t>Kanoria Chemicals &amp; Industries Limited</t>
        </is>
      </c>
      <c r="E16" s="31" t="inlineStr">
        <is>
          <t>chemicals</t>
        </is>
      </c>
      <c r="F16" s="31" t="inlineStr">
        <is>
          <t>chemicals</t>
        </is>
      </c>
      <c r="G16" s="31" t="inlineStr">
        <is>
          <t>smallcap</t>
        </is>
      </c>
      <c r="H16" s="32" t="n">
        <v>622.11</v>
      </c>
      <c r="I16" s="32" t="n">
        <v>145.95</v>
      </c>
      <c r="J16" s="32" t="n">
        <v>2.51</v>
      </c>
      <c r="K16" s="32" t="n">
        <v>14019</v>
      </c>
      <c r="L16" s="31" t="n">
        <v>90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68.06999999999999</v>
      </c>
      <c r="P16" s="32" t="n">
        <v>53.75</v>
      </c>
      <c r="Q16" s="32" t="inlineStr"/>
      <c r="R16" s="31" t="inlineStr">
        <is>
          <t>Earnings / Momentum Support</t>
        </is>
      </c>
      <c r="S16" s="31" t="inlineStr">
        <is>
          <t>Nifty 50</t>
        </is>
      </c>
      <c r="T16" s="32" t="n">
        <v>-0.74</v>
      </c>
      <c r="U16" s="32" t="n">
        <v>58.99</v>
      </c>
      <c r="V16" s="32" t="n">
        <v>60.18</v>
      </c>
      <c r="W16" s="32" t="n">
        <v>25.34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No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3</t>
        </is>
      </c>
      <c r="BC16" s="31">
        <f>IF(BB16="Stage 2",20,IF(BB16="Stage 1",0,IF(BB16="Stage 3",5,IF(BB16="Stage 4",-5,0))))</f>
        <v/>
      </c>
      <c r="BD16" s="31" t="inlineStr">
        <is>
          <t>Negative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IF(B17=0,"",RANK(B17,$B$2:$B$366,0))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GOKULAGRO</t>
        </is>
      </c>
      <c r="D17" s="31" t="inlineStr">
        <is>
          <t>Gokul Agro Resources Limited</t>
        </is>
      </c>
      <c r="E17" s="31" t="inlineStr">
        <is>
          <t>fmcg</t>
        </is>
      </c>
      <c r="F17" s="31" t="inlineStr">
        <is>
          <t>solvent extraction</t>
        </is>
      </c>
      <c r="G17" s="31" t="inlineStr">
        <is>
          <t>midcap</t>
        </is>
      </c>
      <c r="H17" s="32" t="n">
        <v>6642.7</v>
      </c>
      <c r="I17" s="32" t="n">
        <v>231.58</v>
      </c>
      <c r="J17" s="32" t="n">
        <v>2.87</v>
      </c>
      <c r="K17" s="32" t="n">
        <v>704980</v>
      </c>
      <c r="L17" s="31" t="n">
        <v>40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58.82</v>
      </c>
      <c r="P17" s="32" t="n">
        <v>28.93</v>
      </c>
      <c r="Q17" s="32" t="inlineStr"/>
      <c r="R17" s="31" t="inlineStr">
        <is>
          <t>Earnings / Momentum Support</t>
        </is>
      </c>
      <c r="S17" s="31" t="inlineStr">
        <is>
          <t>Nifty FMCG</t>
        </is>
      </c>
      <c r="T17" s="32" t="n">
        <v>-13.73</v>
      </c>
      <c r="U17" s="32" t="n">
        <v>30.85</v>
      </c>
      <c r="V17" s="32" t="n">
        <v>51.67</v>
      </c>
      <c r="W17" s="32" t="n">
        <v>6.46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B2C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20 to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3</t>
        </is>
      </c>
      <c r="BC17" s="31">
        <f>IF(BB17="Stage 2",20,IF(BB17="Stage 1",0,IF(BB17="Stage 3",5,IF(BB17="Stage 4",-5,0))))</f>
        <v/>
      </c>
      <c r="BD17" s="31" t="inlineStr">
        <is>
          <t>Negative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IF(B18=0,"",RANK(B18,$B$2:$B$366,0))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MPSLTD</t>
        </is>
      </c>
      <c r="D18" s="31" t="inlineStr">
        <is>
          <t>Mps Limited</t>
        </is>
      </c>
      <c r="E18" s="31" t="inlineStr">
        <is>
          <t>i.t</t>
        </is>
      </c>
      <c r="F18" s="31" t="inlineStr">
        <is>
          <t>computers - software - medium / small</t>
        </is>
      </c>
      <c r="G18" s="31" t="inlineStr">
        <is>
          <t>smallcap</t>
        </is>
      </c>
      <c r="H18" s="32" t="n">
        <v>4611.73</v>
      </c>
      <c r="I18" s="32" t="n">
        <v>2770.5</v>
      </c>
      <c r="J18" s="32" t="n">
        <v>2.76</v>
      </c>
      <c r="K18" s="32" t="n">
        <v>61657</v>
      </c>
      <c r="L18" s="31" t="n">
        <v>81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75</v>
      </c>
      <c r="P18" s="32" t="n">
        <v>30.46</v>
      </c>
      <c r="Q18" s="32" t="inlineStr"/>
      <c r="R18" s="31" t="inlineStr">
        <is>
          <t>Earnings / Momentum Support</t>
        </is>
      </c>
      <c r="S18" s="31" t="inlineStr">
        <is>
          <t>Nifty IT</t>
        </is>
      </c>
      <c r="T18" s="32" t="n">
        <v>-11.37</v>
      </c>
      <c r="U18" s="32" t="n">
        <v>19.6</v>
      </c>
      <c r="V18" s="32" t="n">
        <v>34.95</v>
      </c>
      <c r="W18" s="32" t="n">
        <v>19.28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20 to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3</t>
        </is>
      </c>
      <c r="BC18" s="31">
        <f>IF(BB18="Stage 2",20,IF(BB18="Stage 1",0,IF(BB18="Stage 3",5,IF(BB18="Stage 4",-5,0))))</f>
        <v/>
      </c>
      <c r="BD18" s="31" t="inlineStr">
        <is>
          <t>Negative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IF(B19=0,"",RANK(B19,$B$2:$B$366,0))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AJANTPHARM</t>
        </is>
      </c>
      <c r="D19" s="31" t="inlineStr">
        <is>
          <t>Ajanta Pharma Limited</t>
        </is>
      </c>
      <c r="E19" s="31" t="inlineStr">
        <is>
          <t>healthcare</t>
        </is>
      </c>
      <c r="F19" s="31" t="inlineStr">
        <is>
          <t>pharmaceuticals - indian - formulations</t>
        </is>
      </c>
      <c r="G19" s="31" t="inlineStr">
        <is>
          <t>largecap</t>
        </is>
      </c>
      <c r="H19" s="32" t="n">
        <v>43292.69</v>
      </c>
      <c r="I19" s="32" t="n">
        <v>3513.9</v>
      </c>
      <c r="J19" s="32" t="n">
        <v>1.41</v>
      </c>
      <c r="K19" s="32" t="n">
        <v>119278</v>
      </c>
      <c r="L19" s="31" t="n">
        <v>58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69.09</v>
      </c>
      <c r="P19" s="32" t="n">
        <v>44.84</v>
      </c>
      <c r="Q19" s="32" t="inlineStr"/>
      <c r="R19" s="31" t="inlineStr">
        <is>
          <t>Earnings / Momentum Support</t>
        </is>
      </c>
      <c r="S19" s="31" t="inlineStr">
        <is>
          <t>Nifty Pharma</t>
        </is>
      </c>
      <c r="T19" s="32" t="n">
        <v>20.55</v>
      </c>
      <c r="U19" s="32" t="n">
        <v>30.01</v>
      </c>
      <c r="V19" s="32" t="n">
        <v>7.85</v>
      </c>
      <c r="W19" s="32" t="n">
        <v>10.54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No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3</t>
        </is>
      </c>
      <c r="BC19" s="31">
        <f>IF(BB19="Stage 2",20,IF(BB19="Stage 1",0,IF(BB19="Stage 3",5,IF(BB19="Stage 4",-5,0))))</f>
        <v/>
      </c>
      <c r="BD19" s="31" t="inlineStr">
        <is>
          <t>Negative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IF(B20=0,"",RANK(B20,$B$2:$B$366,0))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INDIAGLYCO</t>
        </is>
      </c>
      <c r="D20" s="31" t="inlineStr">
        <is>
          <t>India Glycols Limited</t>
        </is>
      </c>
      <c r="E20" s="31" t="inlineStr">
        <is>
          <t>fmcg</t>
        </is>
      </c>
      <c r="F20" s="31" t="inlineStr">
        <is>
          <t>breweries &amp; distilleries</t>
        </is>
      </c>
      <c r="G20" s="31" t="inlineStr">
        <is>
          <t>midcap</t>
        </is>
      </c>
      <c r="H20" s="32" t="n">
        <v>7690.99</v>
      </c>
      <c r="I20" s="32" t="n">
        <v>1140</v>
      </c>
      <c r="J20" s="32" t="n">
        <v>-0.65</v>
      </c>
      <c r="K20" s="32" t="n">
        <v>110003</v>
      </c>
      <c r="L20" s="31" t="n">
        <v>50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63.82</v>
      </c>
      <c r="P20" s="32" t="n">
        <v>27.81</v>
      </c>
      <c r="Q20" s="32" t="inlineStr"/>
      <c r="R20" s="31" t="inlineStr">
        <is>
          <t>Earnings / Momentum Support</t>
        </is>
      </c>
      <c r="S20" s="31" t="inlineStr">
        <is>
          <t>Nifty FMCG</t>
        </is>
      </c>
      <c r="T20" s="32" t="n">
        <v>-13.73</v>
      </c>
      <c r="U20" s="32" t="n">
        <v>22.44</v>
      </c>
      <c r="V20" s="32" t="n">
        <v>41.93</v>
      </c>
      <c r="W20" s="32" t="n">
        <v>8.220000000000001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B2C</t>
        </is>
      </c>
      <c r="AO20" s="31">
        <f>IF(AN20="B2C",10,IF(AN20="B2B",5,0))</f>
        <v/>
      </c>
      <c r="AP20" s="31" t="inlineStr">
        <is>
          <t>No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20 to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3</t>
        </is>
      </c>
      <c r="BC20" s="31">
        <f>IF(BB20="Stage 2",20,IF(BB20="Stage 1",0,IF(BB20="Stage 3",5,IF(BB20="Stage 4",-5,0))))</f>
        <v/>
      </c>
      <c r="BD20" s="31" t="inlineStr">
        <is>
          <t>Negative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IF(B21=0,"",RANK(B21,$B$2:$B$366,0))</f>
        <v/>
      </c>
      <c r="B21" s="32">
        <f>SUM(N21,Y21,AA21,AC21,AE21,AG21,AI21,AK21,AM21,AO21,AQ21,AS21,AU21,AW21,AY21,BA21,BC21,BE21,BG21,BI21,BK21,BM21,BO21,BQ21,BS21,BU21,BW21,BY21,CA21,CC21,CE21)</f>
        <v/>
      </c>
      <c r="C21" s="33" t="inlineStr">
        <is>
          <t>ATULAUTO</t>
        </is>
      </c>
      <c r="D21" s="33" t="inlineStr">
        <is>
          <t>Atul Auto Limited</t>
        </is>
      </c>
      <c r="E21" s="31" t="inlineStr">
        <is>
          <t>auto</t>
        </is>
      </c>
      <c r="F21" s="31" t="inlineStr">
        <is>
          <t>automobiles - scooters and 3 - wheelers</t>
        </is>
      </c>
      <c r="G21" s="31" t="inlineStr">
        <is>
          <t>smallcap</t>
        </is>
      </c>
      <c r="H21" s="32" t="n">
        <v>1430.44</v>
      </c>
      <c r="I21" s="32" t="n">
        <v>563.35</v>
      </c>
      <c r="J21" s="32" t="n">
        <v>9.289999999999999</v>
      </c>
      <c r="K21" s="32" t="n">
        <v>1998509</v>
      </c>
      <c r="L21" s="31" t="n">
        <v>16</v>
      </c>
      <c r="M21" s="31" t="inlineStr">
        <is>
          <t>Underperforming</t>
        </is>
      </c>
      <c r="N21" s="32">
        <f>IF(M21="Underperforming",-5,IF(L21&gt;=95,15,IF(L21&gt;=90,10,IF(L21&gt;=80,5,0))))</f>
        <v/>
      </c>
      <c r="O21" s="32" t="n">
        <v>58.65</v>
      </c>
      <c r="P21" s="32" t="n">
        <v>27.31</v>
      </c>
      <c r="Q21" s="32" t="inlineStr"/>
      <c r="R21" s="31" t="inlineStr">
        <is>
          <t>Volume Spike / Accumulation</t>
        </is>
      </c>
      <c r="S21" s="31" t="inlineStr">
        <is>
          <t>Nifty Auto</t>
        </is>
      </c>
      <c r="T21" s="32" t="n">
        <v>13.41</v>
      </c>
      <c r="U21" s="32" t="n">
        <v>4.19</v>
      </c>
      <c r="V21" s="32" t="n">
        <v>-8.130000000000001</v>
      </c>
      <c r="W21" s="32" t="n">
        <v>1.79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20 to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3</t>
        </is>
      </c>
      <c r="BC21" s="31">
        <f>IF(BB21="Stage 2",20,IF(BB21="Stage 1",0,IF(BB21="Stage 3",5,IF(BB21="Stage 4",-5,0))))</f>
        <v/>
      </c>
      <c r="BD21" s="31" t="inlineStr">
        <is>
          <t>Negative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IF(B22=0,"",RANK(B22,$B$2:$B$366,0))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RISHABH</t>
        </is>
      </c>
      <c r="D22" s="31" t="inlineStr">
        <is>
          <t>Rishabh Instruments Ltd</t>
        </is>
      </c>
      <c r="E22" s="31" t="inlineStr">
        <is>
          <t>industrials</t>
        </is>
      </c>
      <c r="F22" s="31" t="inlineStr">
        <is>
          <t>electric equipment</t>
        </is>
      </c>
      <c r="G22" s="31" t="inlineStr">
        <is>
          <t>smallcap</t>
        </is>
      </c>
      <c r="H22" s="32" t="n">
        <v>2353.43</v>
      </c>
      <c r="I22" s="32" t="n">
        <v>650.85</v>
      </c>
      <c r="J22" s="32" t="n">
        <v>6.6</v>
      </c>
      <c r="K22" s="32" t="n">
        <v>201022</v>
      </c>
      <c r="L22" s="31" t="n">
        <v>91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63.66</v>
      </c>
      <c r="P22" s="32" t="n">
        <v>42.22</v>
      </c>
      <c r="Q22" s="32" t="inlineStr"/>
      <c r="R22" s="31" t="inlineStr">
        <is>
          <t>Earnings / Momentum Support</t>
        </is>
      </c>
      <c r="S22" s="31" t="inlineStr">
        <is>
          <t>Nifty Infra</t>
        </is>
      </c>
      <c r="T22" s="32" t="n">
        <v>1.74</v>
      </c>
      <c r="U22" s="32" t="n">
        <v>118.81</v>
      </c>
      <c r="V22" s="32" t="n">
        <v>115.07</v>
      </c>
      <c r="W22" s="32" t="n">
        <v>26.68</v>
      </c>
      <c r="X22" s="31" t="inlineStr">
        <is>
          <t>Cyclical in an Upturn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No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3</t>
        </is>
      </c>
      <c r="BC22" s="31">
        <f>IF(BB22="Stage 2",20,IF(BB22="Stage 1",0,IF(BB22="Stage 3",5,IF(BB22="Stage 4",-5,0))))</f>
        <v/>
      </c>
      <c r="BD22" s="31" t="inlineStr">
        <is>
          <t>Negative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IF(B23=0,"",RANK(B23,$B$2:$B$366,0))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RPTECH</t>
        </is>
      </c>
      <c r="D23" s="31" t="inlineStr">
        <is>
          <t>Rashi Peripherals Ltd</t>
        </is>
      </c>
      <c r="E23" s="31" t="inlineStr">
        <is>
          <t>services</t>
        </is>
      </c>
      <c r="F23" s="31" t="inlineStr">
        <is>
          <t>trading</t>
        </is>
      </c>
      <c r="G23" s="31" t="inlineStr">
        <is>
          <t>midcap</t>
        </is>
      </c>
      <c r="H23" s="32" t="n">
        <v>5493.07</v>
      </c>
      <c r="I23" s="32" t="n">
        <v>883.65</v>
      </c>
      <c r="J23" s="32" t="n">
        <v>6.01</v>
      </c>
      <c r="K23" s="32" t="n">
        <v>1212673</v>
      </c>
      <c r="L23" s="31" t="n">
        <v>97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80.53</v>
      </c>
      <c r="P23" s="32" t="n">
        <v>77.25</v>
      </c>
      <c r="Q23" s="32" t="inlineStr"/>
      <c r="R23" s="31" t="inlineStr">
        <is>
          <t>Earnings / Momentum Support</t>
        </is>
      </c>
      <c r="S23" s="31" t="inlineStr">
        <is>
          <t>Nifty 50</t>
        </is>
      </c>
      <c r="T23" s="32" t="n">
        <v>-0.74</v>
      </c>
      <c r="U23" s="32" t="n">
        <v>190.15</v>
      </c>
      <c r="V23" s="32" t="n">
        <v>192.31</v>
      </c>
      <c r="W23" s="32" t="n">
        <v>42.97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No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3</t>
        </is>
      </c>
      <c r="BC23" s="31">
        <f>IF(BB23="Stage 2",20,IF(BB23="Stage 1",0,IF(BB23="Stage 3",5,IF(BB23="Stage 4",-5,0))))</f>
        <v/>
      </c>
      <c r="BD23" s="31" t="inlineStr">
        <is>
          <t>Negative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Less than 50%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IF(B24=0,"",RANK(B24,$B$2:$B$366,0))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MENONBE</t>
        </is>
      </c>
      <c r="D24" s="31" t="inlineStr">
        <is>
          <t>Menon Bearings Limited</t>
        </is>
      </c>
      <c r="E24" s="31" t="inlineStr">
        <is>
          <t>auto</t>
        </is>
      </c>
      <c r="F24" s="31" t="inlineStr">
        <is>
          <t>auto ancillaries</t>
        </is>
      </c>
      <c r="G24" s="31" t="inlineStr">
        <is>
          <t>smallcap</t>
        </is>
      </c>
      <c r="H24" s="32" t="n">
        <v>1180.15</v>
      </c>
      <c r="I24" s="32" t="n">
        <v>221.11</v>
      </c>
      <c r="J24" s="32" t="n">
        <v>5</v>
      </c>
      <c r="K24" s="32" t="n">
        <v>94757</v>
      </c>
      <c r="L24" s="31" t="n">
        <v>87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75.02</v>
      </c>
      <c r="P24" s="32" t="n">
        <v>51.77</v>
      </c>
      <c r="Q24" s="32" t="inlineStr"/>
      <c r="R24" s="31" t="inlineStr">
        <is>
          <t>Earnings / Momentum Support</t>
        </is>
      </c>
      <c r="S24" s="31" t="inlineStr">
        <is>
          <t>Nifty Auto</t>
        </is>
      </c>
      <c r="T24" s="32" t="n">
        <v>13.41</v>
      </c>
      <c r="U24" s="32" t="n">
        <v>59.56</v>
      </c>
      <c r="V24" s="32" t="n">
        <v>40.68</v>
      </c>
      <c r="W24" s="32" t="n">
        <v>23.69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No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3</t>
        </is>
      </c>
      <c r="BC24" s="31">
        <f>IF(BB24="Stage 2",20,IF(BB24="Stage 1",0,IF(BB24="Stage 3",5,IF(BB24="Stage 4",-5,0))))</f>
        <v/>
      </c>
      <c r="BD24" s="31" t="inlineStr">
        <is>
          <t>Negative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IF(B25=0,"",RANK(B25,$B$2:$B$366,0))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SJS</t>
        </is>
      </c>
      <c r="D25" s="31" t="inlineStr">
        <is>
          <t>S J S Enterprises Ltd</t>
        </is>
      </c>
      <c r="E25" s="31" t="inlineStr">
        <is>
          <t>auto</t>
        </is>
      </c>
      <c r="F25" s="31" t="inlineStr">
        <is>
          <t>plastics products</t>
        </is>
      </c>
      <c r="G25" s="31" t="inlineStr">
        <is>
          <t>midcap</t>
        </is>
      </c>
      <c r="H25" s="32" t="n">
        <v>7654.67</v>
      </c>
      <c r="I25" s="32" t="n">
        <v>2483.4</v>
      </c>
      <c r="J25" s="32" t="n">
        <v>3.83</v>
      </c>
      <c r="K25" s="32" t="n">
        <v>156038</v>
      </c>
      <c r="L25" s="31" t="n">
        <v>78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70.20999999999999</v>
      </c>
      <c r="P25" s="32" t="n">
        <v>41.6</v>
      </c>
      <c r="Q25" s="32" t="inlineStr"/>
      <c r="R25" s="31" t="inlineStr">
        <is>
          <t>Earnings / Momentum Support</t>
        </is>
      </c>
      <c r="S25" s="31" t="inlineStr">
        <is>
          <t>Nifty Auto</t>
        </is>
      </c>
      <c r="T25" s="32" t="n">
        <v>13.41</v>
      </c>
      <c r="U25" s="32" t="n">
        <v>76.45</v>
      </c>
      <c r="V25" s="32" t="n">
        <v>55.58</v>
      </c>
      <c r="W25" s="32" t="n">
        <v>18.09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No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3</t>
        </is>
      </c>
      <c r="BC25" s="31">
        <f>IF(BB25="Stage 2",20,IF(BB25="Stage 1",0,IF(BB25="Stage 3",5,IF(BB25="Stage 4",-5,0))))</f>
        <v/>
      </c>
      <c r="BD25" s="31" t="inlineStr">
        <is>
          <t>Negative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IF(B26=0,"",RANK(B26,$B$2:$B$366,0))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QUESS</t>
        </is>
      </c>
      <c r="D26" s="31" t="inlineStr">
        <is>
          <t>Quess Corp Limited</t>
        </is>
      </c>
      <c r="E26" s="31" t="inlineStr">
        <is>
          <t>miscellaneous</t>
        </is>
      </c>
      <c r="F26" s="31" t="inlineStr">
        <is>
          <t>diversified - large</t>
        </is>
      </c>
      <c r="G26" s="31" t="inlineStr">
        <is>
          <t>smallcap</t>
        </is>
      </c>
      <c r="H26" s="32" t="n">
        <v>4966.96</v>
      </c>
      <c r="I26" s="32" t="n">
        <v>345.05</v>
      </c>
      <c r="J26" s="32" t="n">
        <v>3.76</v>
      </c>
      <c r="K26" s="32" t="n">
        <v>1991991</v>
      </c>
      <c r="L26" s="31" t="n">
        <v>84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79.34999999999999</v>
      </c>
      <c r="P26" s="32" t="n">
        <v>46.36</v>
      </c>
      <c r="Q26" s="32" t="inlineStr"/>
      <c r="R26" s="31" t="inlineStr">
        <is>
          <t>Earnings / Momentum Support</t>
        </is>
      </c>
      <c r="S26" s="31" t="inlineStr">
        <is>
          <t>Nifty 50</t>
        </is>
      </c>
      <c r="T26" s="32" t="n">
        <v>-0.74</v>
      </c>
      <c r="U26" s="32" t="n">
        <v>21.31</v>
      </c>
      <c r="V26" s="32" t="n">
        <v>22.21</v>
      </c>
      <c r="W26" s="32" t="n">
        <v>21.84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No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3</t>
        </is>
      </c>
      <c r="BC26" s="31">
        <f>IF(BB26="Stage 2",20,IF(BB26="Stage 1",0,IF(BB26="Stage 3",5,IF(BB26="Stage 4",-5,0))))</f>
        <v/>
      </c>
      <c r="BD26" s="31" t="inlineStr">
        <is>
          <t>Negative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IF(B27=0,"",RANK(B27,$B$2:$B$366,0))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UNIPARTS</t>
        </is>
      </c>
      <c r="D27" s="31" t="inlineStr">
        <is>
          <t>Uniparts India Ltd</t>
        </is>
      </c>
      <c r="E27" s="31" t="inlineStr">
        <is>
          <t>industrials</t>
        </is>
      </c>
      <c r="F27" s="31" t="inlineStr">
        <is>
          <t>engineering</t>
        </is>
      </c>
      <c r="G27" s="31" t="inlineStr">
        <is>
          <t>smallcap</t>
        </is>
      </c>
      <c r="H27" s="32" t="n">
        <v>3286.42</v>
      </c>
      <c r="I27" s="32" t="n">
        <v>745</v>
      </c>
      <c r="J27" s="32" t="n">
        <v>2.34</v>
      </c>
      <c r="K27" s="32" t="n">
        <v>134584</v>
      </c>
      <c r="L27" s="31" t="n">
        <v>91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73.05</v>
      </c>
      <c r="P27" s="32" t="n">
        <v>59.13</v>
      </c>
      <c r="Q27" s="32" t="inlineStr"/>
      <c r="R27" s="31" t="inlineStr">
        <is>
          <t>Earnings / Momentum Support</t>
        </is>
      </c>
      <c r="S27" s="31" t="inlineStr">
        <is>
          <t>Nifty 50</t>
        </is>
      </c>
      <c r="T27" s="32" t="n">
        <v>-0.74</v>
      </c>
      <c r="U27" s="32" t="n">
        <v>125.54</v>
      </c>
      <c r="V27" s="32" t="n">
        <v>127.22</v>
      </c>
      <c r="W27" s="32" t="n">
        <v>27.33</v>
      </c>
      <c r="X27" s="31" t="inlineStr">
        <is>
          <t>Cyclical in an Upturn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3</t>
        </is>
      </c>
      <c r="BC27" s="31">
        <f>IF(BB27="Stage 2",20,IF(BB27="Stage 1",0,IF(BB27="Stage 3",5,IF(BB27="Stage 4",-5,0))))</f>
        <v/>
      </c>
      <c r="BD27" s="31" t="inlineStr">
        <is>
          <t>Negative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IF(B28=0,"",RANK(B28,$B$2:$B$366,0))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STYLAMIND</t>
        </is>
      </c>
      <c r="D28" s="31" t="inlineStr">
        <is>
          <t>Stylam Industries Ltd</t>
        </is>
      </c>
      <c r="E28" s="31" t="inlineStr">
        <is>
          <t>building materials</t>
        </is>
      </c>
      <c r="F28" s="31" t="inlineStr">
        <is>
          <t>miscellaneous</t>
        </is>
      </c>
      <c r="G28" s="31" t="inlineStr">
        <is>
          <t>midcap</t>
        </is>
      </c>
      <c r="H28" s="32" t="n">
        <v>5735.73</v>
      </c>
      <c r="I28" s="32" t="n">
        <v>3461</v>
      </c>
      <c r="J28" s="32" t="n">
        <v>2.27</v>
      </c>
      <c r="K28" s="32" t="n">
        <v>30619</v>
      </c>
      <c r="L28" s="31" t="n">
        <v>86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81.39</v>
      </c>
      <c r="P28" s="32" t="n">
        <v>73.75</v>
      </c>
      <c r="Q28" s="32" t="inlineStr"/>
      <c r="R28" s="31" t="inlineStr">
        <is>
          <t>Earnings / Momentum Support</t>
        </is>
      </c>
      <c r="S28" s="31" t="inlineStr">
        <is>
          <t>Nifty Infra</t>
        </is>
      </c>
      <c r="T28" s="32" t="n">
        <v>1.74</v>
      </c>
      <c r="U28" s="32" t="n">
        <v>86.75</v>
      </c>
      <c r="V28" s="32" t="n">
        <v>83.56</v>
      </c>
      <c r="W28" s="32" t="n">
        <v>23.3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3</t>
        </is>
      </c>
      <c r="BC28" s="31">
        <f>IF(BB28="Stage 2",20,IF(BB28="Stage 1",0,IF(BB28="Stage 3",5,IF(BB28="Stage 4",-5,0))))</f>
        <v/>
      </c>
      <c r="BD28" s="31" t="inlineStr">
        <is>
          <t>Negative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IF(B29=0,"",RANK(B29,$B$2:$B$366,0))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PGIL</t>
        </is>
      </c>
      <c r="D29" s="31" t="inlineStr">
        <is>
          <t>Pearl Global Industries Limited</t>
        </is>
      </c>
      <c r="E29" s="31" t="inlineStr">
        <is>
          <t>consumer discretionary</t>
        </is>
      </c>
      <c r="F29" s="31" t="inlineStr">
        <is>
          <t>textiles - products</t>
        </is>
      </c>
      <c r="G29" s="31" t="inlineStr">
        <is>
          <t>midcap</t>
        </is>
      </c>
      <c r="H29" s="32" t="n">
        <v>9536.1</v>
      </c>
      <c r="I29" s="32" t="n">
        <v>2103.4</v>
      </c>
      <c r="J29" s="32" t="n">
        <v>1.87</v>
      </c>
      <c r="K29" s="32" t="n">
        <v>70472</v>
      </c>
      <c r="L29" s="31" t="n">
        <v>75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66.23</v>
      </c>
      <c r="P29" s="32" t="n">
        <v>49.6</v>
      </c>
      <c r="Q29" s="32" t="inlineStr"/>
      <c r="R29" s="31" t="inlineStr">
        <is>
          <t>Earnings / Momentum Support</t>
        </is>
      </c>
      <c r="S29" s="31" t="inlineStr">
        <is>
          <t>Nifty 50</t>
        </is>
      </c>
      <c r="T29" s="32" t="n">
        <v>-0.74</v>
      </c>
      <c r="U29" s="32" t="n">
        <v>49.38</v>
      </c>
      <c r="V29" s="32" t="n">
        <v>50.5</v>
      </c>
      <c r="W29" s="32" t="n">
        <v>16.54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3</t>
        </is>
      </c>
      <c r="BC29" s="31">
        <f>IF(BB29="Stage 2",20,IF(BB29="Stage 1",0,IF(BB29="Stage 3",5,IF(BB29="Stage 4",-5,0))))</f>
        <v/>
      </c>
      <c r="BD29" s="31" t="inlineStr">
        <is>
          <t>Negative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Between 1.5 to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IF(B30=0,"",RANK(B30,$B$2:$B$366,0))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PRECOT</t>
        </is>
      </c>
      <c r="D30" s="31" t="inlineStr">
        <is>
          <t>Precot Meridian Limited</t>
        </is>
      </c>
      <c r="E30" s="31" t="inlineStr">
        <is>
          <t>textiles</t>
        </is>
      </c>
      <c r="F30" s="31" t="inlineStr">
        <is>
          <t>textiles - cotton/blended</t>
        </is>
      </c>
      <c r="G30" s="31" t="inlineStr">
        <is>
          <t>smallcap</t>
        </is>
      </c>
      <c r="H30" s="32" t="n">
        <v>971.46</v>
      </c>
      <c r="I30" s="32" t="n">
        <v>820</v>
      </c>
      <c r="J30" s="32" t="n">
        <v>1.29</v>
      </c>
      <c r="K30" s="32" t="n">
        <v>11057</v>
      </c>
      <c r="L30" s="31" t="n">
        <v>85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67.86</v>
      </c>
      <c r="P30" s="32" t="n">
        <v>45.39</v>
      </c>
      <c r="Q30" s="32" t="inlineStr"/>
      <c r="R30" s="31" t="inlineStr">
        <is>
          <t>Earnings / Momentum Support</t>
        </is>
      </c>
      <c r="S30" s="31" t="inlineStr">
        <is>
          <t>Nifty 50</t>
        </is>
      </c>
      <c r="T30" s="32" t="n">
        <v>-0.74</v>
      </c>
      <c r="U30" s="32" t="n">
        <v>39.38</v>
      </c>
      <c r="V30" s="32" t="n">
        <v>40.42</v>
      </c>
      <c r="W30" s="32" t="n">
        <v>22.12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No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3</t>
        </is>
      </c>
      <c r="BC30" s="31">
        <f>IF(BB30="Stage 2",20,IF(BB30="Stage 1",0,IF(BB30="Stage 3",5,IF(BB30="Stage 4",-5,0))))</f>
        <v/>
      </c>
      <c r="BD30" s="31" t="inlineStr">
        <is>
          <t>Negative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Between 0.7 to 1.2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IF(B31=0,"",RANK(B31,$B$2:$B$366,0))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ATHERENERG</t>
        </is>
      </c>
      <c r="D31" s="31" t="inlineStr">
        <is>
          <t>Ather Energy Ltd</t>
        </is>
      </c>
      <c r="E31" s="31" t="inlineStr">
        <is>
          <t>auto</t>
        </is>
      </c>
      <c r="F31" s="31" t="inlineStr">
        <is>
          <t>automobiles - scooters and 3 - wheelers</t>
        </is>
      </c>
      <c r="G31" s="31" t="inlineStr">
        <is>
          <t>largecap</t>
        </is>
      </c>
      <c r="H31" s="32" t="n">
        <v>49671.61</v>
      </c>
      <c r="I31" s="32" t="n">
        <v>1272.7</v>
      </c>
      <c r="J31" s="32" t="n">
        <v>0.98</v>
      </c>
      <c r="K31" s="32" t="n">
        <v>3918562</v>
      </c>
      <c r="L31" s="31" t="n">
        <v>97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73.38</v>
      </c>
      <c r="P31" s="32" t="n">
        <v>57.88</v>
      </c>
      <c r="Q31" s="32" t="inlineStr"/>
      <c r="R31" s="31" t="inlineStr">
        <is>
          <t>Earnings / Momentum Support</t>
        </is>
      </c>
      <c r="S31" s="31" t="inlineStr">
        <is>
          <t>Nifty Auto</t>
        </is>
      </c>
      <c r="T31" s="32" t="n">
        <v>13.41</v>
      </c>
      <c r="U31" s="32" t="n">
        <v>275.68</v>
      </c>
      <c r="V31" s="32" t="n">
        <v>231.25</v>
      </c>
      <c r="W31" s="32" t="n">
        <v>46.25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3</t>
        </is>
      </c>
      <c r="BC31" s="31">
        <f>IF(BB31="Stage 2",20,IF(BB31="Stage 1",0,IF(BB31="Stage 3",5,IF(BB31="Stage 4",-5,0))))</f>
        <v/>
      </c>
      <c r="BD31" s="31" t="inlineStr">
        <is>
          <t>Negative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Negative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IF(B32=0,"",RANK(B32,$B$2:$B$366,0))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SONATSOFTW</t>
        </is>
      </c>
      <c r="D32" s="31" t="inlineStr">
        <is>
          <t>Sonata Software Limited</t>
        </is>
      </c>
      <c r="E32" s="31" t="inlineStr">
        <is>
          <t>i.t</t>
        </is>
      </c>
      <c r="F32" s="31" t="inlineStr">
        <is>
          <t>computers - software - medium / small</t>
        </is>
      </c>
      <c r="G32" s="31" t="inlineStr">
        <is>
          <t>midcap</t>
        </is>
      </c>
      <c r="H32" s="32" t="n">
        <v>9042.299999999999</v>
      </c>
      <c r="I32" s="32" t="n">
        <v>345.85</v>
      </c>
      <c r="J32" s="32" t="n">
        <v>7.26</v>
      </c>
      <c r="K32" s="32" t="n">
        <v>6563036</v>
      </c>
      <c r="L32" s="31" t="n">
        <v>33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58.17</v>
      </c>
      <c r="P32" s="32" t="n">
        <v>27.86</v>
      </c>
      <c r="Q32" s="32" t="inlineStr"/>
      <c r="R32" s="31" t="inlineStr">
        <is>
          <t>Earnings / Momentum Support</t>
        </is>
      </c>
      <c r="S32" s="31" t="inlineStr">
        <is>
          <t>Nifty IT</t>
        </is>
      </c>
      <c r="T32" s="32" t="n">
        <v>-11.37</v>
      </c>
      <c r="U32" s="32" t="n">
        <v>-9.34</v>
      </c>
      <c r="V32" s="32" t="n">
        <v>2.29</v>
      </c>
      <c r="W32" s="32" t="n">
        <v>4.97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No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3</t>
        </is>
      </c>
      <c r="BC32" s="31">
        <f>IF(BB32="Stage 2",20,IF(BB32="Stage 1",0,IF(BB32="Stage 3",5,IF(BB32="Stage 4",-5,0))))</f>
        <v/>
      </c>
      <c r="BD32" s="31" t="inlineStr">
        <is>
          <t>Negative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IF(B33=0,"",RANK(B33,$B$2:$B$366,0))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RATEGAIN</t>
        </is>
      </c>
      <c r="D33" s="31" t="inlineStr">
        <is>
          <t>Rategain Travel Technologies Ltd</t>
        </is>
      </c>
      <c r="E33" s="31" t="inlineStr">
        <is>
          <t>i.t</t>
        </is>
      </c>
      <c r="F33" s="31" t="inlineStr">
        <is>
          <t>computers - software - medium / small</t>
        </is>
      </c>
      <c r="G33" s="31" t="inlineStr">
        <is>
          <t>midcap</t>
        </is>
      </c>
      <c r="H33" s="32" t="n">
        <v>10876.2</v>
      </c>
      <c r="I33" s="32" t="n">
        <v>967</v>
      </c>
      <c r="J33" s="32" t="n">
        <v>5.29</v>
      </c>
      <c r="K33" s="32" t="n">
        <v>757521</v>
      </c>
      <c r="L33" s="31" t="n">
        <v>92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71.31999999999999</v>
      </c>
      <c r="P33" s="32" t="n">
        <v>40.84</v>
      </c>
      <c r="Q33" s="32" t="inlineStr"/>
      <c r="R33" s="31" t="inlineStr">
        <is>
          <t>Earnings / Momentum Support</t>
        </is>
      </c>
      <c r="S33" s="31" t="inlineStr">
        <is>
          <t>Nifty IT</t>
        </is>
      </c>
      <c r="T33" s="32" t="n">
        <v>-11.37</v>
      </c>
      <c r="U33" s="32" t="n">
        <v>112.27</v>
      </c>
      <c r="V33" s="32" t="n">
        <v>139.51</v>
      </c>
      <c r="W33" s="32" t="n">
        <v>29.34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3</t>
        </is>
      </c>
      <c r="BC33" s="31">
        <f>IF(BB33="Stage 2",20,IF(BB33="Stage 1",0,IF(BB33="Stage 3",5,IF(BB33="Stage 4",-5,0))))</f>
        <v/>
      </c>
      <c r="BD33" s="31" t="inlineStr">
        <is>
          <t>Negative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Between 50% to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IF(B34=0,"",RANK(B34,$B$2:$B$366,0))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SANSTAR</t>
        </is>
      </c>
      <c r="D34" s="31" t="inlineStr">
        <is>
          <t>Sanstar Ltd</t>
        </is>
      </c>
      <c r="E34" s="31" t="inlineStr">
        <is>
          <t>fmcg</t>
        </is>
      </c>
      <c r="F34" s="31" t="inlineStr">
        <is>
          <t>miscellaneous</t>
        </is>
      </c>
      <c r="G34" s="31" t="inlineStr">
        <is>
          <t>smallcap</t>
        </is>
      </c>
      <c r="H34" s="32" t="n">
        <v>2238</v>
      </c>
      <c r="I34" s="32" t="n">
        <v>116.85</v>
      </c>
      <c r="J34" s="32" t="n">
        <v>4.56</v>
      </c>
      <c r="K34" s="32" t="n">
        <v>2124008</v>
      </c>
      <c r="L34" s="31" t="n">
        <v>46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58.39</v>
      </c>
      <c r="P34" s="32" t="n">
        <v>49.61</v>
      </c>
      <c r="Q34" s="32" t="inlineStr"/>
      <c r="R34" s="31" t="inlineStr">
        <is>
          <t>Earnings / Momentum Support</t>
        </is>
      </c>
      <c r="S34" s="31" t="inlineStr">
        <is>
          <t>Nifty FMCG</t>
        </is>
      </c>
      <c r="T34" s="32" t="n">
        <v>-13.73</v>
      </c>
      <c r="U34" s="32" t="n">
        <v>12.04</v>
      </c>
      <c r="V34" s="32" t="n">
        <v>29.88</v>
      </c>
      <c r="W34" s="32" t="n">
        <v>7.41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B2C</t>
        </is>
      </c>
      <c r="AO34" s="31">
        <f>IF(AN34="B2C",10,IF(AN34="B2B",5,0))</f>
        <v/>
      </c>
      <c r="AP34" s="31" t="inlineStr">
        <is>
          <t>No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3</t>
        </is>
      </c>
      <c r="BC34" s="31">
        <f>IF(BB34="Stage 2",20,IF(BB34="Stage 1",0,IF(BB34="Stage 3",5,IF(BB34="Stage 4",-5,0))))</f>
        <v/>
      </c>
      <c r="BD34" s="31" t="inlineStr">
        <is>
          <t>Negative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IF(B35=0,"",RANK(B35,$B$2:$B$366,0))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SAKAR</t>
        </is>
      </c>
      <c r="D35" s="31" t="inlineStr">
        <is>
          <t>Sakar Healthcare Ltd</t>
        </is>
      </c>
      <c r="E35" s="31" t="inlineStr">
        <is>
          <t>healthcare</t>
        </is>
      </c>
      <c r="F35" s="31" t="inlineStr">
        <is>
          <t>pharmaceuticals - indian - bulk drugs &amp; formln</t>
        </is>
      </c>
      <c r="G35" s="31" t="inlineStr">
        <is>
          <t>smallcap</t>
        </is>
      </c>
      <c r="H35" s="32" t="n">
        <v>1969.67</v>
      </c>
      <c r="I35" s="32" t="n">
        <v>922.5</v>
      </c>
      <c r="J35" s="32" t="n">
        <v>4.21</v>
      </c>
      <c r="K35" s="32" t="n">
        <v>181604</v>
      </c>
      <c r="L35" s="31" t="n">
        <v>94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69.37</v>
      </c>
      <c r="P35" s="32" t="n">
        <v>53.77</v>
      </c>
      <c r="Q35" s="32" t="inlineStr"/>
      <c r="R35" s="31" t="inlineStr">
        <is>
          <t>Earnings / Momentum Support</t>
        </is>
      </c>
      <c r="S35" s="31" t="inlineStr">
        <is>
          <t>Nifty Pharma</t>
        </is>
      </c>
      <c r="T35" s="32" t="n">
        <v>20.55</v>
      </c>
      <c r="U35" s="32" t="n">
        <v>158.17</v>
      </c>
      <c r="V35" s="32" t="n">
        <v>114.16</v>
      </c>
      <c r="W35" s="32" t="n">
        <v>31.4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3</t>
        </is>
      </c>
      <c r="BC35" s="31">
        <f>IF(BB35="Stage 2",20,IF(BB35="Stage 1",0,IF(BB35="Stage 3",5,IF(BB35="Stage 4",-5,0))))</f>
        <v/>
      </c>
      <c r="BD35" s="31" t="inlineStr">
        <is>
          <t>Negative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IF(B36=0,"",RANK(B36,$B$2:$B$366,0))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RADICO</t>
        </is>
      </c>
      <c r="D36" s="31" t="inlineStr">
        <is>
          <t>Radico Khaitan Limited</t>
        </is>
      </c>
      <c r="E36" s="31" t="inlineStr">
        <is>
          <t>fmcg</t>
        </is>
      </c>
      <c r="F36" s="31" t="inlineStr">
        <is>
          <t>breweries &amp; distilleries</t>
        </is>
      </c>
      <c r="G36" s="31" t="inlineStr">
        <is>
          <t>largecap</t>
        </is>
      </c>
      <c r="H36" s="32" t="n">
        <v>58136.92</v>
      </c>
      <c r="I36" s="32" t="n">
        <v>4459.1</v>
      </c>
      <c r="J36" s="32" t="n">
        <v>2.73</v>
      </c>
      <c r="K36" s="32" t="n">
        <v>1037529</v>
      </c>
      <c r="L36" s="31" t="n">
        <v>72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83.66</v>
      </c>
      <c r="P36" s="32" t="n">
        <v>60.33</v>
      </c>
      <c r="Q36" s="32" t="inlineStr"/>
      <c r="R36" s="31" t="inlineStr">
        <is>
          <t>Earnings / Momentum Support</t>
        </is>
      </c>
      <c r="S36" s="31" t="inlineStr">
        <is>
          <t>Nifty FMCG</t>
        </is>
      </c>
      <c r="T36" s="32" t="n">
        <v>-13.73</v>
      </c>
      <c r="U36" s="32" t="n">
        <v>50.97</v>
      </c>
      <c r="V36" s="32" t="n">
        <v>75</v>
      </c>
      <c r="W36" s="32" t="n">
        <v>14.99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B2C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3</t>
        </is>
      </c>
      <c r="BC36" s="31">
        <f>IF(BB36="Stage 2",20,IF(BB36="Stage 1",0,IF(BB36="Stage 3",5,IF(BB36="Stage 4",-5,0))))</f>
        <v/>
      </c>
      <c r="BD36" s="31" t="inlineStr">
        <is>
          <t>Negative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IF(B37=0,"",RANK(B37,$B$2:$B$366,0))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JAMNAAUTO</t>
        </is>
      </c>
      <c r="D37" s="31" t="inlineStr">
        <is>
          <t>Jamna Auto Industries Limited</t>
        </is>
      </c>
      <c r="E37" s="31" t="inlineStr">
        <is>
          <t>auto</t>
        </is>
      </c>
      <c r="F37" s="31" t="inlineStr">
        <is>
          <t>auto ancillaries</t>
        </is>
      </c>
      <c r="G37" s="31" t="inlineStr">
        <is>
          <t>midcap</t>
        </is>
      </c>
      <c r="H37" s="32" t="n">
        <v>5244.4</v>
      </c>
      <c r="I37" s="32" t="n">
        <v>140.86</v>
      </c>
      <c r="J37" s="32" t="n">
        <v>7.38</v>
      </c>
      <c r="K37" s="32" t="n">
        <v>6125287</v>
      </c>
      <c r="L37" s="31" t="n">
        <v>50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53.95</v>
      </c>
      <c r="P37" s="32" t="n">
        <v>26.72</v>
      </c>
      <c r="Q37" s="32" t="inlineStr"/>
      <c r="R37" s="31" t="inlineStr">
        <is>
          <t>Earnings / Momentum Support</t>
        </is>
      </c>
      <c r="S37" s="31" t="inlineStr">
        <is>
          <t>Nifty Auto</t>
        </is>
      </c>
      <c r="T37" s="32" t="n">
        <v>13.41</v>
      </c>
      <c r="U37" s="32" t="n">
        <v>42.02</v>
      </c>
      <c r="V37" s="32" t="n">
        <v>25.22</v>
      </c>
      <c r="W37" s="32" t="n">
        <v>8.68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3</t>
        </is>
      </c>
      <c r="BC37" s="31">
        <f>IF(BB37="Stage 2",20,IF(BB37="Stage 1",0,IF(BB37="Stage 3",5,IF(BB37="Stage 4",-5,0))))</f>
        <v/>
      </c>
      <c r="BD37" s="31" t="inlineStr">
        <is>
          <t>Negative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IF(B38=0,"",RANK(B38,$B$2:$B$366,0))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NRBBEARING</t>
        </is>
      </c>
      <c r="D38" s="31" t="inlineStr">
        <is>
          <t>Nrb Bearing Limited</t>
        </is>
      </c>
      <c r="E38" s="31" t="inlineStr">
        <is>
          <t>industrials</t>
        </is>
      </c>
      <c r="F38" s="31" t="inlineStr">
        <is>
          <t>bearings</t>
        </is>
      </c>
      <c r="G38" s="31" t="inlineStr">
        <is>
          <t>smallcap</t>
        </is>
      </c>
      <c r="H38" s="32" t="n">
        <v>3972.86</v>
      </c>
      <c r="I38" s="32" t="n">
        <v>433.8</v>
      </c>
      <c r="J38" s="32" t="n">
        <v>5.83</v>
      </c>
      <c r="K38" s="32" t="n">
        <v>756420</v>
      </c>
      <c r="L38" s="31" t="n">
        <v>80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67.40000000000001</v>
      </c>
      <c r="P38" s="32" t="n">
        <v>48.14</v>
      </c>
      <c r="Q38" s="32" t="inlineStr"/>
      <c r="R38" s="31" t="inlineStr">
        <is>
          <t>Earnings / Momentum Support</t>
        </is>
      </c>
      <c r="S38" s="31" t="inlineStr">
        <is>
          <t>Nifty 50</t>
        </is>
      </c>
      <c r="T38" s="32" t="n">
        <v>-0.74</v>
      </c>
      <c r="U38" s="32" t="n">
        <v>51.42</v>
      </c>
      <c r="V38" s="32" t="n">
        <v>52.55</v>
      </c>
      <c r="W38" s="32" t="n">
        <v>19.18</v>
      </c>
      <c r="X38" s="31" t="inlineStr">
        <is>
          <t>Cyclical in an Upturn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3</t>
        </is>
      </c>
      <c r="BC38" s="31">
        <f>IF(BB38="Stage 2",20,IF(BB38="Stage 1",0,IF(BB38="Stage 3",5,IF(BB38="Stage 4",-5,0))))</f>
        <v/>
      </c>
      <c r="BD38" s="31" t="inlineStr">
        <is>
          <t>Negative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IF(B39=0,"",RANK(B39,$B$2:$B$366,0))</f>
        <v/>
      </c>
      <c r="B39" s="32">
        <f>SUM(N39,Y39,AA39,AC39,AE39,AG39,AI39,AK39,AM39,AO39,AQ39,AS39,AU39,AW39,AY39,BA39,BC39,BE39,BG39,BI39,BK39,BM39,BO39,BQ39,BS39,BU39,BW39,BY39,CA39,CC39,CE39)</f>
        <v/>
      </c>
      <c r="C39" s="33" t="inlineStr">
        <is>
          <t>JINDWORLD</t>
        </is>
      </c>
      <c r="D39" s="33" t="inlineStr">
        <is>
          <t>Jindal Worldwide Limited</t>
        </is>
      </c>
      <c r="E39" s="31" t="inlineStr">
        <is>
          <t>textiles</t>
        </is>
      </c>
      <c r="F39" s="31" t="inlineStr">
        <is>
          <t>textiles - products</t>
        </is>
      </c>
      <c r="G39" s="31" t="inlineStr">
        <is>
          <t>smallcap</t>
        </is>
      </c>
      <c r="H39" s="32" t="n">
        <v>3843.98</v>
      </c>
      <c r="I39" s="32" t="n">
        <v>40.41</v>
      </c>
      <c r="J39" s="32" t="n">
        <v>5.4</v>
      </c>
      <c r="K39" s="32" t="n">
        <v>123961186</v>
      </c>
      <c r="L39" s="31" t="n">
        <v>62</v>
      </c>
      <c r="M39" s="31" t="inlineStr">
        <is>
          <t>Underperforming</t>
        </is>
      </c>
      <c r="N39" s="32">
        <f>IF(M39="Underperforming",-5,IF(L39&gt;=95,15,IF(L39&gt;=90,10,IF(L39&gt;=80,5,0))))</f>
        <v/>
      </c>
      <c r="O39" s="32" t="n">
        <v>67.53</v>
      </c>
      <c r="P39" s="32" t="n">
        <v>30.86</v>
      </c>
      <c r="Q39" s="32" t="inlineStr"/>
      <c r="R39" s="31" t="inlineStr">
        <is>
          <t>Volume Spike / Accumulation</t>
        </is>
      </c>
      <c r="S39" s="31" t="inlineStr">
        <is>
          <t>Nifty 50</t>
        </is>
      </c>
      <c r="T39" s="32" t="n">
        <v>-0.74</v>
      </c>
      <c r="U39" s="32" t="n">
        <v>-3.03</v>
      </c>
      <c r="V39" s="32" t="n">
        <v>-2.31</v>
      </c>
      <c r="W39" s="32" t="n">
        <v>12.07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3</t>
        </is>
      </c>
      <c r="BC39" s="31">
        <f>IF(BB39="Stage 2",20,IF(BB39="Stage 1",0,IF(BB39="Stage 3",5,IF(BB39="Stage 4",-5,0))))</f>
        <v/>
      </c>
      <c r="BD39" s="31" t="inlineStr">
        <is>
          <t>Negative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IF(B40=0,"",RANK(B40,$B$2:$B$366,0))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NITINSPIN</t>
        </is>
      </c>
      <c r="D40" s="31" t="inlineStr">
        <is>
          <t>Nitin Spinners Limited</t>
        </is>
      </c>
      <c r="E40" s="31" t="inlineStr">
        <is>
          <t>textiles</t>
        </is>
      </c>
      <c r="F40" s="31" t="inlineStr">
        <is>
          <t>textiles - cotton/blended</t>
        </is>
      </c>
      <c r="G40" s="31" t="inlineStr">
        <is>
          <t>smallcap</t>
        </is>
      </c>
      <c r="H40" s="32" t="n">
        <v>3059.49</v>
      </c>
      <c r="I40" s="32" t="n">
        <v>572.35</v>
      </c>
      <c r="J40" s="32" t="n">
        <v>5.17</v>
      </c>
      <c r="K40" s="32" t="n">
        <v>285468</v>
      </c>
      <c r="L40" s="31" t="n">
        <v>66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67.70999999999999</v>
      </c>
      <c r="P40" s="32" t="n">
        <v>69.34</v>
      </c>
      <c r="Q40" s="32" t="inlineStr"/>
      <c r="R40" s="31" t="inlineStr">
        <is>
          <t>Earnings / Momentum Support</t>
        </is>
      </c>
      <c r="S40" s="31" t="inlineStr">
        <is>
          <t>Nifty 50</t>
        </is>
      </c>
      <c r="T40" s="32" t="n">
        <v>-0.74</v>
      </c>
      <c r="U40" s="32" t="n">
        <v>50.43</v>
      </c>
      <c r="V40" s="32" t="n">
        <v>51.55</v>
      </c>
      <c r="W40" s="32" t="n">
        <v>13.47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3</t>
        </is>
      </c>
      <c r="BC40" s="31">
        <f>IF(BB40="Stage 2",20,IF(BB40="Stage 1",0,IF(BB40="Stage 3",5,IF(BB40="Stage 4",-5,0))))</f>
        <v/>
      </c>
      <c r="BD40" s="31" t="inlineStr">
        <is>
          <t>Negative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Between 0.7 to 1.2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IF(B41=0,"",RANK(B41,$B$2:$B$366,0))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AMBIKCO</t>
        </is>
      </c>
      <c r="D41" s="31" t="inlineStr">
        <is>
          <t>Ambika Cotton Mills Limited</t>
        </is>
      </c>
      <c r="E41" s="31" t="inlineStr">
        <is>
          <t>textiles</t>
        </is>
      </c>
      <c r="F41" s="31" t="inlineStr">
        <is>
          <t>textiles - cotton/blended</t>
        </is>
      </c>
      <c r="G41" s="31" t="inlineStr">
        <is>
          <t>smallcap</t>
        </is>
      </c>
      <c r="H41" s="32" t="n">
        <v>980.01</v>
      </c>
      <c r="I41" s="32" t="n">
        <v>1780</v>
      </c>
      <c r="J41" s="32" t="n">
        <v>3.98</v>
      </c>
      <c r="K41" s="32" t="n">
        <v>22628</v>
      </c>
      <c r="L41" s="31" t="n">
        <v>42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65.54000000000001</v>
      </c>
      <c r="P41" s="32" t="n">
        <v>38.04</v>
      </c>
      <c r="Q41" s="32" t="inlineStr"/>
      <c r="R41" s="31" t="inlineStr">
        <is>
          <t>Earnings / Momentum Support</t>
        </is>
      </c>
      <c r="S41" s="31" t="inlineStr">
        <is>
          <t>Nifty 50</t>
        </is>
      </c>
      <c r="T41" s="32" t="n">
        <v>-0.74</v>
      </c>
      <c r="U41" s="32" t="n">
        <v>17.03</v>
      </c>
      <c r="V41" s="32" t="n">
        <v>17.91</v>
      </c>
      <c r="W41" s="32" t="n">
        <v>6.84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3</t>
        </is>
      </c>
      <c r="BC41" s="31">
        <f>IF(BB41="Stage 2",20,IF(BB41="Stage 1",0,IF(BB41="Stage 3",5,IF(BB41="Stage 4",-5,0))))</f>
        <v/>
      </c>
      <c r="BD41" s="31" t="inlineStr">
        <is>
          <t>Negative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IF(B42=0,"",RANK(B42,$B$2:$B$366,0))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GOCLCORP</t>
        </is>
      </c>
      <c r="D42" s="31" t="inlineStr">
        <is>
          <t>Gocl Corporation Limited</t>
        </is>
      </c>
      <c r="E42" s="31" t="inlineStr">
        <is>
          <t>miscellaneous</t>
        </is>
      </c>
      <c r="F42" s="31" t="inlineStr">
        <is>
          <t>diversified - medium / small</t>
        </is>
      </c>
      <c r="G42" s="31" t="inlineStr">
        <is>
          <t>smallcap</t>
        </is>
      </c>
      <c r="H42" s="32" t="n">
        <v>1995.54</v>
      </c>
      <c r="I42" s="32" t="n">
        <v>415</v>
      </c>
      <c r="J42" s="32" t="n">
        <v>3.09</v>
      </c>
      <c r="K42" s="32" t="n">
        <v>109585</v>
      </c>
      <c r="L42" s="31" t="n">
        <v>54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62.78</v>
      </c>
      <c r="P42" s="32" t="n">
        <v>41.05</v>
      </c>
      <c r="Q42" s="32" t="inlineStr"/>
      <c r="R42" s="31" t="inlineStr">
        <is>
          <t>Earnings / Momentum Support</t>
        </is>
      </c>
      <c r="S42" s="31" t="inlineStr">
        <is>
          <t>Nifty 50</t>
        </is>
      </c>
      <c r="T42" s="32" t="n">
        <v>-0.74</v>
      </c>
      <c r="U42" s="32" t="n">
        <v>14.95</v>
      </c>
      <c r="V42" s="32" t="n">
        <v>15.81</v>
      </c>
      <c r="W42" s="32" t="n">
        <v>9.51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3</t>
        </is>
      </c>
      <c r="BC42" s="31">
        <f>IF(BB42="Stage 2",20,IF(BB42="Stage 1",0,IF(BB42="Stage 3",5,IF(BB42="Stage 4",-5,0))))</f>
        <v/>
      </c>
      <c r="BD42" s="31" t="inlineStr">
        <is>
          <t>Negative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IF(B43=0,"",RANK(B43,$B$2:$B$366,0))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RAIN</t>
        </is>
      </c>
      <c r="D43" s="31" t="inlineStr">
        <is>
          <t>Rain Industries Limited</t>
        </is>
      </c>
      <c r="E43" s="31" t="inlineStr">
        <is>
          <t>miscellaneous</t>
        </is>
      </c>
      <c r="F43" s="31" t="inlineStr">
        <is>
          <t>miscellaneous</t>
        </is>
      </c>
      <c r="G43" s="31" t="inlineStr">
        <is>
          <t>midcap</t>
        </is>
      </c>
      <c r="H43" s="32" t="n">
        <v>7498.83</v>
      </c>
      <c r="I43" s="32" t="n">
        <v>229.53</v>
      </c>
      <c r="J43" s="32" t="n">
        <v>2.95</v>
      </c>
      <c r="K43" s="32" t="n">
        <v>5598426</v>
      </c>
      <c r="L43" s="31" t="n">
        <v>92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74.23999999999999</v>
      </c>
      <c r="P43" s="32" t="n">
        <v>47.49</v>
      </c>
      <c r="Q43" s="32" t="inlineStr"/>
      <c r="R43" s="31" t="inlineStr">
        <is>
          <t>Earnings / Momentum Support</t>
        </is>
      </c>
      <c r="S43" s="31" t="inlineStr">
        <is>
          <t>Nifty 50</t>
        </is>
      </c>
      <c r="T43" s="32" t="n">
        <v>-0.74</v>
      </c>
      <c r="U43" s="32" t="n">
        <v>46.85</v>
      </c>
      <c r="V43" s="32" t="n">
        <v>47.95</v>
      </c>
      <c r="W43" s="32" t="n">
        <v>27.78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3</t>
        </is>
      </c>
      <c r="BC43" s="31">
        <f>IF(BB43="Stage 2",20,IF(BB43="Stage 1",0,IF(BB43="Stage 3",5,IF(BB43="Stage 4",-5,0))))</f>
        <v/>
      </c>
      <c r="BD43" s="31" t="inlineStr">
        <is>
          <t>Negative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More than 1.2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IF(B44=0,"",RANK(B44,$B$2:$B$366,0))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BAJAJ-AUTO</t>
        </is>
      </c>
      <c r="D44" s="31" t="inlineStr">
        <is>
          <t>Bajaj Auto Limited</t>
        </is>
      </c>
      <c r="E44" s="31" t="inlineStr">
        <is>
          <t>auto</t>
        </is>
      </c>
      <c r="F44" s="31" t="inlineStr">
        <is>
          <t>automobiles - scooters and 3 - wheelers</t>
        </is>
      </c>
      <c r="G44" s="31" t="inlineStr">
        <is>
          <t>largecap</t>
        </is>
      </c>
      <c r="H44" s="32" t="n">
        <v>321995.48</v>
      </c>
      <c r="I44" s="32" t="n">
        <v>11856</v>
      </c>
      <c r="J44" s="32" t="n">
        <v>2.91</v>
      </c>
      <c r="K44" s="32" t="n">
        <v>824041</v>
      </c>
      <c r="L44" s="31" t="n">
        <v>41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71.84999999999999</v>
      </c>
      <c r="P44" s="32" t="n">
        <v>22.44</v>
      </c>
      <c r="Q44" s="32" t="inlineStr"/>
      <c r="R44" s="31" t="inlineStr">
        <is>
          <t>Earnings / Momentum Support</t>
        </is>
      </c>
      <c r="S44" s="31" t="inlineStr">
        <is>
          <t>Nifty Auto</t>
        </is>
      </c>
      <c r="T44" s="32" t="n">
        <v>13.41</v>
      </c>
      <c r="U44" s="32" t="n">
        <v>26.86</v>
      </c>
      <c r="V44" s="32" t="n">
        <v>11.86</v>
      </c>
      <c r="W44" s="32" t="n">
        <v>6.6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3</t>
        </is>
      </c>
      <c r="BC44" s="31">
        <f>IF(BB44="Stage 2",20,IF(BB44="Stage 1",0,IF(BB44="Stage 3",5,IF(BB44="Stage 4",-5,0))))</f>
        <v/>
      </c>
      <c r="BD44" s="31" t="inlineStr">
        <is>
          <t>Negative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IF(B45=0,"",RANK(B45,$B$2:$B$366,0))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PARAS</t>
        </is>
      </c>
      <c r="D45" s="31" t="inlineStr">
        <is>
          <t>Paras Defence and Space Technologies Ltd</t>
        </is>
      </c>
      <c r="E45" s="31" t="inlineStr">
        <is>
          <t>aerospace &amp; defence</t>
        </is>
      </c>
      <c r="F45" s="31" t="inlineStr">
        <is>
          <t>engineering</t>
        </is>
      </c>
      <c r="G45" s="31" t="inlineStr">
        <is>
          <t>midcap</t>
        </is>
      </c>
      <c r="H45" s="32" t="n">
        <v>10125.8</v>
      </c>
      <c r="I45" s="32" t="n">
        <v>1292.3</v>
      </c>
      <c r="J45" s="32" t="n">
        <v>2.85</v>
      </c>
      <c r="K45" s="32" t="n">
        <v>1553831</v>
      </c>
      <c r="L45" s="31" t="n">
        <v>92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65.69</v>
      </c>
      <c r="P45" s="32" t="n">
        <v>58.76</v>
      </c>
      <c r="Q45" s="32" t="inlineStr"/>
      <c r="R45" s="31" t="inlineStr">
        <is>
          <t>Earnings / Momentum Support</t>
        </is>
      </c>
      <c r="S45" s="31" t="inlineStr">
        <is>
          <t>Nifty 50</t>
        </is>
      </c>
      <c r="T45" s="32" t="n">
        <v>-0.74</v>
      </c>
      <c r="U45" s="32" t="n">
        <v>99.01000000000001</v>
      </c>
      <c r="V45" s="32" t="n">
        <v>100.5</v>
      </c>
      <c r="W45" s="32" t="n">
        <v>28.46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3</t>
        </is>
      </c>
      <c r="BC45" s="31">
        <f>IF(BB45="Stage 2",20,IF(BB45="Stage 1",0,IF(BB45="Stage 3",5,IF(BB45="Stage 4",-5,0))))</f>
        <v/>
      </c>
      <c r="BD45" s="31" t="inlineStr">
        <is>
          <t>Negative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Between 1.5 to 2</t>
        </is>
      </c>
      <c r="BU45" s="31">
        <f>IF(BT45="Above 2",0,IF(BT45="Between 1.5 to 2",5,IF(BT45="Less than 1.5",10,0)))</f>
        <v/>
      </c>
      <c r="BV45" s="31" t="inlineStr">
        <is>
          <t>Less than 50%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IF(B46=0,"",RANK(B46,$B$2:$B$366,0))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APARINDS</t>
        </is>
      </c>
      <c r="D46" s="31" t="inlineStr">
        <is>
          <t>Apar Industries Limited</t>
        </is>
      </c>
      <c r="E46" s="31" t="inlineStr">
        <is>
          <t>industrials</t>
        </is>
      </c>
      <c r="F46" s="31" t="inlineStr">
        <is>
          <t>electric equipment</t>
        </is>
      </c>
      <c r="G46" s="31" t="inlineStr">
        <is>
          <t>largecap</t>
        </is>
      </c>
      <c r="H46" s="32" t="n">
        <v>57641.99</v>
      </c>
      <c r="I46" s="32" t="n">
        <v>14746</v>
      </c>
      <c r="J46" s="32" t="n">
        <v>2.77</v>
      </c>
      <c r="K46" s="32" t="n">
        <v>281772</v>
      </c>
      <c r="L46" s="31" t="n">
        <v>73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62.44</v>
      </c>
      <c r="P46" s="32" t="n">
        <v>40.85</v>
      </c>
      <c r="Q46" s="32" t="inlineStr"/>
      <c r="R46" s="31" t="inlineStr">
        <is>
          <t>Earnings / Momentum Support</t>
        </is>
      </c>
      <c r="S46" s="31" t="inlineStr">
        <is>
          <t>Nifty 50</t>
        </is>
      </c>
      <c r="T46" s="32" t="n">
        <v>-0.74</v>
      </c>
      <c r="U46" s="32" t="n">
        <v>63.37</v>
      </c>
      <c r="V46" s="32" t="n">
        <v>64.59</v>
      </c>
      <c r="W46" s="32" t="n">
        <v>15.48</v>
      </c>
      <c r="X46" s="31" t="inlineStr">
        <is>
          <t>Cyclical in an Upturn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3</t>
        </is>
      </c>
      <c r="BC46" s="31">
        <f>IF(BB46="Stage 2",20,IF(BB46="Stage 1",0,IF(BB46="Stage 3",5,IF(BB46="Stage 4",-5,0))))</f>
        <v/>
      </c>
      <c r="BD46" s="31" t="inlineStr">
        <is>
          <t>Negative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IF(B47=0,"",RANK(B47,$B$2:$B$366,0))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ICIL</t>
        </is>
      </c>
      <c r="D47" s="31" t="inlineStr">
        <is>
          <t>Indo Count Industries Limited</t>
        </is>
      </c>
      <c r="E47" s="31" t="inlineStr">
        <is>
          <t>textiles</t>
        </is>
      </c>
      <c r="F47" s="31" t="inlineStr">
        <is>
          <t>textiles - cotton/blended</t>
        </is>
      </c>
      <c r="G47" s="31" t="inlineStr">
        <is>
          <t>midcap</t>
        </is>
      </c>
      <c r="H47" s="32" t="n">
        <v>7946.93</v>
      </c>
      <c r="I47" s="32" t="n">
        <v>409.7</v>
      </c>
      <c r="J47" s="32" t="n">
        <v>2.11</v>
      </c>
      <c r="K47" s="32" t="n">
        <v>487006</v>
      </c>
      <c r="L47" s="31" t="n">
        <v>83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65.48999999999999</v>
      </c>
      <c r="P47" s="32" t="n">
        <v>52.84</v>
      </c>
      <c r="Q47" s="32" t="inlineStr"/>
      <c r="R47" s="31" t="inlineStr">
        <is>
          <t>Earnings / Momentum Support</t>
        </is>
      </c>
      <c r="S47" s="31" t="inlineStr">
        <is>
          <t>Nifty 50</t>
        </is>
      </c>
      <c r="T47" s="32" t="n">
        <v>-0.74</v>
      </c>
      <c r="U47" s="32" t="n">
        <v>55.27</v>
      </c>
      <c r="V47" s="32" t="n">
        <v>56.43</v>
      </c>
      <c r="W47" s="32" t="n">
        <v>20.17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3</t>
        </is>
      </c>
      <c r="BC47" s="31">
        <f>IF(BB47="Stage 2",20,IF(BB47="Stage 1",0,IF(BB47="Stage 3",5,IF(BB47="Stage 4",-5,0))))</f>
        <v/>
      </c>
      <c r="BD47" s="31" t="inlineStr">
        <is>
          <t>Negative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IF(B48=0,"",RANK(B48,$B$2:$B$366,0))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CENTENKA</t>
        </is>
      </c>
      <c r="D48" s="31" t="inlineStr">
        <is>
          <t>Century Enka Limited</t>
        </is>
      </c>
      <c r="E48" s="31" t="inlineStr">
        <is>
          <t>textiles</t>
        </is>
      </c>
      <c r="F48" s="31" t="inlineStr">
        <is>
          <t>textiles - manmade</t>
        </is>
      </c>
      <c r="G48" s="31" t="inlineStr">
        <is>
          <t>smallcap</t>
        </is>
      </c>
      <c r="H48" s="32" t="n">
        <v>1333.87</v>
      </c>
      <c r="I48" s="32" t="n">
        <v>621.6</v>
      </c>
      <c r="J48" s="32" t="n">
        <v>1.83</v>
      </c>
      <c r="K48" s="32" t="n">
        <v>161418</v>
      </c>
      <c r="L48" s="31" t="n">
        <v>72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70.95999999999999</v>
      </c>
      <c r="P48" s="32" t="n">
        <v>60.76</v>
      </c>
      <c r="Q48" s="32" t="inlineStr"/>
      <c r="R48" s="31" t="inlineStr">
        <is>
          <t>Earnings / Momentum Support</t>
        </is>
      </c>
      <c r="S48" s="31" t="inlineStr">
        <is>
          <t>Nifty 50</t>
        </is>
      </c>
      <c r="T48" s="32" t="n">
        <v>-0.74</v>
      </c>
      <c r="U48" s="32" t="n">
        <v>26.9</v>
      </c>
      <c r="V48" s="32" t="n">
        <v>27.85</v>
      </c>
      <c r="W48" s="32" t="n">
        <v>15.39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3</t>
        </is>
      </c>
      <c r="BC48" s="31">
        <f>IF(BB48="Stage 2",20,IF(BB48="Stage 1",0,IF(BB48="Stage 3",5,IF(BB48="Stage 4",-5,0))))</f>
        <v/>
      </c>
      <c r="BD48" s="31" t="inlineStr">
        <is>
          <t>Negative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IF(B49=0,"",RANK(B49,$B$2:$B$366,0))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TALBROAUTO</t>
        </is>
      </c>
      <c r="D49" s="31" t="inlineStr">
        <is>
          <t>Talbros Automotive Components Limited</t>
        </is>
      </c>
      <c r="E49" s="31" t="inlineStr">
        <is>
          <t>auto</t>
        </is>
      </c>
      <c r="F49" s="31" t="inlineStr">
        <is>
          <t>auto ancillaries</t>
        </is>
      </c>
      <c r="G49" s="31" t="inlineStr">
        <is>
          <t>smallcap</t>
        </is>
      </c>
      <c r="H49" s="32" t="n">
        <v>2516.97</v>
      </c>
      <c r="I49" s="32" t="n">
        <v>414.5</v>
      </c>
      <c r="J49" s="32" t="n">
        <v>1.66</v>
      </c>
      <c r="K49" s="32" t="n">
        <v>180850</v>
      </c>
      <c r="L49" s="31" t="n">
        <v>79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70.91</v>
      </c>
      <c r="P49" s="32" t="n">
        <v>42.03</v>
      </c>
      <c r="Q49" s="32" t="inlineStr"/>
      <c r="R49" s="31" t="inlineStr">
        <is>
          <t>Earnings / Momentum Support</t>
        </is>
      </c>
      <c r="S49" s="31" t="inlineStr">
        <is>
          <t>Nifty Auto</t>
        </is>
      </c>
      <c r="T49" s="32" t="n">
        <v>13.41</v>
      </c>
      <c r="U49" s="32" t="n">
        <v>41.36</v>
      </c>
      <c r="V49" s="32" t="n">
        <v>24.64</v>
      </c>
      <c r="W49" s="32" t="n">
        <v>18.13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3</t>
        </is>
      </c>
      <c r="BC49" s="31">
        <f>IF(BB49="Stage 2",20,IF(BB49="Stage 1",0,IF(BB49="Stage 3",5,IF(BB49="Stage 4",-5,0))))</f>
        <v/>
      </c>
      <c r="BD49" s="31" t="inlineStr">
        <is>
          <t>Negative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Between 12 to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Between 50% to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IF(B50=0,"",RANK(B50,$B$2:$B$366,0))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NETWEB</t>
        </is>
      </c>
      <c r="D50" s="31" t="inlineStr">
        <is>
          <t>Netweb Technologies India Ltd</t>
        </is>
      </c>
      <c r="E50" s="31" t="inlineStr">
        <is>
          <t>i.t</t>
        </is>
      </c>
      <c r="F50" s="31" t="inlineStr">
        <is>
          <t>computers - hardware</t>
        </is>
      </c>
      <c r="G50" s="31" t="inlineStr">
        <is>
          <t>largecap</t>
        </is>
      </c>
      <c r="H50" s="32" t="n">
        <v>25759.97</v>
      </c>
      <c r="I50" s="32" t="n">
        <v>4586</v>
      </c>
      <c r="J50" s="32" t="n">
        <v>1.37</v>
      </c>
      <c r="K50" s="32" t="n">
        <v>2334968</v>
      </c>
      <c r="L50" s="31" t="n">
        <v>86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58.15</v>
      </c>
      <c r="P50" s="32" t="n">
        <v>40.32</v>
      </c>
      <c r="Q50" s="32" t="inlineStr"/>
      <c r="R50" s="31" t="inlineStr">
        <is>
          <t>Earnings / Momentum Support</t>
        </is>
      </c>
      <c r="S50" s="31" t="inlineStr">
        <is>
          <t>Nifty IT</t>
        </is>
      </c>
      <c r="T50" s="32" t="n">
        <v>-11.37</v>
      </c>
      <c r="U50" s="32" t="n">
        <v>112.13</v>
      </c>
      <c r="V50" s="32" t="n">
        <v>139.36</v>
      </c>
      <c r="W50" s="32" t="n">
        <v>23.35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3</t>
        </is>
      </c>
      <c r="BC50" s="31">
        <f>IF(BB50="Stage 2",20,IF(BB50="Stage 1",0,IF(BB50="Stage 3",5,IF(BB50="Stage 4",-5,0))))</f>
        <v/>
      </c>
      <c r="BD50" s="31" t="inlineStr">
        <is>
          <t>Negative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IF(B51=0,"",RANK(B51,$B$2:$B$366,0))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GRWRHITECH</t>
        </is>
      </c>
      <c r="D51" s="31" t="inlineStr">
        <is>
          <t>Garware Hi Tech Films Ltd</t>
        </is>
      </c>
      <c r="E51" s="31" t="inlineStr">
        <is>
          <t>industrials</t>
        </is>
      </c>
      <c r="F51" s="31" t="inlineStr">
        <is>
          <t>packaging</t>
        </is>
      </c>
      <c r="G51" s="31" t="inlineStr">
        <is>
          <t>midcap</t>
        </is>
      </c>
      <c r="H51" s="32" t="n">
        <v>16614.65</v>
      </c>
      <c r="I51" s="32" t="n">
        <v>7192</v>
      </c>
      <c r="J51" s="32" t="n">
        <v>0.57</v>
      </c>
      <c r="K51" s="32" t="n">
        <v>38146</v>
      </c>
      <c r="L51" s="31" t="n">
        <v>96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77.98999999999999</v>
      </c>
      <c r="P51" s="32" t="n">
        <v>58.75</v>
      </c>
      <c r="Q51" s="32" t="inlineStr"/>
      <c r="R51" s="31" t="inlineStr">
        <is>
          <t>Earnings / Momentum Support</t>
        </is>
      </c>
      <c r="S51" s="31" t="inlineStr">
        <is>
          <t>Nifty 50</t>
        </is>
      </c>
      <c r="T51" s="32" t="n">
        <v>-0.74</v>
      </c>
      <c r="U51" s="32" t="n">
        <v>115.86</v>
      </c>
      <c r="V51" s="32" t="n">
        <v>117.47</v>
      </c>
      <c r="W51" s="32" t="n">
        <v>36.52</v>
      </c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3</t>
        </is>
      </c>
      <c r="BC51" s="31">
        <f>IF(BB51="Stage 2",20,IF(BB51="Stage 1",0,IF(BB51="Stage 3",5,IF(BB51="Stage 4",-5,0))))</f>
        <v/>
      </c>
      <c r="BD51" s="31" t="inlineStr">
        <is>
          <t>Negative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Between 50% to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IF(B52=0,"",RANK(B52,$B$2:$B$366,0))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HSCL</t>
        </is>
      </c>
      <c r="D52" s="31" t="inlineStr">
        <is>
          <t>Himadri Speciality Chemical Limited</t>
        </is>
      </c>
      <c r="E52" s="31" t="inlineStr">
        <is>
          <t>chemicals</t>
        </is>
      </c>
      <c r="F52" s="31" t="inlineStr">
        <is>
          <t>chemicals</t>
        </is>
      </c>
      <c r="G52" s="31" t="inlineStr">
        <is>
          <t>largecap</t>
        </is>
      </c>
      <c r="H52" s="32" t="n">
        <v>37873.42</v>
      </c>
      <c r="I52" s="32" t="n">
        <v>750.65</v>
      </c>
      <c r="J52" s="32" t="n">
        <v>0</v>
      </c>
      <c r="K52" s="32" t="n">
        <v>3226235</v>
      </c>
      <c r="L52" s="31" t="n">
        <v>74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69.92</v>
      </c>
      <c r="P52" s="32" t="n">
        <v>44.2</v>
      </c>
      <c r="Q52" s="32" t="inlineStr"/>
      <c r="R52" s="31" t="inlineStr">
        <is>
          <t>Earnings / Momentum Support</t>
        </is>
      </c>
      <c r="S52" s="31" t="inlineStr">
        <is>
          <t>Nifty 50</t>
        </is>
      </c>
      <c r="T52" s="32" t="n">
        <v>-0.74</v>
      </c>
      <c r="U52" s="32" t="n">
        <v>62.44</v>
      </c>
      <c r="V52" s="32" t="n">
        <v>63.65</v>
      </c>
      <c r="W52" s="32" t="n">
        <v>16.07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3</t>
        </is>
      </c>
      <c r="BC52" s="31">
        <f>IF(BB52="Stage 2",20,IF(BB52="Stage 1",0,IF(BB52="Stage 3",5,IF(BB52="Stage 4",-5,0))))</f>
        <v/>
      </c>
      <c r="BD52" s="31" t="inlineStr">
        <is>
          <t>Negative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Between 1.5 to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IF(B53=0,"",RANK(B53,$B$2:$B$366,0))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GNA</t>
        </is>
      </c>
      <c r="D53" s="31" t="inlineStr">
        <is>
          <t>Gna Axles Limited</t>
        </is>
      </c>
      <c r="E53" s="31" t="inlineStr">
        <is>
          <t>auto</t>
        </is>
      </c>
      <c r="F53" s="31" t="inlineStr">
        <is>
          <t>auto ancillaries</t>
        </is>
      </c>
      <c r="G53" s="31" t="inlineStr">
        <is>
          <t>smallcap</t>
        </is>
      </c>
      <c r="H53" s="32" t="n">
        <v>2300.02</v>
      </c>
      <c r="I53" s="32" t="n">
        <v>532.1</v>
      </c>
      <c r="J53" s="32" t="n">
        <v>-0.68</v>
      </c>
      <c r="K53" s="32" t="n">
        <v>184497</v>
      </c>
      <c r="L53" s="31" t="n">
        <v>79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66.81</v>
      </c>
      <c r="P53" s="32" t="n">
        <v>27.52</v>
      </c>
      <c r="Q53" s="32" t="inlineStr"/>
      <c r="R53" s="31" t="inlineStr">
        <is>
          <t>Earnings / Momentum Support</t>
        </is>
      </c>
      <c r="S53" s="31" t="inlineStr">
        <is>
          <t>Nifty Auto</t>
        </is>
      </c>
      <c r="T53" s="32" t="n">
        <v>13.41</v>
      </c>
      <c r="U53" s="32" t="n">
        <v>68.69</v>
      </c>
      <c r="V53" s="32" t="n">
        <v>48.74</v>
      </c>
      <c r="W53" s="32" t="n">
        <v>18.24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3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IF(B54=0,"",RANK(B54,$B$2:$B$366,0))</f>
        <v/>
      </c>
      <c r="B54" s="32">
        <f>SUM(N54,Y54,AA54,AC54,AE54,AG54,AI54,AK54,AM54,AO54,AQ54,AS54,AU54,AW54,AY54,BA54,BC54,BE54,BG54,BI54,BK54,BM54,BO54,BQ54,BS54,BU54,BW54,BY54,CA54,CC54,CE54)</f>
        <v/>
      </c>
      <c r="C54" s="33" t="inlineStr">
        <is>
          <t>WSTCSTPAPR</t>
        </is>
      </c>
      <c r="D54" s="33" t="inlineStr">
        <is>
          <t>West Coast Paper Mills Limited</t>
        </is>
      </c>
      <c r="E54" s="31" t="inlineStr">
        <is>
          <t>building materials</t>
        </is>
      </c>
      <c r="F54" s="31" t="inlineStr">
        <is>
          <t>paper</t>
        </is>
      </c>
      <c r="G54" s="31" t="inlineStr">
        <is>
          <t>smallcap</t>
        </is>
      </c>
      <c r="H54" s="32" t="n">
        <v>3761.49</v>
      </c>
      <c r="I54" s="32" t="n">
        <v>565</v>
      </c>
      <c r="J54" s="32" t="n">
        <v>-0.79</v>
      </c>
      <c r="K54" s="32" t="n">
        <v>110090</v>
      </c>
      <c r="L54" s="31" t="n">
        <v>12</v>
      </c>
      <c r="M54" s="31" t="inlineStr">
        <is>
          <t>Underperforming</t>
        </is>
      </c>
      <c r="N54" s="32">
        <f>IF(M54="Underperforming",-5,IF(L54&gt;=95,15,IF(L54&gt;=90,10,IF(L54&gt;=80,5,0))))</f>
        <v/>
      </c>
      <c r="O54" s="32" t="n">
        <v>65.04000000000001</v>
      </c>
      <c r="P54" s="32" t="n">
        <v>40.33</v>
      </c>
      <c r="Q54" s="32" t="inlineStr"/>
      <c r="R54" s="31" t="inlineStr">
        <is>
          <t>Earnings / Momentum Support</t>
        </is>
      </c>
      <c r="S54" s="31" t="inlineStr">
        <is>
          <t>Nifty Infra</t>
        </is>
      </c>
      <c r="T54" s="32" t="n">
        <v>1.74</v>
      </c>
      <c r="U54" s="32" t="n">
        <v>-6.14</v>
      </c>
      <c r="V54" s="32" t="n">
        <v>-7.75</v>
      </c>
      <c r="W54" s="32" t="n">
        <v>0.65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3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Between 12 to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IF(B55=0,"",RANK(B55,$B$2:$B$366,0))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SANGAMIND</t>
        </is>
      </c>
      <c r="D55" s="31" t="inlineStr">
        <is>
          <t>Sangam (india) Limited</t>
        </is>
      </c>
      <c r="E55" s="31" t="inlineStr">
        <is>
          <t>textiles</t>
        </is>
      </c>
      <c r="F55" s="31" t="inlineStr">
        <is>
          <t>textiles - spinning - synthetic / blended</t>
        </is>
      </c>
      <c r="G55" s="31" t="inlineStr">
        <is>
          <t>smallcap</t>
        </is>
      </c>
      <c r="H55" s="32" t="n">
        <v>3064.54</v>
      </c>
      <c r="I55" s="32" t="n">
        <v>603.45</v>
      </c>
      <c r="J55" s="32" t="n">
        <v>-1.06</v>
      </c>
      <c r="K55" s="32" t="n">
        <v>20611</v>
      </c>
      <c r="L55" s="31" t="n">
        <v>62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70.76000000000001</v>
      </c>
      <c r="P55" s="32" t="n">
        <v>47.69</v>
      </c>
      <c r="Q55" s="32" t="inlineStr"/>
      <c r="R55" s="31" t="inlineStr">
        <is>
          <t>Earnings / Momentum Support</t>
        </is>
      </c>
      <c r="S55" s="31" t="inlineStr">
        <is>
          <t>Nifty 50</t>
        </is>
      </c>
      <c r="T55" s="32" t="n">
        <v>-0.74</v>
      </c>
      <c r="U55" s="32" t="n">
        <v>47.7</v>
      </c>
      <c r="V55" s="32" t="n">
        <v>48.8</v>
      </c>
      <c r="W55" s="32" t="n">
        <v>12.03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3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Between 0.7 to 1.2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IF(B56=0,"",RANK(B56,$B$2:$B$366,0))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VERANDA</t>
        </is>
      </c>
      <c r="D56" s="31" t="inlineStr">
        <is>
          <t>Veranda Learning Solutions Ltd</t>
        </is>
      </c>
      <c r="E56" s="31" t="inlineStr">
        <is>
          <t>services</t>
        </is>
      </c>
      <c r="F56" s="31" t="inlineStr">
        <is>
          <t>miscellaneous</t>
        </is>
      </c>
      <c r="G56" s="31" t="inlineStr">
        <is>
          <t>smallcap</t>
        </is>
      </c>
      <c r="H56" s="32" t="n">
        <v>2495.57</v>
      </c>
      <c r="I56" s="32" t="n">
        <v>254.45</v>
      </c>
      <c r="J56" s="32" t="n">
        <v>-1.79</v>
      </c>
      <c r="K56" s="32" t="n">
        <v>1362559</v>
      </c>
      <c r="L56" s="31" t="n">
        <v>58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63.94</v>
      </c>
      <c r="P56" s="32" t="n">
        <v>29.11</v>
      </c>
      <c r="Q56" s="32" t="inlineStr"/>
      <c r="R56" s="31" t="inlineStr">
        <is>
          <t>Earnings / Momentum Support</t>
        </is>
      </c>
      <c r="S56" s="31" t="inlineStr">
        <is>
          <t>Nifty 50</t>
        </is>
      </c>
      <c r="T56" s="32" t="n">
        <v>-0.74</v>
      </c>
      <c r="U56" s="32" t="n">
        <v>11.67</v>
      </c>
      <c r="V56" s="32" t="n">
        <v>12.5</v>
      </c>
      <c r="W56" s="32" t="n">
        <v>10.82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3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IF(B57=0,"",RANK(B57,$B$2:$B$366,0))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AETHER</t>
        </is>
      </c>
      <c r="D57" s="31" t="inlineStr">
        <is>
          <t>Aether Industries Ltd</t>
        </is>
      </c>
      <c r="E57" s="31" t="inlineStr">
        <is>
          <t>chemicals</t>
        </is>
      </c>
      <c r="F57" s="31" t="inlineStr">
        <is>
          <t>chemicals</t>
        </is>
      </c>
      <c r="G57" s="31" t="inlineStr">
        <is>
          <t>largecap</t>
        </is>
      </c>
      <c r="H57" s="32" t="n">
        <v>20432.43</v>
      </c>
      <c r="I57" s="32" t="n">
        <v>1509.5</v>
      </c>
      <c r="J57" s="32" t="n">
        <v>-1.96</v>
      </c>
      <c r="K57" s="32" t="n">
        <v>557752</v>
      </c>
      <c r="L57" s="31" t="n">
        <v>85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73.06999999999999</v>
      </c>
      <c r="P57" s="32" t="n">
        <v>46.04</v>
      </c>
      <c r="Q57" s="32" t="inlineStr"/>
      <c r="R57" s="31" t="inlineStr">
        <is>
          <t>Earnings / Momentum Support</t>
        </is>
      </c>
      <c r="S57" s="31" t="inlineStr">
        <is>
          <t>Nifty 50</t>
        </is>
      </c>
      <c r="T57" s="32" t="n">
        <v>-0.74</v>
      </c>
      <c r="U57" s="32" t="n">
        <v>104.33</v>
      </c>
      <c r="V57" s="32" t="n">
        <v>105.85</v>
      </c>
      <c r="W57" s="32" t="n">
        <v>22.55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3</t>
        </is>
      </c>
      <c r="BC57" s="31">
        <f>IF(BB57="Stage 2",20,IF(BB57="Stage 1",0,IF(BB57="Stage 3",5,IF(BB57="Stage 4",-5,0))))</f>
        <v/>
      </c>
      <c r="BD57" s="31" t="inlineStr">
        <is>
          <t>Negative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IF(B58=0,"",RANK(B58,$B$2:$B$366,0))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VENKEYS</t>
        </is>
      </c>
      <c r="D58" s="31" t="inlineStr">
        <is>
          <t>Venky's (india) Limited</t>
        </is>
      </c>
      <c r="E58" s="31" t="inlineStr">
        <is>
          <t>fmcg</t>
        </is>
      </c>
      <c r="F58" s="31" t="inlineStr">
        <is>
          <t>miscellaneous</t>
        </is>
      </c>
      <c r="G58" s="31" t="inlineStr">
        <is>
          <t>smallcap</t>
        </is>
      </c>
      <c r="H58" s="32" t="n">
        <v>2112.26</v>
      </c>
      <c r="I58" s="32" t="n">
        <v>1562</v>
      </c>
      <c r="J58" s="32" t="n">
        <v>4.18</v>
      </c>
      <c r="K58" s="32" t="n">
        <v>81484</v>
      </c>
      <c r="L58" s="31" t="n">
        <v>4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53.07</v>
      </c>
      <c r="P58" s="32" t="n">
        <v>36.72</v>
      </c>
      <c r="Q58" s="32" t="inlineStr"/>
      <c r="R58" s="31" t="inlineStr">
        <is>
          <t>Earnings / Momentum Support</t>
        </is>
      </c>
      <c r="S58" s="31" t="inlineStr">
        <is>
          <t>Nifty FMCG</t>
        </is>
      </c>
      <c r="T58" s="32" t="n">
        <v>-13.73</v>
      </c>
      <c r="U58" s="32" t="n">
        <v>-7.57</v>
      </c>
      <c r="V58" s="32" t="n">
        <v>7.13</v>
      </c>
      <c r="W58" s="32" t="n">
        <v>-3.14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B2C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3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IF(B59=0,"",RANK(B59,$B$2:$B$366,0))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GLAND</t>
        </is>
      </c>
      <c r="D59" s="31" t="inlineStr">
        <is>
          <t>Gland Pharma Ltd</t>
        </is>
      </c>
      <c r="E59" s="31" t="inlineStr">
        <is>
          <t>healthcare</t>
        </is>
      </c>
      <c r="F59" s="31" t="inlineStr">
        <is>
          <t>pharmaceuticals - indian - formulations</t>
        </is>
      </c>
      <c r="G59" s="31" t="inlineStr">
        <is>
          <t>largecap</t>
        </is>
      </c>
      <c r="H59" s="32" t="n">
        <v>41287.76</v>
      </c>
      <c r="I59" s="32" t="n">
        <v>2579.2</v>
      </c>
      <c r="J59" s="32" t="n">
        <v>3.05</v>
      </c>
      <c r="K59" s="32" t="n">
        <v>502554</v>
      </c>
      <c r="L59" s="31" t="n">
        <v>71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69.58</v>
      </c>
      <c r="P59" s="32" t="n">
        <v>56.25</v>
      </c>
      <c r="Q59" s="32" t="inlineStr"/>
      <c r="R59" s="31" t="inlineStr">
        <is>
          <t>Earnings / Momentum Support</t>
        </is>
      </c>
      <c r="S59" s="31" t="inlineStr">
        <is>
          <t>Nifty Pharma</t>
        </is>
      </c>
      <c r="T59" s="32" t="n">
        <v>20.55</v>
      </c>
      <c r="U59" s="32" t="n">
        <v>27.68</v>
      </c>
      <c r="V59" s="32" t="n">
        <v>5.92</v>
      </c>
      <c r="W59" s="32" t="n">
        <v>14.97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3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Between 50% to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IF(B60=0,"",RANK(B60,$B$2:$B$366,0))</f>
        <v/>
      </c>
      <c r="B60" s="32">
        <f>SUM(N60,Y60,AA60,AC60,AE60,AG60,AI60,AK60,AM60,AO60,AQ60,AS60,AU60,AW60,AY60,BA60,BC60,BE60,BG60,BI60,BK60,BM60,BO60,BQ60,BS60,BU60,BW60,BY60,CA60,CC60,CE60)</f>
        <v/>
      </c>
      <c r="C60" s="33" t="inlineStr">
        <is>
          <t>METROPOLIS</t>
        </is>
      </c>
      <c r="D60" s="33" t="inlineStr">
        <is>
          <t>Metropolis Healthcare Ltd</t>
        </is>
      </c>
      <c r="E60" s="31" t="inlineStr">
        <is>
          <t>healthcare</t>
        </is>
      </c>
      <c r="F60" s="31" t="inlineStr">
        <is>
          <t>healthcare</t>
        </is>
      </c>
      <c r="G60" s="31" t="inlineStr">
        <is>
          <t>midcap</t>
        </is>
      </c>
      <c r="H60" s="32" t="n">
        <v>12076.05</v>
      </c>
      <c r="I60" s="32" t="n">
        <v>596.45</v>
      </c>
      <c r="J60" s="32" t="n">
        <v>2.4</v>
      </c>
      <c r="K60" s="32" t="n">
        <v>184833</v>
      </c>
      <c r="L60" s="31" t="n">
        <v>47</v>
      </c>
      <c r="M60" s="31" t="inlineStr">
        <is>
          <t>Underperforming</t>
        </is>
      </c>
      <c r="N60" s="32">
        <f>IF(M60="Underperforming",-5,IF(L60&gt;=95,15,IF(L60&gt;=90,10,IF(L60&gt;=80,5,0))))</f>
        <v/>
      </c>
      <c r="O60" s="32" t="n">
        <v>64.19</v>
      </c>
      <c r="P60" s="32" t="n">
        <v>44.97</v>
      </c>
      <c r="Q60" s="32" t="inlineStr"/>
      <c r="R60" s="31" t="inlineStr">
        <is>
          <t>Earnings / Momentum Support</t>
        </is>
      </c>
      <c r="S60" s="31" t="inlineStr">
        <is>
          <t>Nifty Pharma</t>
        </is>
      </c>
      <c r="T60" s="32" t="n">
        <v>20.55</v>
      </c>
      <c r="U60" s="32" t="n">
        <v>14.8</v>
      </c>
      <c r="V60" s="32" t="n">
        <v>-4.77</v>
      </c>
      <c r="W60" s="32" t="n">
        <v>7.72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3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IF(B61=0,"",RANK(B61,$B$2:$B$366,0))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THYROCARE</t>
        </is>
      </c>
      <c r="D61" s="31" t="inlineStr">
        <is>
          <t>Thyrocare Technologies Limited</t>
        </is>
      </c>
      <c r="E61" s="31" t="inlineStr">
        <is>
          <t>healthcare</t>
        </is>
      </c>
      <c r="F61" s="31" t="inlineStr">
        <is>
          <t>healthcare</t>
        </is>
      </c>
      <c r="G61" s="31" t="inlineStr">
        <is>
          <t>midcap</t>
        </is>
      </c>
      <c r="H61" s="32" t="n">
        <v>9215.67</v>
      </c>
      <c r="I61" s="32" t="n">
        <v>592.55</v>
      </c>
      <c r="J61" s="32" t="n">
        <v>2.34</v>
      </c>
      <c r="K61" s="32" t="n">
        <v>642124</v>
      </c>
      <c r="L61" s="31" t="n">
        <v>76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68.92</v>
      </c>
      <c r="P61" s="32" t="n">
        <v>55.75</v>
      </c>
      <c r="Q61" s="32" t="inlineStr"/>
      <c r="R61" s="31" t="inlineStr">
        <is>
          <t>Earnings / Momentum Support</t>
        </is>
      </c>
      <c r="S61" s="31" t="inlineStr">
        <is>
          <t>Nifty Pharma</t>
        </is>
      </c>
      <c r="T61" s="32" t="n">
        <v>20.55</v>
      </c>
      <c r="U61" s="32" t="n">
        <v>33.97</v>
      </c>
      <c r="V61" s="32" t="n">
        <v>11.14</v>
      </c>
      <c r="W61" s="32" t="n">
        <v>17.08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3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Between 1.5 to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IF(B62=0,"",RANK(B62,$B$2:$B$366,0))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NESTLEIND</t>
        </is>
      </c>
      <c r="D62" s="31" t="inlineStr">
        <is>
          <t>Nestle India Limited</t>
        </is>
      </c>
      <c r="E62" s="31" t="inlineStr">
        <is>
          <t>fmcg</t>
        </is>
      </c>
      <c r="F62" s="31" t="inlineStr">
        <is>
          <t>food - processing - mnc</t>
        </is>
      </c>
      <c r="G62" s="31" t="inlineStr">
        <is>
          <t>largecap</t>
        </is>
      </c>
      <c r="H62" s="32" t="n">
        <v>291098.33</v>
      </c>
      <c r="I62" s="32" t="n">
        <v>1530</v>
      </c>
      <c r="J62" s="32" t="n">
        <v>1.35</v>
      </c>
      <c r="K62" s="32" t="n">
        <v>3504036</v>
      </c>
      <c r="L62" s="31" t="n">
        <v>36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68.63</v>
      </c>
      <c r="P62" s="32" t="n">
        <v>34.8</v>
      </c>
      <c r="Q62" s="32" t="inlineStr"/>
      <c r="R62" s="31" t="inlineStr">
        <is>
          <t>Earnings / Momentum Support</t>
        </is>
      </c>
      <c r="S62" s="31" t="inlineStr">
        <is>
          <t>Nifty FMCG</t>
        </is>
      </c>
      <c r="T62" s="32" t="n">
        <v>-13.73</v>
      </c>
      <c r="U62" s="32" t="n">
        <v>16.64</v>
      </c>
      <c r="V62" s="32" t="n">
        <v>35.2</v>
      </c>
      <c r="W62" s="32" t="n">
        <v>5.54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B2C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3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Between 1.5 to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IF(B63=0,"",RANK(B63,$B$2:$B$366,0))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CUPID</t>
        </is>
      </c>
      <c r="D63" s="31" t="inlineStr">
        <is>
          <t>Cupid Limited</t>
        </is>
      </c>
      <c r="E63" s="31" t="inlineStr">
        <is>
          <t>fmcg</t>
        </is>
      </c>
      <c r="F63" s="31" t="inlineStr">
        <is>
          <t>personal care - indian</t>
        </is>
      </c>
      <c r="G63" s="31" t="inlineStr">
        <is>
          <t>largecap</t>
        </is>
      </c>
      <c r="H63" s="32" t="n">
        <v>31010.57</v>
      </c>
      <c r="I63" s="32" t="n">
        <v>230.95</v>
      </c>
      <c r="J63" s="32" t="n">
        <v>0.14</v>
      </c>
      <c r="K63" s="32" t="n">
        <v>11488810</v>
      </c>
      <c r="L63" s="31" t="n">
        <v>99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89.55</v>
      </c>
      <c r="P63" s="32" t="n">
        <v>69.11</v>
      </c>
      <c r="Q63" s="32" t="inlineStr"/>
      <c r="R63" s="31" t="inlineStr">
        <is>
          <t>Earnings / Momentum Support</t>
        </is>
      </c>
      <c r="S63" s="31" t="inlineStr">
        <is>
          <t>Nifty FMCG</t>
        </is>
      </c>
      <c r="T63" s="32" t="n">
        <v>-13.73</v>
      </c>
      <c r="U63" s="32" t="n">
        <v>631.6900000000001</v>
      </c>
      <c r="V63" s="32" t="n">
        <v>748.13</v>
      </c>
      <c r="W63" s="32" t="n">
        <v>76.51000000000001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B2C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3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Less than 50%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IF(B64=0,"",RANK(B64,$B$2:$B$366,0))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EMCURE</t>
        </is>
      </c>
      <c r="D64" s="31" t="inlineStr">
        <is>
          <t>Emcure Pharmaceuticals Ltd</t>
        </is>
      </c>
      <c r="E64" s="31" t="inlineStr">
        <is>
          <t>healthcare</t>
        </is>
      </c>
      <c r="F64" s="31" t="inlineStr">
        <is>
          <t>pharmaceuticals - indian - bulk drugs &amp; formln</t>
        </is>
      </c>
      <c r="G64" s="31" t="inlineStr">
        <is>
          <t>largecap</t>
        </is>
      </c>
      <c r="H64" s="32" t="n">
        <v>37179.21</v>
      </c>
      <c r="I64" s="32" t="n">
        <v>1957</v>
      </c>
      <c r="J64" s="32" t="n">
        <v>-0.16</v>
      </c>
      <c r="K64" s="32" t="n">
        <v>116048</v>
      </c>
      <c r="L64" s="31" t="n">
        <v>59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70.23</v>
      </c>
      <c r="P64" s="32" t="n">
        <v>60.78</v>
      </c>
      <c r="Q64" s="32" t="inlineStr"/>
      <c r="R64" s="31" t="inlineStr">
        <is>
          <t>Earnings / Momentum Support</t>
        </is>
      </c>
      <c r="S64" s="31" t="inlineStr">
        <is>
          <t>Nifty Pharma</t>
        </is>
      </c>
      <c r="T64" s="32" t="n">
        <v>20.55</v>
      </c>
      <c r="U64" s="32" t="n">
        <v>43.98</v>
      </c>
      <c r="V64" s="32" t="n">
        <v>19.44</v>
      </c>
      <c r="W64" s="32" t="n">
        <v>11.19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Yes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Annuity, Lower One Time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3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Between 50% to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IF(B65=0,"",RANK(B65,$B$2:$B$366,0))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ASTERDM</t>
        </is>
      </c>
      <c r="D65" s="31" t="inlineStr">
        <is>
          <t>Aster DM Healthcare Ltd</t>
        </is>
      </c>
      <c r="E65" s="31" t="inlineStr">
        <is>
          <t>healthcare</t>
        </is>
      </c>
      <c r="F65" s="31" t="inlineStr">
        <is>
          <t>healthcare</t>
        </is>
      </c>
      <c r="G65" s="31" t="inlineStr">
        <is>
          <t>largecap</t>
        </is>
      </c>
      <c r="H65" s="32" t="n">
        <v>71664.55</v>
      </c>
      <c r="I65" s="32" t="n">
        <v>815.15</v>
      </c>
      <c r="J65" s="32" t="n">
        <v>-0.85</v>
      </c>
      <c r="K65" s="32" t="n">
        <v>623524</v>
      </c>
      <c r="L65" s="31" t="n">
        <v>60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64.73</v>
      </c>
      <c r="P65" s="32" t="n">
        <v>48.22</v>
      </c>
      <c r="Q65" s="32" t="inlineStr"/>
      <c r="R65" s="31" t="inlineStr">
        <is>
          <t>Earnings / Momentum Support</t>
        </is>
      </c>
      <c r="S65" s="31" t="inlineStr">
        <is>
          <t>Nifty Pharma</t>
        </is>
      </c>
      <c r="T65" s="32" t="n">
        <v>20.55</v>
      </c>
      <c r="U65" s="32" t="n">
        <v>38.92</v>
      </c>
      <c r="V65" s="32" t="n">
        <v>15.24</v>
      </c>
      <c r="W65" s="32" t="n">
        <v>11.24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Headwind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Annuity, Lower One Time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3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Between 1.5 to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IF(B66=0,"",RANK(B66,$B$2:$B$366,0))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SUNPHARMA</t>
        </is>
      </c>
      <c r="D66" s="31" t="inlineStr">
        <is>
          <t>Sun Pharmaceuticals Industries Limited</t>
        </is>
      </c>
      <c r="E66" s="31" t="inlineStr">
        <is>
          <t>healthcare</t>
        </is>
      </c>
      <c r="F66" s="31" t="inlineStr">
        <is>
          <t>pharmaceuticals - indian - bulk drugs &amp; formln</t>
        </is>
      </c>
      <c r="G66" s="31" t="inlineStr">
        <is>
          <t>largecap</t>
        </is>
      </c>
      <c r="H66" s="32" t="n">
        <v>477587.63</v>
      </c>
      <c r="I66" s="32" t="n">
        <v>1963.5</v>
      </c>
      <c r="J66" s="32" t="n">
        <v>-1.36</v>
      </c>
      <c r="K66" s="32" t="n">
        <v>11763300</v>
      </c>
      <c r="L66" s="31" t="n">
        <v>41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68.95</v>
      </c>
      <c r="P66" s="32" t="n">
        <v>25.48</v>
      </c>
      <c r="Q66" s="32" t="inlineStr"/>
      <c r="R66" s="31" t="inlineStr">
        <is>
          <t>Earnings / Momentum Support</t>
        </is>
      </c>
      <c r="S66" s="31" t="inlineStr">
        <is>
          <t>Nifty Pharma</t>
        </is>
      </c>
      <c r="T66" s="32" t="n">
        <v>20.55</v>
      </c>
      <c r="U66" s="32" t="n">
        <v>23.25</v>
      </c>
      <c r="V66" s="32" t="n">
        <v>2.24</v>
      </c>
      <c r="W66" s="32" t="n">
        <v>6.55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Annuity, Lower One Time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3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IF(B67=0,"",RANK(B67,$B$2:$B$366,0))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SPECTRUM</t>
        </is>
      </c>
      <c r="D67" s="31" t="inlineStr">
        <is>
          <t>Spectrum Electrical Industries Ltd</t>
        </is>
      </c>
      <c r="E67" s="31" t="inlineStr">
        <is>
          <t>industrials</t>
        </is>
      </c>
      <c r="F67" s="31" t="inlineStr">
        <is>
          <t>electric equipment</t>
        </is>
      </c>
      <c r="G67" s="31" t="inlineStr">
        <is>
          <t>smallcap</t>
        </is>
      </c>
      <c r="H67" s="32" t="n">
        <v>3713.18</v>
      </c>
      <c r="I67" s="32" t="n">
        <v>2547.4</v>
      </c>
      <c r="J67" s="32" t="n">
        <v>7.8</v>
      </c>
      <c r="K67" s="32" t="n">
        <v>97317</v>
      </c>
      <c r="L67" s="31" t="n">
        <v>95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76.14</v>
      </c>
      <c r="P67" s="32" t="n">
        <v>52.98</v>
      </c>
      <c r="Q67" s="32" t="inlineStr"/>
      <c r="R67" s="31" t="inlineStr">
        <is>
          <t>Earnings / Momentum Support</t>
        </is>
      </c>
      <c r="S67" s="31" t="inlineStr">
        <is>
          <t>Nifty 50</t>
        </is>
      </c>
      <c r="T67" s="32" t="n">
        <v>-0.74</v>
      </c>
      <c r="U67" s="32" t="n">
        <v>47.59</v>
      </c>
      <c r="V67" s="32" t="n">
        <v>48.69</v>
      </c>
      <c r="W67" s="32" t="n">
        <v>33.05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3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Between 0.7 to 1.2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IF(B68=0,"",RANK(B68,$B$2:$B$366,0))</f>
        <v/>
      </c>
      <c r="B68" s="32">
        <f>SUM(N68,Y68,AA68,AC68,AE68,AG68,AI68,AK68,AM68,AO68,AQ68,AS68,AU68,AW68,AY68,BA68,BC68,BE68,BG68,BI68,BK68,BM68,BO68,BQ68,BS68,BU68,BW68,BY68,CA68,CC68,CE68)</f>
        <v/>
      </c>
      <c r="C68" s="33" t="inlineStr">
        <is>
          <t>DPABHUSHAN</t>
        </is>
      </c>
      <c r="D68" s="33" t="inlineStr">
        <is>
          <t>D.P. Abhushan Ltd</t>
        </is>
      </c>
      <c r="E68" s="31" t="inlineStr">
        <is>
          <t>consumer discretionary</t>
        </is>
      </c>
      <c r="F68" s="31" t="inlineStr">
        <is>
          <t>diamond cutting / jewellery</t>
        </is>
      </c>
      <c r="G68" s="31" t="inlineStr">
        <is>
          <t>smallcap</t>
        </is>
      </c>
      <c r="H68" s="32" t="n">
        <v>3008.61</v>
      </c>
      <c r="I68" s="32" t="n">
        <v>1420.2</v>
      </c>
      <c r="J68" s="32" t="n">
        <v>7.76</v>
      </c>
      <c r="K68" s="32" t="n">
        <v>73799</v>
      </c>
      <c r="L68" s="31" t="n">
        <v>19</v>
      </c>
      <c r="M68" s="31" t="inlineStr">
        <is>
          <t>Underperforming</t>
        </is>
      </c>
      <c r="N68" s="32">
        <f>IF(M68="Underperforming",-5,IF(L68&gt;=95,15,IF(L68&gt;=90,10,IF(L68&gt;=80,5,0))))</f>
        <v/>
      </c>
      <c r="O68" s="32" t="n">
        <v>61.13</v>
      </c>
      <c r="P68" s="32" t="n">
        <v>31.34</v>
      </c>
      <c r="Q68" s="32" t="inlineStr"/>
      <c r="R68" s="31" t="inlineStr">
        <is>
          <t>Earnings / Momentum Support</t>
        </is>
      </c>
      <c r="S68" s="31" t="inlineStr">
        <is>
          <t>Nifty 50</t>
        </is>
      </c>
      <c r="T68" s="32" t="n">
        <v>-0.74</v>
      </c>
      <c r="U68" s="32" t="n">
        <v>-19.95</v>
      </c>
      <c r="V68" s="32" t="n">
        <v>-19.35</v>
      </c>
      <c r="W68" s="32" t="n">
        <v>2.33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Headwind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3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IF(B69=0,"",RANK(B69,$B$2:$B$366,0))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OCCLLTD</t>
        </is>
      </c>
      <c r="D69" s="31" t="inlineStr">
        <is>
          <t>OCCL Ltd</t>
        </is>
      </c>
      <c r="E69" s="31" t="inlineStr">
        <is>
          <t>chemicals</t>
        </is>
      </c>
      <c r="F69" s="31" t="inlineStr">
        <is>
          <t>chemicals</t>
        </is>
      </c>
      <c r="G69" s="31" t="inlineStr">
        <is>
          <t>smallcap</t>
        </is>
      </c>
      <c r="H69" s="32" t="n">
        <v>829.28</v>
      </c>
      <c r="I69" s="32" t="n">
        <v>174.32</v>
      </c>
      <c r="J69" s="32" t="n">
        <v>5</v>
      </c>
      <c r="K69" s="32" t="n">
        <v>30139</v>
      </c>
      <c r="L69" s="31" t="n">
        <v>82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80</v>
      </c>
      <c r="P69" s="32" t="n">
        <v>35.53</v>
      </c>
      <c r="Q69" s="32" t="inlineStr"/>
      <c r="R69" s="31" t="inlineStr">
        <is>
          <t>Earnings / Momentum Support</t>
        </is>
      </c>
      <c r="S69" s="31" t="inlineStr">
        <is>
          <t>Nifty 50</t>
        </is>
      </c>
      <c r="T69" s="32" t="n">
        <v>-0.74</v>
      </c>
      <c r="U69" s="32" t="n">
        <v>9.82</v>
      </c>
      <c r="V69" s="32" t="n">
        <v>10.64</v>
      </c>
      <c r="W69" s="32" t="n">
        <v>19.49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3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IF(B70=0,"",RANK(B70,$B$2:$B$366,0))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STLTECH</t>
        </is>
      </c>
      <c r="D70" s="31" t="inlineStr">
        <is>
          <t>Sterlite Technologies Limited</t>
        </is>
      </c>
      <c r="E70" s="31" t="inlineStr">
        <is>
          <t>industrials</t>
        </is>
      </c>
      <c r="F70" s="31" t="inlineStr">
        <is>
          <t>cables - telephone</t>
        </is>
      </c>
      <c r="G70" s="31" t="inlineStr">
        <is>
          <t>largecap</t>
        </is>
      </c>
      <c r="H70" s="32" t="n">
        <v>28626.58</v>
      </c>
      <c r="I70" s="32" t="n">
        <v>584.9</v>
      </c>
      <c r="J70" s="32" t="n">
        <v>5</v>
      </c>
      <c r="K70" s="32" t="n">
        <v>1919454</v>
      </c>
      <c r="L70" s="31" t="n">
        <v>98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68.54000000000001</v>
      </c>
      <c r="P70" s="32" t="n">
        <v>81.05</v>
      </c>
      <c r="Q70" s="32" t="inlineStr"/>
      <c r="R70" s="31" t="inlineStr">
        <is>
          <t>Earnings / Momentum Support</t>
        </is>
      </c>
      <c r="S70" s="31" t="inlineStr">
        <is>
          <t>Nifty Infra</t>
        </is>
      </c>
      <c r="T70" s="32" t="n">
        <v>1.74</v>
      </c>
      <c r="U70" s="32" t="n">
        <v>350.72</v>
      </c>
      <c r="V70" s="32" t="n">
        <v>343.01</v>
      </c>
      <c r="W70" s="32" t="n">
        <v>71.36</v>
      </c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3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Between 0.7 to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IF(B71=0,"",RANK(B71,$B$2:$B$366,0))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ADOR</t>
        </is>
      </c>
      <c r="D71" s="31" t="inlineStr">
        <is>
          <t>Ador Welding Ltd</t>
        </is>
      </c>
      <c r="E71" s="31" t="inlineStr">
        <is>
          <t>industrials</t>
        </is>
      </c>
      <c r="F71" s="31" t="inlineStr">
        <is>
          <t>electrodes - welding equipment</t>
        </is>
      </c>
      <c r="G71" s="31" t="inlineStr">
        <is>
          <t>smallcap</t>
        </is>
      </c>
      <c r="H71" s="32" t="n">
        <v>2514.18</v>
      </c>
      <c r="I71" s="32" t="n">
        <v>1500</v>
      </c>
      <c r="J71" s="32" t="n">
        <v>3.83</v>
      </c>
      <c r="K71" s="32" t="n">
        <v>60085</v>
      </c>
      <c r="L71" s="31" t="n">
        <v>69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75.27</v>
      </c>
      <c r="P71" s="32" t="n">
        <v>46.91</v>
      </c>
      <c r="Q71" s="32" t="inlineStr"/>
      <c r="R71" s="31" t="inlineStr">
        <is>
          <t>Earnings / Momentum Support</t>
        </is>
      </c>
      <c r="S71" s="31" t="inlineStr">
        <is>
          <t>Nifty Infra</t>
        </is>
      </c>
      <c r="T71" s="32" t="n">
        <v>1.74</v>
      </c>
      <c r="U71" s="32" t="n">
        <v>26.64</v>
      </c>
      <c r="V71" s="32" t="n">
        <v>24.47</v>
      </c>
      <c r="W71" s="32" t="n">
        <v>14.24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Headwind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3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IF(B72=0,"",RANK(B72,$B$2:$B$366,0))</f>
        <v/>
      </c>
      <c r="B72" s="32">
        <f>SUM(N72,Y72,AA72,AC72,AE72,AG72,AI72,AK72,AM72,AO72,AQ72,AS72,AU72,AW72,AY72,BA72,BC72,BE72,BG72,BI72,BK72,BM72,BO72,BQ72,BS72,BU72,BW72,BY72,CA72,CC72,CE72)</f>
        <v/>
      </c>
      <c r="C72" s="33" t="inlineStr">
        <is>
          <t>KROSS</t>
        </is>
      </c>
      <c r="D72" s="33" t="inlineStr">
        <is>
          <t>Kross Ltd</t>
        </is>
      </c>
      <c r="E72" s="31" t="inlineStr">
        <is>
          <t>auto</t>
        </is>
      </c>
      <c r="F72" s="31" t="inlineStr">
        <is>
          <t>auto ancillaries</t>
        </is>
      </c>
      <c r="G72" s="31" t="inlineStr">
        <is>
          <t>smallcap</t>
        </is>
      </c>
      <c r="H72" s="32" t="n">
        <v>1265.67</v>
      </c>
      <c r="I72" s="32" t="n">
        <v>203.39</v>
      </c>
      <c r="J72" s="32" t="n">
        <v>3.66</v>
      </c>
      <c r="K72" s="32" t="n">
        <v>421877</v>
      </c>
      <c r="L72" s="31" t="n">
        <v>10</v>
      </c>
      <c r="M72" s="31" t="inlineStr">
        <is>
          <t>Underperforming</t>
        </is>
      </c>
      <c r="N72" s="32">
        <f>IF(M72="Underperforming",-5,IF(L72&gt;=95,15,IF(L72&gt;=90,10,IF(L72&gt;=80,5,0))))</f>
        <v/>
      </c>
      <c r="O72" s="32" t="n">
        <v>52.57</v>
      </c>
      <c r="P72" s="32" t="n">
        <v>23.79</v>
      </c>
      <c r="Q72" s="32" t="inlineStr"/>
      <c r="R72" s="31" t="inlineStr">
        <is>
          <t>Earnings / Momentum Support</t>
        </is>
      </c>
      <c r="S72" s="31" t="inlineStr">
        <is>
          <t>Nifty Auto</t>
        </is>
      </c>
      <c r="T72" s="32" t="n">
        <v>13.41</v>
      </c>
      <c r="U72" s="32" t="n">
        <v>-0.02</v>
      </c>
      <c r="V72" s="32" t="n">
        <v>-11.84</v>
      </c>
      <c r="W72" s="32" t="n">
        <v>-0.08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Headwind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3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IF(B73=0,"",RANK(B73,$B$2:$B$366,0))</f>
        <v/>
      </c>
      <c r="B73" s="32">
        <f>SUM(N73,Y73,AA73,AC73,AE73,AG73,AI73,AK73,AM73,AO73,AQ73,AS73,AU73,AW73,AY73,BA73,BC73,BE73,BG73,BI73,BK73,BM73,BO73,BQ73,BS73,BU73,BW73,BY73,CA73,CC73,CE73)</f>
        <v/>
      </c>
      <c r="C73" s="33" t="inlineStr">
        <is>
          <t>GANESHBE</t>
        </is>
      </c>
      <c r="D73" s="33" t="inlineStr">
        <is>
          <t>Ganesh Benzoplast Ltd</t>
        </is>
      </c>
      <c r="E73" s="31" t="inlineStr">
        <is>
          <t>miscellaneous</t>
        </is>
      </c>
      <c r="F73" s="31" t="inlineStr">
        <is>
          <t>miscellaneous</t>
        </is>
      </c>
      <c r="G73" s="31" t="inlineStr">
        <is>
          <t>smallcap</t>
        </is>
      </c>
      <c r="H73" s="32" t="n">
        <v>808.66</v>
      </c>
      <c r="I73" s="32" t="n">
        <v>115.69</v>
      </c>
      <c r="J73" s="32" t="n">
        <v>2.99</v>
      </c>
      <c r="K73" s="32" t="n">
        <v>155254</v>
      </c>
      <c r="L73" s="31" t="n">
        <v>26</v>
      </c>
      <c r="M73" s="31" t="inlineStr">
        <is>
          <t>Underperforming</t>
        </is>
      </c>
      <c r="N73" s="32">
        <f>IF(M73="Underperforming",-5,IF(L73&gt;=95,15,IF(L73&gt;=90,10,IF(L73&gt;=80,5,0))))</f>
        <v/>
      </c>
      <c r="O73" s="32" t="n">
        <v>63.25</v>
      </c>
      <c r="P73" s="32" t="n">
        <v>28.62</v>
      </c>
      <c r="Q73" s="32" t="inlineStr"/>
      <c r="R73" s="31" t="inlineStr">
        <is>
          <t>Earnings / Momentum Support</t>
        </is>
      </c>
      <c r="S73" s="31" t="inlineStr">
        <is>
          <t>Nifty Energy</t>
        </is>
      </c>
      <c r="T73" s="32" t="n">
        <v>8.41</v>
      </c>
      <c r="U73" s="32" t="n">
        <v>7.59</v>
      </c>
      <c r="V73" s="32" t="n">
        <v>-0.75</v>
      </c>
      <c r="W73" s="32" t="n">
        <v>3.46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Headwind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3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IF(B74=0,"",RANK(B74,$B$2:$B$366,0))</f>
        <v/>
      </c>
      <c r="B74" s="32">
        <f>SUM(N74,Y74,AA74,AC74,AE74,AG74,AI74,AK74,AM74,AO74,AQ74,AS74,AU74,AW74,AY74,BA74,BC74,BE74,BG74,BI74,BK74,BM74,BO74,BQ74,BS74,BU74,BW74,BY74,CA74,CC74,CE74)</f>
        <v/>
      </c>
      <c r="C74" s="33" t="inlineStr">
        <is>
          <t>JUBLINGREA</t>
        </is>
      </c>
      <c r="D74" s="33" t="inlineStr">
        <is>
          <t>Jubilant Ingrevia Ltd</t>
        </is>
      </c>
      <c r="E74" s="31" t="inlineStr">
        <is>
          <t>chemicals</t>
        </is>
      </c>
      <c r="F74" s="31" t="inlineStr">
        <is>
          <t>chemicals</t>
        </is>
      </c>
      <c r="G74" s="31" t="inlineStr">
        <is>
          <t>midcap</t>
        </is>
      </c>
      <c r="H74" s="32" t="n">
        <v>11718.31</v>
      </c>
      <c r="I74" s="32" t="n">
        <v>757.45</v>
      </c>
      <c r="J74" s="32" t="n">
        <v>2.96</v>
      </c>
      <c r="K74" s="32" t="n">
        <v>300726</v>
      </c>
      <c r="L74" s="31" t="n">
        <v>13</v>
      </c>
      <c r="M74" s="31" t="inlineStr">
        <is>
          <t>Underperforming</t>
        </is>
      </c>
      <c r="N74" s="32">
        <f>IF(M74="Underperforming",-5,IF(L74&gt;=95,15,IF(L74&gt;=90,10,IF(L74&gt;=80,5,0))))</f>
        <v/>
      </c>
      <c r="O74" s="32" t="n">
        <v>59.04</v>
      </c>
      <c r="P74" s="32" t="n">
        <v>20.1</v>
      </c>
      <c r="Q74" s="32" t="inlineStr"/>
      <c r="R74" s="31" t="inlineStr">
        <is>
          <t>Earnings / Momentum Support</t>
        </is>
      </c>
      <c r="S74" s="31" t="inlineStr">
        <is>
          <t>Nifty 50</t>
        </is>
      </c>
      <c r="T74" s="32" t="n">
        <v>-0.74</v>
      </c>
      <c r="U74" s="32" t="n">
        <v>-1.78</v>
      </c>
      <c r="V74" s="32" t="n">
        <v>-1.05</v>
      </c>
      <c r="W74" s="32" t="n">
        <v>0.72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3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IF(B75=0,"",RANK(B75,$B$2:$B$366,0))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MOTHERSON</t>
        </is>
      </c>
      <c r="D75" s="31" t="inlineStr">
        <is>
          <t>Samvardhana Motherson International Ltd</t>
        </is>
      </c>
      <c r="E75" s="31" t="inlineStr">
        <is>
          <t>auto</t>
        </is>
      </c>
      <c r="F75" s="31" t="inlineStr">
        <is>
          <t>auto ancillaries</t>
        </is>
      </c>
      <c r="G75" s="31" t="inlineStr">
        <is>
          <t>largecap</t>
        </is>
      </c>
      <c r="H75" s="32" t="n">
        <v>159108.22</v>
      </c>
      <c r="I75" s="32" t="n">
        <v>155.01</v>
      </c>
      <c r="J75" s="32" t="n">
        <v>2.83</v>
      </c>
      <c r="K75" s="32" t="n">
        <v>52302690</v>
      </c>
      <c r="L75" s="31" t="n">
        <v>58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66.18000000000001</v>
      </c>
      <c r="P75" s="32" t="n">
        <v>33.91</v>
      </c>
      <c r="Q75" s="32" t="inlineStr"/>
      <c r="R75" s="31" t="inlineStr">
        <is>
          <t>Earnings / Momentum Support</t>
        </is>
      </c>
      <c r="S75" s="31" t="inlineStr">
        <is>
          <t>Nifty Auto</t>
        </is>
      </c>
      <c r="T75" s="32" t="n">
        <v>13.41</v>
      </c>
      <c r="U75" s="32" t="n">
        <v>43.48</v>
      </c>
      <c r="V75" s="32" t="n">
        <v>26.51</v>
      </c>
      <c r="W75" s="32" t="n">
        <v>10.72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Headwind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3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IF(B76=0,"",RANK(B76,$B$2:$B$366,0))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ASIANPAINT</t>
        </is>
      </c>
      <c r="D76" s="31" t="inlineStr">
        <is>
          <t>Asian Paints Limited</t>
        </is>
      </c>
      <c r="E76" s="31" t="inlineStr">
        <is>
          <t>building materials</t>
        </is>
      </c>
      <c r="F76" s="31" t="inlineStr">
        <is>
          <t>paints / varnishes</t>
        </is>
      </c>
      <c r="G76" s="31" t="inlineStr">
        <is>
          <t>largecap</t>
        </is>
      </c>
      <c r="H76" s="32" t="n">
        <v>263520.41</v>
      </c>
      <c r="I76" s="32" t="n">
        <v>2810</v>
      </c>
      <c r="J76" s="32" t="n">
        <v>2.28</v>
      </c>
      <c r="K76" s="32" t="n">
        <v>3007125</v>
      </c>
      <c r="L76" s="31" t="n">
        <v>33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60.45</v>
      </c>
      <c r="P76" s="32" t="n">
        <v>22.4</v>
      </c>
      <c r="Q76" s="32" t="inlineStr"/>
      <c r="R76" s="31" t="inlineStr">
        <is>
          <t>Earnings / Momentum Support</t>
        </is>
      </c>
      <c r="S76" s="31" t="inlineStr">
        <is>
          <t>Nifty Infra</t>
        </is>
      </c>
      <c r="T76" s="32" t="n">
        <v>1.74</v>
      </c>
      <c r="U76" s="32" t="n">
        <v>14.03</v>
      </c>
      <c r="V76" s="32" t="n">
        <v>12.08</v>
      </c>
      <c r="W76" s="32" t="n">
        <v>4.98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Headwind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3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IF(B77=0,"",RANK(B77,$B$2:$B$366,0))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RRKABEL</t>
        </is>
      </c>
      <c r="D77" s="31" t="inlineStr">
        <is>
          <t>R R Kabel Ltd</t>
        </is>
      </c>
      <c r="E77" s="31" t="inlineStr">
        <is>
          <t>industrials</t>
        </is>
      </c>
      <c r="F77" s="31" t="inlineStr">
        <is>
          <t>cables - power</t>
        </is>
      </c>
      <c r="G77" s="31" t="inlineStr">
        <is>
          <t>largecap</t>
        </is>
      </c>
      <c r="H77" s="32" t="n">
        <v>29439.1</v>
      </c>
      <c r="I77" s="32" t="n">
        <v>2631.9</v>
      </c>
      <c r="J77" s="32" t="n">
        <v>1.12</v>
      </c>
      <c r="K77" s="32" t="n">
        <v>287192</v>
      </c>
      <c r="L77" s="31" t="n">
        <v>86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74.28</v>
      </c>
      <c r="P77" s="32" t="n">
        <v>66.37</v>
      </c>
      <c r="Q77" s="32" t="inlineStr"/>
      <c r="R77" s="31" t="inlineStr">
        <is>
          <t>Earnings / Momentum Support</t>
        </is>
      </c>
      <c r="S77" s="31" t="inlineStr">
        <is>
          <t>Nifty Energy</t>
        </is>
      </c>
      <c r="T77" s="32" t="n">
        <v>8.41</v>
      </c>
      <c r="U77" s="32" t="n">
        <v>56.69</v>
      </c>
      <c r="V77" s="32" t="n">
        <v>44.54</v>
      </c>
      <c r="W77" s="32" t="n">
        <v>22.92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Headwind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3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IF(B78=0,"",RANK(B78,$B$2:$B$366,0))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HUHTAMAKI</t>
        </is>
      </c>
      <c r="D78" s="31" t="inlineStr">
        <is>
          <t>Huhtamaki India Ltd</t>
        </is>
      </c>
      <c r="E78" s="31" t="inlineStr">
        <is>
          <t>industrials</t>
        </is>
      </c>
      <c r="F78" s="31" t="inlineStr">
        <is>
          <t>packaging</t>
        </is>
      </c>
      <c r="G78" s="31" t="inlineStr">
        <is>
          <t>smallcap</t>
        </is>
      </c>
      <c r="H78" s="32" t="n">
        <v>2251.61</v>
      </c>
      <c r="I78" s="32" t="n">
        <v>300</v>
      </c>
      <c r="J78" s="32" t="n">
        <v>0.62</v>
      </c>
      <c r="K78" s="32" t="n">
        <v>459451</v>
      </c>
      <c r="L78" s="31" t="n">
        <v>50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73.53</v>
      </c>
      <c r="P78" s="32" t="n">
        <v>28.66</v>
      </c>
      <c r="Q78" s="32" t="inlineStr"/>
      <c r="R78" s="31" t="inlineStr">
        <is>
          <t>Earnings / Momentum Support</t>
        </is>
      </c>
      <c r="S78" s="31" t="inlineStr">
        <is>
          <t>Nifty Infra</t>
        </is>
      </c>
      <c r="T78" s="32" t="n">
        <v>1.74</v>
      </c>
      <c r="U78" s="32" t="n">
        <v>5.47</v>
      </c>
      <c r="V78" s="32" t="n">
        <v>3.66</v>
      </c>
      <c r="W78" s="32" t="n">
        <v>8.24</v>
      </c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Headwind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3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IF(B79=0,"",RANK(B79,$B$2:$B$366,0))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CYIENTDLM</t>
        </is>
      </c>
      <c r="D79" s="31" t="inlineStr">
        <is>
          <t>Cyient DLM Ltd</t>
        </is>
      </c>
      <c r="E79" s="31" t="inlineStr">
        <is>
          <t>consumer discretionary</t>
        </is>
      </c>
      <c r="F79" s="31" t="inlineStr">
        <is>
          <t>electronics - components</t>
        </is>
      </c>
      <c r="G79" s="31" t="inlineStr">
        <is>
          <t>midcap</t>
        </is>
      </c>
      <c r="H79" s="32" t="n">
        <v>5319.08</v>
      </c>
      <c r="I79" s="32" t="n">
        <v>671.7</v>
      </c>
      <c r="J79" s="32" t="n">
        <v>0.25</v>
      </c>
      <c r="K79" s="32" t="n">
        <v>207998</v>
      </c>
      <c r="L79" s="31" t="n">
        <v>90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82.90000000000001</v>
      </c>
      <c r="P79" s="32" t="n">
        <v>56.97</v>
      </c>
      <c r="Q79" s="32" t="inlineStr"/>
      <c r="R79" s="31" t="inlineStr">
        <is>
          <t>Earnings / Momentum Support</t>
        </is>
      </c>
      <c r="S79" s="31" t="inlineStr">
        <is>
          <t>Nifty 50</t>
        </is>
      </c>
      <c r="T79" s="32" t="n">
        <v>-0.74</v>
      </c>
      <c r="U79" s="32" t="n">
        <v>50.34</v>
      </c>
      <c r="V79" s="32" t="n">
        <v>51.46</v>
      </c>
      <c r="W79" s="32" t="n">
        <v>26.09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Headwind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3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IF(B80=0,"",RANK(B80,$B$2:$B$366,0))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INDNIPPON</t>
        </is>
      </c>
      <c r="D80" s="31" t="inlineStr">
        <is>
          <t>India Nippon Electricals Limited</t>
        </is>
      </c>
      <c r="E80" s="31" t="inlineStr">
        <is>
          <t>auto</t>
        </is>
      </c>
      <c r="F80" s="31" t="inlineStr">
        <is>
          <t>auto ancillaries</t>
        </is>
      </c>
      <c r="G80" s="31" t="inlineStr">
        <is>
          <t>smallcap</t>
        </is>
      </c>
      <c r="H80" s="32" t="n">
        <v>2647.61</v>
      </c>
      <c r="I80" s="32" t="n">
        <v>1173.2</v>
      </c>
      <c r="J80" s="32" t="n">
        <v>0.24</v>
      </c>
      <c r="K80" s="32" t="n">
        <v>64388</v>
      </c>
      <c r="L80" s="31" t="n">
        <v>87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72.23</v>
      </c>
      <c r="P80" s="32" t="n">
        <v>38.23</v>
      </c>
      <c r="Q80" s="32" t="inlineStr"/>
      <c r="R80" s="31" t="inlineStr">
        <is>
          <t>Earnings / Momentum Support</t>
        </is>
      </c>
      <c r="S80" s="31" t="inlineStr">
        <is>
          <t>Nifty Auto</t>
        </is>
      </c>
      <c r="T80" s="32" t="n">
        <v>13.41</v>
      </c>
      <c r="U80" s="32" t="n">
        <v>58.64</v>
      </c>
      <c r="V80" s="32" t="n">
        <v>39.88</v>
      </c>
      <c r="W80" s="32" t="n">
        <v>23.7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Headwind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3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Less than 50%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IF(B81=0,"",RANK(B81,$B$2:$B$366,0))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UFBL</t>
        </is>
      </c>
      <c r="D81" s="31" t="inlineStr">
        <is>
          <t>United Foodbrands Ltd</t>
        </is>
      </c>
      <c r="E81" s="31" t="inlineStr">
        <is>
          <t>consumer discretionary</t>
        </is>
      </c>
      <c r="F81" s="31" t="inlineStr">
        <is>
          <t>hotels</t>
        </is>
      </c>
      <c r="G81" s="31" t="inlineStr">
        <is>
          <t>smallcap</t>
        </is>
      </c>
      <c r="H81" s="32" t="n">
        <v>2742.5</v>
      </c>
      <c r="I81" s="32" t="n">
        <v>702</v>
      </c>
      <c r="J81" s="32" t="n">
        <v>0.05</v>
      </c>
      <c r="K81" s="32" t="n">
        <v>101664</v>
      </c>
      <c r="L81" s="31" t="n">
        <v>98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74.93000000000001</v>
      </c>
      <c r="P81" s="32" t="n">
        <v>55.19</v>
      </c>
      <c r="Q81" s="32" t="inlineStr"/>
      <c r="R81" s="31" t="inlineStr">
        <is>
          <t>Earnings / Momentum Support</t>
        </is>
      </c>
      <c r="S81" s="31" t="inlineStr">
        <is>
          <t>Nifty 50</t>
        </is>
      </c>
      <c r="T81" s="32" t="n">
        <v>-0.74</v>
      </c>
      <c r="U81" s="32" t="n">
        <v>157.91</v>
      </c>
      <c r="V81" s="32" t="n">
        <v>159.83</v>
      </c>
      <c r="W81" s="32" t="n">
        <v>48.51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Headwind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3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More than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IF(B82=0,"",RANK(B82,$B$2:$B$366,0))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HITECHCORP</t>
        </is>
      </c>
      <c r="D82" s="31" t="inlineStr">
        <is>
          <t>Hitech Corporation</t>
        </is>
      </c>
      <c r="E82" s="31" t="inlineStr">
        <is>
          <t>industrials</t>
        </is>
      </c>
      <c r="F82" s="31" t="inlineStr">
        <is>
          <t>packaging</t>
        </is>
      </c>
      <c r="G82" s="31" t="inlineStr">
        <is>
          <t>smallcap</t>
        </is>
      </c>
      <c r="H82" s="32" t="n">
        <v>549.97</v>
      </c>
      <c r="I82" s="32" t="n">
        <v>319.05</v>
      </c>
      <c r="J82" s="32" t="n">
        <v>-0.36</v>
      </c>
      <c r="K82" s="32" t="n">
        <v>14915</v>
      </c>
      <c r="L82" s="31" t="n">
        <v>97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80.02</v>
      </c>
      <c r="P82" s="32" t="n">
        <v>54.92</v>
      </c>
      <c r="Q82" s="32" t="inlineStr"/>
      <c r="R82" s="31" t="inlineStr">
        <is>
          <t>Earnings / Momentum Support</t>
        </is>
      </c>
      <c r="S82" s="31" t="inlineStr">
        <is>
          <t>Nifty 50</t>
        </is>
      </c>
      <c r="T82" s="32" t="n">
        <v>-0.74</v>
      </c>
      <c r="U82" s="32" t="n">
        <v>71.97</v>
      </c>
      <c r="V82" s="32" t="n">
        <v>73.26000000000001</v>
      </c>
      <c r="W82" s="32" t="n">
        <v>46.42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Headwind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3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Between 50% to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IF(B83=0,"",RANK(B83,$B$2:$B$366,0))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EXIDEIND</t>
        </is>
      </c>
      <c r="D83" s="31" t="inlineStr">
        <is>
          <t>Exide Industries Limited</t>
        </is>
      </c>
      <c r="E83" s="31" t="inlineStr">
        <is>
          <t>auto</t>
        </is>
      </c>
      <c r="F83" s="31" t="inlineStr">
        <is>
          <t>auto ancillaries</t>
        </is>
      </c>
      <c r="G83" s="31" t="inlineStr">
        <is>
          <t>largecap</t>
        </is>
      </c>
      <c r="H83" s="32" t="n">
        <v>38233</v>
      </c>
      <c r="I83" s="32" t="n">
        <v>444.7</v>
      </c>
      <c r="J83" s="32" t="n">
        <v>-1.13</v>
      </c>
      <c r="K83" s="32" t="n">
        <v>3583751</v>
      </c>
      <c r="L83" s="31" t="n">
        <v>57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72.98</v>
      </c>
      <c r="P83" s="32" t="n">
        <v>39.34</v>
      </c>
      <c r="Q83" s="32" t="inlineStr"/>
      <c r="R83" s="31" t="inlineStr">
        <is>
          <t>Earnings / Momentum Support</t>
        </is>
      </c>
      <c r="S83" s="31" t="inlineStr">
        <is>
          <t>Nifty Auto</t>
        </is>
      </c>
      <c r="T83" s="32" t="n">
        <v>13.41</v>
      </c>
      <c r="U83" s="32" t="n">
        <v>13.86</v>
      </c>
      <c r="V83" s="32" t="n">
        <v>0.39</v>
      </c>
      <c r="W83" s="32" t="n">
        <v>10.23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Headwind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3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IF(B84=0,"",RANK(B84,$B$2:$B$366,0))</f>
        <v/>
      </c>
      <c r="B84" s="32">
        <f>SUM(N84,Y84,AA84,AC84,AE84,AG84,AI84,AK84,AM84,AO84,AQ84,AS84,AU84,AW84,AY84,BA84,BC84,BE84,BG84,BI84,BK84,BM84,BO84,BQ84,BS84,BU84,BW84,BY84,CA84,CC84,CE84)</f>
        <v/>
      </c>
      <c r="C84" s="33" t="inlineStr">
        <is>
          <t>JKPAPER</t>
        </is>
      </c>
      <c r="D84" s="33" t="inlineStr">
        <is>
          <t>Jk Paper Limited</t>
        </is>
      </c>
      <c r="E84" s="31" t="inlineStr">
        <is>
          <t>building materials</t>
        </is>
      </c>
      <c r="F84" s="31" t="inlineStr">
        <is>
          <t>paper</t>
        </is>
      </c>
      <c r="G84" s="31" t="inlineStr">
        <is>
          <t>midcap</t>
        </is>
      </c>
      <c r="H84" s="32" t="n">
        <v>7081.4</v>
      </c>
      <c r="I84" s="32" t="n">
        <v>385.75</v>
      </c>
      <c r="J84" s="32" t="n">
        <v>-1.23</v>
      </c>
      <c r="K84" s="32" t="n">
        <v>205827</v>
      </c>
      <c r="L84" s="31" t="n">
        <v>9</v>
      </c>
      <c r="M84" s="31" t="inlineStr">
        <is>
          <t>Underperforming</t>
        </is>
      </c>
      <c r="N84" s="32">
        <f>IF(M84="Underperforming",-5,IF(L84&gt;=95,15,IF(L84&gt;=90,10,IF(L84&gt;=80,5,0))))</f>
        <v/>
      </c>
      <c r="O84" s="32" t="n">
        <v>59.49</v>
      </c>
      <c r="P84" s="32" t="n">
        <v>23.44</v>
      </c>
      <c r="Q84" s="32" t="inlineStr"/>
      <c r="R84" s="31" t="inlineStr">
        <is>
          <t>Earnings / Momentum Support</t>
        </is>
      </c>
      <c r="S84" s="31" t="inlineStr">
        <is>
          <t>Nifty Infra</t>
        </is>
      </c>
      <c r="T84" s="32" t="n">
        <v>1.74</v>
      </c>
      <c r="U84" s="32" t="n">
        <v>-4.04</v>
      </c>
      <c r="V84" s="32" t="n">
        <v>-5.68</v>
      </c>
      <c r="W84" s="32" t="n">
        <v>-0.71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Headwind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3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IF(B85=0,"",RANK(B85,$B$2:$B$366,0))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DALMIASUG</t>
        </is>
      </c>
      <c r="D85" s="31" t="inlineStr">
        <is>
          <t>Dalmia Bharat Sugar And Industries Limited</t>
        </is>
      </c>
      <c r="E85" s="31" t="inlineStr">
        <is>
          <t>fmcg</t>
        </is>
      </c>
      <c r="F85" s="31" t="inlineStr">
        <is>
          <t>sugar</t>
        </is>
      </c>
      <c r="G85" s="31" t="inlineStr">
        <is>
          <t>smallcap</t>
        </is>
      </c>
      <c r="H85" s="32" t="n">
        <v>2840.16</v>
      </c>
      <c r="I85" s="32" t="n">
        <v>411.85</v>
      </c>
      <c r="J85" s="32" t="n">
        <v>17.37</v>
      </c>
      <c r="K85" s="32" t="n">
        <v>10294962</v>
      </c>
      <c r="L85" s="31" t="n">
        <v>10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52.74</v>
      </c>
      <c r="P85" s="32" t="n">
        <v>21.52</v>
      </c>
      <c r="Q85" s="32" t="inlineStr"/>
      <c r="R85" s="31" t="inlineStr">
        <is>
          <t>Volume Spike / Accumulation</t>
        </is>
      </c>
      <c r="S85" s="31" t="inlineStr">
        <is>
          <t>Nifty FMCG</t>
        </is>
      </c>
      <c r="T85" s="32" t="n">
        <v>-13.73</v>
      </c>
      <c r="U85" s="32" t="n">
        <v>-5.55</v>
      </c>
      <c r="V85" s="32" t="n">
        <v>9.48</v>
      </c>
      <c r="W85" s="32" t="n">
        <v>-0.23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Headwind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B2C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Annuity, Lower One Time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3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Less than 12%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Between 50% to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IF(B86=0,"",RANK(B86,$B$2:$B$366,0))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NOVARTIND</t>
        </is>
      </c>
      <c r="D86" s="31" t="inlineStr">
        <is>
          <t>Novartis India Ltd</t>
        </is>
      </c>
      <c r="E86" s="31" t="inlineStr">
        <is>
          <t>healthcare</t>
        </is>
      </c>
      <c r="F86" s="31" t="inlineStr">
        <is>
          <t>pharmaceuticals - multinational</t>
        </is>
      </c>
      <c r="G86" s="31" t="inlineStr">
        <is>
          <t>smallcap</t>
        </is>
      </c>
      <c r="H86" s="32" t="n">
        <v>3795.22</v>
      </c>
      <c r="I86" s="32" t="n">
        <v>1635.7</v>
      </c>
      <c r="J86" s="32" t="n">
        <v>6.41</v>
      </c>
      <c r="K86" s="32" t="n">
        <v>29935</v>
      </c>
      <c r="L86" s="31" t="n">
        <v>86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68.33</v>
      </c>
      <c r="P86" s="32" t="n">
        <v>72.70999999999999</v>
      </c>
      <c r="Q86" s="32" t="inlineStr"/>
      <c r="R86" s="31" t="inlineStr">
        <is>
          <t>Earnings / Momentum Support</t>
        </is>
      </c>
      <c r="S86" s="31" t="inlineStr">
        <is>
          <t>Nifty Pharma</t>
        </is>
      </c>
      <c r="T86" s="32" t="n">
        <v>20.55</v>
      </c>
      <c r="U86" s="32" t="n">
        <v>61.89</v>
      </c>
      <c r="V86" s="32" t="n">
        <v>34.3</v>
      </c>
      <c r="W86" s="32" t="n">
        <v>23.17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Headwind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3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Between 12 to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IF(B87=0,"",RANK(B87,$B$2:$B$366,0))</f>
        <v/>
      </c>
      <c r="B87" s="32">
        <f>SUM(N87,Y87,AA87,AC87,AE87,AG87,AI87,AK87,AM87,AO87,AQ87,AS87,AU87,AW87,AY87,BA87,BC87,BE87,BG87,BI87,BK87,BM87,BO87,BQ87,BS87,BU87,BW87,BY87,CA87,CC87,CE87)</f>
        <v/>
      </c>
      <c r="C87" s="33" t="inlineStr">
        <is>
          <t>ALIVUS</t>
        </is>
      </c>
      <c r="D87" s="33" t="inlineStr">
        <is>
          <t>Alivus Life Sciences Ltd</t>
        </is>
      </c>
      <c r="E87" s="31" t="inlineStr">
        <is>
          <t>healthcare</t>
        </is>
      </c>
      <c r="F87" s="31" t="inlineStr">
        <is>
          <t>pharmaceuticals - indian - bulk drugs &amp; formln</t>
        </is>
      </c>
      <c r="G87" s="31" t="inlineStr">
        <is>
          <t>midcap</t>
        </is>
      </c>
      <c r="H87" s="32" t="n">
        <v>14237.42</v>
      </c>
      <c r="I87" s="32" t="n">
        <v>1214.4</v>
      </c>
      <c r="J87" s="32" t="n">
        <v>4.69</v>
      </c>
      <c r="K87" s="32" t="n">
        <v>199779</v>
      </c>
      <c r="L87" s="31" t="n">
        <v>37</v>
      </c>
      <c r="M87" s="31" t="inlineStr">
        <is>
          <t>Underperforming</t>
        </is>
      </c>
      <c r="N87" s="32">
        <f>IF(M87="Underperforming",-5,IF(L87&gt;=95,15,IF(L87&gt;=90,10,IF(L87&gt;=80,5,0))))</f>
        <v/>
      </c>
      <c r="O87" s="32" t="n">
        <v>64.94</v>
      </c>
      <c r="P87" s="32" t="n">
        <v>35.67</v>
      </c>
      <c r="Q87" s="32" t="inlineStr"/>
      <c r="R87" s="31" t="inlineStr">
        <is>
          <t>Earnings / Momentum Support</t>
        </is>
      </c>
      <c r="S87" s="31" t="inlineStr">
        <is>
          <t>Nifty Pharma</t>
        </is>
      </c>
      <c r="T87" s="32" t="n">
        <v>20.55</v>
      </c>
      <c r="U87" s="32" t="n">
        <v>16.55</v>
      </c>
      <c r="V87" s="32" t="n">
        <v>-3.32</v>
      </c>
      <c r="W87" s="32" t="n">
        <v>5.79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Headwind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Annuity, Lower One Time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3</t>
        </is>
      </c>
      <c r="BC87" s="31">
        <f>IF(BB87="Stage 2",20,IF(BB87="Stage 1",0,IF(BB87="Stage 3",5,IF(BB87="Stage 4",-5,0))))</f>
        <v/>
      </c>
      <c r="BD87" s="31" t="inlineStr">
        <is>
          <t>Negative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IF(B88=0,"",RANK(B88,$B$2:$B$366,0))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SUBEXLTD</t>
        </is>
      </c>
      <c r="D88" s="31" t="inlineStr">
        <is>
          <t>Subex Ltd</t>
        </is>
      </c>
      <c r="E88" s="31" t="inlineStr">
        <is>
          <t>i.t</t>
        </is>
      </c>
      <c r="F88" s="31" t="inlineStr">
        <is>
          <t>computers - software - medium / small</t>
        </is>
      </c>
      <c r="G88" s="31" t="inlineStr">
        <is>
          <t>smallcap</t>
        </is>
      </c>
      <c r="H88" s="32" t="n">
        <v>692.95</v>
      </c>
      <c r="I88" s="32" t="n">
        <v>12.85</v>
      </c>
      <c r="J88" s="32" t="n">
        <v>4.22</v>
      </c>
      <c r="K88" s="32" t="n">
        <v>1174611</v>
      </c>
      <c r="L88" s="31" t="n">
        <v>45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57.13</v>
      </c>
      <c r="P88" s="32" t="n">
        <v>23.11</v>
      </c>
      <c r="Q88" s="32" t="inlineStr"/>
      <c r="R88" s="31" t="inlineStr">
        <is>
          <t>Earnings / Momentum Support</t>
        </is>
      </c>
      <c r="S88" s="31" t="inlineStr">
        <is>
          <t>Nifty IT</t>
        </is>
      </c>
      <c r="T88" s="32" t="n">
        <v>-11.37</v>
      </c>
      <c r="U88" s="32" t="n">
        <v>-4.05</v>
      </c>
      <c r="V88" s="32" t="n">
        <v>8.27</v>
      </c>
      <c r="W88" s="32" t="n">
        <v>7.24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Headwind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Annuity, Lower One Time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3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IF(B89=0,"",RANK(B89,$B$2:$B$366,0))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NEULANDLAB</t>
        </is>
      </c>
      <c r="D89" s="31" t="inlineStr">
        <is>
          <t>Neuland Laboratories Limited</t>
        </is>
      </c>
      <c r="E89" s="31" t="inlineStr">
        <is>
          <t>healthcare</t>
        </is>
      </c>
      <c r="F89" s="31" t="inlineStr">
        <is>
          <t>pharmaceuticals - indian - bulk drugs</t>
        </is>
      </c>
      <c r="G89" s="31" t="inlineStr">
        <is>
          <t>largecap</t>
        </is>
      </c>
      <c r="H89" s="32" t="n">
        <v>24431.96</v>
      </c>
      <c r="I89" s="32" t="n">
        <v>19675</v>
      </c>
      <c r="J89" s="32" t="n">
        <v>3.32</v>
      </c>
      <c r="K89" s="32" t="n">
        <v>46146</v>
      </c>
      <c r="L89" s="31" t="n">
        <v>71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65.67</v>
      </c>
      <c r="P89" s="32" t="n">
        <v>49.13</v>
      </c>
      <c r="Q89" s="32" t="inlineStr"/>
      <c r="R89" s="31" t="inlineStr">
        <is>
          <t>Earnings / Momentum Support</t>
        </is>
      </c>
      <c r="S89" s="31" t="inlineStr">
        <is>
          <t>Nifty Pharma</t>
        </is>
      </c>
      <c r="T89" s="32" t="n">
        <v>20.55</v>
      </c>
      <c r="U89" s="32" t="n">
        <v>46.56</v>
      </c>
      <c r="V89" s="32" t="n">
        <v>21.58</v>
      </c>
      <c r="W89" s="32" t="n">
        <v>14.78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Yes</t>
        </is>
      </c>
      <c r="AC89" s="31">
        <f>IF(AB89="No",5,0)</f>
        <v/>
      </c>
      <c r="AD89" s="31" t="inlineStr">
        <is>
          <t>Headwind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Annuity, Lower One Time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3</t>
        </is>
      </c>
      <c r="BC89" s="31">
        <f>IF(BB89="Stage 2",20,IF(BB89="Stage 1",0,IF(BB89="Stage 3",5,IF(BB89="Stage 4",-5,0))))</f>
        <v/>
      </c>
      <c r="BD89" s="31" t="inlineStr">
        <is>
          <t>Negative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IF(B90=0,"",RANK(B90,$B$2:$B$366,0))</f>
        <v/>
      </c>
      <c r="B90" s="32">
        <f>SUM(N90,Y90,AA90,AC90,AE90,AG90,AI90,AK90,AM90,AO90,AQ90,AS90,AU90,AW90,AY90,BA90,BC90,BE90,BG90,BI90,BK90,BM90,BO90,BQ90,BS90,BU90,BW90,BY90,CA90,CC90,CE90)</f>
        <v/>
      </c>
      <c r="C90" s="33" t="inlineStr">
        <is>
          <t>CLSEL</t>
        </is>
      </c>
      <c r="D90" s="33" t="inlineStr">
        <is>
          <t>Chamanlal Setia Exports Ltd</t>
        </is>
      </c>
      <c r="E90" s="31" t="inlineStr">
        <is>
          <t>fmcg</t>
        </is>
      </c>
      <c r="F90" s="31" t="inlineStr">
        <is>
          <t>food - processing - indian</t>
        </is>
      </c>
      <c r="G90" s="31" t="inlineStr">
        <is>
          <t>smallcap</t>
        </is>
      </c>
      <c r="H90" s="32" t="n">
        <v>1419.67</v>
      </c>
      <c r="I90" s="32" t="n">
        <v>294</v>
      </c>
      <c r="J90" s="32" t="n">
        <v>2.98</v>
      </c>
      <c r="K90" s="32" t="n">
        <v>87977</v>
      </c>
      <c r="L90" s="31" t="n">
        <v>2</v>
      </c>
      <c r="M90" s="31" t="inlineStr">
        <is>
          <t>Underperforming</t>
        </is>
      </c>
      <c r="N90" s="32">
        <f>IF(M90="Underperforming",-5,IF(L90&gt;=95,15,IF(L90&gt;=90,10,IF(L90&gt;=80,5,0))))</f>
        <v/>
      </c>
      <c r="O90" s="32" t="n">
        <v>53.02</v>
      </c>
      <c r="P90" s="32" t="n">
        <v>24.81</v>
      </c>
      <c r="Q90" s="32" t="inlineStr"/>
      <c r="R90" s="31" t="inlineStr">
        <is>
          <t>Earnings / Momentum Support</t>
        </is>
      </c>
      <c r="S90" s="31" t="inlineStr">
        <is>
          <t>Nifty FMCG</t>
        </is>
      </c>
      <c r="T90" s="32" t="n">
        <v>-13.73</v>
      </c>
      <c r="U90" s="32" t="n">
        <v>-18.55</v>
      </c>
      <c r="V90" s="32" t="n">
        <v>-5.58</v>
      </c>
      <c r="W90" s="32" t="n">
        <v>-4.41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Headwind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B2C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Annuity, Lower One Time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3</t>
        </is>
      </c>
      <c r="BC90" s="31">
        <f>IF(BB90="Stage 2",20,IF(BB90="Stage 1",0,IF(BB90="Stage 3",5,IF(BB90="Stage 4",-5,0))))</f>
        <v/>
      </c>
      <c r="BD90" s="31" t="inlineStr">
        <is>
          <t>Negative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Less than 50%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IF(B91=0,"",RANK(B91,$B$2:$B$366,0))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LALPATHLAB</t>
        </is>
      </c>
      <c r="D91" s="31" t="inlineStr">
        <is>
          <t>Dr. Lal Path Labs Ltd.</t>
        </is>
      </c>
      <c r="E91" s="31" t="inlineStr">
        <is>
          <t>healthcare</t>
        </is>
      </c>
      <c r="F91" s="31" t="inlineStr">
        <is>
          <t>healthcare</t>
        </is>
      </c>
      <c r="G91" s="31" t="inlineStr">
        <is>
          <t>largecap</t>
        </is>
      </c>
      <c r="H91" s="32" t="n">
        <v>31938.35</v>
      </c>
      <c r="I91" s="32" t="n">
        <v>1900.4</v>
      </c>
      <c r="J91" s="32" t="n">
        <v>-0.25</v>
      </c>
      <c r="K91" s="32" t="n">
        <v>718505</v>
      </c>
      <c r="L91" s="31" t="n">
        <v>65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73.73999999999999</v>
      </c>
      <c r="P91" s="32" t="n">
        <v>40.4</v>
      </c>
      <c r="Q91" s="32" t="inlineStr"/>
      <c r="R91" s="31" t="inlineStr">
        <is>
          <t>Earnings / Momentum Support</t>
        </is>
      </c>
      <c r="S91" s="31" t="inlineStr">
        <is>
          <t>Nifty Pharma</t>
        </is>
      </c>
      <c r="T91" s="32" t="n">
        <v>20.55</v>
      </c>
      <c r="U91" s="32" t="n">
        <v>21.34</v>
      </c>
      <c r="V91" s="32" t="n">
        <v>0.66</v>
      </c>
      <c r="W91" s="32" t="n">
        <v>13.25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Yes</t>
        </is>
      </c>
      <c r="AC91" s="31">
        <f>IF(AB91="No",5,0)</f>
        <v/>
      </c>
      <c r="AD91" s="31" t="inlineStr">
        <is>
          <t>Headwind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3</t>
        </is>
      </c>
      <c r="BC91" s="31">
        <f>IF(BB91="Stage 2",20,IF(BB91="Stage 1",0,IF(BB91="Stage 3",5,IF(BB91="Stage 4",-5,0))))</f>
        <v/>
      </c>
      <c r="BD91" s="31" t="inlineStr">
        <is>
          <t>Negative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IF(B92=0,"",RANK(B92,$B$2:$B$366,0))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LAURUSLABS</t>
        </is>
      </c>
      <c r="D92" s="31" t="inlineStr">
        <is>
          <t>Laurus Labs Limited</t>
        </is>
      </c>
      <c r="E92" s="31" t="inlineStr">
        <is>
          <t>healthcare</t>
        </is>
      </c>
      <c r="F92" s="31" t="inlineStr">
        <is>
          <t>pharmaceuticals - indian - bulk drugs &amp; formln</t>
        </is>
      </c>
      <c r="G92" s="31" t="inlineStr">
        <is>
          <t>largecap</t>
        </is>
      </c>
      <c r="H92" s="32" t="n">
        <v>98120.13</v>
      </c>
      <c r="I92" s="32" t="n">
        <v>1811.4</v>
      </c>
      <c r="J92" s="32" t="n">
        <v>-0.26</v>
      </c>
      <c r="K92" s="32" t="n">
        <v>5687054</v>
      </c>
      <c r="L92" s="31" t="n">
        <v>94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85.77</v>
      </c>
      <c r="P92" s="32" t="n">
        <v>62.17</v>
      </c>
      <c r="Q92" s="32" t="inlineStr"/>
      <c r="R92" s="31" t="inlineStr">
        <is>
          <t>Earnings / Momentum Support</t>
        </is>
      </c>
      <c r="S92" s="31" t="inlineStr">
        <is>
          <t>Nifty Pharma</t>
        </is>
      </c>
      <c r="T92" s="32" t="n">
        <v>20.55</v>
      </c>
      <c r="U92" s="32" t="n">
        <v>114.22</v>
      </c>
      <c r="V92" s="32" t="n">
        <v>77.70999999999999</v>
      </c>
      <c r="W92" s="32" t="n">
        <v>31.71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Yes</t>
        </is>
      </c>
      <c r="AC92" s="31">
        <f>IF(AB92="No",5,0)</f>
        <v/>
      </c>
      <c r="AD92" s="31" t="inlineStr">
        <is>
          <t>Headwind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Annuity, Lower One Time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Above 75</t>
        </is>
      </c>
      <c r="BA92" s="31">
        <f>IF(AZ92="Between 50 to 75",10,IF(AZ92="Above 75",0,0))</f>
        <v/>
      </c>
      <c r="BB92" s="31" t="inlineStr">
        <is>
          <t>Stage 3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IF(B93=0,"",RANK(B93,$B$2:$B$366,0))</f>
        <v/>
      </c>
      <c r="B93" s="32">
        <f>SUM(N93,Y93,AA93,AC93,AE93,AG93,AI93,AK93,AM93,AO93,AQ93,AS93,AU93,AW93,AY93,BA93,BC93,BE93,BG93,BI93,BK93,BM93,BO93,BQ93,BS93,BU93,BW93,BY93,CA93,CC93,CE93)</f>
        <v/>
      </c>
      <c r="C93" s="33" t="inlineStr">
        <is>
          <t>HESTERBIO</t>
        </is>
      </c>
      <c r="D93" s="33" t="inlineStr">
        <is>
          <t>Hester Biosciences Limited</t>
        </is>
      </c>
      <c r="E93" s="31" t="inlineStr">
        <is>
          <t>healthcare</t>
        </is>
      </c>
      <c r="F93" s="31" t="inlineStr">
        <is>
          <t>pharmaceuticals - indian - formulations</t>
        </is>
      </c>
      <c r="G93" s="31" t="inlineStr">
        <is>
          <t>smallcap</t>
        </is>
      </c>
      <c r="H93" s="32" t="n">
        <v>2107.75</v>
      </c>
      <c r="I93" s="32" t="n">
        <v>2442.4</v>
      </c>
      <c r="J93" s="32" t="n">
        <v>-1.42</v>
      </c>
      <c r="K93" s="32" t="n">
        <v>6341</v>
      </c>
      <c r="L93" s="31" t="n">
        <v>74</v>
      </c>
      <c r="M93" s="31" t="inlineStr">
        <is>
          <t>Underperforming</t>
        </is>
      </c>
      <c r="N93" s="32">
        <f>IF(M93="Underperforming",-5,IF(L93&gt;=95,15,IF(L93&gt;=90,10,IF(L93&gt;=80,5,0))))</f>
        <v/>
      </c>
      <c r="O93" s="32" t="n">
        <v>73.70999999999999</v>
      </c>
      <c r="P93" s="32" t="n">
        <v>56.73</v>
      </c>
      <c r="Q93" s="32" t="inlineStr"/>
      <c r="R93" s="31" t="inlineStr">
        <is>
          <t>Earnings / Momentum Support</t>
        </is>
      </c>
      <c r="S93" s="31" t="inlineStr">
        <is>
          <t>Nifty Pharma</t>
        </is>
      </c>
      <c r="T93" s="32" t="n">
        <v>20.55</v>
      </c>
      <c r="U93" s="32" t="n">
        <v>13.82</v>
      </c>
      <c r="V93" s="32" t="n">
        <v>-5.58</v>
      </c>
      <c r="W93" s="32" t="n">
        <v>16.05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Yes</t>
        </is>
      </c>
      <c r="AC93" s="31">
        <f>IF(AB93="No",5,0)</f>
        <v/>
      </c>
      <c r="AD93" s="31" t="inlineStr">
        <is>
          <t>Headwind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Annuity, Lower One Time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3</t>
        </is>
      </c>
      <c r="BC93" s="31">
        <f>IF(BB93="Stage 2",20,IF(BB93="Stage 1",0,IF(BB93="Stage 3",5,IF(BB93="Stage 4",-5,0))))</f>
        <v/>
      </c>
      <c r="BD93" s="31" t="inlineStr">
        <is>
          <t>Negative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IF(B94=0,"",RANK(B94,$B$2:$B$366,0))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SAREGAMA</t>
        </is>
      </c>
      <c r="D94" s="31" t="inlineStr">
        <is>
          <t>Saregama India Limited</t>
        </is>
      </c>
      <c r="E94" s="31" t="inlineStr">
        <is>
          <t>media</t>
        </is>
      </c>
      <c r="F94" s="31" t="inlineStr">
        <is>
          <t>entertainment / electronic media software</t>
        </is>
      </c>
      <c r="G94" s="31" t="inlineStr">
        <is>
          <t>midcap</t>
        </is>
      </c>
      <c r="H94" s="32" t="n">
        <v>10081.04</v>
      </c>
      <c r="I94" s="32" t="n">
        <v>514.2</v>
      </c>
      <c r="J94" s="32" t="n">
        <v>-1.65</v>
      </c>
      <c r="K94" s="32" t="n">
        <v>363756</v>
      </c>
      <c r="L94" s="31" t="n">
        <v>73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73.86</v>
      </c>
      <c r="P94" s="32" t="n">
        <v>47.59</v>
      </c>
      <c r="Q94" s="32" t="inlineStr"/>
      <c r="R94" s="31" t="inlineStr">
        <is>
          <t>Earnings / Momentum Support</t>
        </is>
      </c>
      <c r="S94" s="31" t="inlineStr">
        <is>
          <t>Nifty IT</t>
        </is>
      </c>
      <c r="T94" s="32" t="n">
        <v>-11.37</v>
      </c>
      <c r="U94" s="32" t="n">
        <v>11.61</v>
      </c>
      <c r="V94" s="32" t="n">
        <v>25.93</v>
      </c>
      <c r="W94" s="32" t="n">
        <v>15.41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Headwind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Annuity, Lower One Time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3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Between 1.5 to 2</t>
        </is>
      </c>
      <c r="BU94" s="31">
        <f>IF(BT94="Above 2",0,IF(BT94="Between 1.5 to 2",5,IF(BT94="Less than 1.5",10,0)))</f>
        <v/>
      </c>
      <c r="BV94" s="31" t="inlineStr">
        <is>
          <t>Less than 50%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IF(B95=0,"",RANK(B95,$B$2:$B$366,0))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INDORAMA</t>
        </is>
      </c>
      <c r="D95" s="31" t="inlineStr">
        <is>
          <t>Indo Rama Synthetics (india) Limited</t>
        </is>
      </c>
      <c r="E95" s="31" t="inlineStr">
        <is>
          <t>textiles</t>
        </is>
      </c>
      <c r="F95" s="31" t="inlineStr">
        <is>
          <t>textiles - manmade</t>
        </is>
      </c>
      <c r="G95" s="31" t="inlineStr">
        <is>
          <t>smallcap</t>
        </is>
      </c>
      <c r="H95" s="32" t="n">
        <v>1468.76</v>
      </c>
      <c r="I95" s="32" t="n">
        <v>63.5</v>
      </c>
      <c r="J95" s="32" t="n">
        <v>12.89</v>
      </c>
      <c r="K95" s="32" t="n">
        <v>2539592</v>
      </c>
      <c r="L95" s="31" t="n">
        <v>76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67.98999999999999</v>
      </c>
      <c r="P95" s="32" t="n">
        <v>32.72</v>
      </c>
      <c r="Q95" s="32" t="inlineStr"/>
      <c r="R95" s="31" t="inlineStr">
        <is>
          <t>Volume Spike / Accumulation</t>
        </is>
      </c>
      <c r="S95" s="31" t="inlineStr">
        <is>
          <t>Nifty 50</t>
        </is>
      </c>
      <c r="T95" s="32" t="n">
        <v>-0.74</v>
      </c>
      <c r="U95" s="32" t="n">
        <v>11.67</v>
      </c>
      <c r="V95" s="32" t="n">
        <v>12.51</v>
      </c>
      <c r="W95" s="32" t="n">
        <v>16.9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Headwind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3</t>
        </is>
      </c>
      <c r="BC95" s="31">
        <f>IF(BB95="Stage 2",20,IF(BB95="Stage 1",0,IF(BB95="Stage 3",5,IF(BB95="Stage 4",-5,0))))</f>
        <v/>
      </c>
      <c r="BD95" s="31" t="inlineStr">
        <is>
          <t>Negative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Less than 1.5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More than 1.2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IF(B96=0,"",RANK(B96,$B$2:$B$366,0))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NAHARSPING</t>
        </is>
      </c>
      <c r="D96" s="31" t="inlineStr">
        <is>
          <t>Nahar Spinning Mills Limited</t>
        </is>
      </c>
      <c r="E96" s="31" t="inlineStr">
        <is>
          <t>textiles</t>
        </is>
      </c>
      <c r="F96" s="31" t="inlineStr">
        <is>
          <t>textiles - cotton/blended</t>
        </is>
      </c>
      <c r="G96" s="31" t="inlineStr">
        <is>
          <t>smallcap</t>
        </is>
      </c>
      <c r="H96" s="32" t="n">
        <v>1013.8</v>
      </c>
      <c r="I96" s="32" t="n">
        <v>311.15</v>
      </c>
      <c r="J96" s="32" t="n">
        <v>10.69</v>
      </c>
      <c r="K96" s="32" t="n">
        <v>176677</v>
      </c>
      <c r="L96" s="31" t="n">
        <v>51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63.55</v>
      </c>
      <c r="P96" s="32" t="n">
        <v>23.98</v>
      </c>
      <c r="Q96" s="32" t="inlineStr"/>
      <c r="R96" s="31" t="inlineStr">
        <is>
          <t>Volume Spike / Accumulation</t>
        </is>
      </c>
      <c r="S96" s="31" t="inlineStr">
        <is>
          <t>Nifty 50</t>
        </is>
      </c>
      <c r="T96" s="32" t="n">
        <v>-0.74</v>
      </c>
      <c r="U96" s="32" t="n">
        <v>17.86</v>
      </c>
      <c r="V96" s="32" t="n">
        <v>18.74</v>
      </c>
      <c r="W96" s="32" t="n">
        <v>8.82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Headwind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3</t>
        </is>
      </c>
      <c r="BC96" s="31">
        <f>IF(BB96="Stage 2",20,IF(BB96="Stage 1",0,IF(BB96="Stage 3",5,IF(BB96="Stage 4",-5,0))))</f>
        <v/>
      </c>
      <c r="BD96" s="31" t="inlineStr">
        <is>
          <t>Negative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Between 12 to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IF(B97=0,"",RANK(B97,$B$2:$B$366,0))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TIRUPATIFL</t>
        </is>
      </c>
      <c r="D97" s="31" t="inlineStr">
        <is>
          <t>Tirupati Forge Ltd</t>
        </is>
      </c>
      <c r="E97" s="31" t="inlineStr">
        <is>
          <t>industrials</t>
        </is>
      </c>
      <c r="F97" s="31" t="inlineStr">
        <is>
          <t>castings &amp; forgings</t>
        </is>
      </c>
      <c r="G97" s="31" t="inlineStr">
        <is>
          <t>smallcap</t>
        </is>
      </c>
      <c r="H97" s="32" t="n">
        <v>910.28</v>
      </c>
      <c r="I97" s="32" t="n">
        <v>73.5</v>
      </c>
      <c r="J97" s="32" t="n">
        <v>5</v>
      </c>
      <c r="K97" s="32" t="n">
        <v>419133</v>
      </c>
      <c r="L97" s="31" t="n">
        <v>91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74.18000000000001</v>
      </c>
      <c r="P97" s="32" t="n">
        <v>42.04</v>
      </c>
      <c r="Q97" s="32" t="inlineStr"/>
      <c r="R97" s="31" t="inlineStr">
        <is>
          <t>Earnings / Momentum Support</t>
        </is>
      </c>
      <c r="S97" s="31" t="inlineStr">
        <is>
          <t>Nifty 50</t>
        </is>
      </c>
      <c r="T97" s="32" t="n">
        <v>-0.74</v>
      </c>
      <c r="U97" s="32" t="n">
        <v>80.93000000000001</v>
      </c>
      <c r="V97" s="32" t="n">
        <v>82.27</v>
      </c>
      <c r="W97" s="32" t="n">
        <v>27.28</v>
      </c>
      <c r="X97" s="31" t="inlineStr">
        <is>
          <t>Cyclical in an Upturn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Headwind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No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3</t>
        </is>
      </c>
      <c r="BC97" s="31">
        <f>IF(BB97="Stage 2",20,IF(BB97="Stage 1",0,IF(BB97="Stage 3",5,IF(BB97="Stage 4",-5,0))))</f>
        <v/>
      </c>
      <c r="BD97" s="31" t="inlineStr">
        <is>
          <t>Negative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Less than 12%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IF(B98=0,"",RANK(B98,$B$2:$B$366,0))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SIGMAADV</t>
        </is>
      </c>
      <c r="D98" s="31" t="inlineStr">
        <is>
          <t>Sigma Advanced System Ltd</t>
        </is>
      </c>
      <c r="E98" s="31" t="inlineStr">
        <is>
          <t>aerospace &amp; defence</t>
        </is>
      </c>
      <c r="F98" s="31" t="inlineStr">
        <is>
          <t>electronics - components</t>
        </is>
      </c>
      <c r="G98" s="31" t="inlineStr">
        <is>
          <t>midcap</t>
        </is>
      </c>
      <c r="H98" s="32" t="n">
        <v>11816.03</v>
      </c>
      <c r="I98" s="32" t="n">
        <v>654.7</v>
      </c>
      <c r="J98" s="32" t="n">
        <v>5</v>
      </c>
      <c r="K98" s="32" t="n">
        <v>146018</v>
      </c>
      <c r="L98" s="31" t="n">
        <v>99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74.83</v>
      </c>
      <c r="P98" s="32" t="n">
        <v>66.72</v>
      </c>
      <c r="Q98" s="32" t="inlineStr"/>
      <c r="R98" s="31" t="inlineStr">
        <is>
          <t>Earnings / Momentum Support</t>
        </is>
      </c>
      <c r="S98" s="31" t="inlineStr">
        <is>
          <t>Nifty 50</t>
        </is>
      </c>
      <c r="T98" s="32" t="n">
        <v>-0.74</v>
      </c>
      <c r="U98" s="32" t="n">
        <v>437.96</v>
      </c>
      <c r="V98" s="32" t="n">
        <v>441.97</v>
      </c>
      <c r="W98" s="32" t="n">
        <v>73.23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Headwind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No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3</t>
        </is>
      </c>
      <c r="BC98" s="31">
        <f>IF(BB98="Stage 2",20,IF(BB98="Stage 1",0,IF(BB98="Stage 3",5,IF(BB98="Stage 4",-5,0))))</f>
        <v/>
      </c>
      <c r="BD98" s="31" t="inlineStr">
        <is>
          <t>Negative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Less than 1.5</t>
        </is>
      </c>
      <c r="BU98" s="31">
        <f>IF(BT98="Above 2",0,IF(BT98="Between 1.5 to 2",5,IF(BT98="Less than 1.5",10,0)))</f>
        <v/>
      </c>
      <c r="BV98" s="31" t="inlineStr">
        <is>
          <t>Negative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Between 0.7 to 1.2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IF(B99=0,"",RANK(B99,$B$2:$B$366,0))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RSWM</t>
        </is>
      </c>
      <c r="D99" s="31" t="inlineStr">
        <is>
          <t>Rswm Limited</t>
        </is>
      </c>
      <c r="E99" s="31" t="inlineStr">
        <is>
          <t>textiles</t>
        </is>
      </c>
      <c r="F99" s="31" t="inlineStr">
        <is>
          <t>textiles - cotton/blended</t>
        </is>
      </c>
      <c r="G99" s="31" t="inlineStr">
        <is>
          <t>smallcap</t>
        </is>
      </c>
      <c r="H99" s="32" t="n">
        <v>1010.66</v>
      </c>
      <c r="I99" s="32" t="n">
        <v>224.5</v>
      </c>
      <c r="J99" s="32" t="n">
        <v>4.63</v>
      </c>
      <c r="K99" s="32" t="n">
        <v>183173</v>
      </c>
      <c r="L99" s="31" t="n">
        <v>68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68.27</v>
      </c>
      <c r="P99" s="32" t="n">
        <v>40.26</v>
      </c>
      <c r="Q99" s="32" t="inlineStr"/>
      <c r="R99" s="31" t="inlineStr">
        <is>
          <t>Earnings / Momentum Support</t>
        </is>
      </c>
      <c r="S99" s="31" t="inlineStr">
        <is>
          <t>Nifty 50</t>
        </is>
      </c>
      <c r="T99" s="32" t="n">
        <v>-0.74</v>
      </c>
      <c r="U99" s="32" t="n">
        <v>40.36</v>
      </c>
      <c r="V99" s="32" t="n">
        <v>41.41</v>
      </c>
      <c r="W99" s="32" t="n">
        <v>13.96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Headwind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No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3</t>
        </is>
      </c>
      <c r="BC99" s="31">
        <f>IF(BB99="Stage 2",20,IF(BB99="Stage 1",0,IF(BB99="Stage 3",5,IF(BB99="Stage 4",-5,0))))</f>
        <v/>
      </c>
      <c r="BD99" s="31" t="inlineStr">
        <is>
          <t>Negative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Less than 1.5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More than 1.2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IF(B100=0,"",RANK(B100,$B$2:$B$366,0))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FILATEX</t>
        </is>
      </c>
      <c r="D100" s="31" t="inlineStr">
        <is>
          <t>Filatex India Limited</t>
        </is>
      </c>
      <c r="E100" s="31" t="inlineStr">
        <is>
          <t>textiles</t>
        </is>
      </c>
      <c r="F100" s="31" t="inlineStr">
        <is>
          <t>textiles - manmade</t>
        </is>
      </c>
      <c r="G100" s="31" t="inlineStr">
        <is>
          <t>smallcap</t>
        </is>
      </c>
      <c r="H100" s="32" t="n">
        <v>3264.72</v>
      </c>
      <c r="I100" s="32" t="n">
        <v>76.7</v>
      </c>
      <c r="J100" s="32" t="n">
        <v>4.33</v>
      </c>
      <c r="K100" s="32" t="n">
        <v>13952850</v>
      </c>
      <c r="L100" s="31" t="n">
        <v>84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76.31999999999999</v>
      </c>
      <c r="P100" s="32" t="n">
        <v>29.8</v>
      </c>
      <c r="Q100" s="32" t="inlineStr"/>
      <c r="R100" s="31" t="inlineStr">
        <is>
          <t>Earnings / Momentum Support</t>
        </is>
      </c>
      <c r="S100" s="31" t="inlineStr">
        <is>
          <t>Nifty 50</t>
        </is>
      </c>
      <c r="T100" s="32" t="n">
        <v>-0.74</v>
      </c>
      <c r="U100" s="32" t="n">
        <v>33.39</v>
      </c>
      <c r="V100" s="32" t="n">
        <v>34.38</v>
      </c>
      <c r="W100" s="32" t="n">
        <v>21.56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Headwind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No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Above 75</t>
        </is>
      </c>
      <c r="BA100" s="31">
        <f>IF(AZ100="Between 50 to 75",10,IF(AZ100="Above 75",0,0))</f>
        <v/>
      </c>
      <c r="BB100" s="31" t="inlineStr">
        <is>
          <t>Stage 3</t>
        </is>
      </c>
      <c r="BC100" s="31">
        <f>IF(BB100="Stage 2",20,IF(BB100="Stage 1",0,IF(BB100="Stage 3",5,IF(BB100="Stage 4",-5,0))))</f>
        <v/>
      </c>
      <c r="BD100" s="31" t="inlineStr">
        <is>
          <t>Negative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Between 12 to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Less than 1.5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IF(B101=0,"",RANK(B101,$B$2:$B$366,0))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BHAGERIA</t>
        </is>
      </c>
      <c r="D101" s="31" t="inlineStr">
        <is>
          <t>Bhageria Industries Limited</t>
        </is>
      </c>
      <c r="E101" s="31" t="inlineStr">
        <is>
          <t>chemicals</t>
        </is>
      </c>
      <c r="F101" s="31" t="inlineStr">
        <is>
          <t>dyes and pigments</t>
        </is>
      </c>
      <c r="G101" s="31" t="inlineStr">
        <is>
          <t>smallcap</t>
        </is>
      </c>
      <c r="H101" s="32" t="n">
        <v>926.04</v>
      </c>
      <c r="I101" s="32" t="n">
        <v>221</v>
      </c>
      <c r="J101" s="32" t="n">
        <v>4.16</v>
      </c>
      <c r="K101" s="32" t="n">
        <v>46642</v>
      </c>
      <c r="L101" s="31" t="n">
        <v>44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58.54</v>
      </c>
      <c r="P101" s="32" t="n">
        <v>25.93</v>
      </c>
      <c r="Q101" s="32" t="inlineStr"/>
      <c r="R101" s="31" t="inlineStr">
        <is>
          <t>Earnings / Momentum Support</t>
        </is>
      </c>
      <c r="S101" s="31" t="inlineStr">
        <is>
          <t>Nifty 50</t>
        </is>
      </c>
      <c r="T101" s="32" t="n">
        <v>-0.74</v>
      </c>
      <c r="U101" s="32" t="n">
        <v>6.9</v>
      </c>
      <c r="V101" s="32" t="n">
        <v>7.69</v>
      </c>
      <c r="W101" s="32" t="n">
        <v>7.12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Headwind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No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3</t>
        </is>
      </c>
      <c r="BC101" s="31">
        <f>IF(BB101="Stage 2",20,IF(BB101="Stage 1",0,IF(BB101="Stage 3",5,IF(BB101="Stage 4",-5,0))))</f>
        <v/>
      </c>
      <c r="BD101" s="31" t="inlineStr">
        <is>
          <t>Negative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IF(B102=0,"",RANK(B102,$B$2:$B$366,0))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WELCORP</t>
        </is>
      </c>
      <c r="D102" s="31" t="inlineStr">
        <is>
          <t>Welspun Corp Limited</t>
        </is>
      </c>
      <c r="E102" s="31" t="inlineStr">
        <is>
          <t>industrials</t>
        </is>
      </c>
      <c r="F102" s="31" t="inlineStr">
        <is>
          <t>steel - large</t>
        </is>
      </c>
      <c r="G102" s="31" t="inlineStr">
        <is>
          <t>largecap</t>
        </is>
      </c>
      <c r="H102" s="32" t="n">
        <v>43541.28</v>
      </c>
      <c r="I102" s="32" t="n">
        <v>1715.3</v>
      </c>
      <c r="J102" s="32" t="n">
        <v>3.92</v>
      </c>
      <c r="K102" s="32" t="n">
        <v>698272</v>
      </c>
      <c r="L102" s="31" t="n">
        <v>88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84.48999999999999</v>
      </c>
      <c r="P102" s="32" t="n">
        <v>69.52</v>
      </c>
      <c r="Q102" s="32" t="inlineStr"/>
      <c r="R102" s="31" t="inlineStr">
        <is>
          <t>Earnings / Momentum Support</t>
        </is>
      </c>
      <c r="S102" s="31" t="inlineStr">
        <is>
          <t>Nifty Metal</t>
        </is>
      </c>
      <c r="T102" s="32" t="n">
        <v>31.49</v>
      </c>
      <c r="U102" s="32" t="n">
        <v>71.81999999999999</v>
      </c>
      <c r="V102" s="32" t="n">
        <v>30.67</v>
      </c>
      <c r="W102" s="32" t="n">
        <v>23.89</v>
      </c>
      <c r="X102" s="31" t="inlineStr">
        <is>
          <t>Cyclical in an Upturn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Headwind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No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Above 75</t>
        </is>
      </c>
      <c r="BA102" s="31">
        <f>IF(AZ102="Between 50 to 75",10,IF(AZ102="Above 75",0,0))</f>
        <v/>
      </c>
      <c r="BB102" s="31" t="inlineStr">
        <is>
          <t>Stage 3</t>
        </is>
      </c>
      <c r="BC102" s="31">
        <f>IF(BB102="Stage 2",20,IF(BB102="Stage 1",0,IF(BB102="Stage 3",5,IF(BB102="Stage 4",-5,0))))</f>
        <v/>
      </c>
      <c r="BD102" s="31" t="inlineStr">
        <is>
          <t>Negative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IF(B103=0,"",RANK(B103,$B$2:$B$366,0))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SANSERA</t>
        </is>
      </c>
      <c r="D103" s="31" t="inlineStr">
        <is>
          <t>Sansera Engineering Ltd</t>
        </is>
      </c>
      <c r="E103" s="31" t="inlineStr">
        <is>
          <t>auto</t>
        </is>
      </c>
      <c r="F103" s="31" t="inlineStr">
        <is>
          <t>auto ancillaries</t>
        </is>
      </c>
      <c r="G103" s="31" t="inlineStr">
        <is>
          <t>largecap</t>
        </is>
      </c>
      <c r="H103" s="32" t="n">
        <v>20885.85</v>
      </c>
      <c r="I103" s="32" t="n">
        <v>3452.7</v>
      </c>
      <c r="J103" s="32" t="n">
        <v>3.16</v>
      </c>
      <c r="K103" s="32" t="n">
        <v>174571</v>
      </c>
      <c r="L103" s="31" t="n">
        <v>91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76.08</v>
      </c>
      <c r="P103" s="32" t="n">
        <v>53.13</v>
      </c>
      <c r="Q103" s="32" t="inlineStr"/>
      <c r="R103" s="31" t="inlineStr">
        <is>
          <t>Earnings / Momentum Support</t>
        </is>
      </c>
      <c r="S103" s="31" t="inlineStr">
        <is>
          <t>Nifty Auto</t>
        </is>
      </c>
      <c r="T103" s="32" t="n">
        <v>13.41</v>
      </c>
      <c r="U103" s="32" t="n">
        <v>137.65</v>
      </c>
      <c r="V103" s="32" t="n">
        <v>109.54</v>
      </c>
      <c r="W103" s="32" t="n">
        <v>26.81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Headwind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No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Above 40</t>
        </is>
      </c>
      <c r="AY103" s="31">
        <f>IF(AX103="Above 40",20,IF(AX103="20 to 40",10,IF(AX103="0 to 20",-5,0)))</f>
        <v/>
      </c>
      <c r="AZ103" s="31" t="inlineStr">
        <is>
          <t>Above 75</t>
        </is>
      </c>
      <c r="BA103" s="31">
        <f>IF(AZ103="Between 50 to 75",10,IF(AZ103="Above 75",0,0))</f>
        <v/>
      </c>
      <c r="BB103" s="31" t="inlineStr">
        <is>
          <t>Stage 3</t>
        </is>
      </c>
      <c r="BC103" s="31">
        <f>IF(BB103="Stage 2",20,IF(BB103="Stage 1",0,IF(BB103="Stage 3",5,IF(BB103="Stage 4",-5,0))))</f>
        <v/>
      </c>
      <c r="BD103" s="31" t="inlineStr">
        <is>
          <t>Negative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Between 50% to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IF(B104=0,"",RANK(B104,$B$2:$B$366,0))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KENNAMET</t>
        </is>
      </c>
      <c r="D104" s="31" t="inlineStr">
        <is>
          <t>Kennametal India Ltd</t>
        </is>
      </c>
      <c r="E104" s="31" t="inlineStr">
        <is>
          <t>industrials</t>
        </is>
      </c>
      <c r="F104" s="31" t="inlineStr">
        <is>
          <t>castings &amp; forgings</t>
        </is>
      </c>
      <c r="G104" s="31" t="inlineStr">
        <is>
          <t>midcap</t>
        </is>
      </c>
      <c r="H104" s="32" t="n">
        <v>6200.94</v>
      </c>
      <c r="I104" s="32" t="n">
        <v>2907.5</v>
      </c>
      <c r="J104" s="32" t="n">
        <v>3.05</v>
      </c>
      <c r="K104" s="32" t="n">
        <v>16804</v>
      </c>
      <c r="L104" s="31" t="n">
        <v>48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57.81</v>
      </c>
      <c r="P104" s="32" t="n">
        <v>43.45</v>
      </c>
      <c r="Q104" s="32" t="inlineStr"/>
      <c r="R104" s="31" t="inlineStr">
        <is>
          <t>Earnings / Momentum Support</t>
        </is>
      </c>
      <c r="S104" s="31" t="inlineStr">
        <is>
          <t>Nifty 50</t>
        </is>
      </c>
      <c r="T104" s="32" t="n">
        <v>-0.74</v>
      </c>
      <c r="U104" s="32" t="n">
        <v>31.43</v>
      </c>
      <c r="V104" s="32" t="n">
        <v>32.41</v>
      </c>
      <c r="W104" s="32" t="n">
        <v>7.81</v>
      </c>
      <c r="X104" s="31" t="inlineStr">
        <is>
          <t>Cyclical in an Upturn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Headwind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No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Above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3</t>
        </is>
      </c>
      <c r="BC104" s="31">
        <f>IF(BB104="Stage 2",20,IF(BB104="Stage 1",0,IF(BB104="Stage 3",5,IF(BB104="Stage 4",-5,0))))</f>
        <v/>
      </c>
      <c r="BD104" s="31" t="inlineStr">
        <is>
          <t>Negative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Close to 52 week high or retracement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IF(B105=0,"",RANK(B105,$B$2:$B$366,0))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SHRIPISTON</t>
        </is>
      </c>
      <c r="D105" s="31" t="inlineStr">
        <is>
          <t>Shriram Pistons &amp; Rings Limited</t>
        </is>
      </c>
      <c r="E105" s="31" t="inlineStr">
        <is>
          <t>auto</t>
        </is>
      </c>
      <c r="F105" s="31" t="inlineStr">
        <is>
          <t>auto ancillaries</t>
        </is>
      </c>
      <c r="G105" s="31" t="inlineStr">
        <is>
          <t>midcap</t>
        </is>
      </c>
      <c r="H105" s="32" t="n">
        <v>19360.78</v>
      </c>
      <c r="I105" s="32" t="n">
        <v>4524.4</v>
      </c>
      <c r="J105" s="32" t="n">
        <v>2.94</v>
      </c>
      <c r="K105" s="32" t="n">
        <v>66254</v>
      </c>
      <c r="L105" s="31" t="n">
        <v>69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72.92</v>
      </c>
      <c r="P105" s="32" t="n">
        <v>40.83</v>
      </c>
      <c r="Q105" s="32" t="inlineStr"/>
      <c r="R105" s="31" t="inlineStr">
        <is>
          <t>Earnings / Momentum Support</t>
        </is>
      </c>
      <c r="S105" s="31" t="inlineStr">
        <is>
          <t>Nifty Auto</t>
        </is>
      </c>
      <c r="T105" s="32" t="n">
        <v>13.41</v>
      </c>
      <c r="U105" s="32" t="n">
        <v>71.08</v>
      </c>
      <c r="V105" s="32" t="n">
        <v>50.84</v>
      </c>
      <c r="W105" s="32" t="n">
        <v>14.07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Headwind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No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3</t>
        </is>
      </c>
      <c r="BC105" s="31">
        <f>IF(BB105="Stage 2",20,IF(BB105="Stage 1",0,IF(BB105="Stage 3",5,IF(BB105="Stage 4",-5,0))))</f>
        <v/>
      </c>
      <c r="BD105" s="31" t="inlineStr">
        <is>
          <t>Negative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Less than 12%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No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IF(B106=0,"",RANK(B106,$B$2:$B$366,0))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HAPPYFORGE</t>
        </is>
      </c>
      <c r="D106" s="31" t="inlineStr">
        <is>
          <t>Happy Forgings Ltd</t>
        </is>
      </c>
      <c r="E106" s="31" t="inlineStr">
        <is>
          <t>industrials</t>
        </is>
      </c>
      <c r="F106" s="31" t="inlineStr">
        <is>
          <t>castings &amp; forgings</t>
        </is>
      </c>
      <c r="G106" s="31" t="inlineStr">
        <is>
          <t>midcap</t>
        </is>
      </c>
      <c r="H106" s="32" t="n">
        <v>15597.97</v>
      </c>
      <c r="I106" s="32" t="n">
        <v>1699.2</v>
      </c>
      <c r="J106" s="32" t="n">
        <v>2.81</v>
      </c>
      <c r="K106" s="32" t="n">
        <v>56505</v>
      </c>
      <c r="L106" s="31" t="n">
        <v>77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74.42</v>
      </c>
      <c r="P106" s="32" t="n">
        <v>49.91</v>
      </c>
      <c r="Q106" s="32" t="inlineStr"/>
      <c r="R106" s="31" t="inlineStr">
        <is>
          <t>Earnings / Momentum Support</t>
        </is>
      </c>
      <c r="S106" s="31" t="inlineStr">
        <is>
          <t>Nifty 50</t>
        </is>
      </c>
      <c r="T106" s="32" t="n">
        <v>-0.74</v>
      </c>
      <c r="U106" s="32" t="n">
        <v>76.09999999999999</v>
      </c>
      <c r="V106" s="32" t="n">
        <v>77.41</v>
      </c>
      <c r="W106" s="32" t="n">
        <v>17.2</v>
      </c>
      <c r="X106" s="31" t="inlineStr">
        <is>
          <t>Cyclical in an Upturn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Headwind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No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Above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3</t>
        </is>
      </c>
      <c r="BC106" s="31">
        <f>IF(BB106="Stage 2",20,IF(BB106="Stage 1",0,IF(BB106="Stage 3",5,IF(BB106="Stage 4",-5,0))))</f>
        <v/>
      </c>
      <c r="BD106" s="31" t="inlineStr">
        <is>
          <t>Negative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IF(B107=0,"",RANK(B107,$B$2:$B$366,0))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HONASA</t>
        </is>
      </c>
      <c r="D107" s="31" t="inlineStr">
        <is>
          <t>Honasa Consumer Ltd</t>
        </is>
      </c>
      <c r="E107" s="31" t="inlineStr">
        <is>
          <t>services</t>
        </is>
      </c>
      <c r="F107" s="31" t="inlineStr">
        <is>
          <t>trading</t>
        </is>
      </c>
      <c r="G107" s="31" t="inlineStr">
        <is>
          <t>midcap</t>
        </is>
      </c>
      <c r="H107" s="32" t="n">
        <v>14656.42</v>
      </c>
      <c r="I107" s="32" t="n">
        <v>460</v>
      </c>
      <c r="J107" s="32" t="n">
        <v>2.32</v>
      </c>
      <c r="K107" s="32" t="n">
        <v>725342</v>
      </c>
      <c r="L107" s="31" t="n">
        <v>78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72.18000000000001</v>
      </c>
      <c r="P107" s="32" t="n">
        <v>55.65</v>
      </c>
      <c r="Q107" s="32" t="inlineStr"/>
      <c r="R107" s="31" t="inlineStr">
        <is>
          <t>Earnings / Momentum Support</t>
        </is>
      </c>
      <c r="S107" s="31" t="inlineStr">
        <is>
          <t>Nifty 50</t>
        </is>
      </c>
      <c r="T107" s="32" t="n">
        <v>-0.74</v>
      </c>
      <c r="U107" s="32" t="n">
        <v>65.58</v>
      </c>
      <c r="V107" s="32" t="n">
        <v>66.81</v>
      </c>
      <c r="W107" s="32" t="n">
        <v>17.84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Headwind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No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3</t>
        </is>
      </c>
      <c r="BC107" s="31">
        <f>IF(BB107="Stage 2",20,IF(BB107="Stage 1",0,IF(BB107="Stage 3",5,IF(BB107="Stage 4",-5,0))))</f>
        <v/>
      </c>
      <c r="BD107" s="31" t="inlineStr">
        <is>
          <t>Negative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Between 50% to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IF(B108=0,"",RANK(B108,$B$2:$B$366,0))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SONACOMS</t>
        </is>
      </c>
      <c r="D108" s="31" t="inlineStr">
        <is>
          <t>Sona BLW Precision Forgings Ltd</t>
        </is>
      </c>
      <c r="E108" s="31" t="inlineStr">
        <is>
          <t>auto</t>
        </is>
      </c>
      <c r="F108" s="31" t="inlineStr">
        <is>
          <t>auto ancillaries</t>
        </is>
      </c>
      <c r="G108" s="31" t="inlineStr">
        <is>
          <t>largecap</t>
        </is>
      </c>
      <c r="H108" s="32" t="n">
        <v>47859.36</v>
      </c>
      <c r="I108" s="32" t="n">
        <v>785</v>
      </c>
      <c r="J108" s="32" t="n">
        <v>2.03</v>
      </c>
      <c r="K108" s="32" t="n">
        <v>7488346</v>
      </c>
      <c r="L108" s="31" t="n">
        <v>64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80.03</v>
      </c>
      <c r="P108" s="32" t="n">
        <v>46.46</v>
      </c>
      <c r="Q108" s="32" t="inlineStr"/>
      <c r="R108" s="31" t="inlineStr">
        <is>
          <t>Earnings / Momentum Support</t>
        </is>
      </c>
      <c r="S108" s="31" t="inlineStr">
        <is>
          <t>Nifty Auto</t>
        </is>
      </c>
      <c r="T108" s="32" t="n">
        <v>13.41</v>
      </c>
      <c r="U108" s="32" t="n">
        <v>47.83</v>
      </c>
      <c r="V108" s="32" t="n">
        <v>30.34</v>
      </c>
      <c r="W108" s="32" t="n">
        <v>12.69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Headwind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No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Above 75</t>
        </is>
      </c>
      <c r="BA108" s="31">
        <f>IF(AZ108="Between 50 to 75",10,IF(AZ108="Above 75",0,0))</f>
        <v/>
      </c>
      <c r="BB108" s="31" t="inlineStr">
        <is>
          <t>Stage 3</t>
        </is>
      </c>
      <c r="BC108" s="31">
        <f>IF(BB108="Stage 2",20,IF(BB108="Stage 1",0,IF(BB108="Stage 3",5,IF(BB108="Stage 4",-5,0))))</f>
        <v/>
      </c>
      <c r="BD108" s="31" t="inlineStr">
        <is>
          <t>Negative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Between 1.5 to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IF(B109=0,"",RANK(B109,$B$2:$B$366,0))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3" t="inlineStr">
        <is>
          <t>COSMOFIRST</t>
        </is>
      </c>
      <c r="D109" s="33" t="inlineStr">
        <is>
          <t>Cosmo First Ltd</t>
        </is>
      </c>
      <c r="E109" s="31" t="inlineStr">
        <is>
          <t>industrials</t>
        </is>
      </c>
      <c r="F109" s="31" t="inlineStr">
        <is>
          <t>packaging</t>
        </is>
      </c>
      <c r="G109" s="31" t="inlineStr">
        <is>
          <t>smallcap</t>
        </is>
      </c>
      <c r="H109" s="32" t="n">
        <v>2342.26</v>
      </c>
      <c r="I109" s="32" t="n">
        <v>910.05</v>
      </c>
      <c r="J109" s="32" t="n">
        <v>1.99</v>
      </c>
      <c r="K109" s="32" t="n">
        <v>102857</v>
      </c>
      <c r="L109" s="31" t="n">
        <v>32</v>
      </c>
      <c r="M109" s="31" t="inlineStr">
        <is>
          <t>Underperforming</t>
        </is>
      </c>
      <c r="N109" s="32">
        <f>IF(M109="Underperforming",-5,IF(L109&gt;=95,15,IF(L109&gt;=90,10,IF(L109&gt;=80,5,0))))</f>
        <v/>
      </c>
      <c r="O109" s="32" t="n">
        <v>64.62</v>
      </c>
      <c r="P109" s="32" t="n">
        <v>40.83</v>
      </c>
      <c r="Q109" s="32" t="inlineStr"/>
      <c r="R109" s="31" t="inlineStr">
        <is>
          <t>Earnings / Momentum Support</t>
        </is>
      </c>
      <c r="S109" s="31" t="inlineStr">
        <is>
          <t>Nifty 50</t>
        </is>
      </c>
      <c r="T109" s="32" t="n">
        <v>-0.74</v>
      </c>
      <c r="U109" s="32" t="n">
        <v>-13.64</v>
      </c>
      <c r="V109" s="32" t="n">
        <v>-13</v>
      </c>
      <c r="W109" s="32" t="n">
        <v>4.89</v>
      </c>
      <c r="X109" s="31" t="inlineStr">
        <is>
          <t>Cyclical in an Upturn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Headwind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No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Above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3</t>
        </is>
      </c>
      <c r="BC109" s="31">
        <f>IF(BB109="Stage 2",20,IF(BB109="Stage 1",0,IF(BB109="Stage 3",5,IF(BB109="Stage 4",-5,0))))</f>
        <v/>
      </c>
      <c r="BD109" s="31" t="inlineStr">
        <is>
          <t>Negative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Less than 1.5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Between 0.7 to 1.2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IF(B110=0,"",RANK(B110,$B$2:$B$366,0))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PIDILITIND</t>
        </is>
      </c>
      <c r="D110" s="31" t="inlineStr">
        <is>
          <t>Pidilite Industries Limited</t>
        </is>
      </c>
      <c r="E110" s="31" t="inlineStr">
        <is>
          <t>chemicals</t>
        </is>
      </c>
      <c r="F110" s="31" t="inlineStr">
        <is>
          <t>chemicals</t>
        </is>
      </c>
      <c r="G110" s="31" t="inlineStr">
        <is>
          <t>largecap</t>
        </is>
      </c>
      <c r="H110" s="32" t="n">
        <v>164004.32</v>
      </c>
      <c r="I110" s="32" t="n">
        <v>1642.5</v>
      </c>
      <c r="J110" s="32" t="n">
        <v>1.93</v>
      </c>
      <c r="K110" s="32" t="n">
        <v>1895424</v>
      </c>
      <c r="L110" s="31" t="n">
        <v>40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67.09999999999999</v>
      </c>
      <c r="P110" s="32" t="n">
        <v>25.01</v>
      </c>
      <c r="Q110" s="32" t="inlineStr"/>
      <c r="R110" s="31" t="inlineStr">
        <is>
          <t>Earnings / Momentum Support</t>
        </is>
      </c>
      <c r="S110" s="31" t="inlineStr">
        <is>
          <t>Nifty 50</t>
        </is>
      </c>
      <c r="T110" s="32" t="n">
        <v>-0.74</v>
      </c>
      <c r="U110" s="32" t="n">
        <v>13.54</v>
      </c>
      <c r="V110" s="32" t="n">
        <v>14.39</v>
      </c>
      <c r="W110" s="32" t="n">
        <v>6.44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Headwind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No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3</t>
        </is>
      </c>
      <c r="BC110" s="31">
        <f>IF(BB110="Stage 2",20,IF(BB110="Stage 1",0,IF(BB110="Stage 3",5,IF(BB110="Stage 4",-5,0))))</f>
        <v/>
      </c>
      <c r="BD110" s="31" t="inlineStr">
        <is>
          <t>Negative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Between 1.5 to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IF(B111=0,"",RANK(B111,$B$2:$B$366,0))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THELEELA</t>
        </is>
      </c>
      <c r="D111" s="31" t="inlineStr">
        <is>
          <t>Leela Palaces Hotels &amp; Resorts Ltd</t>
        </is>
      </c>
      <c r="E111" s="31" t="inlineStr">
        <is>
          <t>services</t>
        </is>
      </c>
      <c r="F111" s="31" t="inlineStr">
        <is>
          <t>hotels</t>
        </is>
      </c>
      <c r="G111" s="31" t="inlineStr">
        <is>
          <t>midcap</t>
        </is>
      </c>
      <c r="H111" s="32" t="n">
        <v>16517.56</v>
      </c>
      <c r="I111" s="32" t="n">
        <v>501.8</v>
      </c>
      <c r="J111" s="32" t="n">
        <v>1.46</v>
      </c>
      <c r="K111" s="32" t="n">
        <v>2192952</v>
      </c>
      <c r="L111" s="31" t="n">
        <v>43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61</v>
      </c>
      <c r="P111" s="32" t="n">
        <v>22.94</v>
      </c>
      <c r="Q111" s="32" t="inlineStr"/>
      <c r="R111" s="31" t="inlineStr">
        <is>
          <t>Earnings / Momentum Support</t>
        </is>
      </c>
      <c r="S111" s="31" t="inlineStr">
        <is>
          <t>Nifty 50</t>
        </is>
      </c>
      <c r="T111" s="32" t="n">
        <v>-0.74</v>
      </c>
      <c r="U111" s="32" t="n">
        <v>19.63</v>
      </c>
      <c r="V111" s="32" t="n">
        <v>20.52</v>
      </c>
      <c r="W111" s="32" t="n">
        <v>6.93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Headwind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No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3</t>
        </is>
      </c>
      <c r="BC111" s="31">
        <f>IF(BB111="Stage 2",20,IF(BB111="Stage 1",0,IF(BB111="Stage 3",5,IF(BB111="Stage 4",-5,0))))</f>
        <v/>
      </c>
      <c r="BD111" s="31" t="inlineStr">
        <is>
          <t>Negative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IF(B112=0,"",RANK(B112,$B$2:$B$366,0))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TPLPLASTEH</t>
        </is>
      </c>
      <c r="D112" s="31" t="inlineStr">
        <is>
          <t>Tpl Plastech Limited</t>
        </is>
      </c>
      <c r="E112" s="31" t="inlineStr">
        <is>
          <t>industrials</t>
        </is>
      </c>
      <c r="F112" s="31" t="inlineStr">
        <is>
          <t>packaging</t>
        </is>
      </c>
      <c r="G112" s="31" t="inlineStr">
        <is>
          <t>smallcap</t>
        </is>
      </c>
      <c r="H112" s="32" t="n">
        <v>618.64</v>
      </c>
      <c r="I112" s="32" t="n">
        <v>80.40000000000001</v>
      </c>
      <c r="J112" s="32" t="n">
        <v>1.37</v>
      </c>
      <c r="K112" s="32" t="n">
        <v>123769</v>
      </c>
      <c r="L112" s="31" t="n">
        <v>30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57.79</v>
      </c>
      <c r="P112" s="32" t="n">
        <v>25.77</v>
      </c>
      <c r="Q112" s="32" t="inlineStr"/>
      <c r="R112" s="31" t="inlineStr">
        <is>
          <t>Earnings / Momentum Support</t>
        </is>
      </c>
      <c r="S112" s="31" t="inlineStr">
        <is>
          <t>Nifty 50</t>
        </is>
      </c>
      <c r="T112" s="32" t="n">
        <v>-0.74</v>
      </c>
      <c r="U112" s="32" t="n">
        <v>4.41</v>
      </c>
      <c r="V112" s="32" t="n">
        <v>5.19</v>
      </c>
      <c r="W112" s="32" t="n">
        <v>4.6</v>
      </c>
      <c r="X112" s="31" t="inlineStr">
        <is>
          <t>Cyclical in an Upturn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Headwind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No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3</t>
        </is>
      </c>
      <c r="BC112" s="31">
        <f>IF(BB112="Stage 2",20,IF(BB112="Stage 1",0,IF(BB112="Stage 3",5,IF(BB112="Stage 4",-5,0))))</f>
        <v/>
      </c>
      <c r="BD112" s="31" t="inlineStr">
        <is>
          <t>Negative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Between 12 to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Less than 1.5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IF(B113=0,"",RANK(B113,$B$2:$B$366,0))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IDEAFORGE</t>
        </is>
      </c>
      <c r="D113" s="31" t="inlineStr">
        <is>
          <t>Ideaforge Technology Ltd</t>
        </is>
      </c>
      <c r="E113" s="31" t="inlineStr">
        <is>
          <t>aerospace &amp; defence</t>
        </is>
      </c>
      <c r="F113" s="31" t="inlineStr">
        <is>
          <t>engineering</t>
        </is>
      </c>
      <c r="G113" s="31" t="inlineStr">
        <is>
          <t>smallcap</t>
        </is>
      </c>
      <c r="H113" s="32" t="n">
        <v>4347.99</v>
      </c>
      <c r="I113" s="32" t="n">
        <v>887.1</v>
      </c>
      <c r="J113" s="32" t="n">
        <v>1.37</v>
      </c>
      <c r="K113" s="32" t="n">
        <v>124447</v>
      </c>
      <c r="L113" s="31" t="n">
        <v>90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63.7</v>
      </c>
      <c r="P113" s="32" t="n">
        <v>67.48999999999999</v>
      </c>
      <c r="Q113" s="32" t="inlineStr"/>
      <c r="R113" s="31" t="inlineStr">
        <is>
          <t>Earnings / Momentum Support</t>
        </is>
      </c>
      <c r="S113" s="31" t="inlineStr">
        <is>
          <t>Nifty 50</t>
        </is>
      </c>
      <c r="T113" s="32" t="n">
        <v>-0.74</v>
      </c>
      <c r="U113" s="32" t="n">
        <v>102.17</v>
      </c>
      <c r="V113" s="32" t="n">
        <v>103.68</v>
      </c>
      <c r="W113" s="32" t="n">
        <v>25.69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Headwind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No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Above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3</t>
        </is>
      </c>
      <c r="BC113" s="31">
        <f>IF(BB113="Stage 2",20,IF(BB113="Stage 1",0,IF(BB113="Stage 3",5,IF(BB113="Stage 4",-5,0))))</f>
        <v/>
      </c>
      <c r="BD113" s="31" t="inlineStr">
        <is>
          <t>Negative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Negative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IF(B114=0,"",RANK(B114,$B$2:$B$366,0))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DIVGIITTS</t>
        </is>
      </c>
      <c r="D114" s="31" t="inlineStr">
        <is>
          <t>Divgi Torqtransfer Systems Ltd</t>
        </is>
      </c>
      <c r="E114" s="31" t="inlineStr">
        <is>
          <t>auto</t>
        </is>
      </c>
      <c r="F114" s="31" t="inlineStr">
        <is>
          <t>auto ancillaries</t>
        </is>
      </c>
      <c r="G114" s="31" t="inlineStr">
        <is>
          <t>smallcap</t>
        </is>
      </c>
      <c r="H114" s="32" t="n">
        <v>2944.37</v>
      </c>
      <c r="I114" s="32" t="n">
        <v>975.6</v>
      </c>
      <c r="J114" s="32" t="n">
        <v>1.33</v>
      </c>
      <c r="K114" s="32" t="n">
        <v>25192</v>
      </c>
      <c r="L114" s="31" t="n">
        <v>63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64.38</v>
      </c>
      <c r="P114" s="32" t="n">
        <v>42.02</v>
      </c>
      <c r="Q114" s="32" t="inlineStr"/>
      <c r="R114" s="31" t="inlineStr">
        <is>
          <t>Earnings / Momentum Support</t>
        </is>
      </c>
      <c r="S114" s="31" t="inlineStr">
        <is>
          <t>Nifty Auto</t>
        </is>
      </c>
      <c r="T114" s="32" t="n">
        <v>13.41</v>
      </c>
      <c r="U114" s="32" t="n">
        <v>45.56</v>
      </c>
      <c r="V114" s="32" t="n">
        <v>28.35</v>
      </c>
      <c r="W114" s="32" t="n">
        <v>12.18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Headwind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No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Above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3</t>
        </is>
      </c>
      <c r="BC114" s="31">
        <f>IF(BB114="Stage 2",20,IF(BB114="Stage 1",0,IF(BB114="Stage 3",5,IF(BB114="Stage 4",-5,0))))</f>
        <v/>
      </c>
      <c r="BD114" s="31" t="inlineStr">
        <is>
          <t>Negative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Between 50% to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IF(B115=0,"",RANK(B115,$B$2:$B$366,0))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KMEW</t>
        </is>
      </c>
      <c r="D115" s="31" t="inlineStr">
        <is>
          <t>Knowledge Marine &amp; Engineering Works Ltd</t>
        </is>
      </c>
      <c r="E115" s="31" t="inlineStr">
        <is>
          <t>transportation</t>
        </is>
      </c>
      <c r="F115" s="31" t="inlineStr">
        <is>
          <t>miscellaneous</t>
        </is>
      </c>
      <c r="G115" s="31" t="inlineStr">
        <is>
          <t>midcap</t>
        </is>
      </c>
      <c r="H115" s="32" t="n">
        <v>6021.32</v>
      </c>
      <c r="I115" s="32" t="n">
        <v>2493.5</v>
      </c>
      <c r="J115" s="32" t="n">
        <v>1.23</v>
      </c>
      <c r="K115" s="32" t="n">
        <v>51459</v>
      </c>
      <c r="L115" s="31" t="n">
        <v>95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71.67</v>
      </c>
      <c r="P115" s="32" t="n">
        <v>49.76</v>
      </c>
      <c r="Q115" s="32" t="inlineStr"/>
      <c r="R115" s="31" t="inlineStr">
        <is>
          <t>Earnings / Momentum Support</t>
        </is>
      </c>
      <c r="S115" s="31" t="inlineStr">
        <is>
          <t>Nifty 50</t>
        </is>
      </c>
      <c r="T115" s="32" t="n">
        <v>-0.74</v>
      </c>
      <c r="U115" s="32" t="n">
        <v>200.48</v>
      </c>
      <c r="V115" s="32" t="n">
        <v>202.72</v>
      </c>
      <c r="W115" s="32" t="n">
        <v>34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Headwind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No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Above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3</t>
        </is>
      </c>
      <c r="BC115" s="31">
        <f>IF(BB115="Stage 2",20,IF(BB115="Stage 1",0,IF(BB115="Stage 3",5,IF(BB115="Stage 4",-5,0))))</f>
        <v/>
      </c>
      <c r="BD115" s="31" t="inlineStr">
        <is>
          <t>Negative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Negative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IF(B116=0,"",RANK(B116,$B$2:$B$366,0))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YASHO</t>
        </is>
      </c>
      <c r="D116" s="31" t="inlineStr">
        <is>
          <t>Yasho Industries Ltd</t>
        </is>
      </c>
      <c r="E116" s="31" t="inlineStr">
        <is>
          <t>chemicals</t>
        </is>
      </c>
      <c r="F116" s="31" t="inlineStr">
        <is>
          <t>chemicals</t>
        </is>
      </c>
      <c r="G116" s="31" t="inlineStr">
        <is>
          <t>smallcap</t>
        </is>
      </c>
      <c r="H116" s="32" t="n">
        <v>4650.58</v>
      </c>
      <c r="I116" s="32" t="n">
        <v>3884.8</v>
      </c>
      <c r="J116" s="32" t="n">
        <v>0.68</v>
      </c>
      <c r="K116" s="32" t="n">
        <v>438114</v>
      </c>
      <c r="L116" s="31" t="n">
        <v>98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90.06</v>
      </c>
      <c r="P116" s="32" t="n">
        <v>60.23</v>
      </c>
      <c r="Q116" s="32" t="inlineStr"/>
      <c r="R116" s="31" t="inlineStr">
        <is>
          <t>Volume Spike / Accumulation</t>
        </is>
      </c>
      <c r="S116" s="31" t="inlineStr">
        <is>
          <t>Nifty 50</t>
        </is>
      </c>
      <c r="T116" s="32" t="n">
        <v>-0.74</v>
      </c>
      <c r="U116" s="32" t="n">
        <v>110.63</v>
      </c>
      <c r="V116" s="32" t="n">
        <v>112.2</v>
      </c>
      <c r="W116" s="32" t="n">
        <v>60.48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Headwind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Above 40</t>
        </is>
      </c>
      <c r="AY116" s="31">
        <f>IF(AX116="Above 40",20,IF(AX116="20 to 40",10,IF(AX116="0 to 20",-5,0)))</f>
        <v/>
      </c>
      <c r="AZ116" s="31" t="inlineStr">
        <is>
          <t>Above 75</t>
        </is>
      </c>
      <c r="BA116" s="31">
        <f>IF(AZ116="Between 50 to 75",10,IF(AZ116="Above 75",0,0))</f>
        <v/>
      </c>
      <c r="BB116" s="31" t="inlineStr">
        <is>
          <t>Stage 3</t>
        </is>
      </c>
      <c r="BC116" s="31">
        <f>IF(BB116="Stage 2",20,IF(BB116="Stage 1",0,IF(BB116="Stage 3",5,IF(BB116="Stage 4",-5,0))))</f>
        <v/>
      </c>
      <c r="BD116" s="31" t="inlineStr">
        <is>
          <t>Negative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More than 1.2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IF(B117=0,"",RANK(B117,$B$2:$B$366,0))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GHCLTEXTIL</t>
        </is>
      </c>
      <c r="D117" s="31" t="inlineStr">
        <is>
          <t>GHCL Textiles Ltd</t>
        </is>
      </c>
      <c r="E117" s="31" t="inlineStr">
        <is>
          <t>textiles</t>
        </is>
      </c>
      <c r="F117" s="31" t="inlineStr">
        <is>
          <t>textiles - spinning - synthetic / blended</t>
        </is>
      </c>
      <c r="G117" s="31" t="inlineStr">
        <is>
          <t>smallcap</t>
        </is>
      </c>
      <c r="H117" s="32" t="n">
        <v>1086.05</v>
      </c>
      <c r="I117" s="32" t="n">
        <v>114.36</v>
      </c>
      <c r="J117" s="32" t="n">
        <v>0.65</v>
      </c>
      <c r="K117" s="32" t="n">
        <v>1160474</v>
      </c>
      <c r="L117" s="31" t="n">
        <v>63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69.08</v>
      </c>
      <c r="P117" s="32" t="n">
        <v>30.33</v>
      </c>
      <c r="Q117" s="32" t="inlineStr"/>
      <c r="R117" s="31" t="inlineStr">
        <is>
          <t>Earnings / Momentum Support</t>
        </is>
      </c>
      <c r="S117" s="31" t="inlineStr">
        <is>
          <t>Nifty 50</t>
        </is>
      </c>
      <c r="T117" s="32" t="n">
        <v>-0.74</v>
      </c>
      <c r="U117" s="32" t="n">
        <v>31.61</v>
      </c>
      <c r="V117" s="32" t="n">
        <v>32.59</v>
      </c>
      <c r="W117" s="32" t="n">
        <v>12.35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Headwind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No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3</t>
        </is>
      </c>
      <c r="BC117" s="31">
        <f>IF(BB117="Stage 2",20,IF(BB117="Stage 1",0,IF(BB117="Stage 3",5,IF(BB117="Stage 4",-5,0))))</f>
        <v/>
      </c>
      <c r="BD117" s="31" t="inlineStr">
        <is>
          <t>Negative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IF(B118=0,"",RANK(B118,$B$2:$B$366,0))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IRISDOREME</t>
        </is>
      </c>
      <c r="D118" s="31" t="inlineStr">
        <is>
          <t>Iris Clothings Ltd</t>
        </is>
      </c>
      <c r="E118" s="31" t="inlineStr">
        <is>
          <t>consumer discretionary</t>
        </is>
      </c>
      <c r="F118" s="31" t="inlineStr">
        <is>
          <t>textiles - products</t>
        </is>
      </c>
      <c r="G118" s="31" t="inlineStr">
        <is>
          <t>smallcap</t>
        </is>
      </c>
      <c r="H118" s="32" t="n">
        <v>1008</v>
      </c>
      <c r="I118" s="32" t="n">
        <v>53.2</v>
      </c>
      <c r="J118" s="32" t="n">
        <v>0.45</v>
      </c>
      <c r="K118" s="32" t="n">
        <v>459961</v>
      </c>
      <c r="L118" s="31" t="n">
        <v>84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81.05</v>
      </c>
      <c r="P118" s="32" t="n">
        <v>35.56</v>
      </c>
      <c r="Q118" s="32" t="inlineStr"/>
      <c r="R118" s="31" t="inlineStr">
        <is>
          <t>Earnings / Momentum Support</t>
        </is>
      </c>
      <c r="S118" s="31" t="inlineStr">
        <is>
          <t>Nifty 50</t>
        </is>
      </c>
      <c r="T118" s="32" t="n">
        <v>-0.74</v>
      </c>
      <c r="U118" s="32" t="n">
        <v>68.93000000000001</v>
      </c>
      <c r="V118" s="32" t="n">
        <v>70.19</v>
      </c>
      <c r="W118" s="32" t="n">
        <v>21.64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Headwind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No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Above 75</t>
        </is>
      </c>
      <c r="BA118" s="31">
        <f>IF(AZ118="Between 50 to 75",10,IF(AZ118="Above 75",0,0))</f>
        <v/>
      </c>
      <c r="BB118" s="31" t="inlineStr">
        <is>
          <t>Stage 3</t>
        </is>
      </c>
      <c r="BC118" s="31">
        <f>IF(BB118="Stage 2",20,IF(BB118="Stage 1",0,IF(BB118="Stage 3",5,IF(BB118="Stage 4",-5,0))))</f>
        <v/>
      </c>
      <c r="BD118" s="31" t="inlineStr">
        <is>
          <t>Negative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IF(B119=0,"",RANK(B119,$B$2:$B$366,0))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SHAILY</t>
        </is>
      </c>
      <c r="D119" s="31" t="inlineStr">
        <is>
          <t>Shaily Engineering Plastics Ltd</t>
        </is>
      </c>
      <c r="E119" s="31" t="inlineStr">
        <is>
          <t>plastic products</t>
        </is>
      </c>
      <c r="F119" s="31" t="inlineStr">
        <is>
          <t>plastics products</t>
        </is>
      </c>
      <c r="G119" s="31" t="inlineStr">
        <is>
          <t>midcap</t>
        </is>
      </c>
      <c r="H119" s="32" t="n">
        <v>14080.99</v>
      </c>
      <c r="I119" s="32" t="n">
        <v>3056</v>
      </c>
      <c r="J119" s="32" t="n">
        <v>-0.18</v>
      </c>
      <c r="K119" s="32" t="n">
        <v>104738</v>
      </c>
      <c r="L119" s="31" t="n">
        <v>82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64.58</v>
      </c>
      <c r="P119" s="32" t="n">
        <v>27.7</v>
      </c>
      <c r="Q119" s="32" t="inlineStr"/>
      <c r="R119" s="31" t="inlineStr">
        <is>
          <t>Earnings / Momentum Support</t>
        </is>
      </c>
      <c r="S119" s="31" t="inlineStr">
        <is>
          <t>Nifty 50</t>
        </is>
      </c>
      <c r="T119" s="32" t="n">
        <v>-0.74</v>
      </c>
      <c r="U119" s="32" t="n">
        <v>91.31999999999999</v>
      </c>
      <c r="V119" s="32" t="n">
        <v>92.73999999999999</v>
      </c>
      <c r="W119" s="32" t="n">
        <v>19.95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Headwind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No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3</t>
        </is>
      </c>
      <c r="BC119" s="31">
        <f>IF(BB119="Stage 2",20,IF(BB119="Stage 1",0,IF(BB119="Stage 3",5,IF(BB119="Stage 4",-5,0))))</f>
        <v/>
      </c>
      <c r="BD119" s="31" t="inlineStr">
        <is>
          <t>Negative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IF(B120=0,"",RANK(B120,$B$2:$B$366,0))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KINGFA</t>
        </is>
      </c>
      <c r="D120" s="31" t="inlineStr">
        <is>
          <t>Kingfa Science &amp; Technology (india) Limited</t>
        </is>
      </c>
      <c r="E120" s="31" t="inlineStr">
        <is>
          <t>plastic products</t>
        </is>
      </c>
      <c r="F120" s="31" t="inlineStr">
        <is>
          <t>plastics products</t>
        </is>
      </c>
      <c r="G120" s="31" t="inlineStr">
        <is>
          <t>midcap</t>
        </is>
      </c>
      <c r="H120" s="32" t="n">
        <v>7112.44</v>
      </c>
      <c r="I120" s="32" t="n">
        <v>5225</v>
      </c>
      <c r="J120" s="32" t="n">
        <v>-0.45</v>
      </c>
      <c r="K120" s="32" t="n">
        <v>2836</v>
      </c>
      <c r="L120" s="31" t="n">
        <v>67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59.92</v>
      </c>
      <c r="P120" s="32" t="n">
        <v>29.49</v>
      </c>
      <c r="Q120" s="32" t="inlineStr"/>
      <c r="R120" s="31" t="inlineStr">
        <is>
          <t>Earnings / Momentum Support</t>
        </is>
      </c>
      <c r="S120" s="31" t="inlineStr">
        <is>
          <t>Nifty 50</t>
        </is>
      </c>
      <c r="T120" s="32" t="n">
        <v>-0.74</v>
      </c>
      <c r="U120" s="32" t="n">
        <v>63.63</v>
      </c>
      <c r="V120" s="32" t="n">
        <v>64.84999999999999</v>
      </c>
      <c r="W120" s="32" t="n">
        <v>13.78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Headwind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No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3</t>
        </is>
      </c>
      <c r="BC120" s="31">
        <f>IF(BB120="Stage 2",20,IF(BB120="Stage 1",0,IF(BB120="Stage 3",5,IF(BB120="Stage 4",-5,0))))</f>
        <v/>
      </c>
      <c r="BD120" s="31" t="inlineStr">
        <is>
          <t>Negative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Less than 1.5</t>
        </is>
      </c>
      <c r="BU120" s="31">
        <f>IF(BT120="Above 2",0,IF(BT120="Between 1.5 to 2",5,IF(BT120="Less than 1.5",10,0)))</f>
        <v/>
      </c>
      <c r="BV120" s="31" t="inlineStr">
        <is>
          <t>Less than 50%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IF(B121=0,"",RANK(B121,$B$2:$B$366,0))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VAIBHAVGBL</t>
        </is>
      </c>
      <c r="D121" s="31" t="inlineStr">
        <is>
          <t>Vaibhav Global Limited</t>
        </is>
      </c>
      <c r="E121" s="31" t="inlineStr">
        <is>
          <t>consumer discretionary</t>
        </is>
      </c>
      <c r="F121" s="31" t="inlineStr">
        <is>
          <t>diamond cutting / jewellery</t>
        </is>
      </c>
      <c r="G121" s="31" t="inlineStr">
        <is>
          <t>smallcap</t>
        </is>
      </c>
      <c r="H121" s="32" t="n">
        <v>4457.59</v>
      </c>
      <c r="I121" s="32" t="n">
        <v>264.75</v>
      </c>
      <c r="J121" s="32" t="n">
        <v>-0.6</v>
      </c>
      <c r="K121" s="32" t="n">
        <v>388078</v>
      </c>
      <c r="L121" s="31" t="n">
        <v>55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62.65</v>
      </c>
      <c r="P121" s="32" t="n">
        <v>26.61</v>
      </c>
      <c r="Q121" s="32" t="inlineStr"/>
      <c r="R121" s="31" t="inlineStr">
        <is>
          <t>Earnings / Momentum Support</t>
        </is>
      </c>
      <c r="S121" s="31" t="inlineStr">
        <is>
          <t>Nifty 50</t>
        </is>
      </c>
      <c r="T121" s="32" t="n">
        <v>-0.74</v>
      </c>
      <c r="U121" s="32" t="n">
        <v>21.79</v>
      </c>
      <c r="V121" s="32" t="n">
        <v>22.7</v>
      </c>
      <c r="W121" s="32" t="n">
        <v>9.84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Headwind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No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3</t>
        </is>
      </c>
      <c r="BC121" s="31">
        <f>IF(BB121="Stage 2",20,IF(BB121="Stage 1",0,IF(BB121="Stage 3",5,IF(BB121="Stage 4",-5,0))))</f>
        <v/>
      </c>
      <c r="BD121" s="31" t="inlineStr">
        <is>
          <t>Negative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IF(B122=0,"",RANK(B122,$B$2:$B$366,0))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ASTRAMICRO</t>
        </is>
      </c>
      <c r="D122" s="31" t="inlineStr">
        <is>
          <t>Astra Microwave Products Limited</t>
        </is>
      </c>
      <c r="E122" s="31" t="inlineStr">
        <is>
          <t>aerospace &amp; defence</t>
        </is>
      </c>
      <c r="F122" s="31" t="inlineStr">
        <is>
          <t>telecommunications - equipment</t>
        </is>
      </c>
      <c r="G122" s="31" t="inlineStr">
        <is>
          <t>midcap</t>
        </is>
      </c>
      <c r="H122" s="32" t="n">
        <v>17674.96</v>
      </c>
      <c r="I122" s="32" t="n">
        <v>1848.8</v>
      </c>
      <c r="J122" s="32" t="n">
        <v>-0.6899999999999999</v>
      </c>
      <c r="K122" s="32" t="n">
        <v>372849</v>
      </c>
      <c r="L122" s="31" t="n">
        <v>93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77.89</v>
      </c>
      <c r="P122" s="32" t="n">
        <v>57.19</v>
      </c>
      <c r="Q122" s="32" t="inlineStr"/>
      <c r="R122" s="31" t="inlineStr">
        <is>
          <t>Earnings / Momentum Support</t>
        </is>
      </c>
      <c r="S122" s="31" t="inlineStr">
        <is>
          <t>Nifty 50</t>
        </is>
      </c>
      <c r="T122" s="32" t="n">
        <v>-0.74</v>
      </c>
      <c r="U122" s="32" t="n">
        <v>97.45</v>
      </c>
      <c r="V122" s="32" t="n">
        <v>98.92</v>
      </c>
      <c r="W122" s="32" t="n">
        <v>30.19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Oligopoly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Yes</t>
        </is>
      </c>
      <c r="AC122" s="31">
        <f>IF(AB122="No",5,0)</f>
        <v/>
      </c>
      <c r="AD122" s="31" t="inlineStr">
        <is>
          <t>Headwind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No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Above 40</t>
        </is>
      </c>
      <c r="AY122" s="31">
        <f>IF(AX122="Above 40",20,IF(AX122="20 to 40",10,IF(AX122="0 to 20",-5,0)))</f>
        <v/>
      </c>
      <c r="AZ122" s="31" t="inlineStr">
        <is>
          <t>Above 75</t>
        </is>
      </c>
      <c r="BA122" s="31">
        <f>IF(AZ122="Between 50 to 75",10,IF(AZ122="Above 75",0,0))</f>
        <v/>
      </c>
      <c r="BB122" s="31" t="inlineStr">
        <is>
          <t>Stage 3</t>
        </is>
      </c>
      <c r="BC122" s="31">
        <f>IF(BB122="Stage 2",20,IF(BB122="Stage 1",0,IF(BB122="Stage 3",5,IF(BB122="Stage 4",-5,0))))</f>
        <v/>
      </c>
      <c r="BD122" s="31" t="inlineStr">
        <is>
          <t>Negative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IF(B123=0,"",RANK(B123,$B$2:$B$366,0))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NILKAMAL</t>
        </is>
      </c>
      <c r="D123" s="31" t="inlineStr">
        <is>
          <t>Nilkamal Limited</t>
        </is>
      </c>
      <c r="E123" s="31" t="inlineStr">
        <is>
          <t>plastic products</t>
        </is>
      </c>
      <c r="F123" s="31" t="inlineStr">
        <is>
          <t>plastics products</t>
        </is>
      </c>
      <c r="G123" s="31" t="inlineStr">
        <is>
          <t>smallcap</t>
        </is>
      </c>
      <c r="H123" s="32" t="n">
        <v>2682.77</v>
      </c>
      <c r="I123" s="32" t="n">
        <v>1699.9</v>
      </c>
      <c r="J123" s="32" t="n">
        <v>-5.45</v>
      </c>
      <c r="K123" s="32" t="n">
        <v>251226</v>
      </c>
      <c r="L123" s="31" t="n">
        <v>62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78.76000000000001</v>
      </c>
      <c r="P123" s="32" t="n">
        <v>25.68</v>
      </c>
      <c r="Q123" s="32" t="inlineStr"/>
      <c r="R123" s="31" t="inlineStr">
        <is>
          <t>Earnings / Momentum Support</t>
        </is>
      </c>
      <c r="S123" s="31" t="inlineStr">
        <is>
          <t>Nifty 50</t>
        </is>
      </c>
      <c r="T123" s="32" t="n">
        <v>-0.74</v>
      </c>
      <c r="U123" s="32" t="n">
        <v>12.47</v>
      </c>
      <c r="V123" s="32" t="n">
        <v>13.3</v>
      </c>
      <c r="W123" s="32" t="n">
        <v>11.94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Headwind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No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Above 75</t>
        </is>
      </c>
      <c r="BA123" s="31">
        <f>IF(AZ123="Between 50 to 75",10,IF(AZ123="Above 75",0,0))</f>
        <v/>
      </c>
      <c r="BB123" s="31" t="inlineStr">
        <is>
          <t>Stage 3</t>
        </is>
      </c>
      <c r="BC123" s="31">
        <f>IF(BB123="Stage 2",20,IF(BB123="Stage 1",0,IF(BB123="Stage 3",5,IF(BB123="Stage 4",-5,0))))</f>
        <v/>
      </c>
      <c r="BD123" s="31" t="inlineStr">
        <is>
          <t>Negative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Less than 1.5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IF(B124=0,"",RANK(B124,$B$2:$B$366,0))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FSL</t>
        </is>
      </c>
      <c r="D124" s="31" t="inlineStr">
        <is>
          <t>Firstsource Solutions Limited</t>
        </is>
      </c>
      <c r="E124" s="31" t="inlineStr">
        <is>
          <t>i.t</t>
        </is>
      </c>
      <c r="F124" s="31" t="inlineStr">
        <is>
          <t>computers - software - medium / small</t>
        </is>
      </c>
      <c r="G124" s="31" t="inlineStr">
        <is>
          <t>largecap</t>
        </is>
      </c>
      <c r="H124" s="32" t="n">
        <v>21057.49</v>
      </c>
      <c r="I124" s="32" t="n">
        <v>324.35</v>
      </c>
      <c r="J124" s="32" t="n">
        <v>7.36</v>
      </c>
      <c r="K124" s="32" t="n">
        <v>10047830</v>
      </c>
      <c r="L124" s="31" t="n">
        <v>52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59.51</v>
      </c>
      <c r="P124" s="32" t="n">
        <v>10.85</v>
      </c>
      <c r="Q124" s="32" t="inlineStr"/>
      <c r="R124" s="31" t="inlineStr">
        <is>
          <t>Earnings / Momentum Support</t>
        </is>
      </c>
      <c r="S124" s="31" t="inlineStr">
        <is>
          <t>Nifty IT</t>
        </is>
      </c>
      <c r="T124" s="32" t="n">
        <v>-11.37</v>
      </c>
      <c r="U124" s="32" t="n">
        <v>-8.93</v>
      </c>
      <c r="V124" s="32" t="n">
        <v>2.75</v>
      </c>
      <c r="W124" s="32" t="n">
        <v>9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Headwind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No</t>
        </is>
      </c>
      <c r="AQ124" s="31">
        <f>IF(AP124="Yes",10,0)</f>
        <v/>
      </c>
      <c r="AR124" s="31" t="inlineStr">
        <is>
          <t>Higher Annuity, Lower One Time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0 to 20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3</t>
        </is>
      </c>
      <c r="BC124" s="31">
        <f>IF(BB124="Stage 2",20,IF(BB124="Stage 1",0,IF(BB124="Stage 3",5,IF(BB124="Stage 4",-5,0))))</f>
        <v/>
      </c>
      <c r="BD124" s="31" t="inlineStr">
        <is>
          <t>Negative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Less than 1.5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IF(B125=0,"",RANK(B125,$B$2:$B$366,0))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TANLA</t>
        </is>
      </c>
      <c r="D125" s="31" t="inlineStr">
        <is>
          <t>Tanla Solutions Limited</t>
        </is>
      </c>
      <c r="E125" s="31" t="inlineStr">
        <is>
          <t>i.t</t>
        </is>
      </c>
      <c r="F125" s="31" t="inlineStr">
        <is>
          <t>computers - software - medium / small</t>
        </is>
      </c>
      <c r="G125" s="31" t="inlineStr">
        <is>
          <t>midcap</t>
        </is>
      </c>
      <c r="H125" s="32" t="n">
        <v>7778.67</v>
      </c>
      <c r="I125" s="32" t="n">
        <v>614.15</v>
      </c>
      <c r="J125" s="32" t="n">
        <v>4.71</v>
      </c>
      <c r="K125" s="32" t="n">
        <v>1281949</v>
      </c>
      <c r="L125" s="31" t="n">
        <v>23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61.8</v>
      </c>
      <c r="P125" s="32" t="n">
        <v>16.74</v>
      </c>
      <c r="Q125" s="32" t="inlineStr"/>
      <c r="R125" s="31" t="inlineStr">
        <is>
          <t>Earnings / Momentum Support</t>
        </is>
      </c>
      <c r="S125" s="31" t="inlineStr">
        <is>
          <t>Nifty IT</t>
        </is>
      </c>
      <c r="T125" s="32" t="n">
        <v>-11.37</v>
      </c>
      <c r="U125" s="32" t="n">
        <v>-2.9</v>
      </c>
      <c r="V125" s="32" t="n">
        <v>9.56</v>
      </c>
      <c r="W125" s="32" t="n">
        <v>2.9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Headwind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No</t>
        </is>
      </c>
      <c r="AQ125" s="31">
        <f>IF(AP125="Yes",10,0)</f>
        <v/>
      </c>
      <c r="AR125" s="31" t="inlineStr">
        <is>
          <t>Higher Annuity, Lower One Time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0 to 20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3</t>
        </is>
      </c>
      <c r="BC125" s="31">
        <f>IF(BB125="Stage 2",20,IF(BB125="Stage 1",0,IF(BB125="Stage 3",5,IF(BB125="Stage 4",-5,0))))</f>
        <v/>
      </c>
      <c r="BD125" s="31" t="inlineStr">
        <is>
          <t>Negative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Less than 1.5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IF(B126=0,"",RANK(B126,$B$2:$B$366,0))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WOCKPHARMA</t>
        </is>
      </c>
      <c r="D126" s="31" t="inlineStr">
        <is>
          <t>Wockhardt Limited</t>
        </is>
      </c>
      <c r="E126" s="31" t="inlineStr">
        <is>
          <t>healthcare</t>
        </is>
      </c>
      <c r="F126" s="31" t="inlineStr">
        <is>
          <t>pharmaceuticals - indian - bulk drugs &amp; formln</t>
        </is>
      </c>
      <c r="G126" s="31" t="inlineStr">
        <is>
          <t>largecap</t>
        </is>
      </c>
      <c r="H126" s="32" t="n">
        <v>31843.59</v>
      </c>
      <c r="I126" s="32" t="n">
        <v>2028.4</v>
      </c>
      <c r="J126" s="32" t="n">
        <v>3.51</v>
      </c>
      <c r="K126" s="32" t="n">
        <v>1182036</v>
      </c>
      <c r="L126" s="31" t="n">
        <v>68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63.93</v>
      </c>
      <c r="P126" s="32" t="n">
        <v>51.96</v>
      </c>
      <c r="Q126" s="32" t="inlineStr"/>
      <c r="R126" s="31" t="inlineStr">
        <is>
          <t>Earnings / Momentum Support</t>
        </is>
      </c>
      <c r="S126" s="31" t="inlineStr">
        <is>
          <t>Nifty Pharma</t>
        </is>
      </c>
      <c r="T126" s="32" t="n">
        <v>20.55</v>
      </c>
      <c r="U126" s="32" t="n">
        <v>21.54</v>
      </c>
      <c r="V126" s="32" t="n">
        <v>0.82</v>
      </c>
      <c r="W126" s="32" t="n">
        <v>13.81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Yes</t>
        </is>
      </c>
      <c r="AC126" s="31">
        <f>IF(AB126="No",5,0)</f>
        <v/>
      </c>
      <c r="AD126" s="31" t="inlineStr">
        <is>
          <t>Headwind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No</t>
        </is>
      </c>
      <c r="AQ126" s="31">
        <f>IF(AP126="Yes",10,0)</f>
        <v/>
      </c>
      <c r="AR126" s="31" t="inlineStr">
        <is>
          <t>Higher Annuity, Lower One Time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Above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3</t>
        </is>
      </c>
      <c r="BC126" s="31">
        <f>IF(BB126="Stage 2",20,IF(BB126="Stage 1",0,IF(BB126="Stage 3",5,IF(BB126="Stage 4",-5,0))))</f>
        <v/>
      </c>
      <c r="BD126" s="31" t="inlineStr">
        <is>
          <t>Negative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Between 50% to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IF(B127=0,"",RANK(B127,$B$2:$B$366,0))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COFORGE</t>
        </is>
      </c>
      <c r="D127" s="31" t="inlineStr">
        <is>
          <t>Coforge (Niit Tech) Ltd</t>
        </is>
      </c>
      <c r="E127" s="31" t="inlineStr">
        <is>
          <t>i.t</t>
        </is>
      </c>
      <c r="F127" s="31" t="inlineStr">
        <is>
          <t>computers - software - large</t>
        </is>
      </c>
      <c r="G127" s="31" t="inlineStr">
        <is>
          <t>largecap</t>
        </is>
      </c>
      <c r="H127" s="32" t="n">
        <v>76187.09</v>
      </c>
      <c r="I127" s="32" t="n">
        <v>1768</v>
      </c>
      <c r="J127" s="32" t="n">
        <v>2.73</v>
      </c>
      <c r="K127" s="32" t="n">
        <v>7002088</v>
      </c>
      <c r="L127" s="31" t="n">
        <v>61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64.62</v>
      </c>
      <c r="P127" s="32" t="n">
        <v>9.4</v>
      </c>
      <c r="Q127" s="32" t="inlineStr"/>
      <c r="R127" s="31" t="inlineStr">
        <is>
          <t>Earnings / Momentum Support</t>
        </is>
      </c>
      <c r="S127" s="31" t="inlineStr">
        <is>
          <t>Nifty IT</t>
        </is>
      </c>
      <c r="T127" s="32" t="n">
        <v>-11.37</v>
      </c>
      <c r="U127" s="32" t="n">
        <v>1.56</v>
      </c>
      <c r="V127" s="32" t="n">
        <v>14.59</v>
      </c>
      <c r="W127" s="32" t="n">
        <v>11.7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Headwind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No</t>
        </is>
      </c>
      <c r="AQ127" s="31">
        <f>IF(AP127="Yes",10,0)</f>
        <v/>
      </c>
      <c r="AR127" s="31" t="inlineStr">
        <is>
          <t>Higher Annuity, Lower One Time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0 to 20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3</t>
        </is>
      </c>
      <c r="BC127" s="31">
        <f>IF(BB127="Stage 2",20,IF(BB127="Stage 1",0,IF(BB127="Stage 3",5,IF(BB127="Stage 4",-5,0))))</f>
        <v/>
      </c>
      <c r="BD127" s="31" t="inlineStr">
        <is>
          <t>Negative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Less than 1.5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IF(B128=0,"",RANK(B128,$B$2:$B$366,0))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3" t="inlineStr">
        <is>
          <t>KILITCH</t>
        </is>
      </c>
      <c r="D128" s="33" t="inlineStr">
        <is>
          <t>Kilitch Drugs (india) Limited</t>
        </is>
      </c>
      <c r="E128" s="31" t="inlineStr">
        <is>
          <t>healthcare</t>
        </is>
      </c>
      <c r="F128" s="31" t="inlineStr">
        <is>
          <t>pharmaceuticals - indian - formulations</t>
        </is>
      </c>
      <c r="G128" s="31" t="inlineStr">
        <is>
          <t>smallcap</t>
        </is>
      </c>
      <c r="H128" s="32" t="n">
        <v>652.35</v>
      </c>
      <c r="I128" s="32" t="n">
        <v>191.5</v>
      </c>
      <c r="J128" s="32" t="n">
        <v>2.63</v>
      </c>
      <c r="K128" s="32" t="n">
        <v>18122</v>
      </c>
      <c r="L128" s="31" t="n">
        <v>15</v>
      </c>
      <c r="M128" s="31" t="inlineStr">
        <is>
          <t>Underperforming</t>
        </is>
      </c>
      <c r="N128" s="32">
        <f>IF(M128="Underperforming",-5,IF(L128&gt;=95,15,IF(L128&gt;=90,10,IF(L128&gt;=80,5,0))))</f>
        <v/>
      </c>
      <c r="O128" s="32" t="n">
        <v>57.71</v>
      </c>
      <c r="P128" s="32" t="n">
        <v>29.23</v>
      </c>
      <c r="Q128" s="32" t="inlineStr"/>
      <c r="R128" s="31" t="inlineStr">
        <is>
          <t>Earnings / Momentum Support</t>
        </is>
      </c>
      <c r="S128" s="31" t="inlineStr">
        <is>
          <t>Nifty Pharma</t>
        </is>
      </c>
      <c r="T128" s="32" t="n">
        <v>20.55</v>
      </c>
      <c r="U128" s="32" t="n">
        <v>-16.14</v>
      </c>
      <c r="V128" s="32" t="n">
        <v>-30.43</v>
      </c>
      <c r="W128" s="32" t="n">
        <v>1.61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Yes</t>
        </is>
      </c>
      <c r="AC128" s="31">
        <f>IF(AB128="No",5,0)</f>
        <v/>
      </c>
      <c r="AD128" s="31" t="inlineStr">
        <is>
          <t>Headwind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No</t>
        </is>
      </c>
      <c r="AQ128" s="31">
        <f>IF(AP128="Yes",10,0)</f>
        <v/>
      </c>
      <c r="AR128" s="31" t="inlineStr">
        <is>
          <t>Higher Annuity, Lower One Time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3</t>
        </is>
      </c>
      <c r="BC128" s="31">
        <f>IF(BB128="Stage 2",20,IF(BB128="Stage 1",0,IF(BB128="Stage 3",5,IF(BB128="Stage 4",-5,0))))</f>
        <v/>
      </c>
      <c r="BD128" s="31" t="inlineStr">
        <is>
          <t>Negative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Less than 1.5</t>
        </is>
      </c>
      <c r="BU128" s="31">
        <f>IF(BT128="Above 2",0,IF(BT128="Between 1.5 to 2",5,IF(BT128="Less than 1.5",10,0)))</f>
        <v/>
      </c>
      <c r="BV128" s="31" t="inlineStr">
        <is>
          <t>Between 50% to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IF(B129=0,"",RANK(B129,$B$2:$B$366,0))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PICCADIL</t>
        </is>
      </c>
      <c r="D129" s="31" t="inlineStr">
        <is>
          <t>Piccadily Agro Industries Ltd</t>
        </is>
      </c>
      <c r="E129" s="31" t="inlineStr">
        <is>
          <t>fmcg</t>
        </is>
      </c>
      <c r="F129" s="31" t="inlineStr">
        <is>
          <t>breweries &amp; distilleries</t>
        </is>
      </c>
      <c r="G129" s="31" t="inlineStr">
        <is>
          <t>midcap</t>
        </is>
      </c>
      <c r="H129" s="32" t="n">
        <v>7233.72</v>
      </c>
      <c r="I129" s="32" t="n">
        <v>750</v>
      </c>
      <c r="J129" s="32" t="n">
        <v>2.2</v>
      </c>
      <c r="K129" s="32" t="n">
        <v>299304</v>
      </c>
      <c r="L129" s="31" t="n">
        <v>54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69.72</v>
      </c>
      <c r="P129" s="32" t="n">
        <v>44.2</v>
      </c>
      <c r="Q129" s="32" t="inlineStr"/>
      <c r="R129" s="31" t="inlineStr">
        <is>
          <t>Earnings / Momentum Support</t>
        </is>
      </c>
      <c r="S129" s="31" t="inlineStr">
        <is>
          <t>Nifty FMCG</t>
        </is>
      </c>
      <c r="T129" s="32" t="n">
        <v>-13.73</v>
      </c>
      <c r="U129" s="32" t="n">
        <v>21.09</v>
      </c>
      <c r="V129" s="32" t="n">
        <v>40.36</v>
      </c>
      <c r="W129" s="32" t="n">
        <v>9.48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Headwind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B2C</t>
        </is>
      </c>
      <c r="AO129" s="31">
        <f>IF(AN129="B2C",10,IF(AN129="B2B",5,0))</f>
        <v/>
      </c>
      <c r="AP129" s="31" t="inlineStr">
        <is>
          <t>No</t>
        </is>
      </c>
      <c r="AQ129" s="31">
        <f>IF(AP129="Yes",10,0)</f>
        <v/>
      </c>
      <c r="AR129" s="31" t="inlineStr">
        <is>
          <t>Higher Annuity, Lower One Time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Above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3</t>
        </is>
      </c>
      <c r="BC129" s="31">
        <f>IF(BB129="Stage 2",20,IF(BB129="Stage 1",0,IF(BB129="Stage 3",5,IF(BB129="Stage 4",-5,0))))</f>
        <v/>
      </c>
      <c r="BD129" s="31" t="inlineStr">
        <is>
          <t>Negative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Less than 12%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Between 50% to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IF(B130=0,"",RANK(B130,$B$2:$B$366,0))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SHILPAMED</t>
        </is>
      </c>
      <c r="D130" s="31" t="inlineStr">
        <is>
          <t>Shilpa Medicare Limited</t>
        </is>
      </c>
      <c r="E130" s="31" t="inlineStr">
        <is>
          <t>healthcare</t>
        </is>
      </c>
      <c r="F130" s="31" t="inlineStr">
        <is>
          <t>pharmaceuticals - indian - formulations</t>
        </is>
      </c>
      <c r="G130" s="31" t="inlineStr">
        <is>
          <t>midcap</t>
        </is>
      </c>
      <c r="H130" s="32" t="n">
        <v>11954.94</v>
      </c>
      <c r="I130" s="32" t="n">
        <v>621.7</v>
      </c>
      <c r="J130" s="32" t="n">
        <v>1.71</v>
      </c>
      <c r="K130" s="32" t="n">
        <v>477775</v>
      </c>
      <c r="L130" s="31" t="n">
        <v>83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78.66</v>
      </c>
      <c r="P130" s="32" t="n">
        <v>69.86</v>
      </c>
      <c r="Q130" s="32" t="inlineStr"/>
      <c r="R130" s="31" t="inlineStr">
        <is>
          <t>Earnings / Momentum Support</t>
        </is>
      </c>
      <c r="S130" s="31" t="inlineStr">
        <is>
          <t>Nifty Pharma</t>
        </is>
      </c>
      <c r="T130" s="32" t="n">
        <v>20.55</v>
      </c>
      <c r="U130" s="32" t="n">
        <v>42.78</v>
      </c>
      <c r="V130" s="32" t="n">
        <v>18.44</v>
      </c>
      <c r="W130" s="32" t="n">
        <v>21.17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Yes</t>
        </is>
      </c>
      <c r="AC130" s="31">
        <f>IF(AB130="No",5,0)</f>
        <v/>
      </c>
      <c r="AD130" s="31" t="inlineStr">
        <is>
          <t>Headwind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No</t>
        </is>
      </c>
      <c r="AQ130" s="31">
        <f>IF(AP130="Yes",10,0)</f>
        <v/>
      </c>
      <c r="AR130" s="31" t="inlineStr">
        <is>
          <t>Higher Annuity, Lower One Time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Above 40</t>
        </is>
      </c>
      <c r="AY130" s="31">
        <f>IF(AX130="Above 40",20,IF(AX130="20 to 40",10,IF(AX130="0 to 20",-5,0)))</f>
        <v/>
      </c>
      <c r="AZ130" s="31" t="inlineStr">
        <is>
          <t>Above 75</t>
        </is>
      </c>
      <c r="BA130" s="31">
        <f>IF(AZ130="Between 50 to 75",10,IF(AZ130="Above 75",0,0))</f>
        <v/>
      </c>
      <c r="BB130" s="31" t="inlineStr">
        <is>
          <t>Stage 3</t>
        </is>
      </c>
      <c r="BC130" s="31">
        <f>IF(BB130="Stage 2",20,IF(BB130="Stage 1",0,IF(BB130="Stage 3",5,IF(BB130="Stage 4",-5,0))))</f>
        <v/>
      </c>
      <c r="BD130" s="31" t="inlineStr">
        <is>
          <t>Negative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IF(B131=0,"",RANK(B131,$B$2:$B$366,0))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3" t="inlineStr">
        <is>
          <t>LTFOODS</t>
        </is>
      </c>
      <c r="D131" s="33" t="inlineStr">
        <is>
          <t>L T Foods Ltd</t>
        </is>
      </c>
      <c r="E131" s="31" t="inlineStr">
        <is>
          <t>fmcg</t>
        </is>
      </c>
      <c r="F131" s="31" t="inlineStr">
        <is>
          <t>food - processing - indian</t>
        </is>
      </c>
      <c r="G131" s="31" t="inlineStr">
        <is>
          <t>midcap</t>
        </is>
      </c>
      <c r="H131" s="32" t="n">
        <v>14249.52</v>
      </c>
      <c r="I131" s="32" t="n">
        <v>415.3</v>
      </c>
      <c r="J131" s="32" t="n">
        <v>1.21</v>
      </c>
      <c r="K131" s="32" t="n">
        <v>748298</v>
      </c>
      <c r="L131" s="31" t="n">
        <v>1</v>
      </c>
      <c r="M131" s="31" t="inlineStr">
        <is>
          <t>Underperforming</t>
        </is>
      </c>
      <c r="N131" s="32">
        <f>IF(M131="Underperforming",-5,IF(L131&gt;=95,15,IF(L131&gt;=90,10,IF(L131&gt;=80,5,0))))</f>
        <v/>
      </c>
      <c r="O131" s="32" t="n">
        <v>55.15</v>
      </c>
      <c r="P131" s="32" t="n">
        <v>13.63</v>
      </c>
      <c r="Q131" s="32" t="inlineStr"/>
      <c r="R131" s="31" t="inlineStr">
        <is>
          <t>Earnings / Momentum Support</t>
        </is>
      </c>
      <c r="S131" s="31" t="inlineStr">
        <is>
          <t>Nifty FMCG</t>
        </is>
      </c>
      <c r="T131" s="32" t="n">
        <v>-13.73</v>
      </c>
      <c r="U131" s="32" t="n">
        <v>-23.43</v>
      </c>
      <c r="V131" s="32" t="n">
        <v>-11.25</v>
      </c>
      <c r="W131" s="32" t="n">
        <v>-6.38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Headwind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B2C</t>
        </is>
      </c>
      <c r="AO131" s="31">
        <f>IF(AN131="B2C",10,IF(AN131="B2B",5,0))</f>
        <v/>
      </c>
      <c r="AP131" s="31" t="inlineStr">
        <is>
          <t>No</t>
        </is>
      </c>
      <c r="AQ131" s="31">
        <f>IF(AP131="Yes",10,0)</f>
        <v/>
      </c>
      <c r="AR131" s="31" t="inlineStr">
        <is>
          <t>Higher Annuity, Lower One Time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0 to 20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3</t>
        </is>
      </c>
      <c r="BC131" s="31">
        <f>IF(BB131="Stage 2",20,IF(BB131="Stage 1",0,IF(BB131="Stage 3",5,IF(BB131="Stage 4",-5,0))))</f>
        <v/>
      </c>
      <c r="BD131" s="31" t="inlineStr">
        <is>
          <t>Negative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No</t>
        </is>
      </c>
      <c r="BS131" s="31">
        <f>IF(BR131="NO",5,0)</f>
        <v/>
      </c>
      <c r="BT131" s="31" t="inlineStr">
        <is>
          <t>Less than 1.5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IF(B132=0,"",RANK(B132,$B$2:$B$366,0))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MARICO</t>
        </is>
      </c>
      <c r="D132" s="31" t="inlineStr">
        <is>
          <t>Marico Limited</t>
        </is>
      </c>
      <c r="E132" s="31" t="inlineStr">
        <is>
          <t>fmcg</t>
        </is>
      </c>
      <c r="F132" s="31" t="inlineStr">
        <is>
          <t>solvent extraction</t>
        </is>
      </c>
      <c r="G132" s="31" t="inlineStr">
        <is>
          <t>largecap</t>
        </is>
      </c>
      <c r="H132" s="32" t="n">
        <v>113044.01</v>
      </c>
      <c r="I132" s="32" t="n">
        <v>880.95</v>
      </c>
      <c r="J132" s="32" t="n">
        <v>1.18</v>
      </c>
      <c r="K132" s="32" t="n">
        <v>7011749</v>
      </c>
      <c r="L132" s="31" t="n">
        <v>38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70.61</v>
      </c>
      <c r="P132" s="32" t="n">
        <v>32.41</v>
      </c>
      <c r="Q132" s="32" t="inlineStr"/>
      <c r="R132" s="31" t="inlineStr">
        <is>
          <t>Earnings / Momentum Support</t>
        </is>
      </c>
      <c r="S132" s="31" t="inlineStr">
        <is>
          <t>Nifty FMCG</t>
        </is>
      </c>
      <c r="T132" s="32" t="n">
        <v>-13.73</v>
      </c>
      <c r="U132" s="32" t="n">
        <v>18.36</v>
      </c>
      <c r="V132" s="32" t="n">
        <v>37.19</v>
      </c>
      <c r="W132" s="32" t="n">
        <v>5.8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Headwind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B2C</t>
        </is>
      </c>
      <c r="AO132" s="31">
        <f>IF(AN132="B2C",10,IF(AN132="B2B",5,0))</f>
        <v/>
      </c>
      <c r="AP132" s="31" t="inlineStr">
        <is>
          <t>No</t>
        </is>
      </c>
      <c r="AQ132" s="31">
        <f>IF(AP132="Yes",10,0)</f>
        <v/>
      </c>
      <c r="AR132" s="31" t="inlineStr">
        <is>
          <t>Higher Annuity, Lower One Time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3</t>
        </is>
      </c>
      <c r="BC132" s="31">
        <f>IF(BB132="Stage 2",20,IF(BB132="Stage 1",0,IF(BB132="Stage 3",5,IF(BB132="Stage 4",-5,0))))</f>
        <v/>
      </c>
      <c r="BD132" s="31" t="inlineStr">
        <is>
          <t>Negative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Between 12 to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IF(B133=0,"",RANK(B133,$B$2:$B$366,0))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NGLFINE</t>
        </is>
      </c>
      <c r="D133" s="31" t="inlineStr">
        <is>
          <t>NGL Fine Chem Ltd</t>
        </is>
      </c>
      <c r="E133" s="31" t="inlineStr">
        <is>
          <t>healthcare</t>
        </is>
      </c>
      <c r="F133" s="31" t="inlineStr">
        <is>
          <t>pharmaceuticals - indian - bulk drugs</t>
        </is>
      </c>
      <c r="G133" s="31" t="inlineStr">
        <is>
          <t>smallcap</t>
        </is>
      </c>
      <c r="H133" s="32" t="n">
        <v>2014.22</v>
      </c>
      <c r="I133" s="32" t="n">
        <v>3292.8</v>
      </c>
      <c r="J133" s="32" t="n">
        <v>1</v>
      </c>
      <c r="K133" s="32" t="n">
        <v>18043</v>
      </c>
      <c r="L133" s="31" t="n">
        <v>93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77.44</v>
      </c>
      <c r="P133" s="32" t="n">
        <v>67.89</v>
      </c>
      <c r="Q133" s="32" t="inlineStr"/>
      <c r="R133" s="31" t="inlineStr">
        <is>
          <t>Earnings / Momentum Support</t>
        </is>
      </c>
      <c r="S133" s="31" t="inlineStr">
        <is>
          <t>Nifty Pharma</t>
        </is>
      </c>
      <c r="T133" s="32" t="n">
        <v>20.55</v>
      </c>
      <c r="U133" s="32" t="n">
        <v>148.67</v>
      </c>
      <c r="V133" s="32" t="n">
        <v>106.28</v>
      </c>
      <c r="W133" s="32" t="n">
        <v>30.45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Yes</t>
        </is>
      </c>
      <c r="AC133" s="31">
        <f>IF(AB133="No",5,0)</f>
        <v/>
      </c>
      <c r="AD133" s="31" t="inlineStr">
        <is>
          <t>Headwind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No</t>
        </is>
      </c>
      <c r="AQ133" s="31">
        <f>IF(AP133="Yes",10,0)</f>
        <v/>
      </c>
      <c r="AR133" s="31" t="inlineStr">
        <is>
          <t>Higher Annuity, Lower One Time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Above 40</t>
        </is>
      </c>
      <c r="AY133" s="31">
        <f>IF(AX133="Above 40",20,IF(AX133="20 to 40",10,IF(AX133="0 to 20",-5,0)))</f>
        <v/>
      </c>
      <c r="AZ133" s="31" t="inlineStr">
        <is>
          <t>Above 75</t>
        </is>
      </c>
      <c r="BA133" s="31">
        <f>IF(AZ133="Between 50 to 75",10,IF(AZ133="Above 75",0,0))</f>
        <v/>
      </c>
      <c r="BB133" s="31" t="inlineStr">
        <is>
          <t>Stage 3</t>
        </is>
      </c>
      <c r="BC133" s="31">
        <f>IF(BB133="Stage 2",20,IF(BB133="Stage 1",0,IF(BB133="Stage 3",5,IF(BB133="Stage 4",-5,0))))</f>
        <v/>
      </c>
      <c r="BD133" s="31" t="inlineStr">
        <is>
          <t>Negative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Between 50% to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IF(B134=0,"",RANK(B134,$B$2:$B$366,0))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TECHM</t>
        </is>
      </c>
      <c r="D134" s="31" t="inlineStr">
        <is>
          <t>Tech Mahindra Limited</t>
        </is>
      </c>
      <c r="E134" s="31" t="inlineStr">
        <is>
          <t>i.t</t>
        </is>
      </c>
      <c r="F134" s="31" t="inlineStr">
        <is>
          <t>computers - software - large</t>
        </is>
      </c>
      <c r="G134" s="31" t="inlineStr">
        <is>
          <t>largecap</t>
        </is>
      </c>
      <c r="H134" s="32" t="n">
        <v>161836.97</v>
      </c>
      <c r="I134" s="32" t="n">
        <v>1649</v>
      </c>
      <c r="J134" s="32" t="n">
        <v>-0.14</v>
      </c>
      <c r="K134" s="32" t="n">
        <v>12240898</v>
      </c>
      <c r="L134" s="31" t="n">
        <v>45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65.05</v>
      </c>
      <c r="P134" s="32" t="n">
        <v>14.46</v>
      </c>
      <c r="Q134" s="32" t="inlineStr"/>
      <c r="R134" s="31" t="inlineStr">
        <is>
          <t>Earnings / Momentum Support</t>
        </is>
      </c>
      <c r="S134" s="31" t="inlineStr">
        <is>
          <t>Nifty IT</t>
        </is>
      </c>
      <c r="T134" s="32" t="n">
        <v>-11.37</v>
      </c>
      <c r="U134" s="32" t="n">
        <v>18.98</v>
      </c>
      <c r="V134" s="32" t="n">
        <v>34.25</v>
      </c>
      <c r="W134" s="32" t="n">
        <v>7.27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Headwind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No</t>
        </is>
      </c>
      <c r="AQ134" s="31">
        <f>IF(AP134="Yes",10,0)</f>
        <v/>
      </c>
      <c r="AR134" s="31" t="inlineStr">
        <is>
          <t>Higher Annuity, Lower One Time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0 to 20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3</t>
        </is>
      </c>
      <c r="BC134" s="31">
        <f>IF(BB134="Stage 2",20,IF(BB134="Stage 1",0,IF(BB134="Stage 3",5,IF(BB134="Stage 4",-5,0))))</f>
        <v/>
      </c>
      <c r="BD134" s="31" t="inlineStr">
        <is>
          <t>Negative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Less than 1.5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IF(B135=0,"",RANK(B135,$B$2:$B$366,0))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63MOONS</t>
        </is>
      </c>
      <c r="D135" s="31" t="inlineStr">
        <is>
          <t>63 Moons Technologies Ltd</t>
        </is>
      </c>
      <c r="E135" s="31" t="inlineStr">
        <is>
          <t>i.t</t>
        </is>
      </c>
      <c r="F135" s="31" t="inlineStr">
        <is>
          <t>computers - software - medium / small</t>
        </is>
      </c>
      <c r="G135" s="31" t="inlineStr">
        <is>
          <t>smallcap</t>
        </is>
      </c>
      <c r="H135" s="32" t="n">
        <v>4291.75</v>
      </c>
      <c r="I135" s="32" t="n">
        <v>897.05</v>
      </c>
      <c r="J135" s="32" t="n">
        <v>-3.69</v>
      </c>
      <c r="K135" s="32" t="n">
        <v>2873773</v>
      </c>
      <c r="L135" s="31" t="n">
        <v>37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69.47</v>
      </c>
      <c r="P135" s="32" t="n">
        <v>18.9</v>
      </c>
      <c r="Q135" s="32" t="inlineStr"/>
      <c r="R135" s="31" t="inlineStr">
        <is>
          <t>Earnings / Momentum Support</t>
        </is>
      </c>
      <c r="S135" s="31" t="inlineStr">
        <is>
          <t>Nifty IT</t>
        </is>
      </c>
      <c r="T135" s="32" t="n">
        <v>-11.37</v>
      </c>
      <c r="U135" s="32" t="n">
        <v>-5.68</v>
      </c>
      <c r="V135" s="32" t="n">
        <v>6.42</v>
      </c>
      <c r="W135" s="32" t="n">
        <v>5.56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Headwind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No</t>
        </is>
      </c>
      <c r="AQ135" s="31">
        <f>IF(AP135="Yes",10,0)</f>
        <v/>
      </c>
      <c r="AR135" s="31" t="inlineStr">
        <is>
          <t>Higher Annuity, Lower One Time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0 to 20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3</t>
        </is>
      </c>
      <c r="BC135" s="31">
        <f>IF(BB135="Stage 2",20,IF(BB135="Stage 1",0,IF(BB135="Stage 3",5,IF(BB135="Stage 4",-5,0))))</f>
        <v/>
      </c>
      <c r="BD135" s="31" t="inlineStr">
        <is>
          <t>Negative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Less than 1.5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IF(B136=0,"",RANK(B136,$B$2:$B$366,0))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3" t="inlineStr">
        <is>
          <t>GPTHEALTH</t>
        </is>
      </c>
      <c r="D136" s="33" t="inlineStr">
        <is>
          <t>GPT Healthcare Ltd</t>
        </is>
      </c>
      <c r="E136" s="31" t="inlineStr">
        <is>
          <t>healthcare</t>
        </is>
      </c>
      <c r="F136" s="31" t="inlineStr">
        <is>
          <t>healthcare</t>
        </is>
      </c>
      <c r="G136" s="31" t="inlineStr">
        <is>
          <t>smallcap</t>
        </is>
      </c>
      <c r="H136" s="32" t="n">
        <v>1398.95</v>
      </c>
      <c r="I136" s="32" t="n">
        <v>163.04</v>
      </c>
      <c r="J136" s="32" t="n">
        <v>-4.37</v>
      </c>
      <c r="K136" s="32" t="n">
        <v>509164</v>
      </c>
      <c r="L136" s="31" t="n">
        <v>35</v>
      </c>
      <c r="M136" s="31" t="inlineStr">
        <is>
          <t>Underperforming</t>
        </is>
      </c>
      <c r="N136" s="32">
        <f>IF(M136="Underperforming",-5,IF(L136&gt;=95,15,IF(L136&gt;=90,10,IF(L136&gt;=80,5,0))))</f>
        <v/>
      </c>
      <c r="O136" s="32" t="n">
        <v>72.06</v>
      </c>
      <c r="P136" s="32" t="n">
        <v>44.75</v>
      </c>
      <c r="Q136" s="32" t="inlineStr"/>
      <c r="R136" s="31" t="inlineStr">
        <is>
          <t>Earnings / Momentum Support</t>
        </is>
      </c>
      <c r="S136" s="31" t="inlineStr">
        <is>
          <t>Nifty Pharma</t>
        </is>
      </c>
      <c r="T136" s="32" t="n">
        <v>20.55</v>
      </c>
      <c r="U136" s="32" t="n">
        <v>-3.42</v>
      </c>
      <c r="V136" s="32" t="n">
        <v>-19.88</v>
      </c>
      <c r="W136" s="32" t="n">
        <v>5.24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Yes</t>
        </is>
      </c>
      <c r="AC136" s="31">
        <f>IF(AB136="No",5,0)</f>
        <v/>
      </c>
      <c r="AD136" s="31" t="inlineStr">
        <is>
          <t>Headwind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No</t>
        </is>
      </c>
      <c r="AQ136" s="31">
        <f>IF(AP136="Yes",10,0)</f>
        <v/>
      </c>
      <c r="AR136" s="31" t="inlineStr">
        <is>
          <t>Higher Annuity, Lower One Time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Above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3</t>
        </is>
      </c>
      <c r="BC136" s="31">
        <f>IF(BB136="Stage 2",20,IF(BB136="Stage 1",0,IF(BB136="Stage 3",5,IF(BB136="Stage 4",-5,0))))</f>
        <v/>
      </c>
      <c r="BD136" s="31" t="inlineStr">
        <is>
          <t>Negative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Between 12 to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IF(B137=0,"",RANK(B137,$B$2:$B$366,0))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CCAVENUE</t>
        </is>
      </c>
      <c r="D137" s="31" t="inlineStr">
        <is>
          <t>AvenuesAI Ltd</t>
        </is>
      </c>
      <c r="E137" s="31" t="inlineStr">
        <is>
          <t>i.t</t>
        </is>
      </c>
      <c r="F137" s="31" t="inlineStr">
        <is>
          <t>miscellaneous</t>
        </is>
      </c>
      <c r="G137" s="31" t="inlineStr">
        <is>
          <t>midcap</t>
        </is>
      </c>
      <c r="H137" s="32" t="n">
        <v>5541.83</v>
      </c>
      <c r="I137" s="32" t="n">
        <v>17.43</v>
      </c>
      <c r="J137" s="32" t="n">
        <v>9.970000000000001</v>
      </c>
      <c r="K137" s="32" t="n">
        <v>95566967</v>
      </c>
      <c r="L137" s="31" t="n">
        <v>34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50.53</v>
      </c>
      <c r="P137" s="32" t="n">
        <v>18.04</v>
      </c>
      <c r="Q137" s="32" t="inlineStr"/>
      <c r="R137" s="31" t="inlineStr">
        <is>
          <t>Earnings / Momentum Support</t>
        </is>
      </c>
      <c r="S137" s="31" t="inlineStr">
        <is>
          <t>Nifty IT</t>
        </is>
      </c>
      <c r="T137" s="32" t="n">
        <v>-11.37</v>
      </c>
      <c r="U137" s="32" t="n">
        <v>3.06</v>
      </c>
      <c r="V137" s="32" t="n">
        <v>16.28</v>
      </c>
      <c r="W137" s="32" t="n">
        <v>5.08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Headwind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No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0 to 20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3</t>
        </is>
      </c>
      <c r="BC137" s="31">
        <f>IF(BB137="Stage 2",20,IF(BB137="Stage 1",0,IF(BB137="Stage 3",5,IF(BB137="Stage 4",-5,0))))</f>
        <v/>
      </c>
      <c r="BD137" s="31" t="inlineStr">
        <is>
          <t>Negative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Less than 1.5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IF(B138=0,"",RANK(B138,$B$2:$B$366,0))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LUMAXIND</t>
        </is>
      </c>
      <c r="D138" s="31" t="inlineStr">
        <is>
          <t>Lumax Industries Limited</t>
        </is>
      </c>
      <c r="E138" s="31" t="inlineStr">
        <is>
          <t>auto</t>
        </is>
      </c>
      <c r="F138" s="31" t="inlineStr">
        <is>
          <t>auto ancillaries</t>
        </is>
      </c>
      <c r="G138" s="31" t="inlineStr">
        <is>
          <t>smallcap</t>
        </is>
      </c>
      <c r="H138" s="32" t="n">
        <v>4939.81</v>
      </c>
      <c r="I138" s="32" t="n">
        <v>5772.5</v>
      </c>
      <c r="J138" s="32" t="n">
        <v>9.23</v>
      </c>
      <c r="K138" s="32" t="n">
        <v>106937</v>
      </c>
      <c r="L138" s="31" t="n">
        <v>35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50.67</v>
      </c>
      <c r="P138" s="32" t="n">
        <v>8.99</v>
      </c>
      <c r="Q138" s="32" t="inlineStr"/>
      <c r="R138" s="31" t="inlineStr">
        <is>
          <t>Volume Spike / Accumulation</t>
        </is>
      </c>
      <c r="S138" s="31" t="inlineStr">
        <is>
          <t>Nifty Auto</t>
        </is>
      </c>
      <c r="T138" s="32" t="n">
        <v>13.41</v>
      </c>
      <c r="U138" s="32" t="n">
        <v>34.19</v>
      </c>
      <c r="V138" s="32" t="n">
        <v>18.32</v>
      </c>
      <c r="W138" s="32" t="n">
        <v>5.37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Headwind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0 to 20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3</t>
        </is>
      </c>
      <c r="BC138" s="31">
        <f>IF(BB138="Stage 2",20,IF(BB138="Stage 1",0,IF(BB138="Stage 3",5,IF(BB138="Stage 4",-5,0))))</f>
        <v/>
      </c>
      <c r="BD138" s="31" t="inlineStr">
        <is>
          <t>Negative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Less than 1.5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Between 0.7 to 1.2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IF(B139=0,"",RANK(B139,$B$2:$B$366,0))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GABRIEL</t>
        </is>
      </c>
      <c r="D139" s="31" t="inlineStr">
        <is>
          <t>Gabriel India Limited</t>
        </is>
      </c>
      <c r="E139" s="31" t="inlineStr">
        <is>
          <t>auto</t>
        </is>
      </c>
      <c r="F139" s="31" t="inlineStr">
        <is>
          <t>auto ancillaries</t>
        </is>
      </c>
      <c r="G139" s="31" t="inlineStr">
        <is>
          <t>largecap</t>
        </is>
      </c>
      <c r="H139" s="32" t="n">
        <v>25553.02</v>
      </c>
      <c r="I139" s="32" t="n">
        <v>1527.4</v>
      </c>
      <c r="J139" s="32" t="n">
        <v>5.94</v>
      </c>
      <c r="K139" s="32" t="n">
        <v>886748</v>
      </c>
      <c r="L139" s="31" t="n">
        <v>69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72.8</v>
      </c>
      <c r="P139" s="32" t="n">
        <v>33.29</v>
      </c>
      <c r="Q139" s="32" t="inlineStr"/>
      <c r="R139" s="31" t="inlineStr">
        <is>
          <t>Earnings / Momentum Support</t>
        </is>
      </c>
      <c r="S139" s="31" t="inlineStr">
        <is>
          <t>Nifty Auto</t>
        </is>
      </c>
      <c r="T139" s="32" t="n">
        <v>13.41</v>
      </c>
      <c r="U139" s="32" t="n">
        <v>32.19</v>
      </c>
      <c r="V139" s="32" t="n">
        <v>16.56</v>
      </c>
      <c r="W139" s="32" t="n">
        <v>14.07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Headwind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No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3</t>
        </is>
      </c>
      <c r="BC139" s="31">
        <f>IF(BB139="Stage 2",20,IF(BB139="Stage 1",0,IF(BB139="Stage 3",5,IF(BB139="Stage 4",-5,0))))</f>
        <v/>
      </c>
      <c r="BD139" s="31" t="inlineStr">
        <is>
          <t>Negative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IF(B140=0,"",RANK(B140,$B$2:$B$366,0))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DIFFNKG</t>
        </is>
      </c>
      <c r="D140" s="31" t="inlineStr">
        <is>
          <t>Diffusion Engineers Ltd</t>
        </is>
      </c>
      <c r="E140" s="31" t="inlineStr">
        <is>
          <t>industrials</t>
        </is>
      </c>
      <c r="F140" s="31" t="inlineStr">
        <is>
          <t>electrodes - welding equipment</t>
        </is>
      </c>
      <c r="G140" s="31" t="inlineStr">
        <is>
          <t>smallcap</t>
        </is>
      </c>
      <c r="H140" s="32" t="n">
        <v>1435.86</v>
      </c>
      <c r="I140" s="32" t="n">
        <v>406.1</v>
      </c>
      <c r="J140" s="32" t="n">
        <v>5.85</v>
      </c>
      <c r="K140" s="32" t="n">
        <v>164160</v>
      </c>
      <c r="L140" s="31" t="n">
        <v>64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60.95</v>
      </c>
      <c r="P140" s="32" t="n">
        <v>33.97</v>
      </c>
      <c r="Q140" s="32" t="inlineStr"/>
      <c r="R140" s="31" t="inlineStr">
        <is>
          <t>Earnings / Momentum Support</t>
        </is>
      </c>
      <c r="S140" s="31" t="inlineStr">
        <is>
          <t>Nifty 50</t>
        </is>
      </c>
      <c r="T140" s="32" t="n">
        <v>-0.74</v>
      </c>
      <c r="U140" s="32" t="n">
        <v>20.4</v>
      </c>
      <c r="V140" s="32" t="n">
        <v>21.3</v>
      </c>
      <c r="W140" s="32" t="n">
        <v>12.51</v>
      </c>
      <c r="X140" s="31" t="inlineStr">
        <is>
          <t>Cyclical in an Upturn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Headwind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No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3</t>
        </is>
      </c>
      <c r="BC140" s="31">
        <f>IF(BB140="Stage 2",20,IF(BB140="Stage 1",0,IF(BB140="Stage 3",5,IF(BB140="Stage 4",-5,0))))</f>
        <v/>
      </c>
      <c r="BD140" s="31" t="inlineStr">
        <is>
          <t>Negative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No</t>
        </is>
      </c>
      <c r="BS140" s="31">
        <f>IF(BR140="NO",5,0)</f>
        <v/>
      </c>
      <c r="BT140" s="31" t="inlineStr">
        <is>
          <t>Less than 1.5</t>
        </is>
      </c>
      <c r="BU140" s="31">
        <f>IF(BT140="Above 2",0,IF(BT140="Between 1.5 to 2",5,IF(BT140="Less than 1.5",10,0)))</f>
        <v/>
      </c>
      <c r="BV140" s="31" t="inlineStr">
        <is>
          <t>Less than 50%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IF(B141=0,"",RANK(B141,$B$2:$B$366,0))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STEELCAS</t>
        </is>
      </c>
      <c r="D141" s="31" t="inlineStr">
        <is>
          <t>Steelcast Ltd</t>
        </is>
      </c>
      <c r="E141" s="31" t="inlineStr">
        <is>
          <t>industrials</t>
        </is>
      </c>
      <c r="F141" s="31" t="inlineStr">
        <is>
          <t>castings &amp; forgings</t>
        </is>
      </c>
      <c r="G141" s="31" t="inlineStr">
        <is>
          <t>smallcap</t>
        </is>
      </c>
      <c r="H141" s="32" t="n">
        <v>3136.69</v>
      </c>
      <c r="I141" s="32" t="n">
        <v>325.9</v>
      </c>
      <c r="J141" s="32" t="n">
        <v>5.15</v>
      </c>
      <c r="K141" s="32" t="n">
        <v>195000</v>
      </c>
      <c r="L141" s="31" t="n">
        <v>55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69.44</v>
      </c>
      <c r="P141" s="32" t="n">
        <v>39.85</v>
      </c>
      <c r="Q141" s="32" t="inlineStr"/>
      <c r="R141" s="31" t="inlineStr">
        <is>
          <t>Earnings / Momentum Support</t>
        </is>
      </c>
      <c r="S141" s="31" t="inlineStr">
        <is>
          <t>Nifty 50</t>
        </is>
      </c>
      <c r="T141" s="32" t="n">
        <v>-0.74</v>
      </c>
      <c r="U141" s="32" t="n">
        <v>42.21</v>
      </c>
      <c r="V141" s="32" t="n">
        <v>43.27</v>
      </c>
      <c r="W141" s="32" t="n">
        <v>9.800000000000001</v>
      </c>
      <c r="X141" s="31" t="inlineStr">
        <is>
          <t>Cyclical in an Upturn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Headwind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No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3</t>
        </is>
      </c>
      <c r="BC141" s="31">
        <f>IF(BB141="Stage 2",20,IF(BB141="Stage 1",0,IF(BB141="Stage 3",5,IF(BB141="Stage 4",-5,0))))</f>
        <v/>
      </c>
      <c r="BD141" s="31" t="inlineStr">
        <is>
          <t>Negative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Between 12 to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Between 1.5 to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IF(B142=0,"",RANK(B142,$B$2:$B$366,0))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OAL</t>
        </is>
      </c>
      <c r="D142" s="31" t="inlineStr">
        <is>
          <t>Oriental Aromatics Ltd</t>
        </is>
      </c>
      <c r="E142" s="31" t="inlineStr">
        <is>
          <t>chemicals</t>
        </is>
      </c>
      <c r="F142" s="31" t="inlineStr">
        <is>
          <t>chemicals</t>
        </is>
      </c>
      <c r="G142" s="31" t="inlineStr">
        <is>
          <t>smallcap</t>
        </is>
      </c>
      <c r="H142" s="32" t="n">
        <v>1226.67</v>
      </c>
      <c r="I142" s="32" t="n">
        <v>380.5</v>
      </c>
      <c r="J142" s="32" t="n">
        <v>4.39</v>
      </c>
      <c r="K142" s="32" t="n">
        <v>33864</v>
      </c>
      <c r="L142" s="31" t="n">
        <v>29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62.31</v>
      </c>
      <c r="P142" s="32" t="n">
        <v>26.19</v>
      </c>
      <c r="Q142" s="32" t="inlineStr"/>
      <c r="R142" s="31" t="inlineStr">
        <is>
          <t>Earnings / Momentum Support</t>
        </is>
      </c>
      <c r="S142" s="31" t="inlineStr">
        <is>
          <t>Nifty IT</t>
        </is>
      </c>
      <c r="T142" s="32" t="n">
        <v>-11.37</v>
      </c>
      <c r="U142" s="32" t="n">
        <v>-1.25</v>
      </c>
      <c r="V142" s="32" t="n">
        <v>11.42</v>
      </c>
      <c r="W142" s="32" t="n">
        <v>4.25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Headwind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No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3</t>
        </is>
      </c>
      <c r="BC142" s="31">
        <f>IF(BB142="Stage 2",20,IF(BB142="Stage 1",0,IF(BB142="Stage 3",5,IF(BB142="Stage 4",-5,0))))</f>
        <v/>
      </c>
      <c r="BD142" s="31" t="inlineStr">
        <is>
          <t>Negative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IF(B143=0,"",RANK(B143,$B$2:$B$366,0))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SKIPPER</t>
        </is>
      </c>
      <c r="D143" s="31" t="inlineStr">
        <is>
          <t>Skipper Limited</t>
        </is>
      </c>
      <c r="E143" s="31" t="inlineStr">
        <is>
          <t>industrials</t>
        </is>
      </c>
      <c r="F143" s="31" t="inlineStr">
        <is>
          <t>engineering</t>
        </is>
      </c>
      <c r="G143" s="31" t="inlineStr">
        <is>
          <t>midcap</t>
        </is>
      </c>
      <c r="H143" s="32" t="n">
        <v>5958.51</v>
      </c>
      <c r="I143" s="32" t="n">
        <v>549.15</v>
      </c>
      <c r="J143" s="32" t="n">
        <v>4.06</v>
      </c>
      <c r="K143" s="32" t="n">
        <v>755981</v>
      </c>
      <c r="L143" s="31" t="n">
        <v>31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58.9</v>
      </c>
      <c r="P143" s="32" t="n">
        <v>35.85</v>
      </c>
      <c r="Q143" s="32" t="inlineStr"/>
      <c r="R143" s="31" t="inlineStr">
        <is>
          <t>Earnings / Momentum Support</t>
        </is>
      </c>
      <c r="S143" s="31" t="inlineStr">
        <is>
          <t>Nifty 50</t>
        </is>
      </c>
      <c r="T143" s="32" t="n">
        <v>-0.74</v>
      </c>
      <c r="U143" s="32" t="n">
        <v>2.25</v>
      </c>
      <c r="V143" s="32" t="n">
        <v>3.01</v>
      </c>
      <c r="W143" s="32" t="n">
        <v>4.69</v>
      </c>
      <c r="X143" s="31" t="inlineStr">
        <is>
          <t>Cyclical in an Upturn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Headwind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No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3</t>
        </is>
      </c>
      <c r="BC143" s="31">
        <f>IF(BB143="Stage 2",20,IF(BB143="Stage 1",0,IF(BB143="Stage 3",5,IF(BB143="Stage 4",-5,0))))</f>
        <v/>
      </c>
      <c r="BD143" s="31" t="inlineStr">
        <is>
          <t>Negative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Less than 1.5</t>
        </is>
      </c>
      <c r="BU143" s="31">
        <f>IF(BT143="Above 2",0,IF(BT143="Between 1.5 to 2",5,IF(BT143="Less than 1.5",10,0)))</f>
        <v/>
      </c>
      <c r="BV143" s="31" t="inlineStr">
        <is>
          <t>Less than 50%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IF(B144=0,"",RANK(B144,$B$2:$B$366,0))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MINDACORP</t>
        </is>
      </c>
      <c r="D144" s="31" t="inlineStr">
        <is>
          <t>Minda Corporation Limited</t>
        </is>
      </c>
      <c r="E144" s="31" t="inlineStr">
        <is>
          <t>auto</t>
        </is>
      </c>
      <c r="F144" s="31" t="inlineStr">
        <is>
          <t>auto ancillaries</t>
        </is>
      </c>
      <c r="G144" s="31" t="inlineStr">
        <is>
          <t>midcap</t>
        </is>
      </c>
      <c r="H144" s="32" t="n">
        <v>16758.27</v>
      </c>
      <c r="I144" s="32" t="n">
        <v>727.6</v>
      </c>
      <c r="J144" s="32" t="n">
        <v>3.8</v>
      </c>
      <c r="K144" s="32" t="n">
        <v>749804</v>
      </c>
      <c r="L144" s="31" t="n">
        <v>59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68.19</v>
      </c>
      <c r="P144" s="32" t="n">
        <v>32.23</v>
      </c>
      <c r="Q144" s="32" t="inlineStr"/>
      <c r="R144" s="31" t="inlineStr">
        <is>
          <t>Earnings / Momentum Support</t>
        </is>
      </c>
      <c r="S144" s="31" t="inlineStr">
        <is>
          <t>Nifty Auto</t>
        </is>
      </c>
      <c r="T144" s="32" t="n">
        <v>13.41</v>
      </c>
      <c r="U144" s="32" t="n">
        <v>28.43</v>
      </c>
      <c r="V144" s="32" t="n">
        <v>13.24</v>
      </c>
      <c r="W144" s="32" t="n">
        <v>11.18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Headwind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No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3</t>
        </is>
      </c>
      <c r="BC144" s="31">
        <f>IF(BB144="Stage 2",20,IF(BB144="Stage 1",0,IF(BB144="Stage 3",5,IF(BB144="Stage 4",-5,0))))</f>
        <v/>
      </c>
      <c r="BD144" s="31" t="inlineStr">
        <is>
          <t>Negative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IF(B145=0,"",RANK(B145,$B$2:$B$366,0))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CRAFTSMAN</t>
        </is>
      </c>
      <c r="D145" s="31" t="inlineStr">
        <is>
          <t>Craftsman Automation Ltd</t>
        </is>
      </c>
      <c r="E145" s="31" t="inlineStr">
        <is>
          <t>auto</t>
        </is>
      </c>
      <c r="F145" s="31" t="inlineStr">
        <is>
          <t>auto ancillaries</t>
        </is>
      </c>
      <c r="G145" s="31" t="inlineStr">
        <is>
          <t>largecap</t>
        </is>
      </c>
      <c r="H145" s="32" t="n">
        <v>25823.58</v>
      </c>
      <c r="I145" s="32" t="n">
        <v>10228.5</v>
      </c>
      <c r="J145" s="32" t="n">
        <v>3.6</v>
      </c>
      <c r="K145" s="32" t="n">
        <v>85274</v>
      </c>
      <c r="L145" s="31" t="n">
        <v>60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66.69</v>
      </c>
      <c r="P145" s="32" t="n">
        <v>61.29</v>
      </c>
      <c r="Q145" s="32" t="inlineStr"/>
      <c r="R145" s="31" t="inlineStr">
        <is>
          <t>Earnings / Momentum Support</t>
        </is>
      </c>
      <c r="S145" s="31" t="inlineStr">
        <is>
          <t>Nifty Auto</t>
        </is>
      </c>
      <c r="T145" s="32" t="n">
        <v>13.41</v>
      </c>
      <c r="U145" s="32" t="n">
        <v>42.38</v>
      </c>
      <c r="V145" s="32" t="n">
        <v>25.54</v>
      </c>
      <c r="W145" s="32" t="n">
        <v>11.32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Headwind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No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Above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3</t>
        </is>
      </c>
      <c r="BC145" s="31">
        <f>IF(BB145="Stage 2",20,IF(BB145="Stage 1",0,IF(BB145="Stage 3",5,IF(BB145="Stage 4",-5,0))))</f>
        <v/>
      </c>
      <c r="BD145" s="31" t="inlineStr">
        <is>
          <t>Negative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Between 0.7 to 1.2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IF(B146=0,"",RANK(B146,$B$2:$B$366,0))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NAUKRI</t>
        </is>
      </c>
      <c r="D146" s="31" t="inlineStr">
        <is>
          <t>Info Edge (india) Limited</t>
        </is>
      </c>
      <c r="E146" s="31" t="inlineStr">
        <is>
          <t>i.t</t>
        </is>
      </c>
      <c r="F146" s="31" t="inlineStr">
        <is>
          <t>miscellaneous</t>
        </is>
      </c>
      <c r="G146" s="31" t="inlineStr">
        <is>
          <t>largecap</t>
        </is>
      </c>
      <c r="H146" s="32" t="n">
        <v>79512.58</v>
      </c>
      <c r="I146" s="32" t="n">
        <v>1268.8</v>
      </c>
      <c r="J146" s="32" t="n">
        <v>3.47</v>
      </c>
      <c r="K146" s="32" t="n">
        <v>2727234</v>
      </c>
      <c r="L146" s="31" t="n">
        <v>30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63.32</v>
      </c>
      <c r="P146" s="32" t="n">
        <v>20.78</v>
      </c>
      <c r="Q146" s="32" t="inlineStr"/>
      <c r="R146" s="31" t="inlineStr">
        <is>
          <t>Earnings / Momentum Support</t>
        </is>
      </c>
      <c r="S146" s="31" t="inlineStr">
        <is>
          <t>Nifty IT</t>
        </is>
      </c>
      <c r="T146" s="32" t="n">
        <v>-11.37</v>
      </c>
      <c r="U146" s="32" t="n">
        <v>-9.720000000000001</v>
      </c>
      <c r="V146" s="32" t="n">
        <v>1.86</v>
      </c>
      <c r="W146" s="32" t="n">
        <v>4.51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Headwind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No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3</t>
        </is>
      </c>
      <c r="BC146" s="31">
        <f>IF(BB146="Stage 2",20,IF(BB146="Stage 1",0,IF(BB146="Stage 3",5,IF(BB146="Stage 4",-5,0))))</f>
        <v/>
      </c>
      <c r="BD146" s="31" t="inlineStr">
        <is>
          <t>Negative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IF(B147=0,"",RANK(B147,$B$2:$B$366,0))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NYKAA</t>
        </is>
      </c>
      <c r="D147" s="31" t="inlineStr">
        <is>
          <t>FSN E-Commerce Ventures Ltd</t>
        </is>
      </c>
      <c r="E147" s="31" t="inlineStr">
        <is>
          <t>i.t</t>
        </is>
      </c>
      <c r="F147" s="31" t="inlineStr">
        <is>
          <t>trading</t>
        </is>
      </c>
      <c r="G147" s="31" t="inlineStr">
        <is>
          <t>largecap</t>
        </is>
      </c>
      <c r="H147" s="32" t="n">
        <v>95479.89999999999</v>
      </c>
      <c r="I147" s="32" t="n">
        <v>344.9</v>
      </c>
      <c r="J147" s="32" t="n">
        <v>3.45</v>
      </c>
      <c r="K147" s="32" t="n">
        <v>20553807</v>
      </c>
      <c r="L147" s="31" t="n">
        <v>72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72.44</v>
      </c>
      <c r="P147" s="32" t="n">
        <v>40.72</v>
      </c>
      <c r="Q147" s="32" t="inlineStr"/>
      <c r="R147" s="31" t="inlineStr">
        <is>
          <t>Earnings / Momentum Support</t>
        </is>
      </c>
      <c r="S147" s="31" t="inlineStr">
        <is>
          <t>Nifty IT</t>
        </is>
      </c>
      <c r="T147" s="32" t="n">
        <v>-11.37</v>
      </c>
      <c r="U147" s="32" t="n">
        <v>58.72</v>
      </c>
      <c r="V147" s="32" t="n">
        <v>79.08</v>
      </c>
      <c r="W147" s="32" t="n">
        <v>15.4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Headwind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No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Above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3</t>
        </is>
      </c>
      <c r="BC147" s="31">
        <f>IF(BB147="Stage 2",20,IF(BB147="Stage 1",0,IF(BB147="Stage 3",5,IF(BB147="Stage 4",-5,0))))</f>
        <v/>
      </c>
      <c r="BD147" s="31" t="inlineStr">
        <is>
          <t>Negative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Between 0.7 to 1.2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IF(B148=0,"",RANK(B148,$B$2:$B$366,0))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3" t="inlineStr">
        <is>
          <t>CERA</t>
        </is>
      </c>
      <c r="D148" s="33" t="inlineStr">
        <is>
          <t>Cera Sanitaryware Limited</t>
        </is>
      </c>
      <c r="E148" s="31" t="inlineStr">
        <is>
          <t>building materials</t>
        </is>
      </c>
      <c r="F148" s="31" t="inlineStr">
        <is>
          <t>ceramics - tiles / sanitaryware</t>
        </is>
      </c>
      <c r="G148" s="31" t="inlineStr">
        <is>
          <t>midcap</t>
        </is>
      </c>
      <c r="H148" s="32" t="n">
        <v>7901.03</v>
      </c>
      <c r="I148" s="32" t="n">
        <v>6305</v>
      </c>
      <c r="J148" s="32" t="n">
        <v>2.92</v>
      </c>
      <c r="K148" s="32" t="n">
        <v>6740</v>
      </c>
      <c r="L148" s="31" t="n">
        <v>14</v>
      </c>
      <c r="M148" s="31" t="inlineStr">
        <is>
          <t>Underperforming</t>
        </is>
      </c>
      <c r="N148" s="32">
        <f>IF(M148="Underperforming",-5,IF(L148&gt;=95,15,IF(L148&gt;=90,10,IF(L148&gt;=80,5,0))))</f>
        <v/>
      </c>
      <c r="O148" s="32" t="n">
        <v>59.68</v>
      </c>
      <c r="P148" s="32" t="n">
        <v>42.67</v>
      </c>
      <c r="Q148" s="32" t="inlineStr"/>
      <c r="R148" s="31" t="inlineStr">
        <is>
          <t>Earnings / Momentum Support</t>
        </is>
      </c>
      <c r="S148" s="31" t="inlineStr">
        <is>
          <t>Nifty Infra</t>
        </is>
      </c>
      <c r="T148" s="32" t="n">
        <v>1.74</v>
      </c>
      <c r="U148" s="32" t="n">
        <v>-11.63</v>
      </c>
      <c r="V148" s="32" t="n">
        <v>-13.14</v>
      </c>
      <c r="W148" s="32" t="n">
        <v>1.1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Headwind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No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Above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3</t>
        </is>
      </c>
      <c r="BC148" s="31">
        <f>IF(BB148="Stage 2",20,IF(BB148="Stage 1",0,IF(BB148="Stage 3",5,IF(BB148="Stage 4",-5,0))))</f>
        <v/>
      </c>
      <c r="BD148" s="31" t="inlineStr">
        <is>
          <t>Negative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Less than 12%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IF(B149=0,"",RANK(B149,$B$2:$B$366,0))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NRAIL</t>
        </is>
      </c>
      <c r="D149" s="31" t="inlineStr">
        <is>
          <t>N R Agarwal Industries Ltd</t>
        </is>
      </c>
      <c r="E149" s="31" t="inlineStr">
        <is>
          <t>building materials</t>
        </is>
      </c>
      <c r="F149" s="31" t="inlineStr">
        <is>
          <t>paper</t>
        </is>
      </c>
      <c r="G149" s="31" t="inlineStr">
        <is>
          <t>smallcap</t>
        </is>
      </c>
      <c r="H149" s="32" t="n">
        <v>805.6799999999999</v>
      </c>
      <c r="I149" s="32" t="n">
        <v>487</v>
      </c>
      <c r="J149" s="32" t="n">
        <v>2.87</v>
      </c>
      <c r="K149" s="32" t="n">
        <v>3263</v>
      </c>
      <c r="L149" s="31" t="n">
        <v>19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53.94</v>
      </c>
      <c r="P149" s="32" t="n">
        <v>22.03</v>
      </c>
      <c r="Q149" s="32" t="inlineStr"/>
      <c r="R149" s="31" t="inlineStr">
        <is>
          <t>Earnings / Momentum Support</t>
        </is>
      </c>
      <c r="S149" s="31" t="inlineStr">
        <is>
          <t>Nifty Infra</t>
        </is>
      </c>
      <c r="T149" s="32" t="n">
        <v>1.74</v>
      </c>
      <c r="U149" s="32" t="n">
        <v>19.09</v>
      </c>
      <c r="V149" s="32" t="n">
        <v>17.05</v>
      </c>
      <c r="W149" s="32" t="n">
        <v>2.3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Headwind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No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3</t>
        </is>
      </c>
      <c r="BC149" s="31">
        <f>IF(BB149="Stage 2",20,IF(BB149="Stage 1",0,IF(BB149="Stage 3",5,IF(BB149="Stage 4",-5,0))))</f>
        <v/>
      </c>
      <c r="BD149" s="31" t="inlineStr">
        <is>
          <t>Negative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Less than 1.5</t>
        </is>
      </c>
      <c r="BU149" s="31">
        <f>IF(BT149="Above 2",0,IF(BT149="Between 1.5 to 2",5,IF(BT149="Less than 1.5",10,0)))</f>
        <v/>
      </c>
      <c r="BV149" s="31" t="inlineStr">
        <is>
          <t>Between 50% to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Between 0.7 to 1.2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IF(B150=0,"",RANK(B150,$B$2:$B$366,0))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3" t="inlineStr">
        <is>
          <t>SSWL</t>
        </is>
      </c>
      <c r="D150" s="33" t="inlineStr">
        <is>
          <t>Steel Strips Wheels Limited</t>
        </is>
      </c>
      <c r="E150" s="31" t="inlineStr">
        <is>
          <t>auto</t>
        </is>
      </c>
      <c r="F150" s="31" t="inlineStr">
        <is>
          <t>auto ancillaries</t>
        </is>
      </c>
      <c r="G150" s="31" t="inlineStr">
        <is>
          <t>smallcap</t>
        </is>
      </c>
      <c r="H150" s="32" t="n">
        <v>4878.25</v>
      </c>
      <c r="I150" s="32" t="n">
        <v>317.85</v>
      </c>
      <c r="J150" s="32" t="n">
        <v>2.41</v>
      </c>
      <c r="K150" s="32" t="n">
        <v>1702280</v>
      </c>
      <c r="L150" s="31" t="n">
        <v>38</v>
      </c>
      <c r="M150" s="31" t="inlineStr">
        <is>
          <t>Underperforming</t>
        </is>
      </c>
      <c r="N150" s="32">
        <f>IF(M150="Underperforming",-5,IF(L150&gt;=95,15,IF(L150&gt;=90,10,IF(L150&gt;=80,5,0))))</f>
        <v/>
      </c>
      <c r="O150" s="32" t="n">
        <v>76.42</v>
      </c>
      <c r="P150" s="32" t="n">
        <v>24.13</v>
      </c>
      <c r="Q150" s="32" t="inlineStr"/>
      <c r="R150" s="31" t="inlineStr">
        <is>
          <t>Earnings / Momentum Support</t>
        </is>
      </c>
      <c r="S150" s="31" t="inlineStr">
        <is>
          <t>Nifty Auto</t>
        </is>
      </c>
      <c r="T150" s="32" t="n">
        <v>13.41</v>
      </c>
      <c r="U150" s="32" t="n">
        <v>4.51</v>
      </c>
      <c r="V150" s="32" t="n">
        <v>-7.85</v>
      </c>
      <c r="W150" s="32" t="n">
        <v>5.81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Headwind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No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Above 75</t>
        </is>
      </c>
      <c r="BA150" s="31">
        <f>IF(AZ150="Between 50 to 75",10,IF(AZ150="Above 75",0,0))</f>
        <v/>
      </c>
      <c r="BB150" s="31" t="inlineStr">
        <is>
          <t>Stage 3</t>
        </is>
      </c>
      <c r="BC150" s="31">
        <f>IF(BB150="Stage 2",20,IF(BB150="Stage 1",0,IF(BB150="Stage 3",5,IF(BB150="Stage 4",-5,0))))</f>
        <v/>
      </c>
      <c r="BD150" s="31" t="inlineStr">
        <is>
          <t>Negative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Less than 1.5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IF(B151=0,"",RANK(B151,$B$2:$B$366,0))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BELRISE</t>
        </is>
      </c>
      <c r="D151" s="31" t="inlineStr">
        <is>
          <t>Belrise Industries Ltd</t>
        </is>
      </c>
      <c r="E151" s="31" t="inlineStr">
        <is>
          <t>auto</t>
        </is>
      </c>
      <c r="F151" s="31" t="inlineStr">
        <is>
          <t>auto ancillaries</t>
        </is>
      </c>
      <c r="G151" s="31" t="inlineStr">
        <is>
          <t>largecap</t>
        </is>
      </c>
      <c r="H151" s="32" t="n">
        <v>22895.39</v>
      </c>
      <c r="I151" s="32" t="n">
        <v>241.86</v>
      </c>
      <c r="J151" s="32" t="n">
        <v>2.17</v>
      </c>
      <c r="K151" s="32" t="n">
        <v>5748763</v>
      </c>
      <c r="L151" s="31" t="n">
        <v>70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65.56999999999999</v>
      </c>
      <c r="P151" s="32" t="n">
        <v>46.27</v>
      </c>
      <c r="Q151" s="32" t="inlineStr"/>
      <c r="R151" s="31" t="inlineStr">
        <is>
          <t>Earnings / Momentum Support</t>
        </is>
      </c>
      <c r="S151" s="31" t="inlineStr">
        <is>
          <t>Nifty Auto</t>
        </is>
      </c>
      <c r="T151" s="32" t="n">
        <v>13.41</v>
      </c>
      <c r="U151" s="32" t="n">
        <v>83.28</v>
      </c>
      <c r="V151" s="32" t="n">
        <v>61.6</v>
      </c>
      <c r="W151" s="32" t="n">
        <v>14.47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Headwind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No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Above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3</t>
        </is>
      </c>
      <c r="BC151" s="31">
        <f>IF(BB151="Stage 2",20,IF(BB151="Stage 1",0,IF(BB151="Stage 3",5,IF(BB151="Stage 4",-5,0))))</f>
        <v/>
      </c>
      <c r="BD151" s="31" t="inlineStr">
        <is>
          <t>Negative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Less than 12%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IF(B152=0,"",RANK(B152,$B$2:$B$366,0))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SWANDEF</t>
        </is>
      </c>
      <c r="D152" s="31" t="inlineStr">
        <is>
          <t>Swan Defence and Heavy Industries Ltd</t>
        </is>
      </c>
      <c r="E152" s="31" t="inlineStr">
        <is>
          <t>transportation</t>
        </is>
      </c>
      <c r="F152" s="31" t="inlineStr">
        <is>
          <t>miscellaneous</t>
        </is>
      </c>
      <c r="G152" s="31" t="inlineStr">
        <is>
          <t>midcap</t>
        </is>
      </c>
      <c r="H152" s="32" t="n">
        <v>13031.98</v>
      </c>
      <c r="I152" s="32" t="n">
        <v>2521</v>
      </c>
      <c r="J152" s="32" t="n">
        <v>1.91</v>
      </c>
      <c r="K152" s="32" t="n">
        <v>23401</v>
      </c>
      <c r="L152" s="31" t="n">
        <v>98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70.44</v>
      </c>
      <c r="P152" s="32" t="n">
        <v>51.71</v>
      </c>
      <c r="Q152" s="32" t="inlineStr"/>
      <c r="R152" s="31" t="inlineStr">
        <is>
          <t>Earnings / Momentum Support</t>
        </is>
      </c>
      <c r="S152" s="31" t="inlineStr">
        <is>
          <t>Nifty 50</t>
        </is>
      </c>
      <c r="T152" s="32" t="n">
        <v>-0.74</v>
      </c>
      <c r="U152" s="32" t="n">
        <v>669.28</v>
      </c>
      <c r="V152" s="32" t="n">
        <v>675.02</v>
      </c>
      <c r="W152" s="32" t="n">
        <v>69.25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Headwind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No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Above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3</t>
        </is>
      </c>
      <c r="BC152" s="31">
        <f>IF(BB152="Stage 2",20,IF(BB152="Stage 1",0,IF(BB152="Stage 3",5,IF(BB152="Stage 4",-5,0))))</f>
        <v/>
      </c>
      <c r="BD152" s="31" t="inlineStr">
        <is>
          <t>Negative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Less than 1.5</t>
        </is>
      </c>
      <c r="BU152" s="31">
        <f>IF(BT152="Above 2",0,IF(BT152="Between 1.5 to 2",5,IF(BT152="Less than 1.5",10,0)))</f>
        <v/>
      </c>
      <c r="BV152" s="31" t="inlineStr">
        <is>
          <t>Negative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More than 1.2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IF(B153=0,"",RANK(B153,$B$2:$B$366,0))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OBEROIRLTY</t>
        </is>
      </c>
      <c r="D153" s="31" t="inlineStr">
        <is>
          <t>Oberoi Realty Limited</t>
        </is>
      </c>
      <c r="E153" s="31" t="inlineStr">
        <is>
          <t>realty</t>
        </is>
      </c>
      <c r="F153" s="31" t="inlineStr">
        <is>
          <t>construction</t>
        </is>
      </c>
      <c r="G153" s="31" t="inlineStr">
        <is>
          <t>largecap</t>
        </is>
      </c>
      <c r="H153" s="32" t="n">
        <v>66455.58</v>
      </c>
      <c r="I153" s="32" t="n">
        <v>1861.1</v>
      </c>
      <c r="J153" s="32" t="n">
        <v>1.83</v>
      </c>
      <c r="K153" s="32" t="n">
        <v>508208</v>
      </c>
      <c r="L153" s="31" t="n">
        <v>24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59.29</v>
      </c>
      <c r="P153" s="32" t="n">
        <v>17.39</v>
      </c>
      <c r="Q153" s="32" t="inlineStr"/>
      <c r="R153" s="31" t="inlineStr">
        <is>
          <t>Earnings / Momentum Support</t>
        </is>
      </c>
      <c r="S153" s="31" t="inlineStr">
        <is>
          <t>Nifty Realty</t>
        </is>
      </c>
      <c r="T153" s="32" t="n">
        <v>-8.119999999999999</v>
      </c>
      <c r="U153" s="32" t="n">
        <v>3.77</v>
      </c>
      <c r="V153" s="32" t="n">
        <v>12.94</v>
      </c>
      <c r="W153" s="32" t="n">
        <v>3.1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Headwind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No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0 to 20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3</t>
        </is>
      </c>
      <c r="BC153" s="31">
        <f>IF(BB153="Stage 2",20,IF(BB153="Stage 1",0,IF(BB153="Stage 3",5,IF(BB153="Stage 4",-5,0))))</f>
        <v/>
      </c>
      <c r="BD153" s="31" t="inlineStr">
        <is>
          <t>Negative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Less than 1.5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IF(B154=0,"",RANK(B154,$B$2:$B$366,0))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SOLARINDS</t>
        </is>
      </c>
      <c r="D154" s="31" t="inlineStr">
        <is>
          <t>Solar Industries India Limited</t>
        </is>
      </c>
      <c r="E154" s="31" t="inlineStr">
        <is>
          <t>aerospace &amp; defence</t>
        </is>
      </c>
      <c r="F154" s="31" t="inlineStr">
        <is>
          <t>chemicals</t>
        </is>
      </c>
      <c r="G154" s="31" t="inlineStr">
        <is>
          <t>largecap</t>
        </is>
      </c>
      <c r="H154" s="32" t="n">
        <v>166420.26</v>
      </c>
      <c r="I154" s="32" t="n">
        <v>18659</v>
      </c>
      <c r="J154" s="32" t="n">
        <v>1.46</v>
      </c>
      <c r="K154" s="32" t="n">
        <v>154505</v>
      </c>
      <c r="L154" s="31" t="n">
        <v>57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64.45999999999999</v>
      </c>
      <c r="P154" s="32" t="n">
        <v>39.4</v>
      </c>
      <c r="Q154" s="32" t="inlineStr"/>
      <c r="R154" s="31" t="inlineStr">
        <is>
          <t>Earnings / Momentum Support</t>
        </is>
      </c>
      <c r="S154" s="31" t="inlineStr">
        <is>
          <t>Nifty 50</t>
        </is>
      </c>
      <c r="T154" s="32" t="n">
        <v>-0.74</v>
      </c>
      <c r="U154" s="32" t="n">
        <v>33.28</v>
      </c>
      <c r="V154" s="32" t="n">
        <v>34.27</v>
      </c>
      <c r="W154" s="32" t="n">
        <v>10.2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Headwind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No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3</t>
        </is>
      </c>
      <c r="BC154" s="31">
        <f>IF(BB154="Stage 2",20,IF(BB154="Stage 1",0,IF(BB154="Stage 3",5,IF(BB154="Stage 4",-5,0))))</f>
        <v/>
      </c>
      <c r="BD154" s="31" t="inlineStr">
        <is>
          <t>Negative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Less than 1.5</t>
        </is>
      </c>
      <c r="BU154" s="31">
        <f>IF(BT154="Above 2",0,IF(BT154="Between 1.5 to 2",5,IF(BT154="Less than 1.5",10,0)))</f>
        <v/>
      </c>
      <c r="BV154" s="31" t="inlineStr">
        <is>
          <t>Less than 50%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IF(B155=0,"",RANK(B155,$B$2:$B$366,0))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MAHLIFE</t>
        </is>
      </c>
      <c r="D155" s="31" t="inlineStr">
        <is>
          <t>Mahindra Lifespace Developers Limited</t>
        </is>
      </c>
      <c r="E155" s="31" t="inlineStr">
        <is>
          <t>realty</t>
        </is>
      </c>
      <c r="F155" s="31" t="inlineStr">
        <is>
          <t>construction</t>
        </is>
      </c>
      <c r="G155" s="31" t="inlineStr">
        <is>
          <t>midcap</t>
        </is>
      </c>
      <c r="H155" s="32" t="n">
        <v>8376.9</v>
      </c>
      <c r="I155" s="32" t="n">
        <v>398.25</v>
      </c>
      <c r="J155" s="32" t="n">
        <v>1.43</v>
      </c>
      <c r="K155" s="32" t="n">
        <v>142818</v>
      </c>
      <c r="L155" s="31" t="n">
        <v>25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63.12</v>
      </c>
      <c r="P155" s="32" t="n">
        <v>13.72</v>
      </c>
      <c r="Q155" s="32" t="inlineStr"/>
      <c r="R155" s="31" t="inlineStr">
        <is>
          <t>Earnings / Momentum Support</t>
        </is>
      </c>
      <c r="S155" s="31" t="inlineStr">
        <is>
          <t>Nifty Realty</t>
        </is>
      </c>
      <c r="T155" s="32" t="n">
        <v>-8.119999999999999</v>
      </c>
      <c r="U155" s="32" t="n">
        <v>-1.54</v>
      </c>
      <c r="V155" s="32" t="n">
        <v>7.16</v>
      </c>
      <c r="W155" s="32" t="n">
        <v>3.28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Headwind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No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0 to 20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3</t>
        </is>
      </c>
      <c r="BC155" s="31">
        <f>IF(BB155="Stage 2",20,IF(BB155="Stage 1",0,IF(BB155="Stage 3",5,IF(BB155="Stage 4",-5,0))))</f>
        <v/>
      </c>
      <c r="BD155" s="31" t="inlineStr">
        <is>
          <t>Negative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No</t>
        </is>
      </c>
      <c r="BS155" s="31">
        <f>IF(BR155="NO",5,0)</f>
        <v/>
      </c>
      <c r="BT155" s="31" t="inlineStr">
        <is>
          <t>Less than 1.5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IF(B156=0,"",RANK(B156,$B$2:$B$366,0))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HEROMOTOCO</t>
        </is>
      </c>
      <c r="D156" s="31" t="inlineStr">
        <is>
          <t>Hero Motocorp Limited</t>
        </is>
      </c>
      <c r="E156" s="31" t="inlineStr">
        <is>
          <t>auto</t>
        </is>
      </c>
      <c r="F156" s="31" t="inlineStr">
        <is>
          <t>automobiles - motorcycles / mopeds</t>
        </is>
      </c>
      <c r="G156" s="31" t="inlineStr">
        <is>
          <t>largecap</t>
        </is>
      </c>
      <c r="H156" s="32" t="n">
        <v>107770.06</v>
      </c>
      <c r="I156" s="32" t="n">
        <v>5460</v>
      </c>
      <c r="J156" s="32" t="n">
        <v>1.37</v>
      </c>
      <c r="K156" s="32" t="n">
        <v>1777644</v>
      </c>
      <c r="L156" s="31" t="n">
        <v>20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58.33</v>
      </c>
      <c r="P156" s="32" t="n">
        <v>7.53</v>
      </c>
      <c r="Q156" s="32" t="inlineStr"/>
      <c r="R156" s="31" t="inlineStr">
        <is>
          <t>Earnings / Momentum Support</t>
        </is>
      </c>
      <c r="S156" s="31" t="inlineStr">
        <is>
          <t>Nifty Auto</t>
        </is>
      </c>
      <c r="T156" s="32" t="n">
        <v>13.41</v>
      </c>
      <c r="U156" s="32" t="n">
        <v>15.57</v>
      </c>
      <c r="V156" s="32" t="n">
        <v>1.9</v>
      </c>
      <c r="W156" s="32" t="n">
        <v>2.45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Headwind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No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0 to 20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3</t>
        </is>
      </c>
      <c r="BC156" s="31">
        <f>IF(BB156="Stage 2",20,IF(BB156="Stage 1",0,IF(BB156="Stage 3",5,IF(BB156="Stage 4",-5,0))))</f>
        <v/>
      </c>
      <c r="BD156" s="31" t="inlineStr">
        <is>
          <t>Negative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Less than 1.5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IF(B157=0,"",RANK(B157,$B$2:$B$366,0))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3" t="inlineStr">
        <is>
          <t>VISAKAIND</t>
        </is>
      </c>
      <c r="D157" s="33" t="inlineStr">
        <is>
          <t>Visaka Industries Limited</t>
        </is>
      </c>
      <c r="E157" s="31" t="inlineStr">
        <is>
          <t>building materials</t>
        </is>
      </c>
      <c r="F157" s="31" t="inlineStr">
        <is>
          <t>cement products</t>
        </is>
      </c>
      <c r="G157" s="31" t="inlineStr">
        <is>
          <t>smallcap</t>
        </is>
      </c>
      <c r="H157" s="32" t="n">
        <v>737.38</v>
      </c>
      <c r="I157" s="32" t="n">
        <v>86.5</v>
      </c>
      <c r="J157" s="32" t="n">
        <v>1.36</v>
      </c>
      <c r="K157" s="32" t="n">
        <v>535341</v>
      </c>
      <c r="L157" s="31" t="n">
        <v>37</v>
      </c>
      <c r="M157" s="31" t="inlineStr">
        <is>
          <t>Underperforming</t>
        </is>
      </c>
      <c r="N157" s="32">
        <f>IF(M157="Underperforming",-5,IF(L157&gt;=95,15,IF(L157&gt;=90,10,IF(L157&gt;=80,5,0))))</f>
        <v/>
      </c>
      <c r="O157" s="32" t="n">
        <v>70.18000000000001</v>
      </c>
      <c r="P157" s="32" t="n">
        <v>36.39</v>
      </c>
      <c r="Q157" s="32" t="inlineStr"/>
      <c r="R157" s="31" t="inlineStr">
        <is>
          <t>Earnings / Momentum Support</t>
        </is>
      </c>
      <c r="S157" s="31" t="inlineStr">
        <is>
          <t>Nifty Infra</t>
        </is>
      </c>
      <c r="T157" s="32" t="n">
        <v>1.74</v>
      </c>
      <c r="U157" s="32" t="n">
        <v>-2.47</v>
      </c>
      <c r="V157" s="32" t="n">
        <v>-4.13</v>
      </c>
      <c r="W157" s="32" t="n">
        <v>5.66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Headwind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No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3</t>
        </is>
      </c>
      <c r="BC157" s="31">
        <f>IF(BB157="Stage 2",20,IF(BB157="Stage 1",0,IF(BB157="Stage 3",5,IF(BB157="Stage 4",-5,0))))</f>
        <v/>
      </c>
      <c r="BD157" s="31" t="inlineStr">
        <is>
          <t>Negative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IF(B158=0,"",RANK(B158,$B$2:$B$366,0))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SETL</t>
        </is>
      </c>
      <c r="D158" s="31" t="inlineStr">
        <is>
          <t>Standard Enginnering Technology Ltd</t>
        </is>
      </c>
      <c r="E158" s="31" t="inlineStr">
        <is>
          <t>industrials</t>
        </is>
      </c>
      <c r="F158" s="31" t="inlineStr">
        <is>
          <t>engineering</t>
        </is>
      </c>
      <c r="G158" s="31" t="inlineStr">
        <is>
          <t>midcap</t>
        </is>
      </c>
      <c r="H158" s="32" t="n">
        <v>5488.02</v>
      </c>
      <c r="I158" s="32" t="n">
        <v>278.55</v>
      </c>
      <c r="J158" s="32" t="n">
        <v>1.25</v>
      </c>
      <c r="K158" s="32" t="n">
        <v>223337</v>
      </c>
      <c r="L158" s="31" t="n">
        <v>95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78.27</v>
      </c>
      <c r="P158" s="32" t="n">
        <v>43.22</v>
      </c>
      <c r="Q158" s="32" t="inlineStr"/>
      <c r="R158" s="31" t="inlineStr">
        <is>
          <t>Earnings / Momentum Support</t>
        </is>
      </c>
      <c r="S158" s="31" t="inlineStr">
        <is>
          <t>Nifty 50</t>
        </is>
      </c>
      <c r="T158" s="32" t="n">
        <v>-0.74</v>
      </c>
      <c r="U158" s="32" t="n">
        <v>48.57</v>
      </c>
      <c r="V158" s="32" t="n">
        <v>49.68</v>
      </c>
      <c r="W158" s="32" t="n">
        <v>35.07</v>
      </c>
      <c r="X158" s="31" t="inlineStr">
        <is>
          <t>Cyclical in an Upturn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Headwind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No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Above 40</t>
        </is>
      </c>
      <c r="AY158" s="31">
        <f>IF(AX158="Above 40",20,IF(AX158="20 to 40",10,IF(AX158="0 to 20",-5,0)))</f>
        <v/>
      </c>
      <c r="AZ158" s="31" t="inlineStr">
        <is>
          <t>Above 75</t>
        </is>
      </c>
      <c r="BA158" s="31">
        <f>IF(AZ158="Between 50 to 75",10,IF(AZ158="Above 75",0,0))</f>
        <v/>
      </c>
      <c r="BB158" s="31" t="inlineStr">
        <is>
          <t>Stage 3</t>
        </is>
      </c>
      <c r="BC158" s="31">
        <f>IF(BB158="Stage 2",20,IF(BB158="Stage 1",0,IF(BB158="Stage 3",5,IF(BB158="Stage 4",-5,0))))</f>
        <v/>
      </c>
      <c r="BD158" s="31" t="inlineStr">
        <is>
          <t>Negative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Less than 50%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IF(B159=0,"",RANK(B159,$B$2:$B$366,0))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JGCHEM</t>
        </is>
      </c>
      <c r="D159" s="31" t="inlineStr">
        <is>
          <t>J.G.Chemicals Ltd</t>
        </is>
      </c>
      <c r="E159" s="31" t="inlineStr">
        <is>
          <t>chemicals</t>
        </is>
      </c>
      <c r="F159" s="31" t="inlineStr">
        <is>
          <t>chemicals</t>
        </is>
      </c>
      <c r="G159" s="31" t="inlineStr">
        <is>
          <t>smallcap</t>
        </is>
      </c>
      <c r="H159" s="32" t="n">
        <v>1974.19</v>
      </c>
      <c r="I159" s="32" t="n">
        <v>510</v>
      </c>
      <c r="J159" s="32" t="n">
        <v>1.23</v>
      </c>
      <c r="K159" s="32" t="n">
        <v>84625</v>
      </c>
      <c r="L159" s="31" t="n">
        <v>48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67.87</v>
      </c>
      <c r="P159" s="32" t="n">
        <v>27.79</v>
      </c>
      <c r="Q159" s="32" t="inlineStr"/>
      <c r="R159" s="31" t="inlineStr">
        <is>
          <t>Earnings / Momentum Support</t>
        </is>
      </c>
      <c r="S159" s="31" t="inlineStr">
        <is>
          <t>Nifty IT</t>
        </is>
      </c>
      <c r="T159" s="32" t="n">
        <v>-11.37</v>
      </c>
      <c r="U159" s="32" t="n">
        <v>4.97</v>
      </c>
      <c r="V159" s="32" t="n">
        <v>18.44</v>
      </c>
      <c r="W159" s="32" t="n">
        <v>7.95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Headwind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No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3</t>
        </is>
      </c>
      <c r="BC159" s="31">
        <f>IF(BB159="Stage 2",20,IF(BB159="Stage 1",0,IF(BB159="Stage 3",5,IF(BB159="Stage 4",-5,0))))</f>
        <v/>
      </c>
      <c r="BD159" s="31" t="inlineStr">
        <is>
          <t>Negative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Between 12 to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Between 1.5 to 2</t>
        </is>
      </c>
      <c r="BU159" s="31">
        <f>IF(BT159="Above 2",0,IF(BT159="Between 1.5 to 2",5,IF(BT159="Less than 1.5",10,0)))</f>
        <v/>
      </c>
      <c r="BV159" s="31" t="inlineStr">
        <is>
          <t>Between 50% to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IF(B160=0,"",RANK(B160,$B$2:$B$366,0))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3" t="inlineStr">
        <is>
          <t>JAYAGROGN</t>
        </is>
      </c>
      <c r="D160" s="33" t="inlineStr">
        <is>
          <t>Jayant Agro Organics Limited</t>
        </is>
      </c>
      <c r="E160" s="31" t="inlineStr">
        <is>
          <t>chemicals</t>
        </is>
      </c>
      <c r="F160" s="31" t="inlineStr">
        <is>
          <t>chemicals</t>
        </is>
      </c>
      <c r="G160" s="31" t="inlineStr">
        <is>
          <t>smallcap</t>
        </is>
      </c>
      <c r="H160" s="32" t="n">
        <v>688.05</v>
      </c>
      <c r="I160" s="32" t="n">
        <v>232</v>
      </c>
      <c r="J160" s="32" t="n">
        <v>1.16</v>
      </c>
      <c r="K160" s="32" t="n">
        <v>42437</v>
      </c>
      <c r="L160" s="31" t="n">
        <v>24</v>
      </c>
      <c r="M160" s="31" t="inlineStr">
        <is>
          <t>Underperforming</t>
        </is>
      </c>
      <c r="N160" s="32">
        <f>IF(M160="Underperforming",-5,IF(L160&gt;=95,15,IF(L160&gt;=90,10,IF(L160&gt;=80,5,0))))</f>
        <v/>
      </c>
      <c r="O160" s="32" t="n">
        <v>60.17</v>
      </c>
      <c r="P160" s="32" t="n">
        <v>38.32</v>
      </c>
      <c r="Q160" s="32" t="inlineStr"/>
      <c r="R160" s="31" t="inlineStr">
        <is>
          <t>Earnings / Momentum Support</t>
        </is>
      </c>
      <c r="S160" s="31" t="inlineStr">
        <is>
          <t>Nifty 50</t>
        </is>
      </c>
      <c r="T160" s="32" t="n">
        <v>-0.74</v>
      </c>
      <c r="U160" s="32" t="n">
        <v>-6.73</v>
      </c>
      <c r="V160" s="32" t="n">
        <v>-6.04</v>
      </c>
      <c r="W160" s="32" t="n">
        <v>3.07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Headwind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No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3</t>
        </is>
      </c>
      <c r="BC160" s="31">
        <f>IF(BB160="Stage 2",20,IF(BB160="Stage 1",0,IF(BB160="Stage 3",5,IF(BB160="Stage 4",-5,0))))</f>
        <v/>
      </c>
      <c r="BD160" s="31" t="inlineStr">
        <is>
          <t>Negative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Less than 1.5</t>
        </is>
      </c>
      <c r="BU160" s="31">
        <f>IF(BT160="Above 2",0,IF(BT160="Between 1.5 to 2",5,IF(BT160="Less than 1.5",10,0)))</f>
        <v/>
      </c>
      <c r="BV160" s="31" t="inlineStr">
        <is>
          <t>Less than 50%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IF(B161=0,"",RANK(B161,$B$2:$B$366,0))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SFL</t>
        </is>
      </c>
      <c r="D161" s="31" t="inlineStr">
        <is>
          <t>Sheela Foam Limited</t>
        </is>
      </c>
      <c r="E161" s="31" t="inlineStr">
        <is>
          <t>consumer discretionary</t>
        </is>
      </c>
      <c r="F161" s="31" t="inlineStr">
        <is>
          <t>miscellaneous</t>
        </is>
      </c>
      <c r="G161" s="31" t="inlineStr">
        <is>
          <t>midcap</t>
        </is>
      </c>
      <c r="H161" s="32" t="n">
        <v>8559.360000000001</v>
      </c>
      <c r="I161" s="32" t="n">
        <v>790.6</v>
      </c>
      <c r="J161" s="32" t="n">
        <v>0.87</v>
      </c>
      <c r="K161" s="32" t="n">
        <v>92503</v>
      </c>
      <c r="L161" s="31" t="n">
        <v>76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72.61</v>
      </c>
      <c r="P161" s="32" t="n">
        <v>39.84</v>
      </c>
      <c r="Q161" s="32" t="inlineStr"/>
      <c r="R161" s="31" t="inlineStr">
        <is>
          <t>Earnings / Momentum Support</t>
        </is>
      </c>
      <c r="S161" s="31" t="inlineStr">
        <is>
          <t>Nifty 50</t>
        </is>
      </c>
      <c r="T161" s="32" t="n">
        <v>-0.74</v>
      </c>
      <c r="U161" s="32" t="n">
        <v>16.65</v>
      </c>
      <c r="V161" s="32" t="n">
        <v>17.52</v>
      </c>
      <c r="W161" s="32" t="n">
        <v>16.86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Headwind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No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3</t>
        </is>
      </c>
      <c r="BC161" s="31">
        <f>IF(BB161="Stage 2",20,IF(BB161="Stage 1",0,IF(BB161="Stage 3",5,IF(BB161="Stage 4",-5,0))))</f>
        <v/>
      </c>
      <c r="BD161" s="31" t="inlineStr">
        <is>
          <t>Negative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IF(B162=0,"",RANK(B162,$B$2:$B$366,0))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ATUL</t>
        </is>
      </c>
      <c r="D162" s="31" t="inlineStr">
        <is>
          <t>Atul Limited</t>
        </is>
      </c>
      <c r="E162" s="31" t="inlineStr">
        <is>
          <t>chemicals</t>
        </is>
      </c>
      <c r="F162" s="31" t="inlineStr">
        <is>
          <t>chemicals</t>
        </is>
      </c>
      <c r="G162" s="31" t="inlineStr">
        <is>
          <t>midcap</t>
        </is>
      </c>
      <c r="H162" s="32" t="n">
        <v>19833.44</v>
      </c>
      <c r="I162" s="32" t="n">
        <v>6765</v>
      </c>
      <c r="J162" s="32" t="n">
        <v>0.42</v>
      </c>
      <c r="K162" s="32" t="n">
        <v>23390</v>
      </c>
      <c r="L162" s="31" t="n">
        <v>13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56.08</v>
      </c>
      <c r="P162" s="32" t="n">
        <v>12.42</v>
      </c>
      <c r="Q162" s="32" t="inlineStr"/>
      <c r="R162" s="31" t="inlineStr">
        <is>
          <t>Earnings / Momentum Support</t>
        </is>
      </c>
      <c r="S162" s="31" t="inlineStr">
        <is>
          <t>Nifty 50</t>
        </is>
      </c>
      <c r="T162" s="32" t="n">
        <v>-0.74</v>
      </c>
      <c r="U162" s="32" t="n">
        <v>4.29</v>
      </c>
      <c r="V162" s="32" t="n">
        <v>5.06</v>
      </c>
      <c r="W162" s="32" t="n">
        <v>1.02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Headwind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No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0 to 20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3</t>
        </is>
      </c>
      <c r="BC162" s="31">
        <f>IF(BB162="Stage 2",20,IF(BB162="Stage 1",0,IF(BB162="Stage 3",5,IF(BB162="Stage 4",-5,0))))</f>
        <v/>
      </c>
      <c r="BD162" s="31" t="inlineStr">
        <is>
          <t>Negative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No</t>
        </is>
      </c>
      <c r="BS162" s="31">
        <f>IF(BR162="NO",5,0)</f>
        <v/>
      </c>
      <c r="BT162" s="31" t="inlineStr">
        <is>
          <t>Less than 1.5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IF(B163=0,"",RANK(B163,$B$2:$B$366,0))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AYMSYNTEX</t>
        </is>
      </c>
      <c r="D163" s="31" t="inlineStr">
        <is>
          <t>Aym Syntex Limited</t>
        </is>
      </c>
      <c r="E163" s="31" t="inlineStr">
        <is>
          <t>textiles</t>
        </is>
      </c>
      <c r="F163" s="31" t="inlineStr">
        <is>
          <t>textiles - processing</t>
        </is>
      </c>
      <c r="G163" s="31" t="inlineStr">
        <is>
          <t>smallcap</t>
        </is>
      </c>
      <c r="H163" s="32" t="n">
        <v>1478.98</v>
      </c>
      <c r="I163" s="32" t="n">
        <v>251.6</v>
      </c>
      <c r="J163" s="32" t="n">
        <v>-0.08</v>
      </c>
      <c r="K163" s="32" t="n">
        <v>14782</v>
      </c>
      <c r="L163" s="31" t="n">
        <v>49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60.19</v>
      </c>
      <c r="P163" s="32" t="n">
        <v>32.04</v>
      </c>
      <c r="Q163" s="32" t="inlineStr"/>
      <c r="R163" s="31" t="inlineStr">
        <is>
          <t>Earnings / Momentum Support</t>
        </is>
      </c>
      <c r="S163" s="31" t="inlineStr">
        <is>
          <t>Nifty 50</t>
        </is>
      </c>
      <c r="T163" s="32" t="n">
        <v>-0.74</v>
      </c>
      <c r="U163" s="32" t="n">
        <v>23.41</v>
      </c>
      <c r="V163" s="32" t="n">
        <v>24.33</v>
      </c>
      <c r="W163" s="32" t="n">
        <v>8.140000000000001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Headwind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No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3</t>
        </is>
      </c>
      <c r="BC163" s="31">
        <f>IF(BB163="Stage 2",20,IF(BB163="Stage 1",0,IF(BB163="Stage 3",5,IF(BB163="Stage 4",-5,0))))</f>
        <v/>
      </c>
      <c r="BD163" s="31" t="inlineStr">
        <is>
          <t>Negative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Yes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IF(B164=0,"",RANK(B164,$B$2:$B$366,0))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VMART</t>
        </is>
      </c>
      <c r="D164" s="31" t="inlineStr">
        <is>
          <t>V-mart Retail Limited</t>
        </is>
      </c>
      <c r="E164" s="31" t="inlineStr">
        <is>
          <t>consumer discretionary</t>
        </is>
      </c>
      <c r="F164" s="31" t="inlineStr">
        <is>
          <t>trading</t>
        </is>
      </c>
      <c r="G164" s="31" t="inlineStr">
        <is>
          <t>midcap</t>
        </is>
      </c>
      <c r="H164" s="32" t="n">
        <v>6197.58</v>
      </c>
      <c r="I164" s="32" t="n">
        <v>777.95</v>
      </c>
      <c r="J164" s="32" t="n">
        <v>-0.15</v>
      </c>
      <c r="K164" s="32" t="n">
        <v>104165</v>
      </c>
      <c r="L164" s="31" t="n">
        <v>42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60.28</v>
      </c>
      <c r="P164" s="32" t="n">
        <v>25.19</v>
      </c>
      <c r="Q164" s="32" t="inlineStr"/>
      <c r="R164" s="31" t="inlineStr">
        <is>
          <t>Earnings / Momentum Support</t>
        </is>
      </c>
      <c r="S164" s="31" t="inlineStr">
        <is>
          <t>Nifty 50</t>
        </is>
      </c>
      <c r="T164" s="32" t="n">
        <v>-0.74</v>
      </c>
      <c r="U164" s="32" t="n">
        <v>-0.03</v>
      </c>
      <c r="V164" s="32" t="n">
        <v>0.72</v>
      </c>
      <c r="W164" s="32" t="n">
        <v>6.85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Headwind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No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3</t>
        </is>
      </c>
      <c r="BC164" s="31">
        <f>IF(BB164="Stage 2",20,IF(BB164="Stage 1",0,IF(BB164="Stage 3",5,IF(BB164="Stage 4",-5,0))))</f>
        <v/>
      </c>
      <c r="BD164" s="31" t="inlineStr">
        <is>
          <t>Negative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Less than 1.5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Between 0.7 to 1.2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IF(B165=0,"",RANK(B165,$B$2:$B$366,0))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KERNEX</t>
        </is>
      </c>
      <c r="D165" s="31" t="inlineStr">
        <is>
          <t>Kernex Microsystems (india) Limited</t>
        </is>
      </c>
      <c r="E165" s="31" t="inlineStr">
        <is>
          <t>consumer discretionary</t>
        </is>
      </c>
      <c r="F165" s="31" t="inlineStr">
        <is>
          <t>electronics - components</t>
        </is>
      </c>
      <c r="G165" s="31" t="inlineStr">
        <is>
          <t>smallcap</t>
        </is>
      </c>
      <c r="H165" s="32" t="n">
        <v>3850.89</v>
      </c>
      <c r="I165" s="32" t="n">
        <v>2278</v>
      </c>
      <c r="J165" s="32" t="n">
        <v>-0.6</v>
      </c>
      <c r="K165" s="32" t="n">
        <v>119058</v>
      </c>
      <c r="L165" s="31" t="n">
        <v>94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69.55</v>
      </c>
      <c r="P165" s="32" t="n">
        <v>60.13</v>
      </c>
      <c r="Q165" s="32" t="inlineStr"/>
      <c r="R165" s="31" t="inlineStr">
        <is>
          <t>Earnings / Momentum Support</t>
        </is>
      </c>
      <c r="S165" s="31" t="inlineStr">
        <is>
          <t>Nifty 50</t>
        </is>
      </c>
      <c r="T165" s="32" t="n">
        <v>-0.74</v>
      </c>
      <c r="U165" s="32" t="n">
        <v>106.85</v>
      </c>
      <c r="V165" s="32" t="n">
        <v>108.39</v>
      </c>
      <c r="W165" s="32" t="n">
        <v>32.36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Headwind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No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Above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3</t>
        </is>
      </c>
      <c r="BC165" s="31">
        <f>IF(BB165="Stage 2",20,IF(BB165="Stage 1",0,IF(BB165="Stage 3",5,IF(BB165="Stage 4",-5,0))))</f>
        <v/>
      </c>
      <c r="BD165" s="31" t="inlineStr">
        <is>
          <t>Negative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Negative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IF(B166=0,"",RANK(B166,$B$2:$B$366,0))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3" t="inlineStr">
        <is>
          <t>POLYPLEX</t>
        </is>
      </c>
      <c r="D166" s="33" t="inlineStr">
        <is>
          <t>Polyplex Corporation Limited</t>
        </is>
      </c>
      <c r="E166" s="31" t="inlineStr">
        <is>
          <t>industrials</t>
        </is>
      </c>
      <c r="F166" s="31" t="inlineStr">
        <is>
          <t>packaging</t>
        </is>
      </c>
      <c r="G166" s="31" t="inlineStr">
        <is>
          <t>smallcap</t>
        </is>
      </c>
      <c r="H166" s="32" t="n">
        <v>3469.81</v>
      </c>
      <c r="I166" s="32" t="n">
        <v>1093</v>
      </c>
      <c r="J166" s="32" t="n">
        <v>-1.11</v>
      </c>
      <c r="K166" s="32" t="n">
        <v>60391</v>
      </c>
      <c r="L166" s="31" t="n">
        <v>29</v>
      </c>
      <c r="M166" s="31" t="inlineStr">
        <is>
          <t>Underperforming</t>
        </is>
      </c>
      <c r="N166" s="32">
        <f>IF(M166="Underperforming",-5,IF(L166&gt;=95,15,IF(L166&gt;=90,10,IF(L166&gt;=80,5,0))))</f>
        <v/>
      </c>
      <c r="O166" s="32" t="n">
        <v>67.3</v>
      </c>
      <c r="P166" s="32" t="n">
        <v>46.68</v>
      </c>
      <c r="Q166" s="32" t="inlineStr"/>
      <c r="R166" s="31" t="inlineStr">
        <is>
          <t>Earnings / Momentum Support</t>
        </is>
      </c>
      <c r="S166" s="31" t="inlineStr">
        <is>
          <t>Nifty Infra</t>
        </is>
      </c>
      <c r="T166" s="32" t="n">
        <v>1.74</v>
      </c>
      <c r="U166" s="32" t="n">
        <v>-4.42</v>
      </c>
      <c r="V166" s="32" t="n">
        <v>-6.05</v>
      </c>
      <c r="W166" s="32" t="n">
        <v>4.23</v>
      </c>
      <c r="X166" s="31" t="inlineStr">
        <is>
          <t>Cyclical in an Upturn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Headwind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No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Above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3</t>
        </is>
      </c>
      <c r="BC166" s="31">
        <f>IF(BB166="Stage 2",20,IF(BB166="Stage 1",0,IF(BB166="Stage 3",5,IF(BB166="Stage 4",-5,0))))</f>
        <v/>
      </c>
      <c r="BD166" s="31" t="inlineStr">
        <is>
          <t>Negative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IF(B167=0,"",RANK(B167,$B$2:$B$366,0))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KRISHANA</t>
        </is>
      </c>
      <c r="D167" s="31" t="inlineStr">
        <is>
          <t>Krishana Phoschem Ltd</t>
        </is>
      </c>
      <c r="E167" s="31" t="inlineStr">
        <is>
          <t>chemicals</t>
        </is>
      </c>
      <c r="F167" s="31" t="inlineStr">
        <is>
          <t>fertilizers</t>
        </is>
      </c>
      <c r="G167" s="31" t="inlineStr">
        <is>
          <t>smallcap</t>
        </is>
      </c>
      <c r="H167" s="32" t="n">
        <v>1131.14</v>
      </c>
      <c r="I167" s="32" t="n">
        <v>179.6</v>
      </c>
      <c r="J167" s="32" t="n">
        <v>-1.83</v>
      </c>
      <c r="K167" s="32" t="n">
        <v>980140</v>
      </c>
      <c r="L167" s="31" t="n">
        <v>88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78.34</v>
      </c>
      <c r="P167" s="32" t="n">
        <v>45.94</v>
      </c>
      <c r="Q167" s="32" t="inlineStr"/>
      <c r="R167" s="31" t="inlineStr">
        <is>
          <t>Earnings / Momentum Support</t>
        </is>
      </c>
      <c r="S167" s="31" t="inlineStr">
        <is>
          <t>Nifty 50</t>
        </is>
      </c>
      <c r="T167" s="32" t="n">
        <v>-0.74</v>
      </c>
      <c r="U167" s="32" t="n">
        <v>70.5</v>
      </c>
      <c r="V167" s="32" t="n">
        <v>71.77</v>
      </c>
      <c r="W167" s="32" t="n">
        <v>24.01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Headwind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No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Above 40</t>
        </is>
      </c>
      <c r="AY167" s="31">
        <f>IF(AX167="Above 40",20,IF(AX167="20 to 40",10,IF(AX167="0 to 20",-5,0)))</f>
        <v/>
      </c>
      <c r="AZ167" s="31" t="inlineStr">
        <is>
          <t>Above 75</t>
        </is>
      </c>
      <c r="BA167" s="31">
        <f>IF(AZ167="Between 50 to 75",10,IF(AZ167="Above 75",0,0))</f>
        <v/>
      </c>
      <c r="BB167" s="31" t="inlineStr">
        <is>
          <t>Stage 3</t>
        </is>
      </c>
      <c r="BC167" s="31">
        <f>IF(BB167="Stage 2",20,IF(BB167="Stage 1",0,IF(BB167="Stage 3",5,IF(BB167="Stage 4",-5,0))))</f>
        <v/>
      </c>
      <c r="BD167" s="31" t="inlineStr">
        <is>
          <t>Negative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Less than 1.5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More than 1.2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IF(B168=0,"",RANK(B168,$B$2:$B$366,0))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DIVISLAB</t>
        </is>
      </c>
      <c r="D168" s="31" t="inlineStr">
        <is>
          <t>Divi's Laboratories Limited</t>
        </is>
      </c>
      <c r="E168" s="31" t="inlineStr">
        <is>
          <t>healthcare</t>
        </is>
      </c>
      <c r="F168" s="31" t="inlineStr">
        <is>
          <t>pharmaceuticals - indian - bulk drugs</t>
        </is>
      </c>
      <c r="G168" s="31" t="inlineStr">
        <is>
          <t>largecap</t>
        </is>
      </c>
      <c r="H168" s="32" t="n">
        <v>213861.49</v>
      </c>
      <c r="I168" s="32" t="n">
        <v>8585</v>
      </c>
      <c r="J168" s="32" t="n">
        <v>6.57</v>
      </c>
      <c r="K168" s="32" t="n">
        <v>5325340</v>
      </c>
      <c r="L168" s="31" t="n">
        <v>57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80.41</v>
      </c>
      <c r="P168" s="32" t="n">
        <v>27.64</v>
      </c>
      <c r="Q168" s="32" t="inlineStr"/>
      <c r="R168" s="31" t="inlineStr">
        <is>
          <t>Earnings / Momentum Support</t>
        </is>
      </c>
      <c r="S168" s="31" t="inlineStr">
        <is>
          <t>Nifty Pharma</t>
        </is>
      </c>
      <c r="T168" s="32" t="n">
        <v>20.55</v>
      </c>
      <c r="U168" s="32" t="n">
        <v>27.16</v>
      </c>
      <c r="V168" s="32" t="n">
        <v>5.48</v>
      </c>
      <c r="W168" s="32" t="n">
        <v>10.39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Yes</t>
        </is>
      </c>
      <c r="AC168" s="31">
        <f>IF(AB168="No",5,0)</f>
        <v/>
      </c>
      <c r="AD168" s="31" t="inlineStr">
        <is>
          <t>Headwind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Annuity, Lower One Time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Above 75</t>
        </is>
      </c>
      <c r="BA168" s="31">
        <f>IF(AZ168="Between 50 to 75",10,IF(AZ168="Above 75",0,0))</f>
        <v/>
      </c>
      <c r="BB168" s="31" t="inlineStr">
        <is>
          <t>Stage 3</t>
        </is>
      </c>
      <c r="BC168" s="31">
        <f>IF(BB168="Stage 2",20,IF(BB168="Stage 1",0,IF(BB168="Stage 3",5,IF(BB168="Stage 4",-5,0))))</f>
        <v/>
      </c>
      <c r="BD168" s="31" t="inlineStr">
        <is>
          <t>Negative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Less than 1.5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IF(B169=0,"",RANK(B169,$B$2:$B$366,0))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AKUMS</t>
        </is>
      </c>
      <c r="D169" s="31" t="inlineStr">
        <is>
          <t>Akums Drugs &amp; Pharmaceuticals Ltd</t>
        </is>
      </c>
      <c r="E169" s="31" t="inlineStr">
        <is>
          <t>healthcare</t>
        </is>
      </c>
      <c r="F169" s="31" t="inlineStr">
        <is>
          <t>pharmaceuticals - indian - bulk drugs &amp; formln</t>
        </is>
      </c>
      <c r="G169" s="31" t="inlineStr">
        <is>
          <t>midcap</t>
        </is>
      </c>
      <c r="H169" s="32" t="n">
        <v>10362.03</v>
      </c>
      <c r="I169" s="32" t="n">
        <v>681.2</v>
      </c>
      <c r="J169" s="32" t="n">
        <v>3.47</v>
      </c>
      <c r="K169" s="32" t="n">
        <v>143860</v>
      </c>
      <c r="L169" s="31" t="n">
        <v>57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64.78</v>
      </c>
      <c r="P169" s="32" t="n">
        <v>49.41</v>
      </c>
      <c r="Q169" s="32" t="inlineStr"/>
      <c r="R169" s="31" t="inlineStr">
        <is>
          <t>Earnings / Momentum Support</t>
        </is>
      </c>
      <c r="S169" s="31" t="inlineStr">
        <is>
          <t>Nifty Pharma</t>
        </is>
      </c>
      <c r="T169" s="32" t="n">
        <v>20.55</v>
      </c>
      <c r="U169" s="32" t="n">
        <v>28.71</v>
      </c>
      <c r="V169" s="32" t="n">
        <v>6.77</v>
      </c>
      <c r="W169" s="32" t="n">
        <v>10.19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Yes</t>
        </is>
      </c>
      <c r="AC169" s="31">
        <f>IF(AB169="No",5,0)</f>
        <v/>
      </c>
      <c r="AD169" s="31" t="inlineStr">
        <is>
          <t>Headwind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No</t>
        </is>
      </c>
      <c r="AQ169" s="31">
        <f>IF(AP169="Yes",10,0)</f>
        <v/>
      </c>
      <c r="AR169" s="31" t="inlineStr">
        <is>
          <t>Higher Annuity, Lower One Time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Above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3</t>
        </is>
      </c>
      <c r="BC169" s="31">
        <f>IF(BB169="Stage 2",20,IF(BB169="Stage 1",0,IF(BB169="Stage 3",5,IF(BB169="Stage 4",-5,0))))</f>
        <v/>
      </c>
      <c r="BD169" s="31" t="inlineStr">
        <is>
          <t>Negative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Less than 12%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IF(B170=0,"",RANK(B170,$B$2:$B$366,0))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VADILALIND</t>
        </is>
      </c>
      <c r="D170" s="31" t="inlineStr">
        <is>
          <t>Vadilal Industries Limited</t>
        </is>
      </c>
      <c r="E170" s="31" t="inlineStr">
        <is>
          <t>fmcg</t>
        </is>
      </c>
      <c r="F170" s="31" t="inlineStr">
        <is>
          <t>food - processing - indian</t>
        </is>
      </c>
      <c r="G170" s="31" t="inlineStr">
        <is>
          <t>midcap</t>
        </is>
      </c>
      <c r="H170" s="32" t="n">
        <v>5185.66</v>
      </c>
      <c r="I170" s="32" t="n">
        <v>7356.5</v>
      </c>
      <c r="J170" s="32" t="n">
        <v>1.97</v>
      </c>
      <c r="K170" s="32" t="n">
        <v>24838</v>
      </c>
      <c r="L170" s="31" t="n">
        <v>73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76.68000000000001</v>
      </c>
      <c r="P170" s="32" t="n">
        <v>36.9</v>
      </c>
      <c r="Q170" s="32" t="inlineStr"/>
      <c r="R170" s="31" t="inlineStr">
        <is>
          <t>Earnings / Momentum Support</t>
        </is>
      </c>
      <c r="S170" s="31" t="inlineStr">
        <is>
          <t>Nifty FMCG</t>
        </is>
      </c>
      <c r="T170" s="32" t="n">
        <v>-13.73</v>
      </c>
      <c r="U170" s="32" t="n">
        <v>26.81</v>
      </c>
      <c r="V170" s="32" t="n">
        <v>46.99</v>
      </c>
      <c r="W170" s="32" t="n">
        <v>15.98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Headwind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B2C</t>
        </is>
      </c>
      <c r="AO170" s="31">
        <f>IF(AN170="B2C",10,IF(AN170="B2B",5,0))</f>
        <v/>
      </c>
      <c r="AP170" s="31" t="inlineStr">
        <is>
          <t>No</t>
        </is>
      </c>
      <c r="AQ170" s="31">
        <f>IF(AP170="Yes",10,0)</f>
        <v/>
      </c>
      <c r="AR170" s="31" t="inlineStr">
        <is>
          <t>Higher Annuity, Lower One Time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Above 75</t>
        </is>
      </c>
      <c r="BA170" s="31">
        <f>IF(AZ170="Between 50 to 75",10,IF(AZ170="Above 75",0,0))</f>
        <v/>
      </c>
      <c r="BB170" s="31" t="inlineStr">
        <is>
          <t>Stage 3</t>
        </is>
      </c>
      <c r="BC170" s="31">
        <f>IF(BB170="Stage 2",20,IF(BB170="Stage 1",0,IF(BB170="Stage 3",5,IF(BB170="Stage 4",-5,0))))</f>
        <v/>
      </c>
      <c r="BD170" s="31" t="inlineStr">
        <is>
          <t>Negative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Between 50% to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IF(B171=0,"",RANK(B171,$B$2:$B$366,0))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3" t="inlineStr">
        <is>
          <t>PPLPHARMA</t>
        </is>
      </c>
      <c r="D171" s="33" t="inlineStr">
        <is>
          <t>Piramal Pharma Ltd</t>
        </is>
      </c>
      <c r="E171" s="31" t="inlineStr">
        <is>
          <t>healthcare</t>
        </is>
      </c>
      <c r="F171" s="31" t="inlineStr">
        <is>
          <t>pharmaceuticals - indian - bulk drugs &amp; formln</t>
        </is>
      </c>
      <c r="G171" s="31" t="inlineStr">
        <is>
          <t>largecap</t>
        </is>
      </c>
      <c r="H171" s="32" t="n">
        <v>26042.5</v>
      </c>
      <c r="I171" s="32" t="n">
        <v>199.28</v>
      </c>
      <c r="J171" s="32" t="n">
        <v>1.88</v>
      </c>
      <c r="K171" s="32" t="n">
        <v>7051662</v>
      </c>
      <c r="L171" s="31" t="n">
        <v>38</v>
      </c>
      <c r="M171" s="31" t="inlineStr">
        <is>
          <t>Underperforming</t>
        </is>
      </c>
      <c r="N171" s="32">
        <f>IF(M171="Underperforming",-5,IF(L171&gt;=95,15,IF(L171&gt;=90,10,IF(L171&gt;=80,5,0))))</f>
        <v/>
      </c>
      <c r="O171" s="32" t="n">
        <v>65.91</v>
      </c>
      <c r="P171" s="32" t="n">
        <v>23.28</v>
      </c>
      <c r="Q171" s="32" t="inlineStr"/>
      <c r="R171" s="31" t="inlineStr">
        <is>
          <t>Earnings / Momentum Support</t>
        </is>
      </c>
      <c r="S171" s="31" t="inlineStr">
        <is>
          <t>Nifty Pharma</t>
        </is>
      </c>
      <c r="T171" s="32" t="n">
        <v>20.55</v>
      </c>
      <c r="U171" s="32" t="n">
        <v>2.6</v>
      </c>
      <c r="V171" s="32" t="n">
        <v>-14.89</v>
      </c>
      <c r="W171" s="32" t="n">
        <v>5.82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Yes</t>
        </is>
      </c>
      <c r="AC171" s="31">
        <f>IF(AB171="No",5,0)</f>
        <v/>
      </c>
      <c r="AD171" s="31" t="inlineStr">
        <is>
          <t>Headwind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No</t>
        </is>
      </c>
      <c r="AQ171" s="31">
        <f>IF(AP171="Yes",10,0)</f>
        <v/>
      </c>
      <c r="AR171" s="31" t="inlineStr">
        <is>
          <t>Higher Annuity, Lower One Time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3</t>
        </is>
      </c>
      <c r="BC171" s="31">
        <f>IF(BB171="Stage 2",20,IF(BB171="Stage 1",0,IF(BB171="Stage 3",5,IF(BB171="Stage 4",-5,0))))</f>
        <v/>
      </c>
      <c r="BD171" s="31" t="inlineStr">
        <is>
          <t>Negative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IF(B172=0,"",RANK(B172,$B$2:$B$366,0))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MANORAMA</t>
        </is>
      </c>
      <c r="D172" s="31" t="inlineStr">
        <is>
          <t>Manorama Industries Ltd</t>
        </is>
      </c>
      <c r="E172" s="31" t="inlineStr">
        <is>
          <t>fmcg</t>
        </is>
      </c>
      <c r="F172" s="31" t="inlineStr">
        <is>
          <t>food - processing - indian</t>
        </is>
      </c>
      <c r="G172" s="31" t="inlineStr">
        <is>
          <t>midcap</t>
        </is>
      </c>
      <c r="H172" s="32" t="n">
        <v>9580.23</v>
      </c>
      <c r="I172" s="32" t="n">
        <v>1633</v>
      </c>
      <c r="J172" s="32" t="n">
        <v>1.78</v>
      </c>
      <c r="K172" s="32" t="n">
        <v>67319</v>
      </c>
      <c r="L172" s="31" t="n">
        <v>25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60.81</v>
      </c>
      <c r="P172" s="32" t="n">
        <v>14.23</v>
      </c>
      <c r="Q172" s="32" t="inlineStr"/>
      <c r="R172" s="31" t="inlineStr">
        <is>
          <t>Earnings / Momentum Support</t>
        </is>
      </c>
      <c r="S172" s="31" t="inlineStr">
        <is>
          <t>Nifty FMCG</t>
        </is>
      </c>
      <c r="T172" s="32" t="n">
        <v>-13.73</v>
      </c>
      <c r="U172" s="32" t="n">
        <v>2.05</v>
      </c>
      <c r="V172" s="32" t="n">
        <v>18.29</v>
      </c>
      <c r="W172" s="32" t="n">
        <v>3.39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Headwind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B2C</t>
        </is>
      </c>
      <c r="AO172" s="31">
        <f>IF(AN172="B2C",10,IF(AN172="B2B",5,0))</f>
        <v/>
      </c>
      <c r="AP172" s="31" t="inlineStr">
        <is>
          <t>No</t>
        </is>
      </c>
      <c r="AQ172" s="31">
        <f>IF(AP172="Yes",10,0)</f>
        <v/>
      </c>
      <c r="AR172" s="31" t="inlineStr">
        <is>
          <t>Higher Annuity, Lower One Time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0 to 20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3</t>
        </is>
      </c>
      <c r="BC172" s="31">
        <f>IF(BB172="Stage 2",20,IF(BB172="Stage 1",0,IF(BB172="Stage 3",5,IF(BB172="Stage 4",-5,0))))</f>
        <v/>
      </c>
      <c r="BD172" s="31" t="inlineStr">
        <is>
          <t>Negative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Less than 1.5</t>
        </is>
      </c>
      <c r="BU172" s="31">
        <f>IF(BT172="Above 2",0,IF(BT172="Between 1.5 to 2",5,IF(BT172="Less than 1.5",10,0)))</f>
        <v/>
      </c>
      <c r="BV172" s="31" t="inlineStr">
        <is>
          <t>Between 50% to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IF(B173=0,"",RANK(B173,$B$2:$B$366,0))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RPSGVENT</t>
        </is>
      </c>
      <c r="D173" s="31" t="inlineStr">
        <is>
          <t>RPSG Ventures Ltd</t>
        </is>
      </c>
      <c r="E173" s="31" t="inlineStr">
        <is>
          <t>i.t</t>
        </is>
      </c>
      <c r="F173" s="31" t="inlineStr">
        <is>
          <t>computers - software - medium / small</t>
        </is>
      </c>
      <c r="G173" s="31" t="inlineStr">
        <is>
          <t>smallcap</t>
        </is>
      </c>
      <c r="H173" s="32" t="n">
        <v>3094.41</v>
      </c>
      <c r="I173" s="32" t="n">
        <v>950</v>
      </c>
      <c r="J173" s="32" t="n">
        <v>1.58</v>
      </c>
      <c r="K173" s="32" t="n">
        <v>32582</v>
      </c>
      <c r="L173" s="31" t="n">
        <v>19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56</v>
      </c>
      <c r="P173" s="32" t="n">
        <v>31.74</v>
      </c>
      <c r="Q173" s="32" t="inlineStr"/>
      <c r="R173" s="31" t="inlineStr">
        <is>
          <t>Earnings / Momentum Support</t>
        </is>
      </c>
      <c r="S173" s="31" t="inlineStr">
        <is>
          <t>Nifty IT</t>
        </is>
      </c>
      <c r="T173" s="32" t="n">
        <v>-11.37</v>
      </c>
      <c r="U173" s="32" t="n">
        <v>-3.33</v>
      </c>
      <c r="V173" s="32" t="n">
        <v>9.07</v>
      </c>
      <c r="W173" s="32" t="n">
        <v>2.34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Headwind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No</t>
        </is>
      </c>
      <c r="AQ173" s="31">
        <f>IF(AP173="Yes",10,0)</f>
        <v/>
      </c>
      <c r="AR173" s="31" t="inlineStr">
        <is>
          <t>Higher Annuity, Lower One Time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3</t>
        </is>
      </c>
      <c r="BC173" s="31">
        <f>IF(BB173="Stage 2",20,IF(BB173="Stage 1",0,IF(BB173="Stage 3",5,IF(BB173="Stage 4",-5,0))))</f>
        <v/>
      </c>
      <c r="BD173" s="31" t="inlineStr">
        <is>
          <t>Negative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Less than 1.5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More than 1.2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IF(B174=0,"",RANK(B174,$B$2:$B$366,0))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ARTEMISMED</t>
        </is>
      </c>
      <c r="D174" s="31" t="inlineStr">
        <is>
          <t>Artemis Medicare Services Ltd</t>
        </is>
      </c>
      <c r="E174" s="31" t="inlineStr">
        <is>
          <t>healthcare</t>
        </is>
      </c>
      <c r="F174" s="31" t="inlineStr">
        <is>
          <t>healthcare</t>
        </is>
      </c>
      <c r="G174" s="31" t="inlineStr">
        <is>
          <t>smallcap</t>
        </is>
      </c>
      <c r="H174" s="32" t="n">
        <v>4725.44</v>
      </c>
      <c r="I174" s="32" t="n">
        <v>302.2</v>
      </c>
      <c r="J174" s="32" t="n">
        <v>1.24</v>
      </c>
      <c r="K174" s="32" t="n">
        <v>261601</v>
      </c>
      <c r="L174" s="31" t="n">
        <v>52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66.81999999999999</v>
      </c>
      <c r="P174" s="32" t="n">
        <v>24.22</v>
      </c>
      <c r="Q174" s="32" t="inlineStr"/>
      <c r="R174" s="31" t="inlineStr">
        <is>
          <t>Earnings / Momentum Support</t>
        </is>
      </c>
      <c r="S174" s="31" t="inlineStr">
        <is>
          <t>Nifty Pharma</t>
        </is>
      </c>
      <c r="T174" s="32" t="n">
        <v>20.55</v>
      </c>
      <c r="U174" s="32" t="n">
        <v>22.08</v>
      </c>
      <c r="V174" s="32" t="n">
        <v>1.27</v>
      </c>
      <c r="W174" s="32" t="n">
        <v>8.93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Yes</t>
        </is>
      </c>
      <c r="AC174" s="31">
        <f>IF(AB174="No",5,0)</f>
        <v/>
      </c>
      <c r="AD174" s="31" t="inlineStr">
        <is>
          <t>Headwind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Annuity, Lower One Time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3</t>
        </is>
      </c>
      <c r="BC174" s="31">
        <f>IF(BB174="Stage 2",20,IF(BB174="Stage 1",0,IF(BB174="Stage 3",5,IF(BB174="Stage 4",-5,0))))</f>
        <v/>
      </c>
      <c r="BD174" s="31" t="inlineStr">
        <is>
          <t>Negative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Yes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IF(B175=0,"",RANK(B175,$B$2:$B$366,0))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VINDHYATEL</t>
        </is>
      </c>
      <c r="D175" s="31" t="inlineStr">
        <is>
          <t>Vindhya Telelinks Limited</t>
        </is>
      </c>
      <c r="E175" s="31" t="inlineStr">
        <is>
          <t>realty</t>
        </is>
      </c>
      <c r="F175" s="31" t="inlineStr">
        <is>
          <t>construction</t>
        </is>
      </c>
      <c r="G175" s="31" t="inlineStr">
        <is>
          <t>smallcap</t>
        </is>
      </c>
      <c r="H175" s="32" t="n">
        <v>2353.46</v>
      </c>
      <c r="I175" s="32" t="n">
        <v>2383</v>
      </c>
      <c r="J175" s="32" t="n">
        <v>20</v>
      </c>
      <c r="K175" s="32" t="n">
        <v>605417</v>
      </c>
      <c r="L175" s="31" t="n">
        <v>53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57.91</v>
      </c>
      <c r="P175" s="32" t="n">
        <v>51.14</v>
      </c>
      <c r="Q175" s="32" t="inlineStr"/>
      <c r="R175" s="31" t="inlineStr">
        <is>
          <t>Volume Spike / Accumulation</t>
        </is>
      </c>
      <c r="S175" s="31" t="inlineStr">
        <is>
          <t>Nifty Realty</t>
        </is>
      </c>
      <c r="T175" s="32" t="n">
        <v>-8.119999999999999</v>
      </c>
      <c r="U175" s="32" t="n">
        <v>7.21</v>
      </c>
      <c r="V175" s="32" t="n">
        <v>16.68</v>
      </c>
      <c r="W175" s="32" t="n">
        <v>9.01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Headwind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Above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3</t>
        </is>
      </c>
      <c r="BC175" s="31">
        <f>IF(BB175="Stage 2",20,IF(BB175="Stage 1",0,IF(BB175="Stage 3",5,IF(BB175="Stage 4",-5,0))))</f>
        <v/>
      </c>
      <c r="BD175" s="31" t="inlineStr">
        <is>
          <t>Negative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Less than 12%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No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Negative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IF(B176=0,"",RANK(B176,$B$2:$B$366,0))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SKYGOLD</t>
        </is>
      </c>
      <c r="D176" s="31" t="inlineStr">
        <is>
          <t>Sky Gold Ltd</t>
        </is>
      </c>
      <c r="E176" s="31" t="inlineStr">
        <is>
          <t>consumer discretionary</t>
        </is>
      </c>
      <c r="F176" s="31" t="inlineStr">
        <is>
          <t>diamond cutting / jewellery</t>
        </is>
      </c>
      <c r="G176" s="31" t="inlineStr">
        <is>
          <t>midcap</t>
        </is>
      </c>
      <c r="H176" s="32" t="n">
        <v>9969.23</v>
      </c>
      <c r="I176" s="32" t="n">
        <v>691.85</v>
      </c>
      <c r="J176" s="32" t="n">
        <v>7.48</v>
      </c>
      <c r="K176" s="32" t="n">
        <v>1001359</v>
      </c>
      <c r="L176" s="31" t="n">
        <v>93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72.59999999999999</v>
      </c>
      <c r="P176" s="32" t="n">
        <v>59.57</v>
      </c>
      <c r="Q176" s="32" t="inlineStr"/>
      <c r="R176" s="31" t="inlineStr">
        <is>
          <t>Earnings / Momentum Support</t>
        </is>
      </c>
      <c r="S176" s="31" t="inlineStr">
        <is>
          <t>Nifty 50</t>
        </is>
      </c>
      <c r="T176" s="32" t="n">
        <v>-0.74</v>
      </c>
      <c r="U176" s="32" t="n">
        <v>134.58</v>
      </c>
      <c r="V176" s="32" t="n">
        <v>136.33</v>
      </c>
      <c r="W176" s="32" t="n">
        <v>29.4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Headwind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No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Above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3</t>
        </is>
      </c>
      <c r="BC176" s="31">
        <f>IF(BB176="Stage 2",20,IF(BB176="Stage 1",0,IF(BB176="Stage 3",5,IF(BB176="Stage 4",-5,0))))</f>
        <v/>
      </c>
      <c r="BD176" s="31" t="inlineStr">
        <is>
          <t>Negative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Negative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Between 0.7 to 1.2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IF(B177=0,"",RANK(B177,$B$2:$B$366,0))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CHENNPETRO</t>
        </is>
      </c>
      <c r="D177" s="31" t="inlineStr">
        <is>
          <t>Chennai Petroleum Corporation Limited</t>
        </is>
      </c>
      <c r="E177" s="31" t="inlineStr">
        <is>
          <t>energy</t>
        </is>
      </c>
      <c r="F177" s="31" t="inlineStr">
        <is>
          <t>refineries</t>
        </is>
      </c>
      <c r="G177" s="31" t="inlineStr">
        <is>
          <t>midcap</t>
        </is>
      </c>
      <c r="H177" s="32" t="n">
        <v>18771.77</v>
      </c>
      <c r="I177" s="32" t="n">
        <v>1325.5</v>
      </c>
      <c r="J177" s="32" t="n">
        <v>5.15</v>
      </c>
      <c r="K177" s="32" t="n">
        <v>3024044</v>
      </c>
      <c r="L177" s="31" t="n">
        <v>65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66.77</v>
      </c>
      <c r="P177" s="32" t="n">
        <v>48.14</v>
      </c>
      <c r="Q177" s="32" t="inlineStr"/>
      <c r="R177" s="31" t="inlineStr">
        <is>
          <t>Earnings / Momentum Support</t>
        </is>
      </c>
      <c r="S177" s="31" t="inlineStr">
        <is>
          <t>Nifty Energy</t>
        </is>
      </c>
      <c r="T177" s="32" t="n">
        <v>8.41</v>
      </c>
      <c r="U177" s="32" t="n">
        <v>56.41</v>
      </c>
      <c r="V177" s="32" t="n">
        <v>44.28</v>
      </c>
      <c r="W177" s="32" t="n">
        <v>12.99</v>
      </c>
      <c r="X177" s="31" t="inlineStr">
        <is>
          <t>Cyclical in an Upturn</t>
        </is>
      </c>
      <c r="Y177" s="31">
        <f>IF(X177="Growing Industry",10,IF(X177="Cyclical in an Upturn",5,0))</f>
        <v/>
      </c>
      <c r="Z177" s="31" t="inlineStr">
        <is>
          <t>Oligopoly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Yes</t>
        </is>
      </c>
      <c r="AC177" s="31">
        <f>IF(AB177="No",5,0)</f>
        <v/>
      </c>
      <c r="AD177" s="31" t="inlineStr">
        <is>
          <t>Headwind</t>
        </is>
      </c>
      <c r="AE177" s="31">
        <f>IF(AD177="Tailwind",10,0)</f>
        <v/>
      </c>
      <c r="AF177" s="31" t="inlineStr">
        <is>
          <t>Cyclical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Volatile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No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Above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3</t>
        </is>
      </c>
      <c r="BC177" s="31">
        <f>IF(BB177="Stage 2",20,IF(BB177="Stage 1",0,IF(BB177="Stage 3",5,IF(BB177="Stage 4",-5,0))))</f>
        <v/>
      </c>
      <c r="BD177" s="31" t="inlineStr">
        <is>
          <t>Negative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No</t>
        </is>
      </c>
      <c r="BS177" s="31">
        <f>IF(BR177="NO",5,0)</f>
        <v/>
      </c>
      <c r="BT177" s="31" t="inlineStr">
        <is>
          <t>Less than 1.5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IF(B178=0,"",RANK(B178,$B$2:$B$366,0))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KDDL</t>
        </is>
      </c>
      <c r="D178" s="31" t="inlineStr">
        <is>
          <t>Kddl Limited</t>
        </is>
      </c>
      <c r="E178" s="31" t="inlineStr">
        <is>
          <t>consumer discretionary</t>
        </is>
      </c>
      <c r="F178" s="31" t="inlineStr">
        <is>
          <t>miscellaneous</t>
        </is>
      </c>
      <c r="G178" s="31" t="inlineStr">
        <is>
          <t>smallcap</t>
        </is>
      </c>
      <c r="H178" s="32" t="n">
        <v>4061.22</v>
      </c>
      <c r="I178" s="32" t="n">
        <v>3463.2</v>
      </c>
      <c r="J178" s="32" t="n">
        <v>4.88</v>
      </c>
      <c r="K178" s="32" t="n">
        <v>54531</v>
      </c>
      <c r="L178" s="31" t="n">
        <v>68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67.70999999999999</v>
      </c>
      <c r="P178" s="32" t="n">
        <v>34.98</v>
      </c>
      <c r="Q178" s="32" t="inlineStr"/>
      <c r="R178" s="31" t="inlineStr">
        <is>
          <t>Earnings / Momentum Support</t>
        </is>
      </c>
      <c r="S178" s="31" t="inlineStr">
        <is>
          <t>Nifty 50</t>
        </is>
      </c>
      <c r="T178" s="32" t="n">
        <v>-0.74</v>
      </c>
      <c r="U178" s="32" t="n">
        <v>27.08</v>
      </c>
      <c r="V178" s="32" t="n">
        <v>28.03</v>
      </c>
      <c r="W178" s="32" t="n">
        <v>13.92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Headwind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No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3</t>
        </is>
      </c>
      <c r="BC178" s="31">
        <f>IF(BB178="Stage 2",20,IF(BB178="Stage 1",0,IF(BB178="Stage 3",5,IF(BB178="Stage 4",-5,0))))</f>
        <v/>
      </c>
      <c r="BD178" s="31" t="inlineStr">
        <is>
          <t>Negative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Yes</t>
        </is>
      </c>
      <c r="BS178" s="31">
        <f>IF(BR178="NO",5,0)</f>
        <v/>
      </c>
      <c r="BT178" s="31" t="inlineStr">
        <is>
          <t>Between 1.5 to 2</t>
        </is>
      </c>
      <c r="BU178" s="31">
        <f>IF(BT178="Above 2",0,IF(BT178="Between 1.5 to 2",5,IF(BT178="Less than 1.5",10,0)))</f>
        <v/>
      </c>
      <c r="BV178" s="31" t="inlineStr">
        <is>
          <t>Less than 50%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IF(B179=0,"",RANK(B179,$B$2:$B$366,0))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RML</t>
        </is>
      </c>
      <c r="D179" s="31" t="inlineStr">
        <is>
          <t>Rane (madras) Limited</t>
        </is>
      </c>
      <c r="E179" s="31" t="inlineStr">
        <is>
          <t>auto</t>
        </is>
      </c>
      <c r="F179" s="31" t="inlineStr">
        <is>
          <t>auto ancillaries</t>
        </is>
      </c>
      <c r="G179" s="31" t="inlineStr">
        <is>
          <t>smallcap</t>
        </is>
      </c>
      <c r="H179" s="32" t="n">
        <v>3191.26</v>
      </c>
      <c r="I179" s="32" t="n">
        <v>1210.8</v>
      </c>
      <c r="J179" s="32" t="n">
        <v>4.86</v>
      </c>
      <c r="K179" s="32" t="n">
        <v>55332</v>
      </c>
      <c r="L179" s="31" t="n">
        <v>80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63.28</v>
      </c>
      <c r="P179" s="32" t="n">
        <v>44.11</v>
      </c>
      <c r="Q179" s="32" t="inlineStr"/>
      <c r="R179" s="31" t="inlineStr">
        <is>
          <t>Earnings / Momentum Support</t>
        </is>
      </c>
      <c r="S179" s="31" t="inlineStr">
        <is>
          <t>Nifty Auto</t>
        </is>
      </c>
      <c r="T179" s="32" t="n">
        <v>13.41</v>
      </c>
      <c r="U179" s="32" t="n">
        <v>34.14</v>
      </c>
      <c r="V179" s="32" t="n">
        <v>18.27</v>
      </c>
      <c r="W179" s="32" t="n">
        <v>18.8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Headwind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No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Above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3</t>
        </is>
      </c>
      <c r="BC179" s="31">
        <f>IF(BB179="Stage 2",20,IF(BB179="Stage 1",0,IF(BB179="Stage 3",5,IF(BB179="Stage 4",-5,0))))</f>
        <v/>
      </c>
      <c r="BD179" s="31" t="inlineStr">
        <is>
          <t>Negative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Less than 12%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Between 50% to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Between 0.7 to 1.2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IF(B180=0,"",RANK(B180,$B$2:$B$366,0))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3" t="inlineStr">
        <is>
          <t>IGPL</t>
        </is>
      </c>
      <c r="D180" s="33" t="inlineStr">
        <is>
          <t>Ig Petrochemicals Limited</t>
        </is>
      </c>
      <c r="E180" s="31" t="inlineStr">
        <is>
          <t>chemicals</t>
        </is>
      </c>
      <c r="F180" s="31" t="inlineStr">
        <is>
          <t>chemicals</t>
        </is>
      </c>
      <c r="G180" s="31" t="inlineStr">
        <is>
          <t>smallcap</t>
        </is>
      </c>
      <c r="H180" s="32" t="n">
        <v>1451.21</v>
      </c>
      <c r="I180" s="32" t="n">
        <v>494</v>
      </c>
      <c r="J180" s="32" t="n">
        <v>4.83</v>
      </c>
      <c r="K180" s="32" t="n">
        <v>185122</v>
      </c>
      <c r="L180" s="31" t="n">
        <v>24</v>
      </c>
      <c r="M180" s="31" t="inlineStr">
        <is>
          <t>Underperforming</t>
        </is>
      </c>
      <c r="N180" s="32">
        <f>IF(M180="Underperforming",-5,IF(L180&gt;=95,15,IF(L180&gt;=90,10,IF(L180&gt;=80,5,0))))</f>
        <v/>
      </c>
      <c r="O180" s="32" t="n">
        <v>62.24</v>
      </c>
      <c r="P180" s="32" t="n">
        <v>20.89</v>
      </c>
      <c r="Q180" s="32" t="inlineStr"/>
      <c r="R180" s="31" t="inlineStr">
        <is>
          <t>Earnings / Momentum Support</t>
        </is>
      </c>
      <c r="S180" s="31" t="inlineStr">
        <is>
          <t>Nifty 50</t>
        </is>
      </c>
      <c r="T180" s="32" t="n">
        <v>-0.74</v>
      </c>
      <c r="U180" s="32" t="n">
        <v>-1.1</v>
      </c>
      <c r="V180" s="32" t="n">
        <v>-0.37</v>
      </c>
      <c r="W180" s="32" t="n">
        <v>3.05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Headwind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No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20 to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3</t>
        </is>
      </c>
      <c r="BC180" s="31">
        <f>IF(BB180="Stage 2",20,IF(BB180="Stage 1",0,IF(BB180="Stage 3",5,IF(BB180="Stage 4",-5,0))))</f>
        <v/>
      </c>
      <c r="BD180" s="31" t="inlineStr">
        <is>
          <t>Negative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Yes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IF(B181=0,"",RANK(B181,$B$2:$B$366,0))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SOTL</t>
        </is>
      </c>
      <c r="D181" s="31" t="inlineStr">
        <is>
          <t>Savita Oil Technologies Limited</t>
        </is>
      </c>
      <c r="E181" s="31" t="inlineStr">
        <is>
          <t>energy</t>
        </is>
      </c>
      <c r="F181" s="31" t="inlineStr">
        <is>
          <t>petrochemicals</t>
        </is>
      </c>
      <c r="G181" s="31" t="inlineStr">
        <is>
          <t>smallcap</t>
        </is>
      </c>
      <c r="H181" s="32" t="n">
        <v>4125.62</v>
      </c>
      <c r="I181" s="32" t="n">
        <v>630.1</v>
      </c>
      <c r="J181" s="32" t="n">
        <v>4.71</v>
      </c>
      <c r="K181" s="32" t="n">
        <v>261606</v>
      </c>
      <c r="L181" s="31" t="n">
        <v>84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63.86</v>
      </c>
      <c r="P181" s="32" t="n">
        <v>47.01</v>
      </c>
      <c r="Q181" s="32" t="inlineStr"/>
      <c r="R181" s="31" t="inlineStr">
        <is>
          <t>Earnings / Momentum Support</t>
        </is>
      </c>
      <c r="S181" s="31" t="inlineStr">
        <is>
          <t>Nifty Energy</t>
        </is>
      </c>
      <c r="T181" s="32" t="n">
        <v>8.41</v>
      </c>
      <c r="U181" s="32" t="n">
        <v>39.93</v>
      </c>
      <c r="V181" s="32" t="n">
        <v>29.08</v>
      </c>
      <c r="W181" s="32" t="n">
        <v>21.2</v>
      </c>
      <c r="X181" s="31" t="inlineStr">
        <is>
          <t>Cyclical in an Upturn</t>
        </is>
      </c>
      <c r="Y181" s="31">
        <f>IF(X181="Growing Industry",10,IF(X181="Cyclical in an Upturn",5,0))</f>
        <v/>
      </c>
      <c r="Z181" s="31" t="inlineStr">
        <is>
          <t>Oligopoly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Yes</t>
        </is>
      </c>
      <c r="AC181" s="31">
        <f>IF(AB181="No",5,0)</f>
        <v/>
      </c>
      <c r="AD181" s="31" t="inlineStr">
        <is>
          <t>Headwind</t>
        </is>
      </c>
      <c r="AE181" s="31">
        <f>IF(AD181="Tailwind",10,0)</f>
        <v/>
      </c>
      <c r="AF181" s="31" t="inlineStr">
        <is>
          <t>Cyclical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Volatile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No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Above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3</t>
        </is>
      </c>
      <c r="BC181" s="31">
        <f>IF(BB181="Stage 2",20,IF(BB181="Stage 1",0,IF(BB181="Stage 3",5,IF(BB181="Stage 4",-5,0))))</f>
        <v/>
      </c>
      <c r="BD181" s="31" t="inlineStr">
        <is>
          <t>Negative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Less than 1.5</t>
        </is>
      </c>
      <c r="BU181" s="31">
        <f>IF(BT181="Above 2",0,IF(BT181="Between 1.5 to 2",5,IF(BT181="Less than 1.5",10,0)))</f>
        <v/>
      </c>
      <c r="BV181" s="31" t="inlineStr">
        <is>
          <t>Between 50% to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IF(B182=0,"",RANK(B182,$B$2:$B$366,0))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3" t="inlineStr">
        <is>
          <t>MUNJALSHOW</t>
        </is>
      </c>
      <c r="D182" s="33" t="inlineStr">
        <is>
          <t>Munjal Showa Limited</t>
        </is>
      </c>
      <c r="E182" s="31" t="inlineStr">
        <is>
          <t>auto</t>
        </is>
      </c>
      <c r="F182" s="31" t="inlineStr">
        <is>
          <t>auto ancillaries</t>
        </is>
      </c>
      <c r="G182" s="31" t="inlineStr">
        <is>
          <t>smallcap</t>
        </is>
      </c>
      <c r="H182" s="32" t="n">
        <v>549.33</v>
      </c>
      <c r="I182" s="32" t="n">
        <v>143.47</v>
      </c>
      <c r="J182" s="32" t="n">
        <v>4.46</v>
      </c>
      <c r="K182" s="32" t="n">
        <v>653918</v>
      </c>
      <c r="L182" s="31" t="n">
        <v>10</v>
      </c>
      <c r="M182" s="31" t="inlineStr">
        <is>
          <t>Underperforming</t>
        </is>
      </c>
      <c r="N182" s="32">
        <f>IF(M182="Underperforming",-5,IF(L182&gt;=95,15,IF(L182&gt;=90,10,IF(L182&gt;=80,5,0))))</f>
        <v/>
      </c>
      <c r="O182" s="32" t="n">
        <v>58.46</v>
      </c>
      <c r="P182" s="32" t="n">
        <v>28.95</v>
      </c>
      <c r="Q182" s="32" t="inlineStr"/>
      <c r="R182" s="31" t="inlineStr">
        <is>
          <t>Volume Spike / Accumulation</t>
        </is>
      </c>
      <c r="S182" s="31" t="inlineStr">
        <is>
          <t>Nifty Auto</t>
        </is>
      </c>
      <c r="T182" s="32" t="n">
        <v>13.41</v>
      </c>
      <c r="U182" s="32" t="n">
        <v>-7.39</v>
      </c>
      <c r="V182" s="32" t="n">
        <v>-18.34</v>
      </c>
      <c r="W182" s="32" t="n">
        <v>0.01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Headwind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20 to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3</t>
        </is>
      </c>
      <c r="BC182" s="31">
        <f>IF(BB182="Stage 2",20,IF(BB182="Stage 1",0,IF(BB182="Stage 3",5,IF(BB182="Stage 4",-5,0))))</f>
        <v/>
      </c>
      <c r="BD182" s="31" t="inlineStr">
        <is>
          <t>Negative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No</t>
        </is>
      </c>
      <c r="BS182" s="31">
        <f>IF(BR182="NO",5,0)</f>
        <v/>
      </c>
      <c r="BT182" s="31" t="inlineStr">
        <is>
          <t>Between 1.5 to 2</t>
        </is>
      </c>
      <c r="BU182" s="31">
        <f>IF(BT182="Above 2",0,IF(BT182="Between 1.5 to 2",5,IF(BT182="Less than 1.5",10,0)))</f>
        <v/>
      </c>
      <c r="BV182" s="31" t="inlineStr">
        <is>
          <t>Negative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IF(B183=0,"",RANK(B183,$B$2:$B$366,0))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BODALCHEM</t>
        </is>
      </c>
      <c r="D183" s="31" t="inlineStr">
        <is>
          <t>Bodal Chemicals Limited</t>
        </is>
      </c>
      <c r="E183" s="31" t="inlineStr">
        <is>
          <t>chemicals</t>
        </is>
      </c>
      <c r="F183" s="31" t="inlineStr">
        <is>
          <t>dyes and pigments</t>
        </is>
      </c>
      <c r="G183" s="31" t="inlineStr">
        <is>
          <t>smallcap</t>
        </is>
      </c>
      <c r="H183" s="32" t="n">
        <v>889.92</v>
      </c>
      <c r="I183" s="32" t="n">
        <v>73.52</v>
      </c>
      <c r="J183" s="32" t="n">
        <v>4.05</v>
      </c>
      <c r="K183" s="32" t="n">
        <v>481223</v>
      </c>
      <c r="L183" s="31" t="n">
        <v>23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58</v>
      </c>
      <c r="P183" s="32" t="n">
        <v>37.09</v>
      </c>
      <c r="Q183" s="32" t="inlineStr"/>
      <c r="R183" s="31" t="inlineStr">
        <is>
          <t>Earnings / Momentum Support</t>
        </is>
      </c>
      <c r="S183" s="31" t="inlineStr">
        <is>
          <t>Nifty IT</t>
        </is>
      </c>
      <c r="T183" s="32" t="n">
        <v>-11.37</v>
      </c>
      <c r="U183" s="32" t="n">
        <v>-1.46</v>
      </c>
      <c r="V183" s="32" t="n">
        <v>11.18</v>
      </c>
      <c r="W183" s="32" t="n">
        <v>2.86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Headwind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No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3</t>
        </is>
      </c>
      <c r="BC183" s="31">
        <f>IF(BB183="Stage 2",20,IF(BB183="Stage 1",0,IF(BB183="Stage 3",5,IF(BB183="Stage 4",-5,0))))</f>
        <v/>
      </c>
      <c r="BD183" s="31" t="inlineStr">
        <is>
          <t>Negative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No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Between 0.7 to 1.2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IF(B184=0,"",RANK(B184,$B$2:$B$366,0))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SANDHAR</t>
        </is>
      </c>
      <c r="D184" s="31" t="inlineStr">
        <is>
          <t>Sandhar Technologies Limited</t>
        </is>
      </c>
      <c r="E184" s="31" t="inlineStr">
        <is>
          <t>auto</t>
        </is>
      </c>
      <c r="F184" s="31" t="inlineStr">
        <is>
          <t>auto ancillaries</t>
        </is>
      </c>
      <c r="G184" s="31" t="inlineStr">
        <is>
          <t>smallcap</t>
        </is>
      </c>
      <c r="H184" s="32" t="n">
        <v>3772.75</v>
      </c>
      <c r="I184" s="32" t="n">
        <v>647.95</v>
      </c>
      <c r="J184" s="32" t="n">
        <v>3.37</v>
      </c>
      <c r="K184" s="32" t="n">
        <v>597988</v>
      </c>
      <c r="L184" s="31" t="n">
        <v>49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55.04</v>
      </c>
      <c r="P184" s="32" t="n">
        <v>35.05</v>
      </c>
      <c r="Q184" s="32" t="inlineStr"/>
      <c r="R184" s="31" t="inlineStr">
        <is>
          <t>Earnings / Momentum Support</t>
        </is>
      </c>
      <c r="S184" s="31" t="inlineStr">
        <is>
          <t>Nifty Auto</t>
        </is>
      </c>
      <c r="T184" s="32" t="n">
        <v>13.41</v>
      </c>
      <c r="U184" s="32" t="n">
        <v>19.99</v>
      </c>
      <c r="V184" s="32" t="n">
        <v>5.8</v>
      </c>
      <c r="W184" s="32" t="n">
        <v>8.140000000000001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Headwind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No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3</t>
        </is>
      </c>
      <c r="BC184" s="31">
        <f>IF(BB184="Stage 2",20,IF(BB184="Stage 1",0,IF(BB184="Stage 3",5,IF(BB184="Stage 4",-5,0))))</f>
        <v/>
      </c>
      <c r="BD184" s="31" t="inlineStr">
        <is>
          <t>Negative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No</t>
        </is>
      </c>
      <c r="BS184" s="31">
        <f>IF(BR184="NO",5,0)</f>
        <v/>
      </c>
      <c r="BT184" s="31" t="inlineStr">
        <is>
          <t>Less than 1.5</t>
        </is>
      </c>
      <c r="BU184" s="31">
        <f>IF(BT184="Above 2",0,IF(BT184="Between 1.5 to 2",5,IF(BT184="Less than 1.5",10,0)))</f>
        <v/>
      </c>
      <c r="BV184" s="31" t="inlineStr">
        <is>
          <t>Less than 50%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Between 0.7 to 1.2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IF(B185=0,"",RANK(B185,$B$2:$B$366,0))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3" t="inlineStr">
        <is>
          <t>IGIL</t>
        </is>
      </c>
      <c r="D185" s="33" t="inlineStr">
        <is>
          <t>International Gemmological Institute (India) Ltd</t>
        </is>
      </c>
      <c r="E185" s="31" t="inlineStr">
        <is>
          <t>miscellaneous</t>
        </is>
      </c>
      <c r="F185" s="31" t="inlineStr">
        <is>
          <t>miscellaneous</t>
        </is>
      </c>
      <c r="G185" s="31" t="inlineStr">
        <is>
          <t>midcap</t>
        </is>
      </c>
      <c r="H185" s="32" t="n">
        <v>15274.68</v>
      </c>
      <c r="I185" s="32" t="n">
        <v>364.95</v>
      </c>
      <c r="J185" s="32" t="n">
        <v>3.25</v>
      </c>
      <c r="K185" s="32" t="n">
        <v>1357157</v>
      </c>
      <c r="L185" s="31" t="n">
        <v>10</v>
      </c>
      <c r="M185" s="31" t="inlineStr">
        <is>
          <t>Underperforming</t>
        </is>
      </c>
      <c r="N185" s="32">
        <f>IF(M185="Underperforming",-5,IF(L185&gt;=95,15,IF(L185&gt;=90,10,IF(L185&gt;=80,5,0))))</f>
        <v/>
      </c>
      <c r="O185" s="32" t="n">
        <v>51.72</v>
      </c>
      <c r="P185" s="32" t="n">
        <v>14.04</v>
      </c>
      <c r="Q185" s="32" t="inlineStr"/>
      <c r="R185" s="31" t="inlineStr">
        <is>
          <t>Earnings / Momentum Support</t>
        </is>
      </c>
      <c r="S185" s="31" t="inlineStr">
        <is>
          <t>Nifty 50</t>
        </is>
      </c>
      <c r="T185" s="32" t="n">
        <v>-0.74</v>
      </c>
      <c r="U185" s="32" t="n">
        <v>-3.56</v>
      </c>
      <c r="V185" s="32" t="n">
        <v>-2.84</v>
      </c>
      <c r="W185" s="32" t="n">
        <v>0.01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Headwind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No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0 to 20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3</t>
        </is>
      </c>
      <c r="BC185" s="31">
        <f>IF(BB185="Stage 2",20,IF(BB185="Stage 1",0,IF(BB185="Stage 3",5,IF(BB185="Stage 4",-5,0))))</f>
        <v/>
      </c>
      <c r="BD185" s="31" t="inlineStr">
        <is>
          <t>Negative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No</t>
        </is>
      </c>
      <c r="BS185" s="31">
        <f>IF(BR185="NO",5,0)</f>
        <v/>
      </c>
      <c r="BT185" s="31" t="inlineStr">
        <is>
          <t>Less than 1.5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IF(B186=0,"",RANK(B186,$B$2:$B$366,0))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3" t="inlineStr">
        <is>
          <t>TNPL</t>
        </is>
      </c>
      <c r="D186" s="33" t="inlineStr">
        <is>
          <t>Tamil Nadu Newsprint &amp; Papers Limited</t>
        </is>
      </c>
      <c r="E186" s="31" t="inlineStr">
        <is>
          <t>building materials</t>
        </is>
      </c>
      <c r="F186" s="31" t="inlineStr">
        <is>
          <t>paper</t>
        </is>
      </c>
      <c r="G186" s="31" t="inlineStr">
        <is>
          <t>smallcap</t>
        </is>
      </c>
      <c r="H186" s="32" t="n">
        <v>1042.87</v>
      </c>
      <c r="I186" s="32" t="n">
        <v>154.88</v>
      </c>
      <c r="J186" s="32" t="n">
        <v>2.79</v>
      </c>
      <c r="K186" s="32" t="n">
        <v>254861</v>
      </c>
      <c r="L186" s="31" t="n">
        <v>4</v>
      </c>
      <c r="M186" s="31" t="inlineStr">
        <is>
          <t>Underperforming</t>
        </is>
      </c>
      <c r="N186" s="32">
        <f>IF(M186="Underperforming",-5,IF(L186&gt;=95,15,IF(L186&gt;=90,10,IF(L186&gt;=80,5,0))))</f>
        <v/>
      </c>
      <c r="O186" s="32" t="n">
        <v>56.82</v>
      </c>
      <c r="P186" s="32" t="n">
        <v>13.11</v>
      </c>
      <c r="Q186" s="32" t="inlineStr"/>
      <c r="R186" s="31" t="inlineStr">
        <is>
          <t>Earnings / Momentum Support</t>
        </is>
      </c>
      <c r="S186" s="31" t="inlineStr">
        <is>
          <t>Nifty Infra</t>
        </is>
      </c>
      <c r="T186" s="32" t="n">
        <v>1.74</v>
      </c>
      <c r="U186" s="32" t="n">
        <v>-12.81</v>
      </c>
      <c r="V186" s="32" t="n">
        <v>-14.31</v>
      </c>
      <c r="W186" s="32" t="n">
        <v>-1.85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Headwind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No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0 to 20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3</t>
        </is>
      </c>
      <c r="BC186" s="31">
        <f>IF(BB186="Stage 2",20,IF(BB186="Stage 1",0,IF(BB186="Stage 3",5,IF(BB186="Stage 4",-5,0))))</f>
        <v/>
      </c>
      <c r="BD186" s="31" t="inlineStr">
        <is>
          <t>Negative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Less than 1.5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IF(B187=0,"",RANK(B187,$B$2:$B$366,0))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EICHERMOT</t>
        </is>
      </c>
      <c r="D187" s="31" t="inlineStr">
        <is>
          <t>Eicher Motors Limited</t>
        </is>
      </c>
      <c r="E187" s="31" t="inlineStr">
        <is>
          <t>auto</t>
        </is>
      </c>
      <c r="F187" s="31" t="inlineStr">
        <is>
          <t>automobiles - motorcycles / mopeds</t>
        </is>
      </c>
      <c r="G187" s="31" t="inlineStr">
        <is>
          <t>largecap</t>
        </is>
      </c>
      <c r="H187" s="32" t="n">
        <v>215027.64</v>
      </c>
      <c r="I187" s="32" t="n">
        <v>8050</v>
      </c>
      <c r="J187" s="32" t="n">
        <v>2.76</v>
      </c>
      <c r="K187" s="32" t="n">
        <v>2997862</v>
      </c>
      <c r="L187" s="31" t="n">
        <v>48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62.34</v>
      </c>
      <c r="P187" s="32" t="n">
        <v>7.96</v>
      </c>
      <c r="Q187" s="32" t="inlineStr"/>
      <c r="R187" s="31" t="inlineStr">
        <is>
          <t>Earnings / Momentum Support</t>
        </is>
      </c>
      <c r="S187" s="31" t="inlineStr">
        <is>
          <t>Nifty Auto</t>
        </is>
      </c>
      <c r="T187" s="32" t="n">
        <v>13.41</v>
      </c>
      <c r="U187" s="32" t="n">
        <v>36.15</v>
      </c>
      <c r="V187" s="32" t="n">
        <v>20.04</v>
      </c>
      <c r="W187" s="32" t="n">
        <v>7.86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Headwind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No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0 to 20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3</t>
        </is>
      </c>
      <c r="BC187" s="31">
        <f>IF(BB187="Stage 2",20,IF(BB187="Stage 1",0,IF(BB187="Stage 3",5,IF(BB187="Stage 4",-5,0))))</f>
        <v/>
      </c>
      <c r="BD187" s="31" t="inlineStr">
        <is>
          <t>Negative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No</t>
        </is>
      </c>
      <c r="BS187" s="31">
        <f>IF(BR187="NO",5,0)</f>
        <v/>
      </c>
      <c r="BT187" s="31" t="inlineStr">
        <is>
          <t>Between 1.5 to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IF(B188=0,"",RANK(B188,$B$2:$B$366,0))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3" t="inlineStr">
        <is>
          <t>KKCL</t>
        </is>
      </c>
      <c r="D188" s="33" t="inlineStr">
        <is>
          <t>Kewal Kiran Clothing Limited</t>
        </is>
      </c>
      <c r="E188" s="31" t="inlineStr">
        <is>
          <t>consumer discretionary</t>
        </is>
      </c>
      <c r="F188" s="31" t="inlineStr">
        <is>
          <t>textiles - products</t>
        </is>
      </c>
      <c r="G188" s="31" t="inlineStr">
        <is>
          <t>smallcap</t>
        </is>
      </c>
      <c r="H188" s="32" t="n">
        <v>3062.77</v>
      </c>
      <c r="I188" s="32" t="n">
        <v>509.95</v>
      </c>
      <c r="J188" s="32" t="n">
        <v>2.61</v>
      </c>
      <c r="K188" s="32" t="n">
        <v>32894</v>
      </c>
      <c r="L188" s="31" t="n">
        <v>8</v>
      </c>
      <c r="M188" s="31" t="inlineStr">
        <is>
          <t>Underperforming</t>
        </is>
      </c>
      <c r="N188" s="32">
        <f>IF(M188="Underperforming",-5,IF(L188&gt;=95,15,IF(L188&gt;=90,10,IF(L188&gt;=80,5,0))))</f>
        <v/>
      </c>
      <c r="O188" s="32" t="n">
        <v>54.29</v>
      </c>
      <c r="P188" s="32" t="n">
        <v>15.83</v>
      </c>
      <c r="Q188" s="32" t="inlineStr"/>
      <c r="R188" s="31" t="inlineStr">
        <is>
          <t>Earnings / Momentum Support</t>
        </is>
      </c>
      <c r="S188" s="31" t="inlineStr">
        <is>
          <t>Nifty 50</t>
        </is>
      </c>
      <c r="T188" s="32" t="n">
        <v>-0.74</v>
      </c>
      <c r="U188" s="32" t="n">
        <v>-10.06</v>
      </c>
      <c r="V188" s="32" t="n">
        <v>-9.390000000000001</v>
      </c>
      <c r="W188" s="32" t="n">
        <v>-0.77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Headwind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No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0 to 20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3</t>
        </is>
      </c>
      <c r="BC188" s="31">
        <f>IF(BB188="Stage 2",20,IF(BB188="Stage 1",0,IF(BB188="Stage 3",5,IF(BB188="Stage 4",-5,0))))</f>
        <v/>
      </c>
      <c r="BD188" s="31" t="inlineStr">
        <is>
          <t>Negative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No</t>
        </is>
      </c>
      <c r="BS188" s="31">
        <f>IF(BR188="NO",5,0)</f>
        <v/>
      </c>
      <c r="BT188" s="31" t="inlineStr">
        <is>
          <t>Less than 1.5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IF(B189=0,"",RANK(B189,$B$2:$B$366,0))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3" t="inlineStr">
        <is>
          <t>ARE&amp;M</t>
        </is>
      </c>
      <c r="D189" s="33" t="inlineStr">
        <is>
          <t>Amara Raja Energy &amp; Mobility Ltd</t>
        </is>
      </c>
      <c r="E189" s="31" t="inlineStr">
        <is>
          <t>auto</t>
        </is>
      </c>
      <c r="F189" s="31" t="inlineStr">
        <is>
          <t>auto ancillaries</t>
        </is>
      </c>
      <c r="G189" s="31" t="inlineStr">
        <is>
          <t>midcap</t>
        </is>
      </c>
      <c r="H189" s="32" t="n">
        <v>16663.54</v>
      </c>
      <c r="I189" s="32" t="n">
        <v>932.3</v>
      </c>
      <c r="J189" s="32" t="n">
        <v>2.4</v>
      </c>
      <c r="K189" s="32" t="n">
        <v>1710264</v>
      </c>
      <c r="L189" s="31" t="n">
        <v>20</v>
      </c>
      <c r="M189" s="31" t="inlineStr">
        <is>
          <t>Underperforming</t>
        </is>
      </c>
      <c r="N189" s="32">
        <f>IF(M189="Underperforming",-5,IF(L189&gt;=95,15,IF(L189&gt;=90,10,IF(L189&gt;=80,5,0))))</f>
        <v/>
      </c>
      <c r="O189" s="32" t="n">
        <v>57.07</v>
      </c>
      <c r="P189" s="32" t="n">
        <v>12.72</v>
      </c>
      <c r="Q189" s="32" t="inlineStr"/>
      <c r="R189" s="31" t="inlineStr">
        <is>
          <t>Earnings / Momentum Support</t>
        </is>
      </c>
      <c r="S189" s="31" t="inlineStr">
        <is>
          <t>Nifty Auto</t>
        </is>
      </c>
      <c r="T189" s="32" t="n">
        <v>13.41</v>
      </c>
      <c r="U189" s="32" t="n">
        <v>-6.04</v>
      </c>
      <c r="V189" s="32" t="n">
        <v>-17.15</v>
      </c>
      <c r="W189" s="32" t="n">
        <v>2.59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Headwind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No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0 to 20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3</t>
        </is>
      </c>
      <c r="BC189" s="31">
        <f>IF(BB189="Stage 2",20,IF(BB189="Stage 1",0,IF(BB189="Stage 3",5,IF(BB189="Stage 4",-5,0))))</f>
        <v/>
      </c>
      <c r="BD189" s="31" t="inlineStr">
        <is>
          <t>Negative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No</t>
        </is>
      </c>
      <c r="BS189" s="31">
        <f>IF(BR189="NO",5,0)</f>
        <v/>
      </c>
      <c r="BT189" s="31" t="inlineStr">
        <is>
          <t>Less than 1.5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IF(B190=0,"",RANK(B190,$B$2:$B$366,0))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RBZJEWEL</t>
        </is>
      </c>
      <c r="D190" s="31" t="inlineStr">
        <is>
          <t>RBZ Jewellers Ltd</t>
        </is>
      </c>
      <c r="E190" s="31" t="inlineStr">
        <is>
          <t>consumer discretionary</t>
        </is>
      </c>
      <c r="F190" s="31" t="inlineStr">
        <is>
          <t>diamond cutting / jewellery</t>
        </is>
      </c>
      <c r="G190" s="31" t="inlineStr">
        <is>
          <t>smallcap</t>
        </is>
      </c>
      <c r="H190" s="32" t="n">
        <v>595.92</v>
      </c>
      <c r="I190" s="32" t="n">
        <v>152</v>
      </c>
      <c r="J190" s="32" t="n">
        <v>2.03</v>
      </c>
      <c r="K190" s="32" t="n">
        <v>102323</v>
      </c>
      <c r="L190" s="31" t="n">
        <v>31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55.59</v>
      </c>
      <c r="P190" s="32" t="n">
        <v>26.64</v>
      </c>
      <c r="Q190" s="32" t="inlineStr"/>
      <c r="R190" s="31" t="inlineStr">
        <is>
          <t>Earnings / Momentum Support</t>
        </is>
      </c>
      <c r="S190" s="31" t="inlineStr">
        <is>
          <t>Nifty 50</t>
        </is>
      </c>
      <c r="T190" s="32" t="n">
        <v>-0.74</v>
      </c>
      <c r="U190" s="32" t="n">
        <v>13</v>
      </c>
      <c r="V190" s="32" t="n">
        <v>13.84</v>
      </c>
      <c r="W190" s="32" t="n">
        <v>4.68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Headwind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No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3</t>
        </is>
      </c>
      <c r="BC190" s="31">
        <f>IF(BB190="Stage 2",20,IF(BB190="Stage 1",0,IF(BB190="Stage 3",5,IF(BB190="Stage 4",-5,0))))</f>
        <v/>
      </c>
      <c r="BD190" s="31" t="inlineStr">
        <is>
          <t>Negative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Less than 1.5</t>
        </is>
      </c>
      <c r="BU190" s="31">
        <f>IF(BT190="Above 2",0,IF(BT190="Between 1.5 to 2",5,IF(BT190="Less than 1.5",10,0)))</f>
        <v/>
      </c>
      <c r="BV190" s="31" t="inlineStr">
        <is>
          <t>Negative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IF(B191=0,"",RANK(B191,$B$2:$B$366,0))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3" t="inlineStr">
        <is>
          <t>SUNDRMFAST</t>
        </is>
      </c>
      <c r="D191" s="33" t="inlineStr">
        <is>
          <t>Sundram Fasteners Limited</t>
        </is>
      </c>
      <c r="E191" s="31" t="inlineStr">
        <is>
          <t>auto</t>
        </is>
      </c>
      <c r="F191" s="31" t="inlineStr">
        <is>
          <t>auto ancillaries</t>
        </is>
      </c>
      <c r="G191" s="31" t="inlineStr">
        <is>
          <t>largecap</t>
        </is>
      </c>
      <c r="H191" s="32" t="n">
        <v>20539</v>
      </c>
      <c r="I191" s="32" t="n">
        <v>992.9</v>
      </c>
      <c r="J191" s="32" t="n">
        <v>1.58</v>
      </c>
      <c r="K191" s="32" t="n">
        <v>151032</v>
      </c>
      <c r="L191" s="31" t="n">
        <v>23</v>
      </c>
      <c r="M191" s="31" t="inlineStr">
        <is>
          <t>Underperforming</t>
        </is>
      </c>
      <c r="N191" s="32">
        <f>IF(M191="Underperforming",-5,IF(L191&gt;=95,15,IF(L191&gt;=90,10,IF(L191&gt;=80,5,0))))</f>
        <v/>
      </c>
      <c r="O191" s="32" t="n">
        <v>64.88</v>
      </c>
      <c r="P191" s="32" t="n">
        <v>16.6</v>
      </c>
      <c r="Q191" s="32" t="inlineStr"/>
      <c r="R191" s="31" t="inlineStr">
        <is>
          <t>Earnings / Momentum Support</t>
        </is>
      </c>
      <c r="S191" s="31" t="inlineStr">
        <is>
          <t>Nifty Auto</t>
        </is>
      </c>
      <c r="T191" s="32" t="n">
        <v>13.41</v>
      </c>
      <c r="U191" s="32" t="n">
        <v>-4.24</v>
      </c>
      <c r="V191" s="32" t="n">
        <v>-15.56</v>
      </c>
      <c r="W191" s="32" t="n">
        <v>2.97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Headwind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No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0 to 20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3</t>
        </is>
      </c>
      <c r="BC191" s="31">
        <f>IF(BB191="Stage 2",20,IF(BB191="Stage 1",0,IF(BB191="Stage 3",5,IF(BB191="Stage 4",-5,0))))</f>
        <v/>
      </c>
      <c r="BD191" s="31" t="inlineStr">
        <is>
          <t>Negative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No</t>
        </is>
      </c>
      <c r="BS191" s="31">
        <f>IF(BR191="NO",5,0)</f>
        <v/>
      </c>
      <c r="BT191" s="31" t="inlineStr">
        <is>
          <t>Less than 1.5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IF(B192=0,"",RANK(B192,$B$2:$B$366,0))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HEG</t>
        </is>
      </c>
      <c r="D192" s="31" t="inlineStr">
        <is>
          <t>Heg Limited</t>
        </is>
      </c>
      <c r="E192" s="31" t="inlineStr">
        <is>
          <t>industrials</t>
        </is>
      </c>
      <c r="F192" s="31" t="inlineStr">
        <is>
          <t>electrodes - graphites</t>
        </is>
      </c>
      <c r="G192" s="31" t="inlineStr">
        <is>
          <t>midcap</t>
        </is>
      </c>
      <c r="H192" s="32" t="n">
        <v>12683.45</v>
      </c>
      <c r="I192" s="32" t="n">
        <v>665.25</v>
      </c>
      <c r="J192" s="32" t="n">
        <v>1.22</v>
      </c>
      <c r="K192" s="32" t="n">
        <v>722406</v>
      </c>
      <c r="L192" s="31" t="n">
        <v>44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63.75</v>
      </c>
      <c r="P192" s="32" t="n">
        <v>26.01</v>
      </c>
      <c r="Q192" s="32" t="inlineStr"/>
      <c r="R192" s="31" t="inlineStr">
        <is>
          <t>Earnings / Momentum Support</t>
        </is>
      </c>
      <c r="S192" s="31" t="inlineStr">
        <is>
          <t>Nifty 50</t>
        </is>
      </c>
      <c r="T192" s="32" t="n">
        <v>-0.74</v>
      </c>
      <c r="U192" s="32" t="n">
        <v>24.54</v>
      </c>
      <c r="V192" s="32" t="n">
        <v>25.47</v>
      </c>
      <c r="W192" s="32" t="n">
        <v>7.12</v>
      </c>
      <c r="X192" s="31" t="inlineStr">
        <is>
          <t>Cyclical in an Upturn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Headwind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No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20 to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3</t>
        </is>
      </c>
      <c r="BC192" s="31">
        <f>IF(BB192="Stage 2",20,IF(BB192="Stage 1",0,IF(BB192="Stage 3",5,IF(BB192="Stage 4",-5,0))))</f>
        <v/>
      </c>
      <c r="BD192" s="31" t="inlineStr">
        <is>
          <t>Negative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Between 12 to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IF(B193=0,"",RANK(B193,$B$2:$B$366,0))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VARROC</t>
        </is>
      </c>
      <c r="D193" s="31" t="inlineStr">
        <is>
          <t>Varroc Engineering Ltd</t>
        </is>
      </c>
      <c r="E193" s="31" t="inlineStr">
        <is>
          <t>auto</t>
        </is>
      </c>
      <c r="F193" s="31" t="inlineStr">
        <is>
          <t>auto ancillaries</t>
        </is>
      </c>
      <c r="G193" s="31" t="inlineStr">
        <is>
          <t>midcap</t>
        </is>
      </c>
      <c r="H193" s="32" t="n">
        <v>10377.25</v>
      </c>
      <c r="I193" s="32" t="n">
        <v>686.9</v>
      </c>
      <c r="J193" s="32" t="n">
        <v>1.13</v>
      </c>
      <c r="K193" s="32" t="n">
        <v>365591</v>
      </c>
      <c r="L193" s="31" t="n">
        <v>47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67.83</v>
      </c>
      <c r="P193" s="32" t="n">
        <v>33.98</v>
      </c>
      <c r="Q193" s="32" t="inlineStr"/>
      <c r="R193" s="31" t="inlineStr">
        <is>
          <t>Earnings / Momentum Support</t>
        </is>
      </c>
      <c r="S193" s="31" t="inlineStr">
        <is>
          <t>Nifty Auto</t>
        </is>
      </c>
      <c r="T193" s="32" t="n">
        <v>13.41</v>
      </c>
      <c r="U193" s="32" t="n">
        <v>16.11</v>
      </c>
      <c r="V193" s="32" t="n">
        <v>2.38</v>
      </c>
      <c r="W193" s="32" t="n">
        <v>7.58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Headwind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No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3</t>
        </is>
      </c>
      <c r="BC193" s="31">
        <f>IF(BB193="Stage 2",20,IF(BB193="Stage 1",0,IF(BB193="Stage 3",5,IF(BB193="Stage 4",-5,0))))</f>
        <v/>
      </c>
      <c r="BD193" s="31" t="inlineStr">
        <is>
          <t>Negative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Yes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Between 50% to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IF(B194=0,"",RANK(B194,$B$2:$B$366,0))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ORBTEXP</t>
        </is>
      </c>
      <c r="D194" s="31" t="inlineStr">
        <is>
          <t>Orbit Exports Limited</t>
        </is>
      </c>
      <c r="E194" s="31" t="inlineStr">
        <is>
          <t>textiles</t>
        </is>
      </c>
      <c r="F194" s="31" t="inlineStr">
        <is>
          <t>textiles - processing</t>
        </is>
      </c>
      <c r="G194" s="31" t="inlineStr">
        <is>
          <t>smallcap</t>
        </is>
      </c>
      <c r="H194" s="32" t="n">
        <v>639.29</v>
      </c>
      <c r="I194" s="32" t="n">
        <v>243.79</v>
      </c>
      <c r="J194" s="32" t="n">
        <v>1.1</v>
      </c>
      <c r="K194" s="32" t="n">
        <v>39107</v>
      </c>
      <c r="L194" s="31" t="n">
        <v>68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68.66</v>
      </c>
      <c r="P194" s="32" t="n">
        <v>37.42</v>
      </c>
      <c r="Q194" s="32" t="inlineStr"/>
      <c r="R194" s="31" t="inlineStr">
        <is>
          <t>Earnings / Momentum Support</t>
        </is>
      </c>
      <c r="S194" s="31" t="inlineStr">
        <is>
          <t>Nifty 50</t>
        </is>
      </c>
      <c r="T194" s="32" t="n">
        <v>-0.74</v>
      </c>
      <c r="U194" s="32" t="n">
        <v>15.11</v>
      </c>
      <c r="V194" s="32" t="n">
        <v>15.97</v>
      </c>
      <c r="W194" s="32" t="n">
        <v>14.04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Headwind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No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20 to 40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3</t>
        </is>
      </c>
      <c r="BC194" s="31">
        <f>IF(BB194="Stage 2",20,IF(BB194="Stage 1",0,IF(BB194="Stage 3",5,IF(BB194="Stage 4",-5,0))))</f>
        <v/>
      </c>
      <c r="BD194" s="31" t="inlineStr">
        <is>
          <t>Negative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Less than 12%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IF(B195=0,"",RANK(B195,$B$2:$B$366,0))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HAL</t>
        </is>
      </c>
      <c r="D195" s="31" t="inlineStr">
        <is>
          <t>Hindustan Aeronautics Ltd</t>
        </is>
      </c>
      <c r="E195" s="31" t="inlineStr">
        <is>
          <t>aerospace &amp; defence</t>
        </is>
      </c>
      <c r="F195" s="31" t="inlineStr">
        <is>
          <t>engineering</t>
        </is>
      </c>
      <c r="G195" s="31" t="inlineStr">
        <is>
          <t>largecap</t>
        </is>
      </c>
      <c r="H195" s="32" t="n">
        <v>310746.3</v>
      </c>
      <c r="I195" s="32" t="n">
        <v>4690</v>
      </c>
      <c r="J195" s="32" t="n">
        <v>0.9399999999999999</v>
      </c>
      <c r="K195" s="32" t="n">
        <v>1362299</v>
      </c>
      <c r="L195" s="31" t="n">
        <v>21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59.37</v>
      </c>
      <c r="P195" s="32" t="n">
        <v>21.21</v>
      </c>
      <c r="Q195" s="32" t="inlineStr"/>
      <c r="R195" s="31" t="inlineStr">
        <is>
          <t>Earnings / Momentum Support</t>
        </is>
      </c>
      <c r="S195" s="31" t="inlineStr">
        <is>
          <t>Nifty 50</t>
        </is>
      </c>
      <c r="T195" s="32" t="n">
        <v>-0.74</v>
      </c>
      <c r="U195" s="32" t="n">
        <v>5.91</v>
      </c>
      <c r="V195" s="32" t="n">
        <v>6.7</v>
      </c>
      <c r="W195" s="32" t="n">
        <v>2.69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Headwind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No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3</t>
        </is>
      </c>
      <c r="BC195" s="31">
        <f>IF(BB195="Stage 2",20,IF(BB195="Stage 1",0,IF(BB195="Stage 3",5,IF(BB195="Stage 4",-5,0))))</f>
        <v/>
      </c>
      <c r="BD195" s="31" t="inlineStr">
        <is>
          <t>Negative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Less than 12%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IF(B196=0,"",RANK(B196,$B$2:$B$366,0))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INDOTECH</t>
        </is>
      </c>
      <c r="D196" s="31" t="inlineStr">
        <is>
          <t>Indo Tech Transformers Limited</t>
        </is>
      </c>
      <c r="E196" s="31" t="inlineStr">
        <is>
          <t>industrials</t>
        </is>
      </c>
      <c r="F196" s="31" t="inlineStr">
        <is>
          <t>electric equipment</t>
        </is>
      </c>
      <c r="G196" s="31" t="inlineStr">
        <is>
          <t>smallcap</t>
        </is>
      </c>
      <c r="H196" s="32" t="n">
        <v>3667.94</v>
      </c>
      <c r="I196" s="32" t="n">
        <v>3470.7</v>
      </c>
      <c r="J196" s="32" t="n">
        <v>0.49</v>
      </c>
      <c r="K196" s="32" t="n">
        <v>20773</v>
      </c>
      <c r="L196" s="31" t="n">
        <v>92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75.97</v>
      </c>
      <c r="P196" s="32" t="n">
        <v>49.03</v>
      </c>
      <c r="Q196" s="32" t="inlineStr"/>
      <c r="R196" s="31" t="inlineStr">
        <is>
          <t>Earnings / Momentum Support</t>
        </is>
      </c>
      <c r="S196" s="31" t="inlineStr">
        <is>
          <t>Nifty 50</t>
        </is>
      </c>
      <c r="T196" s="32" t="n">
        <v>-0.74</v>
      </c>
      <c r="U196" s="32" t="n">
        <v>106.73</v>
      </c>
      <c r="V196" s="32" t="n">
        <v>108.27</v>
      </c>
      <c r="W196" s="32" t="n">
        <v>29.32</v>
      </c>
      <c r="X196" s="31" t="inlineStr">
        <is>
          <t>Cyclical in an Upturn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Headwind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No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Above 40</t>
        </is>
      </c>
      <c r="AY196" s="31">
        <f>IF(AX196="Above 40",20,IF(AX196="20 to 40",10,IF(AX196="0 to 20",-5,0)))</f>
        <v/>
      </c>
      <c r="AZ196" s="31" t="inlineStr">
        <is>
          <t>Above 75</t>
        </is>
      </c>
      <c r="BA196" s="31">
        <f>IF(AZ196="Between 50 to 75",10,IF(AZ196="Above 75",0,0))</f>
        <v/>
      </c>
      <c r="BB196" s="31" t="inlineStr">
        <is>
          <t>Stage 3</t>
        </is>
      </c>
      <c r="BC196" s="31">
        <f>IF(BB196="Stage 2",20,IF(BB196="Stage 1",0,IF(BB196="Stage 3",5,IF(BB196="Stage 4",-5,0))))</f>
        <v/>
      </c>
      <c r="BD196" s="31" t="inlineStr">
        <is>
          <t>Negative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Between 12 to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No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Less than 50%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IF(B197=0,"",RANK(B197,$B$2:$B$366,0))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MACPOWER</t>
        </is>
      </c>
      <c r="D197" s="31" t="inlineStr">
        <is>
          <t>Macpower CNC Machines Ltd</t>
        </is>
      </c>
      <c r="E197" s="31" t="inlineStr">
        <is>
          <t>industrials</t>
        </is>
      </c>
      <c r="F197" s="31" t="inlineStr">
        <is>
          <t>engineering</t>
        </is>
      </c>
      <c r="G197" s="31" t="inlineStr">
        <is>
          <t>smallcap</t>
        </is>
      </c>
      <c r="H197" s="32" t="n">
        <v>1458.81</v>
      </c>
      <c r="I197" s="32" t="n">
        <v>1457.8</v>
      </c>
      <c r="J197" s="32" t="n">
        <v>-0.03</v>
      </c>
      <c r="K197" s="32" t="n">
        <v>38918</v>
      </c>
      <c r="L197" s="31" t="n">
        <v>70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67.26000000000001</v>
      </c>
      <c r="P197" s="32" t="n">
        <v>29.78</v>
      </c>
      <c r="Q197" s="32" t="inlineStr"/>
      <c r="R197" s="31" t="inlineStr">
        <is>
          <t>Earnings / Momentum Support</t>
        </is>
      </c>
      <c r="S197" s="31" t="inlineStr">
        <is>
          <t>Nifty 50</t>
        </is>
      </c>
      <c r="T197" s="32" t="n">
        <v>-0.74</v>
      </c>
      <c r="U197" s="32" t="n">
        <v>40.31</v>
      </c>
      <c r="V197" s="32" t="n">
        <v>41.36</v>
      </c>
      <c r="W197" s="32" t="n">
        <v>14.48</v>
      </c>
      <c r="X197" s="31" t="inlineStr">
        <is>
          <t>Cyclical in an Upturn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Headwind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No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3</t>
        </is>
      </c>
      <c r="BC197" s="31">
        <f>IF(BB197="Stage 2",20,IF(BB197="Stage 1",0,IF(BB197="Stage 3",5,IF(BB197="Stage 4",-5,0))))</f>
        <v/>
      </c>
      <c r="BD197" s="31" t="inlineStr">
        <is>
          <t>Negative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IF(B198=0,"",RANK(B198,$B$2:$B$366,0))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TATVA</t>
        </is>
      </c>
      <c r="D198" s="31" t="inlineStr">
        <is>
          <t>Tatva Chintan Pharma Chem Ltd</t>
        </is>
      </c>
      <c r="E198" s="31" t="inlineStr">
        <is>
          <t>chemicals</t>
        </is>
      </c>
      <c r="F198" s="31" t="inlineStr">
        <is>
          <t>chemicals</t>
        </is>
      </c>
      <c r="G198" s="31" t="inlineStr">
        <is>
          <t>smallcap</t>
        </is>
      </c>
      <c r="H198" s="32" t="n">
        <v>4182.97</v>
      </c>
      <c r="I198" s="32" t="n">
        <v>1771</v>
      </c>
      <c r="J198" s="32" t="n">
        <v>-0.96</v>
      </c>
      <c r="K198" s="32" t="n">
        <v>114209</v>
      </c>
      <c r="L198" s="31" t="n">
        <v>81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75.66</v>
      </c>
      <c r="P198" s="32" t="n">
        <v>24.53</v>
      </c>
      <c r="Q198" s="32" t="inlineStr"/>
      <c r="R198" s="31" t="inlineStr">
        <is>
          <t>Earnings / Momentum Support</t>
        </is>
      </c>
      <c r="S198" s="31" t="inlineStr">
        <is>
          <t>Nifty 50</t>
        </is>
      </c>
      <c r="T198" s="32" t="n">
        <v>-0.74</v>
      </c>
      <c r="U198" s="32" t="n">
        <v>60.52</v>
      </c>
      <c r="V198" s="32" t="n">
        <v>61.72</v>
      </c>
      <c r="W198" s="32" t="n">
        <v>19.48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Headwind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No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Above 75</t>
        </is>
      </c>
      <c r="BA198" s="31">
        <f>IF(AZ198="Between 50 to 75",10,IF(AZ198="Above 75",0,0))</f>
        <v/>
      </c>
      <c r="BB198" s="31" t="inlineStr">
        <is>
          <t>Stage 3</t>
        </is>
      </c>
      <c r="BC198" s="31">
        <f>IF(BB198="Stage 2",20,IF(BB198="Stage 1",0,IF(BB198="Stage 3",5,IF(BB198="Stage 4",-5,0))))</f>
        <v/>
      </c>
      <c r="BD198" s="31" t="inlineStr">
        <is>
          <t>Negative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Yes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IF(B199=0,"",RANK(B199,$B$2:$B$366,0))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NELCO</t>
        </is>
      </c>
      <c r="D199" s="31" t="inlineStr">
        <is>
          <t>Nelco Limited</t>
        </is>
      </c>
      <c r="E199" s="31" t="inlineStr">
        <is>
          <t>telecom</t>
        </is>
      </c>
      <c r="F199" s="31" t="inlineStr">
        <is>
          <t>telecommunications - service provider</t>
        </is>
      </c>
      <c r="G199" s="31" t="inlineStr">
        <is>
          <t>smallcap</t>
        </is>
      </c>
      <c r="H199" s="32" t="n">
        <v>2317.55</v>
      </c>
      <c r="I199" s="32" t="n">
        <v>1000.8</v>
      </c>
      <c r="J199" s="32" t="n">
        <v>-1.46</v>
      </c>
      <c r="K199" s="32" t="n">
        <v>772071</v>
      </c>
      <c r="L199" s="31" t="n">
        <v>70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68.64</v>
      </c>
      <c r="P199" s="32" t="n">
        <v>28.91</v>
      </c>
      <c r="Q199" s="32" t="inlineStr"/>
      <c r="R199" s="31" t="inlineStr">
        <is>
          <t>Earnings / Momentum Support</t>
        </is>
      </c>
      <c r="S199" s="31" t="inlineStr">
        <is>
          <t>Nifty 50</t>
        </is>
      </c>
      <c r="T199" s="32" t="n">
        <v>-0.74</v>
      </c>
      <c r="U199" s="32" t="n">
        <v>17.03</v>
      </c>
      <c r="V199" s="32" t="n">
        <v>17.9</v>
      </c>
      <c r="W199" s="32" t="n">
        <v>14.64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Oligopoly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Yes</t>
        </is>
      </c>
      <c r="AC199" s="31">
        <f>IF(AB199="No",5,0)</f>
        <v/>
      </c>
      <c r="AD199" s="31" t="inlineStr">
        <is>
          <t>Headwind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3</t>
        </is>
      </c>
      <c r="BC199" s="31">
        <f>IF(BB199="Stage 2",20,IF(BB199="Stage 1",0,IF(BB199="Stage 3",5,IF(BB199="Stage 4",-5,0))))</f>
        <v/>
      </c>
      <c r="BD199" s="31" t="inlineStr">
        <is>
          <t>Negative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IF(B200=0,"",RANK(B200,$B$2:$B$366,0))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COMSYN</t>
        </is>
      </c>
      <c r="D200" s="31" t="inlineStr">
        <is>
          <t>Commercial Syn Bags Ltd</t>
        </is>
      </c>
      <c r="E200" s="31" t="inlineStr">
        <is>
          <t>industrials</t>
        </is>
      </c>
      <c r="F200" s="31" t="inlineStr">
        <is>
          <t>packaging</t>
        </is>
      </c>
      <c r="G200" s="31" t="inlineStr">
        <is>
          <t>smallcap</t>
        </is>
      </c>
      <c r="H200" s="32" t="n">
        <v>866.53</v>
      </c>
      <c r="I200" s="32" t="n">
        <v>211</v>
      </c>
      <c r="J200" s="32" t="n">
        <v>-1.77</v>
      </c>
      <c r="K200" s="32" t="n">
        <v>565690</v>
      </c>
      <c r="L200" s="31" t="n">
        <v>81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69.59999999999999</v>
      </c>
      <c r="P200" s="32" t="n">
        <v>55.42</v>
      </c>
      <c r="Q200" s="32" t="inlineStr"/>
      <c r="R200" s="31" t="inlineStr">
        <is>
          <t>Earnings / Momentum Support</t>
        </is>
      </c>
      <c r="S200" s="31" t="inlineStr">
        <is>
          <t>Nifty 50</t>
        </is>
      </c>
      <c r="T200" s="32" t="n">
        <v>-0.74</v>
      </c>
      <c r="U200" s="32" t="n">
        <v>63.96</v>
      </c>
      <c r="V200" s="32" t="n">
        <v>65.18000000000001</v>
      </c>
      <c r="W200" s="32" t="n">
        <v>19.32</v>
      </c>
      <c r="X200" s="31" t="inlineStr">
        <is>
          <t>Cyclical in an Upturn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Headwind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No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Above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3</t>
        </is>
      </c>
      <c r="BC200" s="31">
        <f>IF(BB200="Stage 2",20,IF(BB200="Stage 1",0,IF(BB200="Stage 3",5,IF(BB200="Stage 4",-5,0))))</f>
        <v/>
      </c>
      <c r="BD200" s="31" t="inlineStr">
        <is>
          <t>Negative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Less than 12%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Between 0.7 to 1.2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IF(B201=0,"",RANK(B201,$B$2:$B$366,0))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SICALLOG</t>
        </is>
      </c>
      <c r="D201" s="31" t="inlineStr">
        <is>
          <t>Sical Logistics Ltd</t>
        </is>
      </c>
      <c r="E201" s="31" t="inlineStr">
        <is>
          <t>transportation</t>
        </is>
      </c>
      <c r="F201" s="31" t="inlineStr">
        <is>
          <t>miscellaneous</t>
        </is>
      </c>
      <c r="G201" s="31" t="inlineStr">
        <is>
          <t>smallcap</t>
        </is>
      </c>
      <c r="H201" s="32" t="n">
        <v>897.8200000000001</v>
      </c>
      <c r="I201" s="32" t="n">
        <v>106.91</v>
      </c>
      <c r="J201" s="32" t="n">
        <v>-4.99</v>
      </c>
      <c r="K201" s="32" t="n">
        <v>20325</v>
      </c>
      <c r="L201" s="31" t="n">
        <v>82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72.73999999999999</v>
      </c>
      <c r="P201" s="32" t="n">
        <v>28.57</v>
      </c>
      <c r="Q201" s="32" t="inlineStr"/>
      <c r="R201" s="31" t="inlineStr">
        <is>
          <t>Earnings / Momentum Support</t>
        </is>
      </c>
      <c r="S201" s="31" t="inlineStr">
        <is>
          <t>Nifty 50</t>
        </is>
      </c>
      <c r="T201" s="32" t="n">
        <v>-0.74</v>
      </c>
      <c r="U201" s="32" t="n">
        <v>2.08</v>
      </c>
      <c r="V201" s="32" t="n">
        <v>2.84</v>
      </c>
      <c r="W201" s="32" t="n">
        <v>19.95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Headwind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No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3</t>
        </is>
      </c>
      <c r="BC201" s="31">
        <f>IF(BB201="Stage 2",20,IF(BB201="Stage 1",0,IF(BB201="Stage 3",5,IF(BB201="Stage 4",-5,0))))</f>
        <v/>
      </c>
      <c r="BD201" s="31" t="inlineStr">
        <is>
          <t>Negative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Less than 1.5</t>
        </is>
      </c>
      <c r="BU201" s="31">
        <f>IF(BT201="Above 2",0,IF(BT201="Between 1.5 to 2",5,IF(BT201="Less than 1.5",10,0)))</f>
        <v/>
      </c>
      <c r="BV201" s="31" t="inlineStr">
        <is>
          <t>Between 50% to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More than 1.2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IF(B202=0,"",RANK(B202,$B$2:$B$366,0))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BALRAMCHIN</t>
        </is>
      </c>
      <c r="D202" s="31" t="inlineStr">
        <is>
          <t>Balrampur Chini Mills Limited</t>
        </is>
      </c>
      <c r="E202" s="31" t="inlineStr">
        <is>
          <t>fmcg</t>
        </is>
      </c>
      <c r="F202" s="31" t="inlineStr">
        <is>
          <t>sugar</t>
        </is>
      </c>
      <c r="G202" s="31" t="inlineStr">
        <is>
          <t>midcap</t>
        </is>
      </c>
      <c r="H202" s="32" t="n">
        <v>12384.48</v>
      </c>
      <c r="I202" s="32" t="n">
        <v>646.8</v>
      </c>
      <c r="J202" s="32" t="n">
        <v>10.34</v>
      </c>
      <c r="K202" s="32" t="n">
        <v>3161974</v>
      </c>
      <c r="L202" s="31" t="n">
        <v>39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65.91</v>
      </c>
      <c r="P202" s="32" t="n">
        <v>39.92</v>
      </c>
      <c r="Q202" s="32" t="inlineStr"/>
      <c r="R202" s="31" t="inlineStr">
        <is>
          <t>Earnings / Momentum Support</t>
        </is>
      </c>
      <c r="S202" s="31" t="inlineStr">
        <is>
          <t>Nifty FMCG</t>
        </is>
      </c>
      <c r="T202" s="32" t="n">
        <v>-13.73</v>
      </c>
      <c r="U202" s="32" t="n">
        <v>-1.41</v>
      </c>
      <c r="V202" s="32" t="n">
        <v>14.28</v>
      </c>
      <c r="W202" s="32" t="n">
        <v>6.14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Headwind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B2C</t>
        </is>
      </c>
      <c r="AO202" s="31">
        <f>IF(AN202="B2C",10,IF(AN202="B2B",5,0))</f>
        <v/>
      </c>
      <c r="AP202" s="31" t="inlineStr">
        <is>
          <t>No</t>
        </is>
      </c>
      <c r="AQ202" s="31">
        <f>IF(AP202="Yes",10,0)</f>
        <v/>
      </c>
      <c r="AR202" s="31" t="inlineStr">
        <is>
          <t>Higher Annuity, Lower One Time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3</t>
        </is>
      </c>
      <c r="BC202" s="31">
        <f>IF(BB202="Stage 2",20,IF(BB202="Stage 1",0,IF(BB202="Stage 3",5,IF(BB202="Stage 4",-5,0))))</f>
        <v/>
      </c>
      <c r="BD202" s="31" t="inlineStr">
        <is>
          <t>Negative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Less than 12%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Between 0.7 to 1.2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IF(B203=0,"",RANK(B203,$B$2:$B$366,0))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HNDFDS</t>
        </is>
      </c>
      <c r="D203" s="31" t="inlineStr">
        <is>
          <t>Hindustan Foods Ltd</t>
        </is>
      </c>
      <c r="E203" s="31" t="inlineStr">
        <is>
          <t>fmcg</t>
        </is>
      </c>
      <c r="F203" s="31" t="inlineStr">
        <is>
          <t>diversified - large</t>
        </is>
      </c>
      <c r="G203" s="31" t="inlineStr">
        <is>
          <t>midcap</t>
        </is>
      </c>
      <c r="H203" s="32" t="n">
        <v>6962.61</v>
      </c>
      <c r="I203" s="32" t="n">
        <v>587.55</v>
      </c>
      <c r="J203" s="32" t="n">
        <v>2.24</v>
      </c>
      <c r="K203" s="32" t="n">
        <v>104737</v>
      </c>
      <c r="L203" s="31" t="n">
        <v>16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62.22</v>
      </c>
      <c r="P203" s="32" t="n">
        <v>36.73</v>
      </c>
      <c r="Q203" s="32" t="inlineStr"/>
      <c r="R203" s="31" t="inlineStr">
        <is>
          <t>Earnings / Momentum Support</t>
        </is>
      </c>
      <c r="S203" s="31" t="inlineStr">
        <is>
          <t>Nifty FMCG</t>
        </is>
      </c>
      <c r="T203" s="32" t="n">
        <v>-13.73</v>
      </c>
      <c r="U203" s="32" t="n">
        <v>-1.7</v>
      </c>
      <c r="V203" s="32" t="n">
        <v>13.95</v>
      </c>
      <c r="W203" s="32" t="n">
        <v>1.82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Headwind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B2C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Annuity, Lower One Time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3</t>
        </is>
      </c>
      <c r="BC203" s="31">
        <f>IF(BB203="Stage 2",20,IF(BB203="Stage 1",0,IF(BB203="Stage 3",5,IF(BB203="Stage 4",-5,0))))</f>
        <v/>
      </c>
      <c r="BD203" s="31" t="inlineStr">
        <is>
          <t>Negative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Yes</t>
        </is>
      </c>
      <c r="BS203" s="31">
        <f>IF(BR203="NO",5,0)</f>
        <v/>
      </c>
      <c r="BT203" s="31" t="inlineStr">
        <is>
          <t>Between 1.5 to 2</t>
        </is>
      </c>
      <c r="BU203" s="31">
        <f>IF(BT203="Above 2",0,IF(BT203="Between 1.5 to 2",5,IF(BT203="Less than 1.5",10,0)))</f>
        <v/>
      </c>
      <c r="BV203" s="31" t="inlineStr">
        <is>
          <t>Less than 50%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Between 0.7 to 1.2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IF(B204=0,"",RANK(B204,$B$2:$B$366,0))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TATATECH</t>
        </is>
      </c>
      <c r="D204" s="31" t="inlineStr">
        <is>
          <t>Tata Technologies Ltd</t>
        </is>
      </c>
      <c r="E204" s="31" t="inlineStr">
        <is>
          <t>i.t</t>
        </is>
      </c>
      <c r="F204" s="31" t="inlineStr">
        <is>
          <t>computers - software - medium / small</t>
        </is>
      </c>
      <c r="G204" s="31" t="inlineStr">
        <is>
          <t>largecap</t>
        </is>
      </c>
      <c r="H204" s="32" t="n">
        <v>30358.47</v>
      </c>
      <c r="I204" s="32" t="n">
        <v>763.8</v>
      </c>
      <c r="J204" s="32" t="n">
        <v>2.16</v>
      </c>
      <c r="K204" s="32" t="n">
        <v>814680</v>
      </c>
      <c r="L204" s="31" t="n">
        <v>51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61.89</v>
      </c>
      <c r="P204" s="32" t="n">
        <v>29.54</v>
      </c>
      <c r="Q204" s="32" t="inlineStr"/>
      <c r="R204" s="31" t="inlineStr">
        <is>
          <t>Earnings / Momentum Support</t>
        </is>
      </c>
      <c r="S204" s="31" t="inlineStr">
        <is>
          <t>Nifty IT</t>
        </is>
      </c>
      <c r="T204" s="32" t="n">
        <v>-11.37</v>
      </c>
      <c r="U204" s="32" t="n">
        <v>9.4</v>
      </c>
      <c r="V204" s="32" t="n">
        <v>23.44</v>
      </c>
      <c r="W204" s="32" t="n">
        <v>8.84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Headwind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No</t>
        </is>
      </c>
      <c r="AQ204" s="31">
        <f>IF(AP204="Yes",10,0)</f>
        <v/>
      </c>
      <c r="AR204" s="31" t="inlineStr">
        <is>
          <t>Higher Annuity, Lower One Time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3</t>
        </is>
      </c>
      <c r="BC204" s="31">
        <f>IF(BB204="Stage 2",20,IF(BB204="Stage 1",0,IF(BB204="Stage 3",5,IF(BB204="Stage 4",-5,0))))</f>
        <v/>
      </c>
      <c r="BD204" s="31" t="inlineStr">
        <is>
          <t>Negative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Less than 12%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IF(B205=0,"",RANK(B205,$B$2:$B$366,0))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SAILIFE</t>
        </is>
      </c>
      <c r="D205" s="31" t="inlineStr">
        <is>
          <t>Sai Life Sciences Ltd</t>
        </is>
      </c>
      <c r="E205" s="31" t="inlineStr">
        <is>
          <t>healthcare</t>
        </is>
      </c>
      <c r="F205" s="31" t="inlineStr">
        <is>
          <t>pharmaceuticals - indian - bulk drugs &amp; formln</t>
        </is>
      </c>
      <c r="G205" s="31" t="inlineStr">
        <is>
          <t>largecap</t>
        </is>
      </c>
      <c r="H205" s="32" t="n">
        <v>27917.73</v>
      </c>
      <c r="I205" s="32" t="n">
        <v>1333.4</v>
      </c>
      <c r="J205" s="32" t="n">
        <v>1.39</v>
      </c>
      <c r="K205" s="32" t="n">
        <v>316148</v>
      </c>
      <c r="L205" s="31" t="n">
        <v>74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73.73999999999999</v>
      </c>
      <c r="P205" s="32" t="n">
        <v>29.87</v>
      </c>
      <c r="Q205" s="32" t="inlineStr"/>
      <c r="R205" s="31" t="inlineStr">
        <is>
          <t>Earnings / Momentum Support</t>
        </is>
      </c>
      <c r="S205" s="31" t="inlineStr">
        <is>
          <t>Nifty Pharma</t>
        </is>
      </c>
      <c r="T205" s="32" t="n">
        <v>20.55</v>
      </c>
      <c r="U205" s="32" t="n">
        <v>66.89</v>
      </c>
      <c r="V205" s="32" t="n">
        <v>38.44</v>
      </c>
      <c r="W205" s="32" t="n">
        <v>16.26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Yes</t>
        </is>
      </c>
      <c r="AC205" s="31">
        <f>IF(AB205="No",5,0)</f>
        <v/>
      </c>
      <c r="AD205" s="31" t="inlineStr">
        <is>
          <t>Headwind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No</t>
        </is>
      </c>
      <c r="AQ205" s="31">
        <f>IF(AP205="Yes",10,0)</f>
        <v/>
      </c>
      <c r="AR205" s="31" t="inlineStr">
        <is>
          <t>Higher Annuity, Lower One Time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3</t>
        </is>
      </c>
      <c r="BC205" s="31">
        <f>IF(BB205="Stage 2",20,IF(BB205="Stage 1",0,IF(BB205="Stage 3",5,IF(BB205="Stage 4",-5,0))))</f>
        <v/>
      </c>
      <c r="BD205" s="31" t="inlineStr">
        <is>
          <t>Negative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Between 12 to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IF(B206=0,"",RANK(B206,$B$2:$B$366,0))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3" t="inlineStr">
        <is>
          <t>GUFICBIO</t>
        </is>
      </c>
      <c r="D206" s="33" t="inlineStr">
        <is>
          <t>Gufic Biosciences Limited</t>
        </is>
      </c>
      <c r="E206" s="31" t="inlineStr">
        <is>
          <t>healthcare</t>
        </is>
      </c>
      <c r="F206" s="31" t="inlineStr">
        <is>
          <t>pharmaceuticals - indian - bulk drugs &amp; formln</t>
        </is>
      </c>
      <c r="G206" s="31" t="inlineStr">
        <is>
          <t>smallcap</t>
        </is>
      </c>
      <c r="H206" s="32" t="n">
        <v>3909.51</v>
      </c>
      <c r="I206" s="32" t="n">
        <v>395</v>
      </c>
      <c r="J206" s="32" t="n">
        <v>1.32</v>
      </c>
      <c r="K206" s="32" t="n">
        <v>35368</v>
      </c>
      <c r="L206" s="31" t="n">
        <v>53</v>
      </c>
      <c r="M206" s="31" t="inlineStr">
        <is>
          <t>Underperforming</t>
        </is>
      </c>
      <c r="N206" s="32">
        <f>IF(M206="Underperforming",-5,IF(L206&gt;=95,15,IF(L206&gt;=90,10,IF(L206&gt;=80,5,0))))</f>
        <v/>
      </c>
      <c r="O206" s="32" t="n">
        <v>64.73</v>
      </c>
      <c r="P206" s="32" t="n">
        <v>43.31</v>
      </c>
      <c r="Q206" s="32" t="inlineStr"/>
      <c r="R206" s="31" t="inlineStr">
        <is>
          <t>Earnings / Momentum Support</t>
        </is>
      </c>
      <c r="S206" s="31" t="inlineStr">
        <is>
          <t>Nifty Pharma</t>
        </is>
      </c>
      <c r="T206" s="32" t="n">
        <v>20.55</v>
      </c>
      <c r="U206" s="32" t="n">
        <v>1.38</v>
      </c>
      <c r="V206" s="32" t="n">
        <v>-15.9</v>
      </c>
      <c r="W206" s="32" t="n">
        <v>9.130000000000001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Yes</t>
        </is>
      </c>
      <c r="AC206" s="31">
        <f>IF(AB206="No",5,0)</f>
        <v/>
      </c>
      <c r="AD206" s="31" t="inlineStr">
        <is>
          <t>Headwind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No</t>
        </is>
      </c>
      <c r="AQ206" s="31">
        <f>IF(AP206="Yes",10,0)</f>
        <v/>
      </c>
      <c r="AR206" s="31" t="inlineStr">
        <is>
          <t>Higher Annuity, Lower One Time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Above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3</t>
        </is>
      </c>
      <c r="BC206" s="31">
        <f>IF(BB206="Stage 2",20,IF(BB206="Stage 1",0,IF(BB206="Stage 3",5,IF(BB206="Stage 4",-5,0))))</f>
        <v/>
      </c>
      <c r="BD206" s="31" t="inlineStr">
        <is>
          <t>Negative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Yes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Less than 50%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IF(B207=0,"",RANK(B207,$B$2:$B$366,0))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HMVL</t>
        </is>
      </c>
      <c r="D207" s="31" t="inlineStr">
        <is>
          <t>Hindustan Media Ventures Limited</t>
        </is>
      </c>
      <c r="E207" s="31" t="inlineStr">
        <is>
          <t>media</t>
        </is>
      </c>
      <c r="F207" s="31" t="inlineStr">
        <is>
          <t>entertainment / electronic media software</t>
        </is>
      </c>
      <c r="G207" s="31" t="inlineStr">
        <is>
          <t>smallcap</t>
        </is>
      </c>
      <c r="H207" s="32" t="n">
        <v>697.15</v>
      </c>
      <c r="I207" s="32" t="n">
        <v>95.5</v>
      </c>
      <c r="J207" s="32" t="n">
        <v>0.92</v>
      </c>
      <c r="K207" s="32" t="n">
        <v>44985</v>
      </c>
      <c r="L207" s="31" t="n">
        <v>61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71.81999999999999</v>
      </c>
      <c r="P207" s="32" t="n">
        <v>33.69</v>
      </c>
      <c r="Q207" s="32" t="inlineStr"/>
      <c r="R207" s="31" t="inlineStr">
        <is>
          <t>Earnings / Momentum Support</t>
        </is>
      </c>
      <c r="S207" s="31" t="inlineStr">
        <is>
          <t>Nifty IT</t>
        </is>
      </c>
      <c r="T207" s="32" t="n">
        <v>-11.37</v>
      </c>
      <c r="U207" s="32" t="n">
        <v>6.42</v>
      </c>
      <c r="V207" s="32" t="n">
        <v>20.08</v>
      </c>
      <c r="W207" s="32" t="n">
        <v>11.68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Headwind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No</t>
        </is>
      </c>
      <c r="AQ207" s="31">
        <f>IF(AP207="Yes",10,0)</f>
        <v/>
      </c>
      <c r="AR207" s="31" t="inlineStr">
        <is>
          <t>Higher Annuity, Lower One Time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3</t>
        </is>
      </c>
      <c r="BC207" s="31">
        <f>IF(BB207="Stage 2",20,IF(BB207="Stage 1",0,IF(BB207="Stage 3",5,IF(BB207="Stage 4",-5,0))))</f>
        <v/>
      </c>
      <c r="BD207" s="31" t="inlineStr">
        <is>
          <t>Negative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Less than 12%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No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Between 50% to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IF(B208=0,"",RANK(B208,$B$2:$B$366,0))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BLSE</t>
        </is>
      </c>
      <c r="D208" s="31" t="inlineStr">
        <is>
          <t>BLS E-Services Ltd</t>
        </is>
      </c>
      <c r="E208" s="31" t="inlineStr">
        <is>
          <t>i.t</t>
        </is>
      </c>
      <c r="F208" s="31" t="inlineStr">
        <is>
          <t>computers - software - medium / small</t>
        </is>
      </c>
      <c r="G208" s="31" t="inlineStr">
        <is>
          <t>smallcap</t>
        </is>
      </c>
      <c r="H208" s="32" t="n">
        <v>2731.69</v>
      </c>
      <c r="I208" s="32" t="n">
        <v>301</v>
      </c>
      <c r="J208" s="32" t="n">
        <v>0.11</v>
      </c>
      <c r="K208" s="32" t="n">
        <v>824838</v>
      </c>
      <c r="L208" s="31" t="n">
        <v>86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81.48</v>
      </c>
      <c r="P208" s="32" t="n">
        <v>42.28</v>
      </c>
      <c r="Q208" s="32" t="inlineStr"/>
      <c r="R208" s="31" t="inlineStr">
        <is>
          <t>Earnings / Momentum Support</t>
        </is>
      </c>
      <c r="S208" s="31" t="inlineStr">
        <is>
          <t>Nifty IT</t>
        </is>
      </c>
      <c r="T208" s="32" t="n">
        <v>-11.37</v>
      </c>
      <c r="U208" s="32" t="n">
        <v>65.53</v>
      </c>
      <c r="V208" s="32" t="n">
        <v>86.77</v>
      </c>
      <c r="W208" s="32" t="n">
        <v>23.15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Headwind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No</t>
        </is>
      </c>
      <c r="AQ208" s="31">
        <f>IF(AP208="Yes",10,0)</f>
        <v/>
      </c>
      <c r="AR208" s="31" t="inlineStr">
        <is>
          <t>Higher Annuity, Lower One Time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Above 40</t>
        </is>
      </c>
      <c r="AY208" s="31">
        <f>IF(AX208="Above 40",20,IF(AX208="20 to 40",10,IF(AX208="0 to 20",-5,0)))</f>
        <v/>
      </c>
      <c r="AZ208" s="31" t="inlineStr">
        <is>
          <t>Above 75</t>
        </is>
      </c>
      <c r="BA208" s="31">
        <f>IF(AZ208="Between 50 to 75",10,IF(AZ208="Above 75",0,0))</f>
        <v/>
      </c>
      <c r="BB208" s="31" t="inlineStr">
        <is>
          <t>Stage 3</t>
        </is>
      </c>
      <c r="BC208" s="31">
        <f>IF(BB208="Stage 2",20,IF(BB208="Stage 1",0,IF(BB208="Stage 3",5,IF(BB208="Stage 4",-5,0))))</f>
        <v/>
      </c>
      <c r="BD208" s="31" t="inlineStr">
        <is>
          <t>Negative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Less than 12%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Between 50% to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IF(B209=0,"",RANK(B209,$B$2:$B$366,0))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KABRAEXTRU</t>
        </is>
      </c>
      <c r="D209" s="31" t="inlineStr">
        <is>
          <t>Kabra Extrusion Technik Limited</t>
        </is>
      </c>
      <c r="E209" s="31" t="inlineStr">
        <is>
          <t>industrials</t>
        </is>
      </c>
      <c r="F209" s="31" t="inlineStr">
        <is>
          <t>engineering</t>
        </is>
      </c>
      <c r="G209" s="31" t="inlineStr">
        <is>
          <t>smallcap</t>
        </is>
      </c>
      <c r="H209" s="32" t="n">
        <v>1381.25</v>
      </c>
      <c r="I209" s="32" t="n">
        <v>418.6</v>
      </c>
      <c r="J209" s="32" t="n">
        <v>5.99</v>
      </c>
      <c r="K209" s="32" t="n">
        <v>873684</v>
      </c>
      <c r="L209" s="31" t="n">
        <v>84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79.09</v>
      </c>
      <c r="P209" s="32" t="n">
        <v>28.35</v>
      </c>
      <c r="Q209" s="32" t="inlineStr"/>
      <c r="R209" s="31" t="inlineStr">
        <is>
          <t>Earnings / Momentum Support</t>
        </is>
      </c>
      <c r="S209" s="31" t="inlineStr">
        <is>
          <t>Nifty 50</t>
        </is>
      </c>
      <c r="T209" s="32" t="n">
        <v>-0.74</v>
      </c>
      <c r="U209" s="32" t="n">
        <v>35.98</v>
      </c>
      <c r="V209" s="32" t="n">
        <v>36.99</v>
      </c>
      <c r="W209" s="32" t="n">
        <v>21.54</v>
      </c>
      <c r="X209" s="31" t="inlineStr">
        <is>
          <t>Cyclical in an Upturn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Headwind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No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Above 75</t>
        </is>
      </c>
      <c r="BA209" s="31">
        <f>IF(AZ209="Between 50 to 75",10,IF(AZ209="Above 75",0,0))</f>
        <v/>
      </c>
      <c r="BB209" s="31" t="inlineStr">
        <is>
          <t>Stage 3</t>
        </is>
      </c>
      <c r="BC209" s="31">
        <f>IF(BB209="Stage 2",20,IF(BB209="Stage 1",0,IF(BB209="Stage 3",5,IF(BB209="Stage 4",-5,0))))</f>
        <v/>
      </c>
      <c r="BD209" s="31" t="inlineStr">
        <is>
          <t>Negative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Yes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IF(B210=0,"",RANK(B210,$B$2:$B$366,0))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UNIVCABLES</t>
        </is>
      </c>
      <c r="D210" s="31" t="inlineStr">
        <is>
          <t>Universal Cables Limited</t>
        </is>
      </c>
      <c r="E210" s="31" t="inlineStr">
        <is>
          <t>industrials</t>
        </is>
      </c>
      <c r="F210" s="31" t="inlineStr">
        <is>
          <t>cables - power</t>
        </is>
      </c>
      <c r="G210" s="31" t="inlineStr">
        <is>
          <t>smallcap</t>
        </is>
      </c>
      <c r="H210" s="32" t="n">
        <v>4713.02</v>
      </c>
      <c r="I210" s="32" t="n">
        <v>1431.8</v>
      </c>
      <c r="J210" s="32" t="n">
        <v>5.4</v>
      </c>
      <c r="K210" s="32" t="n">
        <v>252946</v>
      </c>
      <c r="L210" s="31" t="n">
        <v>77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68.89</v>
      </c>
      <c r="P210" s="32" t="n">
        <v>57.42</v>
      </c>
      <c r="Q210" s="32" t="inlineStr"/>
      <c r="R210" s="31" t="inlineStr">
        <is>
          <t>Earnings / Momentum Support</t>
        </is>
      </c>
      <c r="S210" s="31" t="inlineStr">
        <is>
          <t>Nifty Energy</t>
        </is>
      </c>
      <c r="T210" s="32" t="n">
        <v>8.41</v>
      </c>
      <c r="U210" s="32" t="n">
        <v>52.2</v>
      </c>
      <c r="V210" s="32" t="n">
        <v>40.4</v>
      </c>
      <c r="W210" s="32" t="n">
        <v>17.73</v>
      </c>
      <c r="X210" s="31" t="inlineStr">
        <is>
          <t>Cyclical in an Upturn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Headwind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No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Above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3</t>
        </is>
      </c>
      <c r="BC210" s="31">
        <f>IF(BB210="Stage 2",20,IF(BB210="Stage 1",0,IF(BB210="Stage 3",5,IF(BB210="Stage 4",-5,0))))</f>
        <v/>
      </c>
      <c r="BD210" s="31" t="inlineStr">
        <is>
          <t>Negative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Less than 12%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No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Less than 50%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IF(B211=0,"",RANK(B211,$B$2:$B$366,0))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BIRLACABLE</t>
        </is>
      </c>
      <c r="D211" s="31" t="inlineStr">
        <is>
          <t>Birla Cable Limited</t>
        </is>
      </c>
      <c r="E211" s="31" t="inlineStr">
        <is>
          <t>industrials</t>
        </is>
      </c>
      <c r="F211" s="31" t="inlineStr">
        <is>
          <t>cables - telephone</t>
        </is>
      </c>
      <c r="G211" s="31" t="inlineStr">
        <is>
          <t>smallcap</t>
        </is>
      </c>
      <c r="H211" s="32" t="n">
        <v>611.4299999999999</v>
      </c>
      <c r="I211" s="32" t="n">
        <v>214</v>
      </c>
      <c r="J211" s="32" t="n">
        <v>5</v>
      </c>
      <c r="K211" s="32" t="n">
        <v>22264</v>
      </c>
      <c r="L211" s="31" t="n">
        <v>28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59.02</v>
      </c>
      <c r="P211" s="32" t="n">
        <v>42.24</v>
      </c>
      <c r="Q211" s="32" t="inlineStr"/>
      <c r="R211" s="31" t="inlineStr">
        <is>
          <t>Earnings / Momentum Support</t>
        </is>
      </c>
      <c r="S211" s="31" t="inlineStr">
        <is>
          <t>Nifty Infra</t>
        </is>
      </c>
      <c r="T211" s="32" t="n">
        <v>1.74</v>
      </c>
      <c r="U211" s="32" t="n">
        <v>2.54</v>
      </c>
      <c r="V211" s="32" t="n">
        <v>0.78</v>
      </c>
      <c r="W211" s="32" t="n">
        <v>4.22</v>
      </c>
      <c r="X211" s="31" t="inlineStr">
        <is>
          <t>Cyclical in an Upturn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Headwind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No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Above 40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3</t>
        </is>
      </c>
      <c r="BC211" s="31">
        <f>IF(BB211="Stage 2",20,IF(BB211="Stage 1",0,IF(BB211="Stage 3",5,IF(BB211="Stage 4",-5,0))))</f>
        <v/>
      </c>
      <c r="BD211" s="31" t="inlineStr">
        <is>
          <t>Negative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Negative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IF(B212=0,"",RANK(B212,$B$2:$B$366,0))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PAYTM</t>
        </is>
      </c>
      <c r="D212" s="31" t="inlineStr">
        <is>
          <t>One 97 Communications Ltd</t>
        </is>
      </c>
      <c r="E212" s="31" t="inlineStr">
        <is>
          <t>i.t</t>
        </is>
      </c>
      <c r="F212" s="31" t="inlineStr">
        <is>
          <t>miscellaneous</t>
        </is>
      </c>
      <c r="G212" s="31" t="inlineStr">
        <is>
          <t>largecap</t>
        </is>
      </c>
      <c r="H212" s="32" t="n">
        <v>85997.25999999999</v>
      </c>
      <c r="I212" s="32" t="n">
        <v>1410</v>
      </c>
      <c r="J212" s="32" t="n">
        <v>4.99</v>
      </c>
      <c r="K212" s="32" t="n">
        <v>23791354</v>
      </c>
      <c r="L212" s="31" t="n">
        <v>56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62.42</v>
      </c>
      <c r="P212" s="32" t="n">
        <v>15.32</v>
      </c>
      <c r="Q212" s="32" t="inlineStr"/>
      <c r="R212" s="31" t="inlineStr">
        <is>
          <t>Earnings / Momentum Support</t>
        </is>
      </c>
      <c r="S212" s="31" t="inlineStr">
        <is>
          <t>Nifty IT</t>
        </is>
      </c>
      <c r="T212" s="32" t="n">
        <v>-11.37</v>
      </c>
      <c r="U212" s="32" t="n">
        <v>24.77</v>
      </c>
      <c r="V212" s="32" t="n">
        <v>40.78</v>
      </c>
      <c r="W212" s="32" t="n">
        <v>9.93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Headwind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No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0 to 20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3</t>
        </is>
      </c>
      <c r="BC212" s="31">
        <f>IF(BB212="Stage 2",20,IF(BB212="Stage 1",0,IF(BB212="Stage 3",5,IF(BB212="Stage 4",-5,0))))</f>
        <v/>
      </c>
      <c r="BD212" s="31" t="inlineStr">
        <is>
          <t>Negative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Yes</t>
        </is>
      </c>
      <c r="BS212" s="31">
        <f>IF(BR212="NO",5,0)</f>
        <v/>
      </c>
      <c r="BT212" s="31" t="inlineStr">
        <is>
          <t>Between 1.5 to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IF(B213=0,"",RANK(B213,$B$2:$B$366,0))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3" t="inlineStr">
        <is>
          <t>AUTOAXLES</t>
        </is>
      </c>
      <c r="D213" s="33" t="inlineStr">
        <is>
          <t>Automotive Axles Limited</t>
        </is>
      </c>
      <c r="E213" s="31" t="inlineStr">
        <is>
          <t>auto</t>
        </is>
      </c>
      <c r="F213" s="31" t="inlineStr">
        <is>
          <t>auto ancillaries</t>
        </is>
      </c>
      <c r="G213" s="31" t="inlineStr">
        <is>
          <t>smallcap</t>
        </is>
      </c>
      <c r="H213" s="32" t="n">
        <v>2721.97</v>
      </c>
      <c r="I213" s="32" t="n">
        <v>1880.5</v>
      </c>
      <c r="J213" s="32" t="n">
        <v>4.4</v>
      </c>
      <c r="K213" s="32" t="n">
        <v>43693</v>
      </c>
      <c r="L213" s="31" t="n">
        <v>11</v>
      </c>
      <c r="M213" s="31" t="inlineStr">
        <is>
          <t>Underperforming</t>
        </is>
      </c>
      <c r="N213" s="32">
        <f>IF(M213="Underperforming",-5,IF(L213&gt;=95,15,IF(L213&gt;=90,10,IF(L213&gt;=80,5,0))))</f>
        <v/>
      </c>
      <c r="O213" s="32" t="n">
        <v>50.85</v>
      </c>
      <c r="P213" s="32" t="n">
        <v>6.69</v>
      </c>
      <c r="Q213" s="32" t="inlineStr"/>
      <c r="R213" s="31" t="inlineStr">
        <is>
          <t>Earnings / Momentum Support</t>
        </is>
      </c>
      <c r="S213" s="31" t="inlineStr">
        <is>
          <t>Nifty Auto</t>
        </is>
      </c>
      <c r="T213" s="32" t="n">
        <v>13.41</v>
      </c>
      <c r="U213" s="32" t="n">
        <v>2.95</v>
      </c>
      <c r="V213" s="32" t="n">
        <v>-9.23</v>
      </c>
      <c r="W213" s="32" t="n">
        <v>0.18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Headwind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No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0 to 20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3</t>
        </is>
      </c>
      <c r="BC213" s="31">
        <f>IF(BB213="Stage 2",20,IF(BB213="Stage 1",0,IF(BB213="Stage 3",5,IF(BB213="Stage 4",-5,0))))</f>
        <v/>
      </c>
      <c r="BD213" s="31" t="inlineStr">
        <is>
          <t>Negative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Between 12 to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No</t>
        </is>
      </c>
      <c r="BS213" s="31">
        <f>IF(BR213="NO",5,0)</f>
        <v/>
      </c>
      <c r="BT213" s="31" t="inlineStr">
        <is>
          <t>Less than 1.5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IF(B214=0,"",RANK(B214,$B$2:$B$366,0))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3" t="inlineStr">
        <is>
          <t>BEPL</t>
        </is>
      </c>
      <c r="D214" s="33" t="inlineStr">
        <is>
          <t>Bhansali Engineering Polymers Limited</t>
        </is>
      </c>
      <c r="E214" s="31" t="inlineStr">
        <is>
          <t>energy</t>
        </is>
      </c>
      <c r="F214" s="31" t="inlineStr">
        <is>
          <t>petrochemicals</t>
        </is>
      </c>
      <c r="G214" s="31" t="inlineStr">
        <is>
          <t>smallcap</t>
        </is>
      </c>
      <c r="H214" s="32" t="n">
        <v>2887.26</v>
      </c>
      <c r="I214" s="32" t="n">
        <v>120.72</v>
      </c>
      <c r="J214" s="32" t="n">
        <v>4.05</v>
      </c>
      <c r="K214" s="32" t="n">
        <v>2335789</v>
      </c>
      <c r="L214" s="31" t="n">
        <v>32</v>
      </c>
      <c r="M214" s="31" t="inlineStr">
        <is>
          <t>Underperforming</t>
        </is>
      </c>
      <c r="N214" s="32">
        <f>IF(M214="Underperforming",-5,IF(L214&gt;=95,15,IF(L214&gt;=90,10,IF(L214&gt;=80,5,0))))</f>
        <v/>
      </c>
      <c r="O214" s="32" t="n">
        <v>67.14</v>
      </c>
      <c r="P214" s="32" t="n">
        <v>44.55</v>
      </c>
      <c r="Q214" s="32" t="inlineStr"/>
      <c r="R214" s="31" t="inlineStr">
        <is>
          <t>Earnings / Momentum Support</t>
        </is>
      </c>
      <c r="S214" s="31" t="inlineStr">
        <is>
          <t>Nifty Energy</t>
        </is>
      </c>
      <c r="T214" s="32" t="n">
        <v>8.41</v>
      </c>
      <c r="U214" s="32" t="n">
        <v>2.5</v>
      </c>
      <c r="V214" s="32" t="n">
        <v>-5.44</v>
      </c>
      <c r="W214" s="32" t="n">
        <v>4.89</v>
      </c>
      <c r="X214" s="31" t="inlineStr">
        <is>
          <t>Cyclical in an Upturn</t>
        </is>
      </c>
      <c r="Y214" s="31">
        <f>IF(X214="Growing Industry",10,IF(X214="Cyclical in an Upturn",5,0))</f>
        <v/>
      </c>
      <c r="Z214" s="31" t="inlineStr">
        <is>
          <t>Oligopoly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Yes</t>
        </is>
      </c>
      <c r="AC214" s="31">
        <f>IF(AB214="No",5,0)</f>
        <v/>
      </c>
      <c r="AD214" s="31" t="inlineStr">
        <is>
          <t>Headwind</t>
        </is>
      </c>
      <c r="AE214" s="31">
        <f>IF(AD214="Tailwind",10,0)</f>
        <v/>
      </c>
      <c r="AF214" s="31" t="inlineStr">
        <is>
          <t>Cyclical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Volatile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No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Above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3</t>
        </is>
      </c>
      <c r="BC214" s="31">
        <f>IF(BB214="Stage 2",20,IF(BB214="Stage 1",0,IF(BB214="Stage 3",5,IF(BB214="Stage 4",-5,0))))</f>
        <v/>
      </c>
      <c r="BD214" s="31" t="inlineStr">
        <is>
          <t>Negative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Less than 1.5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IF(B215=0,"",RANK(B215,$B$2:$B$366,0))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AEGISVOPAK</t>
        </is>
      </c>
      <c r="D215" s="31" t="inlineStr">
        <is>
          <t>Aegis Vopak Terminals Ltd</t>
        </is>
      </c>
      <c r="E215" s="31" t="inlineStr">
        <is>
          <t>transportation</t>
        </is>
      </c>
      <c r="F215" s="31" t="inlineStr">
        <is>
          <t>miscellaneous</t>
        </is>
      </c>
      <c r="G215" s="31" t="inlineStr">
        <is>
          <t>largecap</t>
        </is>
      </c>
      <c r="H215" s="32" t="n">
        <v>32149.48</v>
      </c>
      <c r="I215" s="32" t="n">
        <v>301.8</v>
      </c>
      <c r="J215" s="32" t="n">
        <v>4.01</v>
      </c>
      <c r="K215" s="32" t="n">
        <v>2083398</v>
      </c>
      <c r="L215" s="31" t="n">
        <v>80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64.45999999999999</v>
      </c>
      <c r="P215" s="32" t="n">
        <v>33.02</v>
      </c>
      <c r="Q215" s="32" t="inlineStr"/>
      <c r="R215" s="31" t="inlineStr">
        <is>
          <t>Earnings / Momentum Support</t>
        </is>
      </c>
      <c r="S215" s="31" t="inlineStr">
        <is>
          <t>Nifty 50</t>
        </is>
      </c>
      <c r="T215" s="32" t="n">
        <v>-0.74</v>
      </c>
      <c r="U215" s="32" t="n">
        <v>26.84</v>
      </c>
      <c r="V215" s="32" t="n">
        <v>27.79</v>
      </c>
      <c r="W215" s="32" t="n">
        <v>18.61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Headwind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No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20 to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3</t>
        </is>
      </c>
      <c r="BC215" s="31">
        <f>IF(BB215="Stage 2",20,IF(BB215="Stage 1",0,IF(BB215="Stage 3",5,IF(BB215="Stage 4",-5,0))))</f>
        <v/>
      </c>
      <c r="BD215" s="31" t="inlineStr">
        <is>
          <t>Negative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Between 12 to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Between 0.7 to 1.2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IF(B216=0,"",RANK(B216,$B$2:$B$366,0))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CENTUM</t>
        </is>
      </c>
      <c r="D216" s="31" t="inlineStr">
        <is>
          <t>Centum Electronics Limited</t>
        </is>
      </c>
      <c r="E216" s="31" t="inlineStr">
        <is>
          <t>aerospace &amp; defence</t>
        </is>
      </c>
      <c r="F216" s="31" t="inlineStr">
        <is>
          <t>electronics - components</t>
        </is>
      </c>
      <c r="G216" s="31" t="inlineStr">
        <is>
          <t>midcap</t>
        </is>
      </c>
      <c r="H216" s="32" t="n">
        <v>5229.27</v>
      </c>
      <c r="I216" s="32" t="n">
        <v>3676.5</v>
      </c>
      <c r="J216" s="32" t="n">
        <v>3.77</v>
      </c>
      <c r="K216" s="32" t="n">
        <v>52835</v>
      </c>
      <c r="L216" s="31" t="n">
        <v>76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63.16</v>
      </c>
      <c r="P216" s="32" t="n">
        <v>59.75</v>
      </c>
      <c r="Q216" s="32" t="inlineStr"/>
      <c r="R216" s="31" t="inlineStr">
        <is>
          <t>Earnings / Momentum Support</t>
        </is>
      </c>
      <c r="S216" s="31" t="inlineStr">
        <is>
          <t>Nifty 50</t>
        </is>
      </c>
      <c r="T216" s="32" t="n">
        <v>-0.74</v>
      </c>
      <c r="U216" s="32" t="n">
        <v>68.72</v>
      </c>
      <c r="V216" s="32" t="n">
        <v>69.97</v>
      </c>
      <c r="W216" s="32" t="n">
        <v>16.82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Headwind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No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Above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3</t>
        </is>
      </c>
      <c r="BC216" s="31">
        <f>IF(BB216="Stage 2",20,IF(BB216="Stage 1",0,IF(BB216="Stage 3",5,IF(BB216="Stage 4",-5,0))))</f>
        <v/>
      </c>
      <c r="BD216" s="31" t="inlineStr">
        <is>
          <t>Negative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Less than 12%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Yes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Less than 50%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IF(B217=0,"",RANK(B217,$B$2:$B$366,0))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LLOYDSENGG</t>
        </is>
      </c>
      <c r="D217" s="31" t="inlineStr">
        <is>
          <t>Lloyds Engineering Works Ltd</t>
        </is>
      </c>
      <c r="E217" s="31" t="inlineStr">
        <is>
          <t>industrials</t>
        </is>
      </c>
      <c r="F217" s="31" t="inlineStr">
        <is>
          <t>engineering</t>
        </is>
      </c>
      <c r="G217" s="31" t="inlineStr">
        <is>
          <t>midcap</t>
        </is>
      </c>
      <c r="H217" s="32" t="n">
        <v>13124.31</v>
      </c>
      <c r="I217" s="32" t="n">
        <v>91.84</v>
      </c>
      <c r="J217" s="32" t="n">
        <v>3.59</v>
      </c>
      <c r="K217" s="32" t="n">
        <v>10908908</v>
      </c>
      <c r="L217" s="31" t="n">
        <v>82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72.04000000000001</v>
      </c>
      <c r="P217" s="32" t="n">
        <v>46.6</v>
      </c>
      <c r="Q217" s="32" t="inlineStr"/>
      <c r="R217" s="31" t="inlineStr">
        <is>
          <t>Earnings / Momentum Support</t>
        </is>
      </c>
      <c r="S217" s="31" t="inlineStr">
        <is>
          <t>Nifty 50</t>
        </is>
      </c>
      <c r="T217" s="32" t="n">
        <v>-0.74</v>
      </c>
      <c r="U217" s="32" t="n">
        <v>28.93</v>
      </c>
      <c r="V217" s="32" t="n">
        <v>29.89</v>
      </c>
      <c r="W217" s="32" t="n">
        <v>19.9</v>
      </c>
      <c r="X217" s="31" t="inlineStr">
        <is>
          <t>Cyclical in an Upturn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Headwind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No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Above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3</t>
        </is>
      </c>
      <c r="BC217" s="31">
        <f>IF(BB217="Stage 2",20,IF(BB217="Stage 1",0,IF(BB217="Stage 3",5,IF(BB217="Stage 4",-5,0))))</f>
        <v/>
      </c>
      <c r="BD217" s="31" t="inlineStr">
        <is>
          <t>Negative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Yes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Negative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IF(B218=0,"",RANK(B218,$B$2:$B$366,0))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3" t="inlineStr">
        <is>
          <t>ACE</t>
        </is>
      </c>
      <c r="D218" s="33" t="inlineStr">
        <is>
          <t>Action Construction Equipment Limited</t>
        </is>
      </c>
      <c r="E218" s="31" t="inlineStr">
        <is>
          <t>industrials</t>
        </is>
      </c>
      <c r="F218" s="31" t="inlineStr">
        <is>
          <t>engineering</t>
        </is>
      </c>
      <c r="G218" s="31" t="inlineStr">
        <is>
          <t>midcap</t>
        </is>
      </c>
      <c r="H218" s="32" t="n">
        <v>12745.47</v>
      </c>
      <c r="I218" s="32" t="n">
        <v>1105.4</v>
      </c>
      <c r="J218" s="32" t="n">
        <v>3.28</v>
      </c>
      <c r="K218" s="32" t="n">
        <v>853698</v>
      </c>
      <c r="L218" s="31" t="n">
        <v>28</v>
      </c>
      <c r="M218" s="31" t="inlineStr">
        <is>
          <t>Underperforming</t>
        </is>
      </c>
      <c r="N218" s="32">
        <f>IF(M218="Underperforming",-5,IF(L218&gt;=95,15,IF(L218&gt;=90,10,IF(L218&gt;=80,5,0))))</f>
        <v/>
      </c>
      <c r="O218" s="32" t="n">
        <v>66.28</v>
      </c>
      <c r="P218" s="32" t="n">
        <v>19.12</v>
      </c>
      <c r="Q218" s="32" t="inlineStr"/>
      <c r="R218" s="31" t="inlineStr">
        <is>
          <t>Earnings / Momentum Support</t>
        </is>
      </c>
      <c r="S218" s="31" t="inlineStr">
        <is>
          <t>Nifty 50</t>
        </is>
      </c>
      <c r="T218" s="32" t="n">
        <v>-0.74</v>
      </c>
      <c r="U218" s="32" t="n">
        <v>-3.8</v>
      </c>
      <c r="V218" s="32" t="n">
        <v>-3.09</v>
      </c>
      <c r="W218" s="32" t="n">
        <v>4.15</v>
      </c>
      <c r="X218" s="31" t="inlineStr">
        <is>
          <t>Cyclical in an Upturn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Headwind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No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0 to 20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3</t>
        </is>
      </c>
      <c r="BC218" s="31">
        <f>IF(BB218="Stage 2",20,IF(BB218="Stage 1",0,IF(BB218="Stage 3",5,IF(BB218="Stage 4",-5,0))))</f>
        <v/>
      </c>
      <c r="BD218" s="31" t="inlineStr">
        <is>
          <t>Negative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No</t>
        </is>
      </c>
      <c r="BS218" s="31">
        <f>IF(BR218="NO",5,0)</f>
        <v/>
      </c>
      <c r="BT218" s="31" t="inlineStr">
        <is>
          <t>Less than 1.5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IF(B219=0,"",RANK(B219,$B$2:$B$366,0))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3" t="inlineStr">
        <is>
          <t>NAHARPOLY</t>
        </is>
      </c>
      <c r="D219" s="33" t="inlineStr">
        <is>
          <t>Nahar Poly Films Limited</t>
        </is>
      </c>
      <c r="E219" s="31" t="inlineStr">
        <is>
          <t>industrials</t>
        </is>
      </c>
      <c r="F219" s="31" t="inlineStr">
        <is>
          <t>packaging</t>
        </is>
      </c>
      <c r="G219" s="31" t="inlineStr">
        <is>
          <t>smallcap</t>
        </is>
      </c>
      <c r="H219" s="32" t="n">
        <v>660.5599999999999</v>
      </c>
      <c r="I219" s="32" t="n">
        <v>275.05</v>
      </c>
      <c r="J219" s="32" t="n">
        <v>2.38</v>
      </c>
      <c r="K219" s="32" t="n">
        <v>28525</v>
      </c>
      <c r="L219" s="31" t="n">
        <v>5</v>
      </c>
      <c r="M219" s="31" t="inlineStr">
        <is>
          <t>Underperforming</t>
        </is>
      </c>
      <c r="N219" s="32">
        <f>IF(M219="Underperforming",-5,IF(L219&gt;=95,15,IF(L219&gt;=90,10,IF(L219&gt;=80,5,0))))</f>
        <v/>
      </c>
      <c r="O219" s="32" t="n">
        <v>55.62</v>
      </c>
      <c r="P219" s="32" t="n">
        <v>9.1</v>
      </c>
      <c r="Q219" s="32" t="inlineStr"/>
      <c r="R219" s="31" t="inlineStr">
        <is>
          <t>Earnings / Momentum Support</t>
        </is>
      </c>
      <c r="S219" s="31" t="inlineStr">
        <is>
          <t>Nifty 50</t>
        </is>
      </c>
      <c r="T219" s="32" t="n">
        <v>-0.74</v>
      </c>
      <c r="U219" s="32" t="n">
        <v>-16.83</v>
      </c>
      <c r="V219" s="32" t="n">
        <v>-16.21</v>
      </c>
      <c r="W219" s="32" t="n">
        <v>-1.73</v>
      </c>
      <c r="X219" s="31" t="inlineStr">
        <is>
          <t>Cyclical in an Upturn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Headwind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No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0 to 20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3</t>
        </is>
      </c>
      <c r="BC219" s="31">
        <f>IF(BB219="Stage 2",20,IF(BB219="Stage 1",0,IF(BB219="Stage 3",5,IF(BB219="Stage 4",-5,0))))</f>
        <v/>
      </c>
      <c r="BD219" s="31" t="inlineStr">
        <is>
          <t>Negative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Less than 1.5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IF(B220=0,"",RANK(B220,$B$2:$B$366,0))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LLOYDSENT</t>
        </is>
      </c>
      <c r="D220" s="31" t="inlineStr">
        <is>
          <t>Lloyds Enterprises Ltd</t>
        </is>
      </c>
      <c r="E220" s="31" t="inlineStr">
        <is>
          <t>services</t>
        </is>
      </c>
      <c r="F220" s="31" t="inlineStr">
        <is>
          <t>trading</t>
        </is>
      </c>
      <c r="G220" s="31" t="inlineStr">
        <is>
          <t>midcap</t>
        </is>
      </c>
      <c r="H220" s="32" t="n">
        <v>12206.31</v>
      </c>
      <c r="I220" s="32" t="n">
        <v>81.56999999999999</v>
      </c>
      <c r="J220" s="32" t="n">
        <v>2.01</v>
      </c>
      <c r="K220" s="32" t="n">
        <v>3960227</v>
      </c>
      <c r="L220" s="31" t="n">
        <v>30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64.13</v>
      </c>
      <c r="P220" s="32" t="n">
        <v>36.14</v>
      </c>
      <c r="Q220" s="32" t="inlineStr"/>
      <c r="R220" s="31" t="inlineStr">
        <is>
          <t>Earnings / Momentum Support</t>
        </is>
      </c>
      <c r="S220" s="31" t="inlineStr">
        <is>
          <t>Nifty 50</t>
        </is>
      </c>
      <c r="T220" s="32" t="n">
        <v>-0.74</v>
      </c>
      <c r="U220" s="32" t="n">
        <v>-0.67</v>
      </c>
      <c r="V220" s="32" t="n">
        <v>0.07000000000000001</v>
      </c>
      <c r="W220" s="32" t="n">
        <v>4.54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Headwind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No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20 to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3</t>
        </is>
      </c>
      <c r="BC220" s="31">
        <f>IF(BB220="Stage 2",20,IF(BB220="Stage 1",0,IF(BB220="Stage 3",5,IF(BB220="Stage 4",-5,0))))</f>
        <v/>
      </c>
      <c r="BD220" s="31" t="inlineStr">
        <is>
          <t>Negative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Yes</t>
        </is>
      </c>
      <c r="BS220" s="31">
        <f>IF(BR220="NO",5,0)</f>
        <v/>
      </c>
      <c r="BT220" s="31" t="inlineStr">
        <is>
          <t>Less than 1.5</t>
        </is>
      </c>
      <c r="BU220" s="31">
        <f>IF(BT220="Above 2",0,IF(BT220="Between 1.5 to 2",5,IF(BT220="Less than 1.5",10,0)))</f>
        <v/>
      </c>
      <c r="BV220" s="31" t="inlineStr">
        <is>
          <t>Negative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IF(B221=0,"",RANK(B221,$B$2:$B$366,0))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UNIMECH</t>
        </is>
      </c>
      <c r="D221" s="31" t="inlineStr">
        <is>
          <t>Unimech Aerospace and Manufacturing Ltd</t>
        </is>
      </c>
      <c r="E221" s="31" t="inlineStr">
        <is>
          <t>aerospace &amp; defence</t>
        </is>
      </c>
      <c r="F221" s="31" t="inlineStr">
        <is>
          <t>engineering</t>
        </is>
      </c>
      <c r="G221" s="31" t="inlineStr">
        <is>
          <t>midcap</t>
        </is>
      </c>
      <c r="H221" s="32" t="n">
        <v>6285.4</v>
      </c>
      <c r="I221" s="32" t="n">
        <v>1259.8</v>
      </c>
      <c r="J221" s="32" t="n">
        <v>1.93</v>
      </c>
      <c r="K221" s="32" t="n">
        <v>152774</v>
      </c>
      <c r="L221" s="31" t="n">
        <v>47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64.05</v>
      </c>
      <c r="P221" s="32" t="n">
        <v>29.76</v>
      </c>
      <c r="Q221" s="32" t="inlineStr"/>
      <c r="R221" s="31" t="inlineStr">
        <is>
          <t>Earnings / Momentum Support</t>
        </is>
      </c>
      <c r="S221" s="31" t="inlineStr">
        <is>
          <t>Nifty 50</t>
        </is>
      </c>
      <c r="T221" s="32" t="n">
        <v>-0.74</v>
      </c>
      <c r="U221" s="32" t="n">
        <v>9.75</v>
      </c>
      <c r="V221" s="32" t="n">
        <v>10.57</v>
      </c>
      <c r="W221" s="32" t="n">
        <v>7.57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Headwind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No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3</t>
        </is>
      </c>
      <c r="BC221" s="31">
        <f>IF(BB221="Stage 2",20,IF(BB221="Stage 1",0,IF(BB221="Stage 3",5,IF(BB221="Stage 4",-5,0))))</f>
        <v/>
      </c>
      <c r="BD221" s="31" t="inlineStr">
        <is>
          <t>Negative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Less than 12%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IF(B222=0,"",RANK(B222,$B$2:$B$366,0))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3" t="inlineStr">
        <is>
          <t>SUPRAJIT</t>
        </is>
      </c>
      <c r="D222" s="33" t="inlineStr">
        <is>
          <t>Suprajit Engineering Limited</t>
        </is>
      </c>
      <c r="E222" s="31" t="inlineStr">
        <is>
          <t>auto</t>
        </is>
      </c>
      <c r="F222" s="31" t="inlineStr">
        <is>
          <t>auto ancillaries</t>
        </is>
      </c>
      <c r="G222" s="31" t="inlineStr">
        <is>
          <t>midcap</t>
        </is>
      </c>
      <c r="H222" s="32" t="n">
        <v>6921.66</v>
      </c>
      <c r="I222" s="32" t="n">
        <v>512.7</v>
      </c>
      <c r="J222" s="32" t="n">
        <v>1.61</v>
      </c>
      <c r="K222" s="32" t="n">
        <v>341775</v>
      </c>
      <c r="L222" s="31" t="n">
        <v>30</v>
      </c>
      <c r="M222" s="31" t="inlineStr">
        <is>
          <t>Underperforming</t>
        </is>
      </c>
      <c r="N222" s="32">
        <f>IF(M222="Underperforming",-5,IF(L222&gt;=95,15,IF(L222&gt;=90,10,IF(L222&gt;=80,5,0))))</f>
        <v/>
      </c>
      <c r="O222" s="32" t="n">
        <v>61.38</v>
      </c>
      <c r="P222" s="32" t="n">
        <v>39.97</v>
      </c>
      <c r="Q222" s="32" t="inlineStr"/>
      <c r="R222" s="31" t="inlineStr">
        <is>
          <t>Earnings / Momentum Support</t>
        </is>
      </c>
      <c r="S222" s="31" t="inlineStr">
        <is>
          <t>Nifty Auto</t>
        </is>
      </c>
      <c r="T222" s="32" t="n">
        <v>13.41</v>
      </c>
      <c r="U222" s="32" t="n">
        <v>6.04</v>
      </c>
      <c r="V222" s="32" t="n">
        <v>-6.5</v>
      </c>
      <c r="W222" s="32" t="n">
        <v>4.55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Headwind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No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3</t>
        </is>
      </c>
      <c r="BC222" s="31">
        <f>IF(BB222="Stage 2",20,IF(BB222="Stage 1",0,IF(BB222="Stage 3",5,IF(BB222="Stage 4",-5,0))))</f>
        <v/>
      </c>
      <c r="BD222" s="31" t="inlineStr">
        <is>
          <t>Negative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Less than 50%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IF(B223=0,"",RANK(B223,$B$2:$B$366,0))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3" t="inlineStr">
        <is>
          <t>KRYSTAL</t>
        </is>
      </c>
      <c r="D223" s="33" t="inlineStr">
        <is>
          <t>Krystal Integrated Services Ltd</t>
        </is>
      </c>
      <c r="E223" s="31" t="inlineStr">
        <is>
          <t>miscellaneous</t>
        </is>
      </c>
      <c r="F223" s="31" t="inlineStr">
        <is>
          <t>miscellaneous</t>
        </is>
      </c>
      <c r="G223" s="31" t="inlineStr">
        <is>
          <t>smallcap</t>
        </is>
      </c>
      <c r="H223" s="32" t="n">
        <v>838.39</v>
      </c>
      <c r="I223" s="32" t="n">
        <v>602.2</v>
      </c>
      <c r="J223" s="32" t="n">
        <v>0.36</v>
      </c>
      <c r="K223" s="32" t="n">
        <v>12573</v>
      </c>
      <c r="L223" s="31" t="n">
        <v>6</v>
      </c>
      <c r="M223" s="31" t="inlineStr">
        <is>
          <t>Underperforming</t>
        </is>
      </c>
      <c r="N223" s="32">
        <f>IF(M223="Underperforming",-5,IF(L223&gt;=95,15,IF(L223&gt;=90,10,IF(L223&gt;=80,5,0))))</f>
        <v/>
      </c>
      <c r="O223" s="32" t="n">
        <v>53.14</v>
      </c>
      <c r="P223" s="32" t="n">
        <v>23.24</v>
      </c>
      <c r="Q223" s="32" t="inlineStr"/>
      <c r="R223" s="31" t="inlineStr">
        <is>
          <t>Earnings / Momentum Support</t>
        </is>
      </c>
      <c r="S223" s="31" t="inlineStr">
        <is>
          <t>Nifty 50</t>
        </is>
      </c>
      <c r="T223" s="32" t="n">
        <v>-0.74</v>
      </c>
      <c r="U223" s="32" t="n">
        <v>-6.25</v>
      </c>
      <c r="V223" s="32" t="n">
        <v>-5.55</v>
      </c>
      <c r="W223" s="32" t="n">
        <v>-1.46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Headwind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No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3</t>
        </is>
      </c>
      <c r="BC223" s="31">
        <f>IF(BB223="Stage 2",20,IF(BB223="Stage 1",0,IF(BB223="Stage 3",5,IF(BB223="Stage 4",-5,0))))</f>
        <v/>
      </c>
      <c r="BD223" s="31" t="inlineStr">
        <is>
          <t>Negative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Less than 12%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No</t>
        </is>
      </c>
      <c r="BS223" s="31">
        <f>IF(BR223="NO",5,0)</f>
        <v/>
      </c>
      <c r="BT223" s="31" t="inlineStr">
        <is>
          <t>Less than 1.5</t>
        </is>
      </c>
      <c r="BU223" s="31">
        <f>IF(BT223="Above 2",0,IF(BT223="Between 1.5 to 2",5,IF(BT223="Less than 1.5",10,0)))</f>
        <v/>
      </c>
      <c r="BV223" s="31" t="inlineStr">
        <is>
          <t>Less than 50%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IF(B224=0,"",RANK(B224,$B$2:$B$366,0))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NAZARA</t>
        </is>
      </c>
      <c r="D224" s="31" t="inlineStr">
        <is>
          <t>Nazara Technologies Ltd</t>
        </is>
      </c>
      <c r="E224" s="31" t="inlineStr">
        <is>
          <t>i.t</t>
        </is>
      </c>
      <c r="F224" s="31" t="inlineStr">
        <is>
          <t>telecommunications - service provider</t>
        </is>
      </c>
      <c r="G224" s="31" t="inlineStr">
        <is>
          <t>midcap</t>
        </is>
      </c>
      <c r="H224" s="32" t="n">
        <v>12558.76</v>
      </c>
      <c r="I224" s="32" t="n">
        <v>339</v>
      </c>
      <c r="J224" s="32" t="n">
        <v>0</v>
      </c>
      <c r="K224" s="32" t="n">
        <v>3028157</v>
      </c>
      <c r="L224" s="31" t="n">
        <v>44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69.39</v>
      </c>
      <c r="P224" s="32" t="n">
        <v>17.84</v>
      </c>
      <c r="Q224" s="32" t="inlineStr"/>
      <c r="R224" s="31" t="inlineStr">
        <is>
          <t>Earnings / Momentum Support</t>
        </is>
      </c>
      <c r="S224" s="31" t="inlineStr">
        <is>
          <t>Nifty IT</t>
        </is>
      </c>
      <c r="T224" s="32" t="n">
        <v>-11.37</v>
      </c>
      <c r="U224" s="32" t="n">
        <v>1.24</v>
      </c>
      <c r="V224" s="32" t="n">
        <v>14.23</v>
      </c>
      <c r="W224" s="32" t="n">
        <v>7.22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Oligopoly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Yes</t>
        </is>
      </c>
      <c r="AC224" s="31">
        <f>IF(AB224="No",5,0)</f>
        <v/>
      </c>
      <c r="AD224" s="31" t="inlineStr">
        <is>
          <t>Headwind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0 to 20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3</t>
        </is>
      </c>
      <c r="BC224" s="31">
        <f>IF(BB224="Stage 2",20,IF(BB224="Stage 1",0,IF(BB224="Stage 3",5,IF(BB224="Stage 4",-5,0))))</f>
        <v/>
      </c>
      <c r="BD224" s="31" t="inlineStr">
        <is>
          <t>Negative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No</t>
        </is>
      </c>
      <c r="BS224" s="31">
        <f>IF(BR224="NO",5,0)</f>
        <v/>
      </c>
      <c r="BT224" s="31" t="inlineStr">
        <is>
          <t>Less than 1.5</t>
        </is>
      </c>
      <c r="BU224" s="31">
        <f>IF(BT224="Above 2",0,IF(BT224="Between 1.5 to 2",5,IF(BT224="Less than 1.5",10,0)))</f>
        <v/>
      </c>
      <c r="BV224" s="31" t="inlineStr">
        <is>
          <t>Between 50% to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IF(B225=0,"",RANK(B225,$B$2:$B$366,0))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3" t="inlineStr">
        <is>
          <t>JUSTDIAL</t>
        </is>
      </c>
      <c r="D225" s="33" t="inlineStr">
        <is>
          <t>Just Dial Limited</t>
        </is>
      </c>
      <c r="E225" s="31" t="inlineStr">
        <is>
          <t>i.t</t>
        </is>
      </c>
      <c r="F225" s="31" t="inlineStr">
        <is>
          <t>miscellaneous</t>
        </is>
      </c>
      <c r="G225" s="31" t="inlineStr">
        <is>
          <t>midcap</t>
        </is>
      </c>
      <c r="H225" s="32" t="n">
        <v>6095.46</v>
      </c>
      <c r="I225" s="32" t="n">
        <v>710.65</v>
      </c>
      <c r="J225" s="32" t="n">
        <v>-0.84</v>
      </c>
      <c r="K225" s="32" t="n">
        <v>399720</v>
      </c>
      <c r="L225" s="31" t="n">
        <v>39</v>
      </c>
      <c r="M225" s="31" t="inlineStr">
        <is>
          <t>Underperforming</t>
        </is>
      </c>
      <c r="N225" s="32">
        <f>IF(M225="Underperforming",-5,IF(L225&gt;=95,15,IF(L225&gt;=90,10,IF(L225&gt;=80,5,0))))</f>
        <v/>
      </c>
      <c r="O225" s="32" t="n">
        <v>63.96</v>
      </c>
      <c r="P225" s="32" t="n">
        <v>23.5</v>
      </c>
      <c r="Q225" s="32" t="inlineStr"/>
      <c r="R225" s="31" t="inlineStr">
        <is>
          <t>Earnings / Momentum Support</t>
        </is>
      </c>
      <c r="S225" s="31" t="inlineStr">
        <is>
          <t>Nifty IT</t>
        </is>
      </c>
      <c r="T225" s="32" t="n">
        <v>-11.37</v>
      </c>
      <c r="U225" s="32" t="n">
        <v>-13.4</v>
      </c>
      <c r="V225" s="32" t="n">
        <v>-2.29</v>
      </c>
      <c r="W225" s="32" t="n">
        <v>6.2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Headwind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No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20 to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3</t>
        </is>
      </c>
      <c r="BC225" s="31">
        <f>IF(BB225="Stage 2",20,IF(BB225="Stage 1",0,IF(BB225="Stage 3",5,IF(BB225="Stage 4",-5,0))))</f>
        <v/>
      </c>
      <c r="BD225" s="31" t="inlineStr">
        <is>
          <t>Negative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Less than 12%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No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IF(B226=0,"",RANK(B226,$B$2:$B$366,0))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PNGJL</t>
        </is>
      </c>
      <c r="D226" s="31" t="inlineStr">
        <is>
          <t>P N Gadgil Jewellers Ltd</t>
        </is>
      </c>
      <c r="E226" s="31" t="inlineStr">
        <is>
          <t>consumer discretionary</t>
        </is>
      </c>
      <c r="F226" s="31" t="inlineStr">
        <is>
          <t>diamond cutting / jewellery</t>
        </is>
      </c>
      <c r="G226" s="31" t="inlineStr">
        <is>
          <t>midcap</t>
        </is>
      </c>
      <c r="H226" s="32" t="n">
        <v>9096.530000000001</v>
      </c>
      <c r="I226" s="32" t="n">
        <v>658.05</v>
      </c>
      <c r="J226" s="32" t="n">
        <v>-1.83</v>
      </c>
      <c r="K226" s="32" t="n">
        <v>356967</v>
      </c>
      <c r="L226" s="31" t="n">
        <v>28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60.42</v>
      </c>
      <c r="P226" s="32" t="n">
        <v>13.09</v>
      </c>
      <c r="Q226" s="32" t="inlineStr"/>
      <c r="R226" s="31" t="inlineStr">
        <is>
          <t>Earnings / Momentum Support</t>
        </is>
      </c>
      <c r="S226" s="31" t="inlineStr">
        <is>
          <t>Nifty 50</t>
        </is>
      </c>
      <c r="T226" s="32" t="n">
        <v>-0.74</v>
      </c>
      <c r="U226" s="32" t="n">
        <v>15.86</v>
      </c>
      <c r="V226" s="32" t="n">
        <v>16.72</v>
      </c>
      <c r="W226" s="32" t="n">
        <v>4.18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Headwind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0 to 20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3</t>
        </is>
      </c>
      <c r="BC226" s="31">
        <f>IF(BB226="Stage 2",20,IF(BB226="Stage 1",0,IF(BB226="Stage 3",5,IF(BB226="Stage 4",-5,0))))</f>
        <v/>
      </c>
      <c r="BD226" s="31" t="inlineStr">
        <is>
          <t>Negative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No</t>
        </is>
      </c>
      <c r="BS226" s="31">
        <f>IF(BR226="NO",5,0)</f>
        <v/>
      </c>
      <c r="BT226" s="31" t="inlineStr">
        <is>
          <t>Less than 1.5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Between 0.7 to 1.2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IF(B227=0,"",RANK(B227,$B$2:$B$366,0))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AVADHSUGAR</t>
        </is>
      </c>
      <c r="D227" s="31" t="inlineStr">
        <is>
          <t>Avadh Sugar &amp; Energy</t>
        </is>
      </c>
      <c r="E227" s="31" t="inlineStr">
        <is>
          <t>fmcg</t>
        </is>
      </c>
      <c r="F227" s="31" t="inlineStr">
        <is>
          <t>sugar</t>
        </is>
      </c>
      <c r="G227" s="31" t="inlineStr">
        <is>
          <t>smallcap</t>
        </is>
      </c>
      <c r="H227" s="32" t="n">
        <v>1008.93</v>
      </c>
      <c r="I227" s="32" t="n">
        <v>558.7</v>
      </c>
      <c r="J227" s="32" t="n">
        <v>10.85</v>
      </c>
      <c r="K227" s="32" t="n">
        <v>578282</v>
      </c>
      <c r="L227" s="31" t="n">
        <v>46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61.15</v>
      </c>
      <c r="P227" s="32" t="n">
        <v>35.31</v>
      </c>
      <c r="Q227" s="32" t="inlineStr"/>
      <c r="R227" s="31" t="inlineStr">
        <is>
          <t>Volume Spike / Accumulation</t>
        </is>
      </c>
      <c r="S227" s="31" t="inlineStr">
        <is>
          <t>Nifty FMCG</t>
        </is>
      </c>
      <c r="T227" s="32" t="n">
        <v>-13.73</v>
      </c>
      <c r="U227" s="32" t="n">
        <v>10.91</v>
      </c>
      <c r="V227" s="32" t="n">
        <v>28.56</v>
      </c>
      <c r="W227" s="32" t="n">
        <v>7.47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Headwind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B2C</t>
        </is>
      </c>
      <c r="AO227" s="31">
        <f>IF(AN227="B2C",10,IF(AN227="B2B",5,0))</f>
        <v/>
      </c>
      <c r="AP227" s="31" t="inlineStr">
        <is>
          <t>Yes</t>
        </is>
      </c>
      <c r="AQ227" s="31">
        <f>IF(AP227="Yes",10,0)</f>
        <v/>
      </c>
      <c r="AR227" s="31" t="inlineStr">
        <is>
          <t>Higher Annuity, Lower One Time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20 to 40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3</t>
        </is>
      </c>
      <c r="BC227" s="31">
        <f>IF(BB227="Stage 2",20,IF(BB227="Stage 1",0,IF(BB227="Stage 3",5,IF(BB227="Stage 4",-5,0))))</f>
        <v/>
      </c>
      <c r="BD227" s="31" t="inlineStr">
        <is>
          <t>Negative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Less than 12%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No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Between 50% to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More than 1.2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IF(B228=0,"",RANK(B228,$B$2:$B$366,0))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INDSWFTLAB</t>
        </is>
      </c>
      <c r="D228" s="31" t="inlineStr">
        <is>
          <t>Ind-swift Laboratories Limited</t>
        </is>
      </c>
      <c r="E228" s="31" t="inlineStr">
        <is>
          <t>healthcare</t>
        </is>
      </c>
      <c r="F228" s="31" t="inlineStr">
        <is>
          <t>pharmaceuticals - indian - bulk drugs &amp; formln</t>
        </is>
      </c>
      <c r="G228" s="31" t="inlineStr">
        <is>
          <t>smallcap</t>
        </is>
      </c>
      <c r="H228" s="32" t="n">
        <v>1950.29</v>
      </c>
      <c r="I228" s="32" t="n">
        <v>228.63</v>
      </c>
      <c r="J228" s="32" t="n">
        <v>1.94</v>
      </c>
      <c r="K228" s="32" t="n">
        <v>195407</v>
      </c>
      <c r="L228" s="31" t="n">
        <v>94</v>
      </c>
      <c r="M228" s="31" t="inlineStr">
        <is>
          <t>Outperforming</t>
        </is>
      </c>
      <c r="N228" s="32">
        <f>IF(M228="Underperforming",-5,IF(L228&gt;=95,15,IF(L228&gt;=90,10,IF(L228&gt;=80,5,0))))</f>
        <v/>
      </c>
      <c r="O228" s="32" t="n">
        <v>74.39</v>
      </c>
      <c r="P228" s="32" t="n">
        <v>56.1</v>
      </c>
      <c r="Q228" s="32" t="inlineStr"/>
      <c r="R228" s="31" t="inlineStr">
        <is>
          <t>Earnings / Momentum Support</t>
        </is>
      </c>
      <c r="S228" s="31" t="inlineStr">
        <is>
          <t>Nifty Pharma</t>
        </is>
      </c>
      <c r="T228" s="32" t="n">
        <v>20.55</v>
      </c>
      <c r="U228" s="32" t="n">
        <v>110.25</v>
      </c>
      <c r="V228" s="32" t="n">
        <v>74.41</v>
      </c>
      <c r="W228" s="32" t="n">
        <v>30.83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Yes</t>
        </is>
      </c>
      <c r="AC228" s="31">
        <f>IF(AB228="No",5,0)</f>
        <v/>
      </c>
      <c r="AD228" s="31" t="inlineStr">
        <is>
          <t>Headwind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Annuity, Lower One Time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Above 40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3</t>
        </is>
      </c>
      <c r="BC228" s="31">
        <f>IF(BB228="Stage 2",20,IF(BB228="Stage 1",0,IF(BB228="Stage 3",5,IF(BB228="Stage 4",-5,0))))</f>
        <v/>
      </c>
      <c r="BD228" s="31" t="inlineStr">
        <is>
          <t>Negative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Less than 12%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Yes</t>
        </is>
      </c>
      <c r="BS228" s="31">
        <f>IF(BR228="NO",5,0)</f>
        <v/>
      </c>
      <c r="BT228" s="31" t="inlineStr">
        <is>
          <t>Above 2</t>
        </is>
      </c>
      <c r="BU228" s="31">
        <f>IF(BT228="Above 2",0,IF(BT228="Between 1.5 to 2",5,IF(BT228="Less than 1.5",10,0)))</f>
        <v/>
      </c>
      <c r="BV228" s="31" t="inlineStr">
        <is>
          <t>Negative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IF(B229=0,"",RANK(B229,$B$2:$B$366,0))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3" t="inlineStr">
        <is>
          <t>RAINBOW</t>
        </is>
      </c>
      <c r="D229" s="33" t="inlineStr">
        <is>
          <t>Rainbow Childrens Medicare Ltd</t>
        </is>
      </c>
      <c r="E229" s="31" t="inlineStr">
        <is>
          <t>healthcare</t>
        </is>
      </c>
      <c r="F229" s="31" t="inlineStr">
        <is>
          <t>healthcare</t>
        </is>
      </c>
      <c r="G229" s="31" t="inlineStr">
        <is>
          <t>midcap</t>
        </is>
      </c>
      <c r="H229" s="32" t="n">
        <v>15491.83</v>
      </c>
      <c r="I229" s="32" t="n">
        <v>1545.6</v>
      </c>
      <c r="J229" s="32" t="n">
        <v>1.32</v>
      </c>
      <c r="K229" s="32" t="n">
        <v>161412</v>
      </c>
      <c r="L229" s="31" t="n">
        <v>36</v>
      </c>
      <c r="M229" s="31" t="inlineStr">
        <is>
          <t>Underperforming</t>
        </is>
      </c>
      <c r="N229" s="32">
        <f>IF(M229="Underperforming",-5,IF(L229&gt;=95,15,IF(L229&gt;=90,10,IF(L229&gt;=80,5,0))))</f>
        <v/>
      </c>
      <c r="O229" s="32" t="n">
        <v>68.2</v>
      </c>
      <c r="P229" s="32" t="n">
        <v>38.33</v>
      </c>
      <c r="Q229" s="32" t="inlineStr"/>
      <c r="R229" s="31" t="inlineStr">
        <is>
          <t>Earnings / Momentum Support</t>
        </is>
      </c>
      <c r="S229" s="31" t="inlineStr">
        <is>
          <t>Nifty Pharma</t>
        </is>
      </c>
      <c r="T229" s="32" t="n">
        <v>20.55</v>
      </c>
      <c r="U229" s="32" t="n">
        <v>0.16</v>
      </c>
      <c r="V229" s="32" t="n">
        <v>-16.92</v>
      </c>
      <c r="W229" s="32" t="n">
        <v>5.38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Yes</t>
        </is>
      </c>
      <c r="AC229" s="31">
        <f>IF(AB229="No",5,0)</f>
        <v/>
      </c>
      <c r="AD229" s="31" t="inlineStr">
        <is>
          <t>Headwind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No</t>
        </is>
      </c>
      <c r="AQ229" s="31">
        <f>IF(AP229="Yes",10,0)</f>
        <v/>
      </c>
      <c r="AR229" s="31" t="inlineStr">
        <is>
          <t>Higher Annuity, Lower One Time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3</t>
        </is>
      </c>
      <c r="BC229" s="31">
        <f>IF(BB229="Stage 2",20,IF(BB229="Stage 1",0,IF(BB229="Stage 3",5,IF(BB229="Stage 4",-5,0))))</f>
        <v/>
      </c>
      <c r="BD229" s="31" t="inlineStr">
        <is>
          <t>Negative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Between 12 to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IF(B230=0,"",RANK(B230,$B$2:$B$366,0))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TORNTPHARM</t>
        </is>
      </c>
      <c r="D230" s="31" t="inlineStr">
        <is>
          <t>Torrent Pharmaceuticals Limited</t>
        </is>
      </c>
      <c r="E230" s="31" t="inlineStr">
        <is>
          <t>healthcare</t>
        </is>
      </c>
      <c r="F230" s="31" t="inlineStr">
        <is>
          <t>pharmaceuticals - indian - formulations</t>
        </is>
      </c>
      <c r="G230" s="31" t="inlineStr">
        <is>
          <t>largecap</t>
        </is>
      </c>
      <c r="H230" s="32" t="n">
        <v>194854.85</v>
      </c>
      <c r="I230" s="32" t="n">
        <v>5050</v>
      </c>
      <c r="J230" s="32" t="n">
        <v>-1.42</v>
      </c>
      <c r="K230" s="32" t="n">
        <v>2499890</v>
      </c>
      <c r="L230" s="31" t="n">
        <v>62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73.45</v>
      </c>
      <c r="P230" s="32" t="n">
        <v>44.89</v>
      </c>
      <c r="Q230" s="32" t="inlineStr"/>
      <c r="R230" s="31" t="inlineStr">
        <is>
          <t>Earnings / Momentum Support</t>
        </is>
      </c>
      <c r="S230" s="31" t="inlineStr">
        <is>
          <t>Nifty Pharma</t>
        </is>
      </c>
      <c r="T230" s="32" t="n">
        <v>20.55</v>
      </c>
      <c r="U230" s="32" t="n">
        <v>40.51</v>
      </c>
      <c r="V230" s="32" t="n">
        <v>16.56</v>
      </c>
      <c r="W230" s="32" t="n">
        <v>11.96</v>
      </c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Yes</t>
        </is>
      </c>
      <c r="AC230" s="31">
        <f>IF(AB230="No",5,0)</f>
        <v/>
      </c>
      <c r="AD230" s="31" t="inlineStr">
        <is>
          <t>Headwind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Annuity, Lower One Time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Above 40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3</t>
        </is>
      </c>
      <c r="BC230" s="31">
        <f>IF(BB230="Stage 2",20,IF(BB230="Stage 1",0,IF(BB230="Stage 3",5,IF(BB230="Stage 4",-5,0))))</f>
        <v/>
      </c>
      <c r="BD230" s="31" t="inlineStr">
        <is>
          <t>Negative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Less than 12%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Between 0.7 to 1.2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IF(B231=0,"",RANK(B231,$B$2:$B$366,0))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UEL</t>
        </is>
      </c>
      <c r="D231" s="31" t="inlineStr">
        <is>
          <t>Ujaas Energy Ltd</t>
        </is>
      </c>
      <c r="E231" s="31" t="inlineStr">
        <is>
          <t>power &amp; utilities</t>
        </is>
      </c>
      <c r="F231" s="31" t="inlineStr">
        <is>
          <t>power generation and supply</t>
        </is>
      </c>
      <c r="G231" s="31" t="inlineStr">
        <is>
          <t>smallcap</t>
        </is>
      </c>
      <c r="H231" s="32" t="n">
        <v>2050.72</v>
      </c>
      <c r="I231" s="32" t="n">
        <v>184.47</v>
      </c>
      <c r="J231" s="32" t="n">
        <v>20</v>
      </c>
      <c r="K231" s="32" t="n">
        <v>211631</v>
      </c>
      <c r="L231" s="31" t="n">
        <v>54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56.07</v>
      </c>
      <c r="P231" s="32" t="n">
        <v>11.16</v>
      </c>
      <c r="Q231" s="32" t="inlineStr"/>
      <c r="R231" s="31" t="inlineStr">
        <is>
          <t>Volume Spike / Accumulation</t>
        </is>
      </c>
      <c r="S231" s="31" t="inlineStr">
        <is>
          <t>Nifty IT</t>
        </is>
      </c>
      <c r="T231" s="32" t="n">
        <v>-11.37</v>
      </c>
      <c r="U231" s="32" t="n">
        <v>57</v>
      </c>
      <c r="V231" s="32" t="n">
        <v>77.15000000000001</v>
      </c>
      <c r="W231" s="32" t="n">
        <v>9.539999999999999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Headwind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Yes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0 to 20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4</t>
        </is>
      </c>
      <c r="BC231" s="31">
        <f>IF(BB231="Stage 2",20,IF(BB231="Stage 1",0,IF(BB231="Stage 3",5,IF(BB231="Stage 4",-5,0))))</f>
        <v/>
      </c>
      <c r="BD231" s="31" t="inlineStr">
        <is>
          <t>Negative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More than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Yes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IF(B232=0,"",RANK(B232,$B$2:$B$366,0))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3" t="inlineStr">
        <is>
          <t>SHALPAINTS</t>
        </is>
      </c>
      <c r="D232" s="33" t="inlineStr">
        <is>
          <t>Shalimar Paints Limited</t>
        </is>
      </c>
      <c r="E232" s="31" t="inlineStr">
        <is>
          <t>building materials</t>
        </is>
      </c>
      <c r="F232" s="31" t="inlineStr">
        <is>
          <t>paints / varnishes</t>
        </is>
      </c>
      <c r="G232" s="31" t="inlineStr">
        <is>
          <t>smallcap</t>
        </is>
      </c>
      <c r="H232" s="32" t="n">
        <v>558.1900000000001</v>
      </c>
      <c r="I232" s="32" t="n">
        <v>80.01000000000001</v>
      </c>
      <c r="J232" s="32" t="n">
        <v>19.99</v>
      </c>
      <c r="K232" s="32" t="n">
        <v>4518150</v>
      </c>
      <c r="L232" s="31" t="n">
        <v>1</v>
      </c>
      <c r="M232" s="31" t="inlineStr">
        <is>
          <t>Underperforming</t>
        </is>
      </c>
      <c r="N232" s="32">
        <f>IF(M232="Underperforming",-5,IF(L232&gt;=95,15,IF(L232&gt;=90,10,IF(L232&gt;=80,5,0))))</f>
        <v/>
      </c>
      <c r="O232" s="32" t="n">
        <v>60.22</v>
      </c>
      <c r="P232" s="32" t="n">
        <v>13.97</v>
      </c>
      <c r="Q232" s="32" t="inlineStr"/>
      <c r="R232" s="31" t="inlineStr">
        <is>
          <t>Volume Spike / Accumulation</t>
        </is>
      </c>
      <c r="S232" s="31" t="inlineStr">
        <is>
          <t>Nifty Infra</t>
        </is>
      </c>
      <c r="T232" s="32" t="n">
        <v>1.74</v>
      </c>
      <c r="U232" s="32" t="n">
        <v>-49.3</v>
      </c>
      <c r="V232" s="32" t="n">
        <v>-50.16</v>
      </c>
      <c r="W232" s="32" t="n">
        <v>-14.15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Headwind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0 to 20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3</t>
        </is>
      </c>
      <c r="BC232" s="31">
        <f>IF(BB232="Stage 2",20,IF(BB232="Stage 1",0,IF(BB232="Stage 3",5,IF(BB232="Stage 4",-5,0))))</f>
        <v/>
      </c>
      <c r="BD232" s="31" t="inlineStr">
        <is>
          <t>Negative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No</t>
        </is>
      </c>
      <c r="BS232" s="31">
        <f>IF(BR232="NO",5,0)</f>
        <v/>
      </c>
      <c r="BT232" s="31" t="inlineStr">
        <is>
          <t>Less than 1.5</t>
        </is>
      </c>
      <c r="BU232" s="31">
        <f>IF(BT232="Above 2",0,IF(BT232="Between 1.5 to 2",5,IF(BT232="Less than 1.5",10,0)))</f>
        <v/>
      </c>
      <c r="BV232" s="31" t="inlineStr">
        <is>
          <t>Negative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IF(B233=0,"",RANK(B233,$B$2:$B$366,0))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3" t="inlineStr">
        <is>
          <t>RATNAVEER</t>
        </is>
      </c>
      <c r="D233" s="33" t="inlineStr">
        <is>
          <t>Ratnaveer Precision Engineering Ltd</t>
        </is>
      </c>
      <c r="E233" s="31" t="inlineStr">
        <is>
          <t>metals &amp; mining</t>
        </is>
      </c>
      <c r="F233" s="31" t="inlineStr">
        <is>
          <t>steel - medium / small</t>
        </is>
      </c>
      <c r="G233" s="31" t="inlineStr">
        <is>
          <t>smallcap</t>
        </is>
      </c>
      <c r="H233" s="32" t="n">
        <v>1295.54</v>
      </c>
      <c r="I233" s="32" t="n">
        <v>205.79</v>
      </c>
      <c r="J233" s="32" t="n">
        <v>13.46</v>
      </c>
      <c r="K233" s="32" t="n">
        <v>39358650</v>
      </c>
      <c r="L233" s="31" t="n">
        <v>44</v>
      </c>
      <c r="M233" s="31" t="inlineStr">
        <is>
          <t>Underperforming</t>
        </is>
      </c>
      <c r="N233" s="32">
        <f>IF(M233="Underperforming",-5,IF(L233&gt;=95,15,IF(L233&gt;=90,10,IF(L233&gt;=80,5,0))))</f>
        <v/>
      </c>
      <c r="O233" s="32" t="n">
        <v>57.81</v>
      </c>
      <c r="P233" s="32" t="n">
        <v>49.88</v>
      </c>
      <c r="Q233" s="32" t="inlineStr"/>
      <c r="R233" s="31" t="inlineStr">
        <is>
          <t>Volume Spike / Accumulation</t>
        </is>
      </c>
      <c r="S233" s="31" t="inlineStr">
        <is>
          <t>Nifty Metal</t>
        </is>
      </c>
      <c r="T233" s="32" t="n">
        <v>31.49</v>
      </c>
      <c r="U233" s="32" t="n">
        <v>20.72</v>
      </c>
      <c r="V233" s="32" t="n">
        <v>-8.19</v>
      </c>
      <c r="W233" s="32" t="n">
        <v>7.17</v>
      </c>
      <c r="X233" s="31" t="inlineStr">
        <is>
          <t>Cyclical in an Upturn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Headwind</t>
        </is>
      </c>
      <c r="AE233" s="31">
        <f>IF(AD233="Tailwind",10,0)</f>
        <v/>
      </c>
      <c r="AF233" s="31" t="inlineStr">
        <is>
          <t>Cyclical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Volatile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Above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3</t>
        </is>
      </c>
      <c r="BC233" s="31">
        <f>IF(BB233="Stage 2",20,IF(BB233="Stage 1",0,IF(BB233="Stage 3",5,IF(BB233="Stage 4",-5,0))))</f>
        <v/>
      </c>
      <c r="BD233" s="31" t="inlineStr">
        <is>
          <t>Negative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Less than 12%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IF(B234=0,"",RANK(B234,$B$2:$B$366,0))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ROSSTECH</t>
        </is>
      </c>
      <c r="D234" s="31" t="inlineStr">
        <is>
          <t>Rossell Techsys Ltd</t>
        </is>
      </c>
      <c r="E234" s="31" t="inlineStr">
        <is>
          <t>aerospace &amp; defence</t>
        </is>
      </c>
      <c r="F234" s="31" t="inlineStr">
        <is>
          <t>engineering</t>
        </is>
      </c>
      <c r="G234" s="31" t="inlineStr">
        <is>
          <t>smallcap</t>
        </is>
      </c>
      <c r="H234" s="32" t="n">
        <v>3596.62</v>
      </c>
      <c r="I234" s="32" t="n">
        <v>1067.1</v>
      </c>
      <c r="J234" s="32" t="n">
        <v>11.84</v>
      </c>
      <c r="K234" s="32" t="n">
        <v>1333256</v>
      </c>
      <c r="L234" s="31" t="n">
        <v>81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55.54</v>
      </c>
      <c r="P234" s="32" t="n">
        <v>29.49</v>
      </c>
      <c r="Q234" s="32" t="inlineStr"/>
      <c r="R234" s="31" t="inlineStr">
        <is>
          <t>Earnings / Momentum Support</t>
        </is>
      </c>
      <c r="S234" s="31" t="inlineStr">
        <is>
          <t>Nifty Infra</t>
        </is>
      </c>
      <c r="T234" s="32" t="n">
        <v>1.74</v>
      </c>
      <c r="U234" s="32" t="n">
        <v>113.5</v>
      </c>
      <c r="V234" s="32" t="n">
        <v>109.85</v>
      </c>
      <c r="W234" s="32" t="n">
        <v>19.32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Headwind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No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20 to 40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3</t>
        </is>
      </c>
      <c r="BC234" s="31">
        <f>IF(BB234="Stage 2",20,IF(BB234="Stage 1",0,IF(BB234="Stage 3",5,IF(BB234="Stage 4",-5,0))))</f>
        <v/>
      </c>
      <c r="BD234" s="31" t="inlineStr">
        <is>
          <t>Negative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Yes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More than 1.2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IF(B235=0,"",RANK(B235,$B$2:$B$366,0))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3" t="inlineStr">
        <is>
          <t>ASKAUTOLTD</t>
        </is>
      </c>
      <c r="D235" s="33" t="inlineStr">
        <is>
          <t>ASK Automotive Ltd</t>
        </is>
      </c>
      <c r="E235" s="31" t="inlineStr">
        <is>
          <t>auto</t>
        </is>
      </c>
      <c r="F235" s="31" t="inlineStr">
        <is>
          <t>auto ancillaries</t>
        </is>
      </c>
      <c r="G235" s="31" t="inlineStr">
        <is>
          <t>midcap</t>
        </is>
      </c>
      <c r="H235" s="32" t="n">
        <v>10410.12</v>
      </c>
      <c r="I235" s="32" t="n">
        <v>569.65</v>
      </c>
      <c r="J235" s="32" t="n">
        <v>7.88</v>
      </c>
      <c r="K235" s="32" t="n">
        <v>1082733</v>
      </c>
      <c r="L235" s="31" t="n">
        <v>12</v>
      </c>
      <c r="M235" s="31" t="inlineStr">
        <is>
          <t>Underperforming</t>
        </is>
      </c>
      <c r="N235" s="32">
        <f>IF(M235="Underperforming",-5,IF(L235&gt;=95,15,IF(L235&gt;=90,10,IF(L235&gt;=80,5,0))))</f>
        <v/>
      </c>
      <c r="O235" s="32" t="n">
        <v>67.83</v>
      </c>
      <c r="P235" s="32" t="n">
        <v>13.27</v>
      </c>
      <c r="Q235" s="32" t="inlineStr"/>
      <c r="R235" s="31" t="inlineStr">
        <is>
          <t>Earnings / Momentum Support</t>
        </is>
      </c>
      <c r="S235" s="31" t="inlineStr">
        <is>
          <t>Nifty Auto</t>
        </is>
      </c>
      <c r="T235" s="32" t="n">
        <v>13.41</v>
      </c>
      <c r="U235" s="32" t="n">
        <v>-8.220000000000001</v>
      </c>
      <c r="V235" s="32" t="n">
        <v>-19.08</v>
      </c>
      <c r="W235" s="32" t="n">
        <v>0.58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Headwind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No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0 to 20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3</t>
        </is>
      </c>
      <c r="BC235" s="31">
        <f>IF(BB235="Stage 2",20,IF(BB235="Stage 1",0,IF(BB235="Stage 3",5,IF(BB235="Stage 4",-5,0))))</f>
        <v/>
      </c>
      <c r="BD235" s="31" t="inlineStr">
        <is>
          <t>Negative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No</t>
        </is>
      </c>
      <c r="BS235" s="31">
        <f>IF(BR235="NO",5,0)</f>
        <v/>
      </c>
      <c r="BT235" s="31" t="inlineStr">
        <is>
          <t>Between 1.5 to 2</t>
        </is>
      </c>
      <c r="BU235" s="31">
        <f>IF(BT235="Above 2",0,IF(BT235="Between 1.5 to 2",5,IF(BT235="Less than 1.5",10,0)))</f>
        <v/>
      </c>
      <c r="BV235" s="31" t="inlineStr">
        <is>
          <t>Between 50% to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IF(B236=0,"",RANK(B236,$B$2:$B$366,0))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TBOTEK</t>
        </is>
      </c>
      <c r="D236" s="31" t="inlineStr">
        <is>
          <t>TBO Tek Ltd</t>
        </is>
      </c>
      <c r="E236" s="31" t="inlineStr">
        <is>
          <t>i.t</t>
        </is>
      </c>
      <c r="F236" s="31" t="inlineStr">
        <is>
          <t>travel agencies</t>
        </is>
      </c>
      <c r="G236" s="31" t="inlineStr">
        <is>
          <t>midcap</t>
        </is>
      </c>
      <c r="H236" s="32" t="n">
        <v>16626.96</v>
      </c>
      <c r="I236" s="32" t="n">
        <v>1615.9</v>
      </c>
      <c r="J236" s="32" t="n">
        <v>5.53</v>
      </c>
      <c r="K236" s="32" t="n">
        <v>1205579</v>
      </c>
      <c r="L236" s="31" t="n">
        <v>41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59.95</v>
      </c>
      <c r="P236" s="32" t="n">
        <v>17.42</v>
      </c>
      <c r="Q236" s="32" t="inlineStr"/>
      <c r="R236" s="31" t="inlineStr">
        <is>
          <t>Earnings / Momentum Support</t>
        </is>
      </c>
      <c r="S236" s="31" t="inlineStr">
        <is>
          <t>Nifty IT</t>
        </is>
      </c>
      <c r="T236" s="32" t="n">
        <v>-11.37</v>
      </c>
      <c r="U236" s="32" t="n">
        <v>8.18</v>
      </c>
      <c r="V236" s="32" t="n">
        <v>22.06</v>
      </c>
      <c r="W236" s="32" t="n">
        <v>6.55</v>
      </c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Headwind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No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0 to 20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3</t>
        </is>
      </c>
      <c r="BC236" s="31">
        <f>IF(BB236="Stage 2",20,IF(BB236="Stage 1",0,IF(BB236="Stage 3",5,IF(BB236="Stage 4",-5,0))))</f>
        <v/>
      </c>
      <c r="BD236" s="31" t="inlineStr">
        <is>
          <t>Negative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Yes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IF(B237=0,"",RANK(B237,$B$2:$B$366,0))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ABB</t>
        </is>
      </c>
      <c r="D237" s="31" t="inlineStr">
        <is>
          <t>Abb India Limited</t>
        </is>
      </c>
      <c r="E237" s="31" t="inlineStr">
        <is>
          <t>industrials</t>
        </is>
      </c>
      <c r="F237" s="31" t="inlineStr">
        <is>
          <t>electric equipment</t>
        </is>
      </c>
      <c r="G237" s="31" t="inlineStr">
        <is>
          <t>largecap</t>
        </is>
      </c>
      <c r="H237" s="32" t="n">
        <v>154364.66</v>
      </c>
      <c r="I237" s="32" t="n">
        <v>7601</v>
      </c>
      <c r="J237" s="32" t="n">
        <v>4.34</v>
      </c>
      <c r="K237" s="32" t="n">
        <v>3596191</v>
      </c>
      <c r="L237" s="31" t="n">
        <v>45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59.44</v>
      </c>
      <c r="P237" s="32" t="n">
        <v>30.05</v>
      </c>
      <c r="Q237" s="32" t="inlineStr"/>
      <c r="R237" s="31" t="inlineStr">
        <is>
          <t>Earnings / Momentum Support</t>
        </is>
      </c>
      <c r="S237" s="31" t="inlineStr">
        <is>
          <t>Nifty 50</t>
        </is>
      </c>
      <c r="T237" s="32" t="n">
        <v>-0.74</v>
      </c>
      <c r="U237" s="32" t="n">
        <v>36.02</v>
      </c>
      <c r="V237" s="32" t="n">
        <v>37.04</v>
      </c>
      <c r="W237" s="32" t="n">
        <v>7.25</v>
      </c>
      <c r="X237" s="31" t="inlineStr">
        <is>
          <t>Cyclical in an Upturn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Headwind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No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3</t>
        </is>
      </c>
      <c r="BC237" s="31">
        <f>IF(BB237="Stage 2",20,IF(BB237="Stage 1",0,IF(BB237="Stage 3",5,IF(BB237="Stage 4",-5,0))))</f>
        <v/>
      </c>
      <c r="BD237" s="31" t="inlineStr">
        <is>
          <t>Negative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Less than 12%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Yes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IF(B238=0,"",RANK(B238,$B$2:$B$366,0))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TBZ</t>
        </is>
      </c>
      <c r="D238" s="31" t="inlineStr">
        <is>
          <t>Tribhovandas Bhimji Zaveri Limited</t>
        </is>
      </c>
      <c r="E238" s="31" t="inlineStr">
        <is>
          <t>consumer discretionary</t>
        </is>
      </c>
      <c r="F238" s="31" t="inlineStr">
        <is>
          <t>diamond cutting / jewellery</t>
        </is>
      </c>
      <c r="G238" s="31" t="inlineStr">
        <is>
          <t>smallcap</t>
        </is>
      </c>
      <c r="H238" s="32" t="n">
        <v>1844.03</v>
      </c>
      <c r="I238" s="32" t="n">
        <v>287.7</v>
      </c>
      <c r="J238" s="32" t="n">
        <v>4.11</v>
      </c>
      <c r="K238" s="32" t="n">
        <v>1976514</v>
      </c>
      <c r="L238" s="31" t="n">
        <v>93</v>
      </c>
      <c r="M238" s="31" t="inlineStr">
        <is>
          <t>Outperforming</t>
        </is>
      </c>
      <c r="N238" s="32">
        <f>IF(M238="Underperforming",-5,IF(L238&gt;=95,15,IF(L238&gt;=90,10,IF(L238&gt;=80,5,0))))</f>
        <v/>
      </c>
      <c r="O238" s="32" t="n">
        <v>80.65000000000001</v>
      </c>
      <c r="P238" s="32" t="n">
        <v>38.29</v>
      </c>
      <c r="Q238" s="32" t="inlineStr"/>
      <c r="R238" s="31" t="inlineStr">
        <is>
          <t>Earnings / Momentum Support</t>
        </is>
      </c>
      <c r="S238" s="31" t="inlineStr">
        <is>
          <t>Nifty 50</t>
        </is>
      </c>
      <c r="T238" s="32" t="n">
        <v>-0.74</v>
      </c>
      <c r="U238" s="32" t="n">
        <v>46.03</v>
      </c>
      <c r="V238" s="32" t="n">
        <v>47.12</v>
      </c>
      <c r="W238" s="32" t="n">
        <v>30.64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Headwind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No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20 to 40</t>
        </is>
      </c>
      <c r="AY238" s="31">
        <f>IF(AX238="Above 40",20,IF(AX238="20 to 40",10,IF(AX238="0 to 20",-5,0)))</f>
        <v/>
      </c>
      <c r="AZ238" s="31" t="inlineStr">
        <is>
          <t>Above 75</t>
        </is>
      </c>
      <c r="BA238" s="31">
        <f>IF(AZ238="Between 50 to 75",10,IF(AZ238="Above 75",0,0))</f>
        <v/>
      </c>
      <c r="BB238" s="31" t="inlineStr">
        <is>
          <t>Stage 3</t>
        </is>
      </c>
      <c r="BC238" s="31">
        <f>IF(BB238="Stage 2",20,IF(BB238="Stage 1",0,IF(BB238="Stage 3",5,IF(BB238="Stage 4",-5,0))))</f>
        <v/>
      </c>
      <c r="BD238" s="31" t="inlineStr">
        <is>
          <t>Negative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Between 1.5 to 2</t>
        </is>
      </c>
      <c r="BU238" s="31">
        <f>IF(BT238="Above 2",0,IF(BT238="Between 1.5 to 2",5,IF(BT238="Less than 1.5",10,0)))</f>
        <v/>
      </c>
      <c r="BV238" s="31" t="inlineStr">
        <is>
          <t>Less than 50% and Borrowings are increasing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Between 0.7 to 1.2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IF(B239=0,"",RANK(B239,$B$2:$B$366,0))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3" t="inlineStr">
        <is>
          <t>GARFIBRES</t>
        </is>
      </c>
      <c r="D239" s="33" t="inlineStr">
        <is>
          <t>Garware Technical Fibres Ltd</t>
        </is>
      </c>
      <c r="E239" s="31" t="inlineStr">
        <is>
          <t>textiles</t>
        </is>
      </c>
      <c r="F239" s="31" t="inlineStr">
        <is>
          <t>textiles - products</t>
        </is>
      </c>
      <c r="G239" s="31" t="inlineStr">
        <is>
          <t>midcap</t>
        </is>
      </c>
      <c r="H239" s="32" t="n">
        <v>7156.65</v>
      </c>
      <c r="I239" s="32" t="n">
        <v>761.6</v>
      </c>
      <c r="J239" s="32" t="n">
        <v>3.92</v>
      </c>
      <c r="K239" s="32" t="n">
        <v>53208</v>
      </c>
      <c r="L239" s="31" t="n">
        <v>13</v>
      </c>
      <c r="M239" s="31" t="inlineStr">
        <is>
          <t>Underperforming</t>
        </is>
      </c>
      <c r="N239" s="32">
        <f>IF(M239="Underperforming",-5,IF(L239&gt;=95,15,IF(L239&gt;=90,10,IF(L239&gt;=80,5,0))))</f>
        <v/>
      </c>
      <c r="O239" s="32" t="n">
        <v>55.77</v>
      </c>
      <c r="P239" s="32" t="n">
        <v>33.78</v>
      </c>
      <c r="Q239" s="32" t="inlineStr"/>
      <c r="R239" s="31" t="inlineStr">
        <is>
          <t>Earnings / Momentum Support</t>
        </is>
      </c>
      <c r="S239" s="31" t="inlineStr">
        <is>
          <t>Nifty 50</t>
        </is>
      </c>
      <c r="T239" s="32" t="n">
        <v>-0.74</v>
      </c>
      <c r="U239" s="32" t="n">
        <v>-17.08</v>
      </c>
      <c r="V239" s="32" t="n">
        <v>-16.47</v>
      </c>
      <c r="W239" s="32" t="n">
        <v>0.95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Headwind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No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20 to 40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3</t>
        </is>
      </c>
      <c r="BC239" s="31">
        <f>IF(BB239="Stage 2",20,IF(BB239="Stage 1",0,IF(BB239="Stage 3",5,IF(BB239="Stage 4",-5,0))))</f>
        <v/>
      </c>
      <c r="BD239" s="31" t="inlineStr">
        <is>
          <t>Negative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Less than 12%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Between 50% to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IF(B240=0,"",RANK(B240,$B$2:$B$366,0))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ETERNAL</t>
        </is>
      </c>
      <c r="D240" s="31" t="inlineStr">
        <is>
          <t>Eternal Ltd</t>
        </is>
      </c>
      <c r="E240" s="31" t="inlineStr">
        <is>
          <t>i.t</t>
        </is>
      </c>
      <c r="F240" s="31" t="inlineStr">
        <is>
          <t>miscellaneous</t>
        </is>
      </c>
      <c r="G240" s="31" t="inlineStr">
        <is>
          <t>largecap</t>
        </is>
      </c>
      <c r="H240" s="32" t="n">
        <v>291874.86</v>
      </c>
      <c r="I240" s="32" t="n">
        <v>310.5</v>
      </c>
      <c r="J240" s="32" t="n">
        <v>2.66</v>
      </c>
      <c r="K240" s="32" t="n">
        <v>77946526</v>
      </c>
      <c r="L240" s="31" t="n">
        <v>34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62.12</v>
      </c>
      <c r="P240" s="32" t="n">
        <v>15.95</v>
      </c>
      <c r="Q240" s="32" t="inlineStr"/>
      <c r="R240" s="31" t="inlineStr">
        <is>
          <t>Earnings / Momentum Support</t>
        </is>
      </c>
      <c r="S240" s="31" t="inlineStr">
        <is>
          <t>Nifty IT</t>
        </is>
      </c>
      <c r="T240" s="32" t="n">
        <v>-11.37</v>
      </c>
      <c r="U240" s="32" t="n">
        <v>-0.75</v>
      </c>
      <c r="V240" s="32" t="n">
        <v>11.98</v>
      </c>
      <c r="W240" s="32" t="n">
        <v>5.12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Headwind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No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0 to 20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3</t>
        </is>
      </c>
      <c r="BC240" s="31">
        <f>IF(BB240="Stage 2",20,IF(BB240="Stage 1",0,IF(BB240="Stage 3",5,IF(BB240="Stage 4",-5,0))))</f>
        <v/>
      </c>
      <c r="BD240" s="31" t="inlineStr">
        <is>
          <t>Negative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More than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Yes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IF(B241=0,"",RANK(B241,$B$2:$B$366,0))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3" t="inlineStr">
        <is>
          <t>BHAGCHEM</t>
        </is>
      </c>
      <c r="D241" s="33" t="inlineStr">
        <is>
          <t>Bhagiradha Chemicals &amp; Industries Ltd</t>
        </is>
      </c>
      <c r="E241" s="31" t="inlineStr">
        <is>
          <t>chemicals</t>
        </is>
      </c>
      <c r="F241" s="31" t="inlineStr">
        <is>
          <t>pesticides / agrochemicals - indian</t>
        </is>
      </c>
      <c r="G241" s="31" t="inlineStr">
        <is>
          <t>smallcap</t>
        </is>
      </c>
      <c r="H241" s="32" t="n">
        <v>3770.13</v>
      </c>
      <c r="I241" s="32" t="n">
        <v>298.35</v>
      </c>
      <c r="J241" s="32" t="n">
        <v>2.61</v>
      </c>
      <c r="K241" s="32" t="n">
        <v>1299990</v>
      </c>
      <c r="L241" s="31" t="n">
        <v>18</v>
      </c>
      <c r="M241" s="31" t="inlineStr">
        <is>
          <t>Underperforming</t>
        </is>
      </c>
      <c r="N241" s="32">
        <f>IF(M241="Underperforming",-5,IF(L241&gt;=95,15,IF(L241&gt;=90,10,IF(L241&gt;=80,5,0))))</f>
        <v/>
      </c>
      <c r="O241" s="32" t="n">
        <v>62.27</v>
      </c>
      <c r="P241" s="32" t="n">
        <v>24.89</v>
      </c>
      <c r="Q241" s="32" t="inlineStr"/>
      <c r="R241" s="31" t="inlineStr">
        <is>
          <t>Earnings / Momentum Support</t>
        </is>
      </c>
      <c r="S241" s="31" t="inlineStr">
        <is>
          <t>Nifty 50</t>
        </is>
      </c>
      <c r="T241" s="32" t="n">
        <v>-0.74</v>
      </c>
      <c r="U241" s="32" t="n">
        <v>-4</v>
      </c>
      <c r="V241" s="32" t="n">
        <v>-3.29</v>
      </c>
      <c r="W241" s="32" t="n">
        <v>2.22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Headwind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No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20 to 40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3</t>
        </is>
      </c>
      <c r="BC241" s="31">
        <f>IF(BB241="Stage 2",20,IF(BB241="Stage 1",0,IF(BB241="Stage 3",5,IF(BB241="Stage 4",-5,0))))</f>
        <v/>
      </c>
      <c r="BD241" s="31" t="inlineStr">
        <is>
          <t>Negative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Yes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Less than 50%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IF(B242=0,"",RANK(B242,$B$2:$B$366,0))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UNIVPHOTO</t>
        </is>
      </c>
      <c r="D242" s="31" t="inlineStr">
        <is>
          <t>Universus Photo Imagings Ltd</t>
        </is>
      </c>
      <c r="E242" s="31" t="inlineStr">
        <is>
          <t>consumer discretionary</t>
        </is>
      </c>
      <c r="F242" s="31" t="inlineStr">
        <is>
          <t>photographic and allied products</t>
        </is>
      </c>
      <c r="G242" s="31" t="inlineStr">
        <is>
          <t>smallcap</t>
        </is>
      </c>
      <c r="H242" s="32" t="n">
        <v>519.96</v>
      </c>
      <c r="I242" s="32" t="n">
        <v>484</v>
      </c>
      <c r="J242" s="32" t="n">
        <v>1.89</v>
      </c>
      <c r="K242" s="32" t="n">
        <v>1308</v>
      </c>
      <c r="L242" s="31" t="n">
        <v>89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63.1</v>
      </c>
      <c r="P242" s="32" t="n">
        <v>15.5</v>
      </c>
      <c r="Q242" s="32" t="inlineStr"/>
      <c r="R242" s="31" t="inlineStr">
        <is>
          <t>Earnings / Momentum Support</t>
        </is>
      </c>
      <c r="S242" s="31" t="inlineStr">
        <is>
          <t>Nifty 50</t>
        </is>
      </c>
      <c r="T242" s="32" t="n">
        <v>-0.74</v>
      </c>
      <c r="U242" s="32" t="n">
        <v>81.68000000000001</v>
      </c>
      <c r="V242" s="32" t="n">
        <v>83.03</v>
      </c>
      <c r="W242" s="32" t="n">
        <v>24.51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Headwind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No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0 to 20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3</t>
        </is>
      </c>
      <c r="BC242" s="31">
        <f>IF(BB242="Stage 2",20,IF(BB242="Stage 1",0,IF(BB242="Stage 3",5,IF(BB242="Stage 4",-5,0))))</f>
        <v/>
      </c>
      <c r="BD242" s="31" t="inlineStr">
        <is>
          <t>Negative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No</t>
        </is>
      </c>
      <c r="BS242" s="31">
        <f>IF(BR242="NO",5,0)</f>
        <v/>
      </c>
      <c r="BT242" s="31" t="inlineStr">
        <is>
          <t>Less than 1.5</t>
        </is>
      </c>
      <c r="BU242" s="31">
        <f>IF(BT242="Above 2",0,IF(BT242="Between 1.5 to 2",5,IF(BT242="Less than 1.5",10,0)))</f>
        <v/>
      </c>
      <c r="BV242" s="31" t="inlineStr">
        <is>
          <t>Negative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IF(B243=0,"",RANK(B243,$B$2:$B$366,0))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INDHOTEL</t>
        </is>
      </c>
      <c r="D243" s="31" t="inlineStr">
        <is>
          <t>The Indian Hotels Company Limited</t>
        </is>
      </c>
      <c r="E243" s="31" t="inlineStr">
        <is>
          <t>services</t>
        </is>
      </c>
      <c r="F243" s="31" t="inlineStr">
        <is>
          <t>hotels</t>
        </is>
      </c>
      <c r="G243" s="31" t="inlineStr">
        <is>
          <t>largecap</t>
        </is>
      </c>
      <c r="H243" s="32" t="n">
        <v>105127.59</v>
      </c>
      <c r="I243" s="32" t="n">
        <v>752</v>
      </c>
      <c r="J243" s="32" t="n">
        <v>1.82</v>
      </c>
      <c r="K243" s="32" t="n">
        <v>5822772</v>
      </c>
      <c r="L243" s="31" t="n">
        <v>26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60.79</v>
      </c>
      <c r="P243" s="32" t="n">
        <v>12.6</v>
      </c>
      <c r="Q243" s="32" t="inlineStr"/>
      <c r="R243" s="31" t="inlineStr">
        <is>
          <t>Earnings / Momentum Support</t>
        </is>
      </c>
      <c r="S243" s="31" t="inlineStr">
        <is>
          <t>Nifty 50</t>
        </is>
      </c>
      <c r="T243" s="32" t="n">
        <v>-0.74</v>
      </c>
      <c r="U243" s="32" t="n">
        <v>0.09</v>
      </c>
      <c r="V243" s="32" t="n">
        <v>0.84</v>
      </c>
      <c r="W243" s="32" t="n">
        <v>3.74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Headwind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No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0 to 20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3</t>
        </is>
      </c>
      <c r="BC243" s="31">
        <f>IF(BB243="Stage 2",20,IF(BB243="Stage 1",0,IF(BB243="Stage 3",5,IF(BB243="Stage 4",-5,0))))</f>
        <v/>
      </c>
      <c r="BD243" s="31" t="inlineStr">
        <is>
          <t>Negative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Yes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IF(B244=0,"",RANK(B244,$B$2:$B$366,0))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PANACHE</t>
        </is>
      </c>
      <c r="D244" s="31" t="inlineStr">
        <is>
          <t>Panache Digilife Ltd</t>
        </is>
      </c>
      <c r="E244" s="31" t="inlineStr">
        <is>
          <t>i.t</t>
        </is>
      </c>
      <c r="F244" s="31" t="inlineStr">
        <is>
          <t>computers - hardware</t>
        </is>
      </c>
      <c r="G244" s="31" t="inlineStr">
        <is>
          <t>smallcap</t>
        </is>
      </c>
      <c r="H244" s="32" t="n">
        <v>689.4</v>
      </c>
      <c r="I244" s="32" t="n">
        <v>437.1</v>
      </c>
      <c r="J244" s="32" t="n">
        <v>1.53</v>
      </c>
      <c r="K244" s="32" t="n">
        <v>3619</v>
      </c>
      <c r="L244" s="31" t="n">
        <v>81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61.67</v>
      </c>
      <c r="P244" s="32" t="n">
        <v>22.55</v>
      </c>
      <c r="Q244" s="32" t="inlineStr"/>
      <c r="R244" s="31" t="inlineStr">
        <is>
          <t>Earnings / Momentum Support</t>
        </is>
      </c>
      <c r="S244" s="31" t="inlineStr">
        <is>
          <t>Nifty IT</t>
        </is>
      </c>
      <c r="T244" s="32" t="n">
        <v>-11.37</v>
      </c>
      <c r="U244" s="32" t="n">
        <v>66.54000000000001</v>
      </c>
      <c r="V244" s="32" t="n">
        <v>87.91</v>
      </c>
      <c r="W244" s="32" t="n">
        <v>19.23</v>
      </c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Headwind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No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20 to 40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3</t>
        </is>
      </c>
      <c r="BC244" s="31">
        <f>IF(BB244="Stage 2",20,IF(BB244="Stage 1",0,IF(BB244="Stage 3",5,IF(BB244="Stage 4",-5,0))))</f>
        <v/>
      </c>
      <c r="BD244" s="31" t="inlineStr">
        <is>
          <t>Negative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More than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Yes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Negative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IF(B245=0,"",RANK(B245,$B$2:$B$366,0))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MAHLOG</t>
        </is>
      </c>
      <c r="D245" s="31" t="inlineStr">
        <is>
          <t>Mahindra Logistics Ltd</t>
        </is>
      </c>
      <c r="E245" s="31" t="inlineStr">
        <is>
          <t>transportation</t>
        </is>
      </c>
      <c r="F245" s="31" t="inlineStr">
        <is>
          <t>miscellaneous</t>
        </is>
      </c>
      <c r="G245" s="31" t="inlineStr">
        <is>
          <t>smallcap</t>
        </is>
      </c>
      <c r="H245" s="32" t="n">
        <v>4063.16</v>
      </c>
      <c r="I245" s="32" t="n">
        <v>415.5</v>
      </c>
      <c r="J245" s="32" t="n">
        <v>1.47</v>
      </c>
      <c r="K245" s="32" t="n">
        <v>184166</v>
      </c>
      <c r="L245" s="31" t="n">
        <v>35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59.9</v>
      </c>
      <c r="P245" s="32" t="n">
        <v>19.54</v>
      </c>
      <c r="Q245" s="32" t="inlineStr"/>
      <c r="R245" s="31" t="inlineStr">
        <is>
          <t>Earnings / Momentum Support</t>
        </is>
      </c>
      <c r="S245" s="31" t="inlineStr">
        <is>
          <t>Nifty 50</t>
        </is>
      </c>
      <c r="T245" s="32" t="n">
        <v>-0.74</v>
      </c>
      <c r="U245" s="32" t="n">
        <v>25.87</v>
      </c>
      <c r="V245" s="32" t="n">
        <v>26.8</v>
      </c>
      <c r="W245" s="32" t="n">
        <v>5.33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Headwind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No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0 to 20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3</t>
        </is>
      </c>
      <c r="BC245" s="31">
        <f>IF(BB245="Stage 2",20,IF(BB245="Stage 1",0,IF(BB245="Stage 3",5,IF(BB245="Stage 4",-5,0))))</f>
        <v/>
      </c>
      <c r="BD245" s="31" t="inlineStr">
        <is>
          <t>Negative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More than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Yes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IF(B246=0,"",RANK(B246,$B$2:$B$366,0))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3" t="inlineStr">
        <is>
          <t>BERGEPAINT</t>
        </is>
      </c>
      <c r="D246" s="33" t="inlineStr">
        <is>
          <t>Berger Paints (i) Limited</t>
        </is>
      </c>
      <c r="E246" s="31" t="inlineStr">
        <is>
          <t>building materials</t>
        </is>
      </c>
      <c r="F246" s="31" t="inlineStr">
        <is>
          <t>paints / varnishes</t>
        </is>
      </c>
      <c r="G246" s="31" t="inlineStr">
        <is>
          <t>largecap</t>
        </is>
      </c>
      <c r="H246" s="32" t="n">
        <v>60684.62</v>
      </c>
      <c r="I246" s="32" t="n">
        <v>527</v>
      </c>
      <c r="J246" s="32" t="n">
        <v>1.26</v>
      </c>
      <c r="K246" s="32" t="n">
        <v>389074</v>
      </c>
      <c r="L246" s="31" t="n">
        <v>5</v>
      </c>
      <c r="M246" s="31" t="inlineStr">
        <is>
          <t>Underperforming</t>
        </is>
      </c>
      <c r="N246" s="32">
        <f>IF(M246="Underperforming",-5,IF(L246&gt;=95,15,IF(L246&gt;=90,10,IF(L246&gt;=80,5,0))))</f>
        <v/>
      </c>
      <c r="O246" s="32" t="n">
        <v>54.89</v>
      </c>
      <c r="P246" s="32" t="n">
        <v>18.36</v>
      </c>
      <c r="Q246" s="32" t="inlineStr"/>
      <c r="R246" s="31" t="inlineStr">
        <is>
          <t>Earnings / Momentum Support</t>
        </is>
      </c>
      <c r="S246" s="31" t="inlineStr">
        <is>
          <t>Nifty Infra</t>
        </is>
      </c>
      <c r="T246" s="32" t="n">
        <v>1.74</v>
      </c>
      <c r="U246" s="32" t="n">
        <v>-13.83</v>
      </c>
      <c r="V246" s="32" t="n">
        <v>-15.31</v>
      </c>
      <c r="W246" s="32" t="n">
        <v>-1.73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Headwind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No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0 to 20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3</t>
        </is>
      </c>
      <c r="BC246" s="31">
        <f>IF(BB246="Stage 2",20,IF(BB246="Stage 1",0,IF(BB246="Stage 3",5,IF(BB246="Stage 4",-5,0))))</f>
        <v/>
      </c>
      <c r="BD246" s="31" t="inlineStr">
        <is>
          <t>Negative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Yes</t>
        </is>
      </c>
      <c r="BS246" s="31">
        <f>IF(BR246="NO",5,0)</f>
        <v/>
      </c>
      <c r="BT246" s="31" t="inlineStr">
        <is>
          <t>Between 1.5 to 2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IF(B247=0,"",RANK(B247,$B$2:$B$366,0))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3" t="inlineStr">
        <is>
          <t>ARROWGREEN</t>
        </is>
      </c>
      <c r="D247" s="33" t="inlineStr">
        <is>
          <t>Arrow Greentech Limited</t>
        </is>
      </c>
      <c r="E247" s="31" t="inlineStr">
        <is>
          <t>plastic products</t>
        </is>
      </c>
      <c r="F247" s="31" t="inlineStr">
        <is>
          <t>plastics products</t>
        </is>
      </c>
      <c r="G247" s="31" t="inlineStr">
        <is>
          <t>smallcap</t>
        </is>
      </c>
      <c r="H247" s="32" t="n">
        <v>1089.95</v>
      </c>
      <c r="I247" s="32" t="n">
        <v>730</v>
      </c>
      <c r="J247" s="32" t="n">
        <v>1.05</v>
      </c>
      <c r="K247" s="32" t="n">
        <v>10422</v>
      </c>
      <c r="L247" s="31" t="n">
        <v>53</v>
      </c>
      <c r="M247" s="31" t="inlineStr">
        <is>
          <t>Underperforming</t>
        </is>
      </c>
      <c r="N247" s="32">
        <f>IF(M247="Underperforming",-5,IF(L247&gt;=95,15,IF(L247&gt;=90,10,IF(L247&gt;=80,5,0))))</f>
        <v/>
      </c>
      <c r="O247" s="32" t="n">
        <v>68.27</v>
      </c>
      <c r="P247" s="32" t="n">
        <v>32.03</v>
      </c>
      <c r="Q247" s="32" t="inlineStr"/>
      <c r="R247" s="31" t="inlineStr">
        <is>
          <t>Earnings / Momentum Support</t>
        </is>
      </c>
      <c r="S247" s="31" t="inlineStr">
        <is>
          <t>Nifty 50</t>
        </is>
      </c>
      <c r="T247" s="32" t="n">
        <v>-0.74</v>
      </c>
      <c r="U247" s="32" t="n">
        <v>-3.25</v>
      </c>
      <c r="V247" s="32" t="n">
        <v>-2.53</v>
      </c>
      <c r="W247" s="32" t="n">
        <v>9.31</v>
      </c>
      <c r="X247" s="31" t="inlineStr">
        <is>
          <t>Growing Industry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Headwind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No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20 to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3</t>
        </is>
      </c>
      <c r="BC247" s="31">
        <f>IF(BB247="Stage 2",20,IF(BB247="Stage 1",0,IF(BB247="Stage 3",5,IF(BB247="Stage 4",-5,0))))</f>
        <v/>
      </c>
      <c r="BD247" s="31" t="inlineStr">
        <is>
          <t>Negative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Less than 12%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Between 50% to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IF(B248=0,"",RANK(B248,$B$2:$B$366,0))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3" t="inlineStr">
        <is>
          <t>KAMDHENU</t>
        </is>
      </c>
      <c r="D248" s="33" t="inlineStr">
        <is>
          <t>Kamdhenu Limited</t>
        </is>
      </c>
      <c r="E248" s="31" t="inlineStr">
        <is>
          <t>metals &amp; mining</t>
        </is>
      </c>
      <c r="F248" s="31" t="inlineStr">
        <is>
          <t>steel - medium / small</t>
        </is>
      </c>
      <c r="G248" s="31" t="inlineStr">
        <is>
          <t>smallcap</t>
        </is>
      </c>
      <c r="H248" s="32" t="n">
        <v>966.86</v>
      </c>
      <c r="I248" s="32" t="n">
        <v>34.51</v>
      </c>
      <c r="J248" s="32" t="n">
        <v>0.61</v>
      </c>
      <c r="K248" s="32" t="n">
        <v>368546</v>
      </c>
      <c r="L248" s="31" t="n">
        <v>66</v>
      </c>
      <c r="M248" s="31" t="inlineStr">
        <is>
          <t>Underperforming</t>
        </is>
      </c>
      <c r="N248" s="32">
        <f>IF(M248="Underperforming",-5,IF(L248&gt;=95,15,IF(L248&gt;=90,10,IF(L248&gt;=80,5,0))))</f>
        <v/>
      </c>
      <c r="O248" s="32" t="n">
        <v>67.22</v>
      </c>
      <c r="P248" s="32" t="n">
        <v>39.3</v>
      </c>
      <c r="Q248" s="32" t="inlineStr"/>
      <c r="R248" s="31" t="inlineStr">
        <is>
          <t>Earnings / Momentum Support</t>
        </is>
      </c>
      <c r="S248" s="31" t="inlineStr">
        <is>
          <t>Nifty Metal</t>
        </is>
      </c>
      <c r="T248" s="32" t="n">
        <v>31.49</v>
      </c>
      <c r="U248" s="32" t="n">
        <v>12.5</v>
      </c>
      <c r="V248" s="32" t="n">
        <v>-14.45</v>
      </c>
      <c r="W248" s="32" t="n">
        <v>13.64</v>
      </c>
      <c r="X248" s="31" t="inlineStr">
        <is>
          <t>Cyclical in an Upturn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Headwind</t>
        </is>
      </c>
      <c r="AE248" s="31">
        <f>IF(AD248="Tailwind",10,0)</f>
        <v/>
      </c>
      <c r="AF248" s="31" t="inlineStr">
        <is>
          <t>Cyclical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Volatile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No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20 to 40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3</t>
        </is>
      </c>
      <c r="BC248" s="31">
        <f>IF(BB248="Stage 2",20,IF(BB248="Stage 1",0,IF(BB248="Stage 3",5,IF(BB248="Stage 4",-5,0))))</f>
        <v/>
      </c>
      <c r="BD248" s="31" t="inlineStr">
        <is>
          <t>Negative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Less than 1.5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IF(B249=0,"",RANK(B249,$B$2:$B$366,0))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3" t="inlineStr">
        <is>
          <t>VSSL</t>
        </is>
      </c>
      <c r="D249" s="33" t="inlineStr">
        <is>
          <t>Vardhman Special Steels Limited</t>
        </is>
      </c>
      <c r="E249" s="31" t="inlineStr">
        <is>
          <t>metals &amp; mining</t>
        </is>
      </c>
      <c r="F249" s="31" t="inlineStr">
        <is>
          <t>steel - medium / small</t>
        </is>
      </c>
      <c r="G249" s="31" t="inlineStr">
        <is>
          <t>smallcap</t>
        </is>
      </c>
      <c r="H249" s="32" t="n">
        <v>2946.5</v>
      </c>
      <c r="I249" s="32" t="n">
        <v>306</v>
      </c>
      <c r="J249" s="32" t="n">
        <v>0.41</v>
      </c>
      <c r="K249" s="32" t="n">
        <v>76665</v>
      </c>
      <c r="L249" s="31" t="n">
        <v>41</v>
      </c>
      <c r="M249" s="31" t="inlineStr">
        <is>
          <t>Underperforming</t>
        </is>
      </c>
      <c r="N249" s="32">
        <f>IF(M249="Underperforming",-5,IF(L249&gt;=95,15,IF(L249&gt;=90,10,IF(L249&gt;=80,5,0))))</f>
        <v/>
      </c>
      <c r="O249" s="32" t="n">
        <v>65.28</v>
      </c>
      <c r="P249" s="32" t="n">
        <v>22.35</v>
      </c>
      <c r="Q249" s="32" t="inlineStr"/>
      <c r="R249" s="31" t="inlineStr">
        <is>
          <t>Earnings / Momentum Support</t>
        </is>
      </c>
      <c r="S249" s="31" t="inlineStr">
        <is>
          <t>Nifty Metal</t>
        </is>
      </c>
      <c r="T249" s="32" t="n">
        <v>31.49</v>
      </c>
      <c r="U249" s="32" t="n">
        <v>17.35</v>
      </c>
      <c r="V249" s="32" t="n">
        <v>-10.76</v>
      </c>
      <c r="W249" s="32" t="n">
        <v>6.81</v>
      </c>
      <c r="X249" s="31" t="inlineStr">
        <is>
          <t>Cyclical in an Upturn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Headwind</t>
        </is>
      </c>
      <c r="AE249" s="31">
        <f>IF(AD249="Tailwind",10,0)</f>
        <v/>
      </c>
      <c r="AF249" s="31" t="inlineStr">
        <is>
          <t>Cyclical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Volatile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No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20 to 40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3</t>
        </is>
      </c>
      <c r="BC249" s="31">
        <f>IF(BB249="Stage 2",20,IF(BB249="Stage 1",0,IF(BB249="Stage 3",5,IF(BB249="Stage 4",-5,0))))</f>
        <v/>
      </c>
      <c r="BD249" s="31" t="inlineStr">
        <is>
          <t>Negative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More than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No</t>
        </is>
      </c>
      <c r="BS249" s="31">
        <f>IF(BR249="NO",5,0)</f>
        <v/>
      </c>
      <c r="BT249" s="31" t="inlineStr">
        <is>
          <t>Less than 1.5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IF(B250=0,"",RANK(B250,$B$2:$B$366,0))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3" t="inlineStr">
        <is>
          <t>MMP</t>
        </is>
      </c>
      <c r="D250" s="33" t="inlineStr">
        <is>
          <t>MMP Industries Ltd</t>
        </is>
      </c>
      <c r="E250" s="31" t="inlineStr">
        <is>
          <t>metals &amp; mining</t>
        </is>
      </c>
      <c r="F250" s="31" t="inlineStr">
        <is>
          <t>aluminium and aluminium products</t>
        </is>
      </c>
      <c r="G250" s="31" t="inlineStr">
        <is>
          <t>smallcap</t>
        </is>
      </c>
      <c r="H250" s="32" t="n">
        <v>553.4299999999999</v>
      </c>
      <c r="I250" s="32" t="n">
        <v>293.6</v>
      </c>
      <c r="J250" s="32" t="n">
        <v>0.38</v>
      </c>
      <c r="K250" s="32" t="n">
        <v>48024</v>
      </c>
      <c r="L250" s="31" t="n">
        <v>17</v>
      </c>
      <c r="M250" s="31" t="inlineStr">
        <is>
          <t>Underperforming</t>
        </is>
      </c>
      <c r="N250" s="32">
        <f>IF(M250="Underperforming",-5,IF(L250&gt;=95,15,IF(L250&gt;=90,10,IF(L250&gt;=80,5,0))))</f>
        <v/>
      </c>
      <c r="O250" s="32" t="n">
        <v>59.86</v>
      </c>
      <c r="P250" s="32" t="n">
        <v>36.18</v>
      </c>
      <c r="Q250" s="32" t="inlineStr"/>
      <c r="R250" s="31" t="inlineStr">
        <is>
          <t>Earnings / Momentum Support</t>
        </is>
      </c>
      <c r="S250" s="31" t="inlineStr">
        <is>
          <t>Nifty Metal</t>
        </is>
      </c>
      <c r="T250" s="32" t="n">
        <v>31.49</v>
      </c>
      <c r="U250" s="32" t="n">
        <v>-1.03</v>
      </c>
      <c r="V250" s="32" t="n">
        <v>-24.73</v>
      </c>
      <c r="W250" s="32" t="n">
        <v>2.09</v>
      </c>
      <c r="X250" s="31" t="inlineStr">
        <is>
          <t>Cyclical in an Upturn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Headwind</t>
        </is>
      </c>
      <c r="AE250" s="31">
        <f>IF(AD250="Tailwind",10,0)</f>
        <v/>
      </c>
      <c r="AF250" s="31" t="inlineStr">
        <is>
          <t>Cyclical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Volatile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20 to 40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3</t>
        </is>
      </c>
      <c r="BC250" s="31">
        <f>IF(BB250="Stage 2",20,IF(BB250="Stage 1",0,IF(BB250="Stage 3",5,IF(BB250="Stage 4",-5,0))))</f>
        <v/>
      </c>
      <c r="BD250" s="31" t="inlineStr">
        <is>
          <t>Negative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Less than 1.5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IF(B251=0,"",RANK(B251,$B$2:$B$366,0))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RICOAUTO</t>
        </is>
      </c>
      <c r="D251" s="31" t="inlineStr">
        <is>
          <t>Rico Auto Industries Limited</t>
        </is>
      </c>
      <c r="E251" s="31" t="inlineStr">
        <is>
          <t>auto</t>
        </is>
      </c>
      <c r="F251" s="31" t="inlineStr">
        <is>
          <t>auto ancillaries</t>
        </is>
      </c>
      <c r="G251" s="31" t="inlineStr">
        <is>
          <t>smallcap</t>
        </is>
      </c>
      <c r="H251" s="32" t="n">
        <v>1917.94</v>
      </c>
      <c r="I251" s="32" t="n">
        <v>142.07</v>
      </c>
      <c r="J251" s="32" t="n">
        <v>0.21</v>
      </c>
      <c r="K251" s="32" t="n">
        <v>1456706</v>
      </c>
      <c r="L251" s="31" t="n">
        <v>66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59.46</v>
      </c>
      <c r="P251" s="32" t="n">
        <v>35.15</v>
      </c>
      <c r="Q251" s="32" t="inlineStr"/>
      <c r="R251" s="31" t="inlineStr">
        <is>
          <t>Earnings / Momentum Support</t>
        </is>
      </c>
      <c r="S251" s="31" t="inlineStr">
        <is>
          <t>Nifty Auto</t>
        </is>
      </c>
      <c r="T251" s="32" t="n">
        <v>13.41</v>
      </c>
      <c r="U251" s="32" t="n">
        <v>69.67</v>
      </c>
      <c r="V251" s="32" t="n">
        <v>49.6</v>
      </c>
      <c r="W251" s="32" t="n">
        <v>13.64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Headwind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No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20 to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3</t>
        </is>
      </c>
      <c r="BC251" s="31">
        <f>IF(BB251="Stage 2",20,IF(BB251="Stage 1",0,IF(BB251="Stage 3",5,IF(BB251="Stage 4",-5,0))))</f>
        <v/>
      </c>
      <c r="BD251" s="31" t="inlineStr">
        <is>
          <t>Negative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Less than 12%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No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Between 0.7 to 1.2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IF(B252=0,"",RANK(B252,$B$2:$B$366,0))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MBAPL</t>
        </is>
      </c>
      <c r="D252" s="31" t="inlineStr">
        <is>
          <t>Madhya Bharat Agro Products Ltd</t>
        </is>
      </c>
      <c r="E252" s="31" t="inlineStr">
        <is>
          <t>chemicals</t>
        </is>
      </c>
      <c r="F252" s="31" t="inlineStr">
        <is>
          <t>fertilizers</t>
        </is>
      </c>
      <c r="G252" s="31" t="inlineStr">
        <is>
          <t>smallcap</t>
        </is>
      </c>
      <c r="H252" s="32" t="n">
        <v>1403.78</v>
      </c>
      <c r="I252" s="32" t="n">
        <v>160.01</v>
      </c>
      <c r="J252" s="32" t="n">
        <v>-0.12</v>
      </c>
      <c r="K252" s="32" t="n">
        <v>686360</v>
      </c>
      <c r="L252" s="31" t="n">
        <v>90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86.94</v>
      </c>
      <c r="P252" s="32" t="n">
        <v>63.66</v>
      </c>
      <c r="Q252" s="32" t="inlineStr"/>
      <c r="R252" s="31" t="inlineStr">
        <is>
          <t>Earnings / Momentum Support</t>
        </is>
      </c>
      <c r="S252" s="31" t="inlineStr">
        <is>
          <t>Nifty 50</t>
        </is>
      </c>
      <c r="T252" s="32" t="n">
        <v>-0.74</v>
      </c>
      <c r="U252" s="32" t="n">
        <v>84.23999999999999</v>
      </c>
      <c r="V252" s="32" t="n">
        <v>85.61</v>
      </c>
      <c r="W252" s="32" t="n">
        <v>25.39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Headwind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No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Above 40</t>
        </is>
      </c>
      <c r="AY252" s="31">
        <f>IF(AX252="Above 40",20,IF(AX252="20 to 40",10,IF(AX252="0 to 20",-5,0)))</f>
        <v/>
      </c>
      <c r="AZ252" s="31" t="inlineStr">
        <is>
          <t>Above 75</t>
        </is>
      </c>
      <c r="BA252" s="31">
        <f>IF(AZ252="Between 50 to 75",10,IF(AZ252="Above 75",0,0))</f>
        <v/>
      </c>
      <c r="BB252" s="31" t="inlineStr">
        <is>
          <t>Stage 3</t>
        </is>
      </c>
      <c r="BC252" s="31">
        <f>IF(BB252="Stage 2",20,IF(BB252="Stage 1",0,IF(BB252="Stage 3",5,IF(BB252="Stage 4",-5,0))))</f>
        <v/>
      </c>
      <c r="BD252" s="31" t="inlineStr">
        <is>
          <t>Negative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Between 12 to 20%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Yes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More than 1.2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IF(B253=0,"",RANK(B253,$B$2:$B$366,0))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3" t="inlineStr">
        <is>
          <t>LODHA</t>
        </is>
      </c>
      <c r="D253" s="33" t="inlineStr">
        <is>
          <t>Lodha Developers Ltd</t>
        </is>
      </c>
      <c r="E253" s="31" t="inlineStr">
        <is>
          <t>realty</t>
        </is>
      </c>
      <c r="F253" s="31" t="inlineStr">
        <is>
          <t>construction</t>
        </is>
      </c>
      <c r="G253" s="31" t="inlineStr">
        <is>
          <t>largecap</t>
        </is>
      </c>
      <c r="H253" s="32" t="n">
        <v>124282.35</v>
      </c>
      <c r="I253" s="32" t="n">
        <v>1239.8</v>
      </c>
      <c r="J253" s="32" t="n">
        <v>-0.33</v>
      </c>
      <c r="K253" s="32" t="n">
        <v>5447350</v>
      </c>
      <c r="L253" s="31" t="n">
        <v>35</v>
      </c>
      <c r="M253" s="31" t="inlineStr">
        <is>
          <t>Underperforming</t>
        </is>
      </c>
      <c r="N253" s="32">
        <f>IF(M253="Underperforming",-5,IF(L253&gt;=95,15,IF(L253&gt;=90,10,IF(L253&gt;=80,5,0))))</f>
        <v/>
      </c>
      <c r="O253" s="32" t="n">
        <v>64.64</v>
      </c>
      <c r="P253" s="32" t="n">
        <v>18.12</v>
      </c>
      <c r="Q253" s="32" t="inlineStr"/>
      <c r="R253" s="31" t="inlineStr">
        <is>
          <t>Earnings / Momentum Support</t>
        </is>
      </c>
      <c r="S253" s="31" t="inlineStr">
        <is>
          <t>Nifty Realty</t>
        </is>
      </c>
      <c r="T253" s="32" t="n">
        <v>-8.119999999999999</v>
      </c>
      <c r="U253" s="32" t="n">
        <v>-17.46</v>
      </c>
      <c r="V253" s="32" t="n">
        <v>-10.16</v>
      </c>
      <c r="W253" s="32" t="n">
        <v>5.32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Headwind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No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0 to 20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3</t>
        </is>
      </c>
      <c r="BC253" s="31">
        <f>IF(BB253="Stage 2",20,IF(BB253="Stage 1",0,IF(BB253="Stage 3",5,IF(BB253="Stage 4",-5,0))))</f>
        <v/>
      </c>
      <c r="BD253" s="31" t="inlineStr">
        <is>
          <t>Negative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No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IF(B254=0,"",RANK(B254,$B$2:$B$366,0))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1" t="inlineStr">
        <is>
          <t>KALYANKJIL</t>
        </is>
      </c>
      <c r="D254" s="31" t="inlineStr">
        <is>
          <t>Kalyan Jewellers India Ltd</t>
        </is>
      </c>
      <c r="E254" s="31" t="inlineStr">
        <is>
          <t>consumer discretionary</t>
        </is>
      </c>
      <c r="F254" s="31" t="inlineStr">
        <is>
          <t>diamond cutting / jewellery</t>
        </is>
      </c>
      <c r="G254" s="31" t="inlineStr">
        <is>
          <t>largecap</t>
        </is>
      </c>
      <c r="H254" s="32" t="n">
        <v>63265.67</v>
      </c>
      <c r="I254" s="32" t="n">
        <v>608</v>
      </c>
      <c r="J254" s="32" t="n">
        <v>-0.75</v>
      </c>
      <c r="K254" s="32" t="n">
        <v>46805590</v>
      </c>
      <c r="L254" s="31" t="n">
        <v>67</v>
      </c>
      <c r="M254" s="31" t="inlineStr">
        <is>
          <t>Outperforming</t>
        </is>
      </c>
      <c r="N254" s="32">
        <f>IF(M254="Underperforming",-5,IF(L254&gt;=95,15,IF(L254&gt;=90,10,IF(L254&gt;=80,5,0))))</f>
        <v/>
      </c>
      <c r="O254" s="32" t="n">
        <v>72.92</v>
      </c>
      <c r="P254" s="32" t="n">
        <v>29.57</v>
      </c>
      <c r="Q254" s="32" t="inlineStr"/>
      <c r="R254" s="31" t="inlineStr">
        <is>
          <t>Earnings / Momentum Support</t>
        </is>
      </c>
      <c r="S254" s="31" t="inlineStr">
        <is>
          <t>Nifty 50</t>
        </is>
      </c>
      <c r="T254" s="32" t="n">
        <v>-0.74</v>
      </c>
      <c r="U254" s="32" t="n">
        <v>5.41</v>
      </c>
      <c r="V254" s="32" t="n">
        <v>6.2</v>
      </c>
      <c r="W254" s="32" t="n">
        <v>13.76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Headwind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No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20 to 40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3</t>
        </is>
      </c>
      <c r="BC254" s="31">
        <f>IF(BB254="Stage 2",20,IF(BB254="Stage 1",0,IF(BB254="Stage 3",5,IF(BB254="Stage 4",-5,0))))</f>
        <v/>
      </c>
      <c r="BD254" s="31" t="inlineStr">
        <is>
          <t>Negative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More than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Yes</t>
        </is>
      </c>
      <c r="BS254" s="31">
        <f>IF(BR254="NO",5,0)</f>
        <v/>
      </c>
      <c r="BT254" s="31" t="inlineStr">
        <is>
          <t>Above 2</t>
        </is>
      </c>
      <c r="BU254" s="31">
        <f>IF(BT254="Above 2",0,IF(BT254="Between 1.5 to 2",5,IF(BT254="Less than 1.5",10,0)))</f>
        <v/>
      </c>
      <c r="BV254" s="31" t="inlineStr">
        <is>
          <t>Between 50% to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Between 0.7 to 1.2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IF(B255=0,"",RANK(B255,$B$2:$B$366,0))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3" t="inlineStr">
        <is>
          <t>GODREJPROP</t>
        </is>
      </c>
      <c r="D255" s="33" t="inlineStr">
        <is>
          <t>Godrej Properties Limited</t>
        </is>
      </c>
      <c r="E255" s="31" t="inlineStr">
        <is>
          <t>realty</t>
        </is>
      </c>
      <c r="F255" s="31" t="inlineStr">
        <is>
          <t>construction</t>
        </is>
      </c>
      <c r="G255" s="31" t="inlineStr">
        <is>
          <t>largecap</t>
        </is>
      </c>
      <c r="H255" s="32" t="n">
        <v>63429.15</v>
      </c>
      <c r="I255" s="32" t="n">
        <v>2089.7</v>
      </c>
      <c r="J255" s="32" t="n">
        <v>-0.76</v>
      </c>
      <c r="K255" s="32" t="n">
        <v>1076300</v>
      </c>
      <c r="L255" s="31" t="n">
        <v>18</v>
      </c>
      <c r="M255" s="31" t="inlineStr">
        <is>
          <t>Underperforming</t>
        </is>
      </c>
      <c r="N255" s="32">
        <f>IF(M255="Underperforming",-5,IF(L255&gt;=95,15,IF(L255&gt;=90,10,IF(L255&gt;=80,5,0))))</f>
        <v/>
      </c>
      <c r="O255" s="32" t="n">
        <v>61.81</v>
      </c>
      <c r="P255" s="32" t="n">
        <v>11.74</v>
      </c>
      <c r="Q255" s="32" t="inlineStr"/>
      <c r="R255" s="31" t="inlineStr">
        <is>
          <t>Earnings / Momentum Support</t>
        </is>
      </c>
      <c r="S255" s="31" t="inlineStr">
        <is>
          <t>Nifty Realty</t>
        </is>
      </c>
      <c r="T255" s="32" t="n">
        <v>-8.119999999999999</v>
      </c>
      <c r="U255" s="32" t="n">
        <v>-11.13</v>
      </c>
      <c r="V255" s="32" t="n">
        <v>-3.28</v>
      </c>
      <c r="W255" s="32" t="n">
        <v>2.23</v>
      </c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Headwind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No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0 to 20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3</t>
        </is>
      </c>
      <c r="BC255" s="31">
        <f>IF(BB255="Stage 2",20,IF(BB255="Stage 1",0,IF(BB255="Stage 3",5,IF(BB255="Stage 4",-5,0))))</f>
        <v/>
      </c>
      <c r="BD255" s="31" t="inlineStr">
        <is>
          <t>Negative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No</t>
        </is>
      </c>
      <c r="BS255" s="31">
        <f>IF(BR255="NO",5,0)</f>
        <v/>
      </c>
      <c r="BT255" s="31" t="inlineStr">
        <is>
          <t>Less than 1.5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Between 0.7 to 1.2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IF(B256=0,"",RANK(B256,$B$2:$B$366,0))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DREDGECORP</t>
        </is>
      </c>
      <c r="D256" s="31" t="inlineStr">
        <is>
          <t>Dredging Corporation Of India Limited</t>
        </is>
      </c>
      <c r="E256" s="31" t="inlineStr">
        <is>
          <t>miscellaneous</t>
        </is>
      </c>
      <c r="F256" s="31" t="inlineStr">
        <is>
          <t>miscellaneous</t>
        </is>
      </c>
      <c r="G256" s="31" t="inlineStr">
        <is>
          <t>smallcap</t>
        </is>
      </c>
      <c r="H256" s="32" t="n">
        <v>3190.32</v>
      </c>
      <c r="I256" s="32" t="n">
        <v>1096.5</v>
      </c>
      <c r="J256" s="32" t="n">
        <v>-3.77</v>
      </c>
      <c r="K256" s="32" t="n">
        <v>139028</v>
      </c>
      <c r="L256" s="31" t="n">
        <v>77</v>
      </c>
      <c r="M256" s="31" t="inlineStr">
        <is>
          <t>Outperforming</t>
        </is>
      </c>
      <c r="N256" s="32">
        <f>IF(M256="Underperforming",-5,IF(L256&gt;=95,15,IF(L256&gt;=90,10,IF(L256&gt;=80,5,0))))</f>
        <v/>
      </c>
      <c r="O256" s="32" t="n">
        <v>59.31</v>
      </c>
      <c r="P256" s="32" t="n">
        <v>39.16</v>
      </c>
      <c r="Q256" s="32" t="inlineStr"/>
      <c r="R256" s="31" t="inlineStr">
        <is>
          <t>Earnings / Momentum Support</t>
        </is>
      </c>
      <c r="S256" s="31" t="inlineStr">
        <is>
          <t>Nifty 50</t>
        </is>
      </c>
      <c r="T256" s="32" t="n">
        <v>-0.74</v>
      </c>
      <c r="U256" s="32" t="n">
        <v>72.36</v>
      </c>
      <c r="V256" s="32" t="n">
        <v>73.65000000000001</v>
      </c>
      <c r="W256" s="32" t="n">
        <v>17.39</v>
      </c>
      <c r="X256" s="31" t="inlineStr">
        <is>
          <t>Growing Industry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Headwind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No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20 to 40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3</t>
        </is>
      </c>
      <c r="BC256" s="31">
        <f>IF(BB256="Stage 2",20,IF(BB256="Stage 1",0,IF(BB256="Stage 3",5,IF(BB256="Stage 4",-5,0))))</f>
        <v/>
      </c>
      <c r="BD256" s="31" t="inlineStr">
        <is>
          <t>Negative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More than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Yes</t>
        </is>
      </c>
      <c r="BS256" s="31">
        <f>IF(BR256="NO",5,0)</f>
        <v/>
      </c>
      <c r="BT256" s="31" t="inlineStr">
        <is>
          <t>Above 2</t>
        </is>
      </c>
      <c r="BU256" s="31">
        <f>IF(BT256="Above 2",0,IF(BT256="Between 1.5 to 2",5,IF(BT256="Less than 1.5",10,0)))</f>
        <v/>
      </c>
      <c r="BV256" s="31" t="inlineStr">
        <is>
          <t>Between 50% to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Between 0.7 to 1.2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IF(B257=0,"",RANK(B257,$B$2:$B$366,0))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3" t="inlineStr">
        <is>
          <t>INDGN</t>
        </is>
      </c>
      <c r="D257" s="33" t="inlineStr">
        <is>
          <t>Indegene Ltd</t>
        </is>
      </c>
      <c r="E257" s="31" t="inlineStr">
        <is>
          <t>healthcare</t>
        </is>
      </c>
      <c r="F257" s="31" t="inlineStr">
        <is>
          <t>miscellaneous</t>
        </is>
      </c>
      <c r="G257" s="31" t="inlineStr">
        <is>
          <t>midcap</t>
        </is>
      </c>
      <c r="H257" s="32" t="n">
        <v>12412.76</v>
      </c>
      <c r="I257" s="32" t="n">
        <v>545.25</v>
      </c>
      <c r="J257" s="32" t="n">
        <v>5.84</v>
      </c>
      <c r="K257" s="32" t="n">
        <v>1886878</v>
      </c>
      <c r="L257" s="31" t="n">
        <v>7</v>
      </c>
      <c r="M257" s="31" t="inlineStr">
        <is>
          <t>Underperforming</t>
        </is>
      </c>
      <c r="N257" s="32">
        <f>IF(M257="Underperforming",-5,IF(L257&gt;=95,15,IF(L257&gt;=90,10,IF(L257&gt;=80,5,0))))</f>
        <v/>
      </c>
      <c r="O257" s="32" t="n">
        <v>52.9</v>
      </c>
      <c r="P257" s="32" t="n">
        <v>14.14</v>
      </c>
      <c r="Q257" s="32" t="inlineStr"/>
      <c r="R257" s="31" t="inlineStr">
        <is>
          <t>Volume Spike / Accumulation</t>
        </is>
      </c>
      <c r="S257" s="31" t="inlineStr">
        <is>
          <t>Nifty Pharma</t>
        </is>
      </c>
      <c r="T257" s="32" t="n">
        <v>20.55</v>
      </c>
      <c r="U257" s="32" t="n">
        <v>-10.37</v>
      </c>
      <c r="V257" s="32" t="n">
        <v>-25.65</v>
      </c>
      <c r="W257" s="32" t="n">
        <v>-1.28</v>
      </c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Yes</t>
        </is>
      </c>
      <c r="AC257" s="31">
        <f>IF(AB257="No",5,0)</f>
        <v/>
      </c>
      <c r="AD257" s="31" t="inlineStr">
        <is>
          <t>Headwind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Yes</t>
        </is>
      </c>
      <c r="AQ257" s="31">
        <f>IF(AP257="Yes",10,0)</f>
        <v/>
      </c>
      <c r="AR257" s="31" t="inlineStr">
        <is>
          <t>Higher Annuity, Lower One Time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0 to 20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3</t>
        </is>
      </c>
      <c r="BC257" s="31">
        <f>IF(BB257="Stage 2",20,IF(BB257="Stage 1",0,IF(BB257="Stage 3",5,IF(BB257="Stage 4",-5,0))))</f>
        <v/>
      </c>
      <c r="BD257" s="31" t="inlineStr">
        <is>
          <t>Negative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Less than 12%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No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IF(B258=0,"",RANK(B258,$B$2:$B$366,0))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3" t="inlineStr">
        <is>
          <t>BCLIND</t>
        </is>
      </c>
      <c r="D258" s="33" t="inlineStr">
        <is>
          <t>BCL Industries Ltd</t>
        </is>
      </c>
      <c r="E258" s="31" t="inlineStr">
        <is>
          <t>fmcg</t>
        </is>
      </c>
      <c r="F258" s="31" t="inlineStr">
        <is>
          <t>breweries &amp; distilleries</t>
        </is>
      </c>
      <c r="G258" s="31" t="inlineStr">
        <is>
          <t>smallcap</t>
        </is>
      </c>
      <c r="H258" s="32" t="n">
        <v>1084.43</v>
      </c>
      <c r="I258" s="32" t="n">
        <v>37.99</v>
      </c>
      <c r="J258" s="32" t="n">
        <v>3.4</v>
      </c>
      <c r="K258" s="32" t="n">
        <v>1467556</v>
      </c>
      <c r="L258" s="31" t="n">
        <v>8</v>
      </c>
      <c r="M258" s="31" t="inlineStr">
        <is>
          <t>Underperforming</t>
        </is>
      </c>
      <c r="N258" s="32">
        <f>IF(M258="Underperforming",-5,IF(L258&gt;=95,15,IF(L258&gt;=90,10,IF(L258&gt;=80,5,0))))</f>
        <v/>
      </c>
      <c r="O258" s="32" t="n">
        <v>56.03</v>
      </c>
      <c r="P258" s="32" t="n">
        <v>13.39</v>
      </c>
      <c r="Q258" s="32" t="inlineStr"/>
      <c r="R258" s="31" t="inlineStr">
        <is>
          <t>Earnings / Momentum Support</t>
        </is>
      </c>
      <c r="S258" s="31" t="inlineStr">
        <is>
          <t>Nifty FMCG</t>
        </is>
      </c>
      <c r="T258" s="32" t="n">
        <v>-13.73</v>
      </c>
      <c r="U258" s="32" t="n">
        <v>-17.06</v>
      </c>
      <c r="V258" s="32" t="n">
        <v>-3.86</v>
      </c>
      <c r="W258" s="32" t="n">
        <v>-0.91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Headwind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B2C</t>
        </is>
      </c>
      <c r="AO258" s="31">
        <f>IF(AN258="B2C",10,IF(AN258="B2B",5,0))</f>
        <v/>
      </c>
      <c r="AP258" s="31" t="inlineStr">
        <is>
          <t>No</t>
        </is>
      </c>
      <c r="AQ258" s="31">
        <f>IF(AP258="Yes",10,0)</f>
        <v/>
      </c>
      <c r="AR258" s="31" t="inlineStr">
        <is>
          <t>Higher Annuity, Lower One Time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0 to 20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3</t>
        </is>
      </c>
      <c r="BC258" s="31">
        <f>IF(BB258="Stage 2",20,IF(BB258="Stage 1",0,IF(BB258="Stage 3",5,IF(BB258="Stage 4",-5,0))))</f>
        <v/>
      </c>
      <c r="BD258" s="31" t="inlineStr">
        <is>
          <t>Negative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Less than 12%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No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IF(B259=0,"",RANK(B259,$B$2:$B$366,0))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3" t="inlineStr">
        <is>
          <t>ANTHEM</t>
        </is>
      </c>
      <c r="D259" s="33" t="inlineStr">
        <is>
          <t>Anthem Biosciences Ltd</t>
        </is>
      </c>
      <c r="E259" s="31" t="inlineStr">
        <is>
          <t>healthcare</t>
        </is>
      </c>
      <c r="F259" s="31" t="inlineStr">
        <is>
          <t>pharmaceuticals - indian - bulk drugs &amp; formln</t>
        </is>
      </c>
      <c r="G259" s="31" t="inlineStr">
        <is>
          <t>largecap</t>
        </is>
      </c>
      <c r="H259" s="32" t="n">
        <v>45589.09</v>
      </c>
      <c r="I259" s="32" t="n">
        <v>829.85</v>
      </c>
      <c r="J259" s="32" t="n">
        <v>2.55</v>
      </c>
      <c r="K259" s="32" t="n">
        <v>960097</v>
      </c>
      <c r="L259" s="31" t="n">
        <v>29</v>
      </c>
      <c r="M259" s="31" t="inlineStr">
        <is>
          <t>Underperforming</t>
        </is>
      </c>
      <c r="N259" s="32">
        <f>IF(M259="Underperforming",-5,IF(L259&gt;=95,15,IF(L259&gt;=90,10,IF(L259&gt;=80,5,0))))</f>
        <v/>
      </c>
      <c r="O259" s="32" t="n">
        <v>61.26</v>
      </c>
      <c r="P259" s="32" t="n">
        <v>35.48</v>
      </c>
      <c r="Q259" s="32" t="inlineStr"/>
      <c r="R259" s="31" t="inlineStr">
        <is>
          <t>Earnings / Momentum Support</t>
        </is>
      </c>
      <c r="S259" s="31" t="inlineStr">
        <is>
          <t>Nifty Pharma</t>
        </is>
      </c>
      <c r="T259" s="32" t="n">
        <v>20.55</v>
      </c>
      <c r="U259" s="32" t="n">
        <v>9.869999999999999</v>
      </c>
      <c r="V259" s="32" t="n">
        <v>-8.859999999999999</v>
      </c>
      <c r="W259" s="32" t="n">
        <v>4.35</v>
      </c>
      <c r="X259" s="31" t="inlineStr">
        <is>
          <t>Growing Industry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Yes</t>
        </is>
      </c>
      <c r="AC259" s="31">
        <f>IF(AB259="No",5,0)</f>
        <v/>
      </c>
      <c r="AD259" s="31" t="inlineStr">
        <is>
          <t>Headwind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No</t>
        </is>
      </c>
      <c r="AQ259" s="31">
        <f>IF(AP259="Yes",10,0)</f>
        <v/>
      </c>
      <c r="AR259" s="31" t="inlineStr">
        <is>
          <t>Higher Annuity, Lower One Time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20 to 40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3</t>
        </is>
      </c>
      <c r="BC259" s="31">
        <f>IF(BB259="Stage 2",20,IF(BB259="Stage 1",0,IF(BB259="Stage 3",5,IF(BB259="Stage 4",-5,0))))</f>
        <v/>
      </c>
      <c r="BD259" s="31" t="inlineStr">
        <is>
          <t>Negative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Less than 12%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Yes</t>
        </is>
      </c>
      <c r="BS259" s="31">
        <f>IF(BR259="NO",5,0)</f>
        <v/>
      </c>
      <c r="BT259" s="31" t="inlineStr">
        <is>
          <t>Above 2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IF(B260=0,"",RANK(B260,$B$2:$B$366,0))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PVRINOX</t>
        </is>
      </c>
      <c r="D260" s="31" t="inlineStr">
        <is>
          <t>PVR Inox Ltd</t>
        </is>
      </c>
      <c r="E260" s="31" t="inlineStr">
        <is>
          <t>media</t>
        </is>
      </c>
      <c r="F260" s="31" t="inlineStr">
        <is>
          <t>entertainment / electronic media software</t>
        </is>
      </c>
      <c r="G260" s="31" t="inlineStr">
        <is>
          <t>midcap</t>
        </is>
      </c>
      <c r="H260" s="32" t="n">
        <v>11102.49</v>
      </c>
      <c r="I260" s="32" t="n">
        <v>1141.4</v>
      </c>
      <c r="J260" s="32" t="n">
        <v>0.96</v>
      </c>
      <c r="K260" s="32" t="n">
        <v>583974</v>
      </c>
      <c r="L260" s="31" t="n">
        <v>31</v>
      </c>
      <c r="M260" s="31" t="inlineStr">
        <is>
          <t>Outperforming</t>
        </is>
      </c>
      <c r="N260" s="32">
        <f>IF(M260="Underperforming",-5,IF(L260&gt;=95,15,IF(L260&gt;=90,10,IF(L260&gt;=80,5,0))))</f>
        <v/>
      </c>
      <c r="O260" s="32" t="n">
        <v>64.87</v>
      </c>
      <c r="P260" s="32" t="n">
        <v>13.09</v>
      </c>
      <c r="Q260" s="32" t="inlineStr"/>
      <c r="R260" s="31" t="inlineStr">
        <is>
          <t>Earnings / Momentum Support</t>
        </is>
      </c>
      <c r="S260" s="31" t="inlineStr">
        <is>
          <t>Nifty IT</t>
        </is>
      </c>
      <c r="T260" s="32" t="n">
        <v>-11.37</v>
      </c>
      <c r="U260" s="32" t="n">
        <v>13.28</v>
      </c>
      <c r="V260" s="32" t="n">
        <v>27.82</v>
      </c>
      <c r="W260" s="32" t="n">
        <v>4.68</v>
      </c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Headwind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No</t>
        </is>
      </c>
      <c r="AQ260" s="31">
        <f>IF(AP260="Yes",10,0)</f>
        <v/>
      </c>
      <c r="AR260" s="31" t="inlineStr">
        <is>
          <t>Higher Annuity, Lower One Time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0 to 20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3</t>
        </is>
      </c>
      <c r="BC260" s="31">
        <f>IF(BB260="Stage 2",20,IF(BB260="Stage 1",0,IF(BB260="Stage 3",5,IF(BB260="Stage 4",-5,0))))</f>
        <v/>
      </c>
      <c r="BD260" s="31" t="inlineStr">
        <is>
          <t>Negative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More than 20%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No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Between 0.7 to 1.2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IF(B261=0,"",RANK(B261,$B$2:$B$366,0))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UNITDSPR</t>
        </is>
      </c>
      <c r="D261" s="31" t="inlineStr">
        <is>
          <t>United Spirits Ltd</t>
        </is>
      </c>
      <c r="E261" s="31" t="inlineStr">
        <is>
          <t>fmcg</t>
        </is>
      </c>
      <c r="F261" s="31" t="inlineStr">
        <is>
          <t>breweries &amp; distilleries</t>
        </is>
      </c>
      <c r="G261" s="31" t="inlineStr">
        <is>
          <t>largecap</t>
        </is>
      </c>
      <c r="H261" s="32" t="n">
        <v>110259.12</v>
      </c>
      <c r="I261" s="32" t="n">
        <v>1530</v>
      </c>
      <c r="J261" s="32" t="n">
        <v>0.93</v>
      </c>
      <c r="K261" s="32" t="n">
        <v>1203458</v>
      </c>
      <c r="L261" s="31" t="n">
        <v>17</v>
      </c>
      <c r="M261" s="31" t="inlineStr">
        <is>
          <t>Outperforming</t>
        </is>
      </c>
      <c r="N261" s="32">
        <f>IF(M261="Underperforming",-5,IF(L261&gt;=95,15,IF(L261&gt;=90,10,IF(L261&gt;=80,5,0))))</f>
        <v/>
      </c>
      <c r="O261" s="32" t="n">
        <v>67.56999999999999</v>
      </c>
      <c r="P261" s="32" t="n">
        <v>19.1</v>
      </c>
      <c r="Q261" s="32" t="inlineStr"/>
      <c r="R261" s="31" t="inlineStr">
        <is>
          <t>Earnings / Momentum Support</t>
        </is>
      </c>
      <c r="S261" s="31" t="inlineStr">
        <is>
          <t>Nifty FMCG</t>
        </is>
      </c>
      <c r="T261" s="32" t="n">
        <v>-13.73</v>
      </c>
      <c r="U261" s="32" t="n">
        <v>2.84</v>
      </c>
      <c r="V261" s="32" t="n">
        <v>19.21</v>
      </c>
      <c r="W261" s="32" t="n">
        <v>1.89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Headwind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B2C</t>
        </is>
      </c>
      <c r="AO261" s="31">
        <f>IF(AN261="B2C",10,IF(AN261="B2B",5,0))</f>
        <v/>
      </c>
      <c r="AP261" s="31" t="inlineStr">
        <is>
          <t>No</t>
        </is>
      </c>
      <c r="AQ261" s="31">
        <f>IF(AP261="Yes",10,0)</f>
        <v/>
      </c>
      <c r="AR261" s="31" t="inlineStr">
        <is>
          <t>Higher Annuity, Lower One Time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0 to 20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3</t>
        </is>
      </c>
      <c r="BC261" s="31">
        <f>IF(BB261="Stage 2",20,IF(BB261="Stage 1",0,IF(BB261="Stage 3",5,IF(BB261="Stage 4",-5,0))))</f>
        <v/>
      </c>
      <c r="BD261" s="31" t="inlineStr">
        <is>
          <t>Negative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Less than 12%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Yes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Less than 0.7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IF(B262=0,"",RANK(B262,$B$2:$B$366,0))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ONWARDTEC</t>
        </is>
      </c>
      <c r="D262" s="31" t="inlineStr">
        <is>
          <t>Onward Technologies Limited</t>
        </is>
      </c>
      <c r="E262" s="31" t="inlineStr">
        <is>
          <t>i.t</t>
        </is>
      </c>
      <c r="F262" s="31" t="inlineStr">
        <is>
          <t>computers - software - medium / small</t>
        </is>
      </c>
      <c r="G262" s="31" t="inlineStr">
        <is>
          <t>smallcap</t>
        </is>
      </c>
      <c r="H262" s="32" t="n">
        <v>649.71</v>
      </c>
      <c r="I262" s="32" t="n">
        <v>293.85</v>
      </c>
      <c r="J262" s="32" t="n">
        <v>0.6</v>
      </c>
      <c r="K262" s="32" t="n">
        <v>49559</v>
      </c>
      <c r="L262" s="31" t="n">
        <v>29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58.84</v>
      </c>
      <c r="P262" s="32" t="n">
        <v>19.58</v>
      </c>
      <c r="Q262" s="32" t="inlineStr"/>
      <c r="R262" s="31" t="inlineStr">
        <is>
          <t>Earnings / Momentum Support</t>
        </is>
      </c>
      <c r="S262" s="31" t="inlineStr">
        <is>
          <t>Nifty IT</t>
        </is>
      </c>
      <c r="T262" s="32" t="n">
        <v>-11.37</v>
      </c>
      <c r="U262" s="32" t="n">
        <v>-10.88</v>
      </c>
      <c r="V262" s="32" t="n">
        <v>0.55</v>
      </c>
      <c r="W262" s="32" t="n">
        <v>4.39</v>
      </c>
      <c r="X262" s="31" t="inlineStr">
        <is>
          <t>Growing Industry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Headwind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No</t>
        </is>
      </c>
      <c r="AQ262" s="31">
        <f>IF(AP262="Yes",10,0)</f>
        <v/>
      </c>
      <c r="AR262" s="31" t="inlineStr">
        <is>
          <t>Higher Annuity, Lower One Time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0 to 20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3</t>
        </is>
      </c>
      <c r="BC262" s="31">
        <f>IF(BB262="Stage 2",20,IF(BB262="Stage 1",0,IF(BB262="Stage 3",5,IF(BB262="Stage 4",-5,0))))</f>
        <v/>
      </c>
      <c r="BD262" s="31" t="inlineStr">
        <is>
          <t>Negative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Less than 12%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No</t>
        </is>
      </c>
      <c r="BS262" s="31">
        <f>IF(BR262="NO",5,0)</f>
        <v/>
      </c>
      <c r="BT262" s="31" t="inlineStr">
        <is>
          <t>Above 2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IF(B263=0,"",RANK(B263,$B$2:$B$366,0))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3" t="inlineStr">
        <is>
          <t>TARSONS</t>
        </is>
      </c>
      <c r="D263" s="33" t="inlineStr">
        <is>
          <t>Tarsons Products Ltd</t>
        </is>
      </c>
      <c r="E263" s="31" t="inlineStr">
        <is>
          <t>healthcare</t>
        </is>
      </c>
      <c r="F263" s="31" t="inlineStr">
        <is>
          <t>miscellaneous</t>
        </is>
      </c>
      <c r="G263" s="31" t="inlineStr">
        <is>
          <t>smallcap</t>
        </is>
      </c>
      <c r="H263" s="32" t="n">
        <v>1673.87</v>
      </c>
      <c r="I263" s="32" t="n">
        <v>316.25</v>
      </c>
      <c r="J263" s="32" t="n">
        <v>0.52</v>
      </c>
      <c r="K263" s="32" t="n">
        <v>107915</v>
      </c>
      <c r="L263" s="31" t="n">
        <v>51</v>
      </c>
      <c r="M263" s="31" t="inlineStr">
        <is>
          <t>Underperforming</t>
        </is>
      </c>
      <c r="N263" s="32">
        <f>IF(M263="Underperforming",-5,IF(L263&gt;=95,15,IF(L263&gt;=90,10,IF(L263&gt;=80,5,0))))</f>
        <v/>
      </c>
      <c r="O263" s="32" t="n">
        <v>68.53</v>
      </c>
      <c r="P263" s="32" t="n">
        <v>32.43</v>
      </c>
      <c r="Q263" s="32" t="inlineStr"/>
      <c r="R263" s="31" t="inlineStr">
        <is>
          <t>Earnings / Momentum Support</t>
        </is>
      </c>
      <c r="S263" s="31" t="inlineStr">
        <is>
          <t>Nifty Pharma</t>
        </is>
      </c>
      <c r="T263" s="32" t="n">
        <v>20.55</v>
      </c>
      <c r="U263" s="32" t="n">
        <v>-15.63</v>
      </c>
      <c r="V263" s="32" t="n">
        <v>-30.02</v>
      </c>
      <c r="W263" s="32" t="n">
        <v>8.699999999999999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Yes</t>
        </is>
      </c>
      <c r="AC263" s="31">
        <f>IF(AB263="No",5,0)</f>
        <v/>
      </c>
      <c r="AD263" s="31" t="inlineStr">
        <is>
          <t>Headwind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No</t>
        </is>
      </c>
      <c r="AQ263" s="31">
        <f>IF(AP263="Yes",10,0)</f>
        <v/>
      </c>
      <c r="AR263" s="31" t="inlineStr">
        <is>
          <t>Higher Annuity, Lower One Time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20 to 40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3</t>
        </is>
      </c>
      <c r="BC263" s="31">
        <f>IF(BB263="Stage 2",20,IF(BB263="Stage 1",0,IF(BB263="Stage 3",5,IF(BB263="Stage 4",-5,0))))</f>
        <v/>
      </c>
      <c r="BD263" s="31" t="inlineStr">
        <is>
          <t>Negative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Less than 12%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Yes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Less than 0.7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IF(B264=0,"",RANK(B264,$B$2:$B$366,0))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1" t="inlineStr">
        <is>
          <t>PERSISTENT</t>
        </is>
      </c>
      <c r="D264" s="31" t="inlineStr">
        <is>
          <t>Persistent Systems Limited</t>
        </is>
      </c>
      <c r="E264" s="31" t="inlineStr">
        <is>
          <t>i.t</t>
        </is>
      </c>
      <c r="F264" s="31" t="inlineStr">
        <is>
          <t>computers - software - large</t>
        </is>
      </c>
      <c r="G264" s="31" t="inlineStr">
        <is>
          <t>largecap</t>
        </is>
      </c>
      <c r="H264" s="32" t="n">
        <v>87535.48</v>
      </c>
      <c r="I264" s="32" t="n">
        <v>5575</v>
      </c>
      <c r="J264" s="32" t="n">
        <v>0.47</v>
      </c>
      <c r="K264" s="32" t="n">
        <v>3965510</v>
      </c>
      <c r="L264" s="31" t="n">
        <v>39</v>
      </c>
      <c r="M264" s="31" t="inlineStr">
        <is>
          <t>Outperforming</t>
        </is>
      </c>
      <c r="N264" s="32">
        <f>IF(M264="Underperforming",-5,IF(L264&gt;=95,15,IF(L264&gt;=90,10,IF(L264&gt;=80,5,0))))</f>
        <v/>
      </c>
      <c r="O264" s="32" t="n">
        <v>57.63</v>
      </c>
      <c r="P264" s="32" t="n">
        <v>9.140000000000001</v>
      </c>
      <c r="Q264" s="32" t="inlineStr"/>
      <c r="R264" s="31" t="inlineStr">
        <is>
          <t>Earnings / Momentum Support</t>
        </is>
      </c>
      <c r="S264" s="31" t="inlineStr">
        <is>
          <t>Nifty IT</t>
        </is>
      </c>
      <c r="T264" s="32" t="n">
        <v>-11.37</v>
      </c>
      <c r="U264" s="32" t="n">
        <v>10.41</v>
      </c>
      <c r="V264" s="32" t="n">
        <v>24.57</v>
      </c>
      <c r="W264" s="32" t="n">
        <v>6.19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Headwind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No</t>
        </is>
      </c>
      <c r="AQ264" s="31">
        <f>IF(AP264="Yes",10,0)</f>
        <v/>
      </c>
      <c r="AR264" s="31" t="inlineStr">
        <is>
          <t>Higher Annuity, Lower One Time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0 to 20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3</t>
        </is>
      </c>
      <c r="BC264" s="31">
        <f>IF(BB264="Stage 2",20,IF(BB264="Stage 1",0,IF(BB264="Stage 3",5,IF(BB264="Stage 4",-5,0))))</f>
        <v/>
      </c>
      <c r="BD264" s="31" t="inlineStr">
        <is>
          <t>Negative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Between 12 to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Yes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IF(B265=0,"",RANK(B265,$B$2:$B$366,0))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3" t="inlineStr">
        <is>
          <t>ALKEM</t>
        </is>
      </c>
      <c r="D265" s="33" t="inlineStr">
        <is>
          <t>Alkem Laboratories Limited</t>
        </is>
      </c>
      <c r="E265" s="31" t="inlineStr">
        <is>
          <t>healthcare</t>
        </is>
      </c>
      <c r="F265" s="31" t="inlineStr">
        <is>
          <t>pharmaceuticals - indian - bulk drugs &amp; formln</t>
        </is>
      </c>
      <c r="G265" s="31" t="inlineStr">
        <is>
          <t>largecap</t>
        </is>
      </c>
      <c r="H265" s="32" t="n">
        <v>68767.81</v>
      </c>
      <c r="I265" s="32" t="n">
        <v>5707</v>
      </c>
      <c r="J265" s="32" t="n">
        <v>-0.77</v>
      </c>
      <c r="K265" s="32" t="n">
        <v>363553</v>
      </c>
      <c r="L265" s="31" t="n">
        <v>32</v>
      </c>
      <c r="M265" s="31" t="inlineStr">
        <is>
          <t>Underperforming</t>
        </is>
      </c>
      <c r="N265" s="32">
        <f>IF(M265="Underperforming",-5,IF(L265&gt;=95,15,IF(L265&gt;=90,10,IF(L265&gt;=80,5,0))))</f>
        <v/>
      </c>
      <c r="O265" s="32" t="n">
        <v>58.61</v>
      </c>
      <c r="P265" s="32" t="n">
        <v>23.43</v>
      </c>
      <c r="Q265" s="32" t="inlineStr"/>
      <c r="R265" s="31" t="inlineStr">
        <is>
          <t>Earnings / Momentum Support</t>
        </is>
      </c>
      <c r="S265" s="31" t="inlineStr">
        <is>
          <t>Nifty Pharma</t>
        </is>
      </c>
      <c r="T265" s="32" t="n">
        <v>20.55</v>
      </c>
      <c r="U265" s="32" t="n">
        <v>18.54</v>
      </c>
      <c r="V265" s="32" t="n">
        <v>-1.66</v>
      </c>
      <c r="W265" s="32" t="n">
        <v>4.9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Yes</t>
        </is>
      </c>
      <c r="AC265" s="31">
        <f>IF(AB265="No",5,0)</f>
        <v/>
      </c>
      <c r="AD265" s="31" t="inlineStr">
        <is>
          <t>Headwind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No</t>
        </is>
      </c>
      <c r="AQ265" s="31">
        <f>IF(AP265="Yes",10,0)</f>
        <v/>
      </c>
      <c r="AR265" s="31" t="inlineStr">
        <is>
          <t>Higher Annuity, Lower One Time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20 to 40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3</t>
        </is>
      </c>
      <c r="BC265" s="31">
        <f>IF(BB265="Stage 2",20,IF(BB265="Stage 1",0,IF(BB265="Stage 3",5,IF(BB265="Stage 4",-5,0))))</f>
        <v/>
      </c>
      <c r="BD265" s="31" t="inlineStr">
        <is>
          <t>Negative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Less than 12%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No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Between 50% to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IF(B266=0,"",RANK(B266,$B$2:$B$366,0))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MARINE</t>
        </is>
      </c>
      <c r="D266" s="31" t="inlineStr">
        <is>
          <t>Marine Electricals (India) Ltd</t>
        </is>
      </c>
      <c r="E266" s="31" t="inlineStr">
        <is>
          <t>industrials</t>
        </is>
      </c>
      <c r="F266" s="31" t="inlineStr">
        <is>
          <t>electric equipment</t>
        </is>
      </c>
      <c r="G266" s="31" t="inlineStr">
        <is>
          <t>smallcap</t>
        </is>
      </c>
      <c r="H266" s="32" t="n">
        <v>3722.52</v>
      </c>
      <c r="I266" s="32" t="n">
        <v>287.75</v>
      </c>
      <c r="J266" s="32" t="n">
        <v>8.18</v>
      </c>
      <c r="K266" s="32" t="n">
        <v>1549130</v>
      </c>
      <c r="L266" s="31" t="n">
        <v>70</v>
      </c>
      <c r="M266" s="31" t="inlineStr">
        <is>
          <t>Outperforming</t>
        </is>
      </c>
      <c r="N266" s="32">
        <f>IF(M266="Underperforming",-5,IF(L266&gt;=95,15,IF(L266&gt;=90,10,IF(L266&gt;=80,5,0))))</f>
        <v/>
      </c>
      <c r="O266" s="32" t="n">
        <v>59.61</v>
      </c>
      <c r="P266" s="32" t="n">
        <v>29.89</v>
      </c>
      <c r="Q266" s="32" t="inlineStr"/>
      <c r="R266" s="31" t="inlineStr">
        <is>
          <t>Earnings / Momentum Support</t>
        </is>
      </c>
      <c r="S266" s="31" t="inlineStr">
        <is>
          <t>Nifty 50</t>
        </is>
      </c>
      <c r="T266" s="32" t="n">
        <v>-0.74</v>
      </c>
      <c r="U266" s="32" t="n">
        <v>50.81</v>
      </c>
      <c r="V266" s="32" t="n">
        <v>51.93</v>
      </c>
      <c r="W266" s="32" t="n">
        <v>14.43</v>
      </c>
      <c r="X266" s="31" t="inlineStr">
        <is>
          <t>Cyclical in an Upturn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Headwind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No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20 to 40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3</t>
        </is>
      </c>
      <c r="BC266" s="31">
        <f>IF(BB266="Stage 2",20,IF(BB266="Stage 1",0,IF(BB266="Stage 3",5,IF(BB266="Stage 4",-5,0))))</f>
        <v/>
      </c>
      <c r="BD266" s="31" t="inlineStr">
        <is>
          <t>Negative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Yes</t>
        </is>
      </c>
      <c r="BS266" s="31">
        <f>IF(BR266="NO",5,0)</f>
        <v/>
      </c>
      <c r="BT266" s="31" t="inlineStr">
        <is>
          <t>Between 1.5 to 2</t>
        </is>
      </c>
      <c r="BU266" s="31">
        <f>IF(BT266="Above 2",0,IF(BT266="Between 1.5 to 2",5,IF(BT266="Less than 1.5",10,0)))</f>
        <v/>
      </c>
      <c r="BV266" s="31" t="inlineStr">
        <is>
          <t>Negative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IF(B267=0,"",RANK(B267,$B$2:$B$366,0))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GAEL</t>
        </is>
      </c>
      <c r="D267" s="31" t="inlineStr">
        <is>
          <t>Gujarat Ambuja Exports Limited</t>
        </is>
      </c>
      <c r="E267" s="31" t="inlineStr">
        <is>
          <t>fmcg</t>
        </is>
      </c>
      <c r="F267" s="31" t="inlineStr">
        <is>
          <t>miscellaneous</t>
        </is>
      </c>
      <c r="G267" s="31" t="inlineStr">
        <is>
          <t>midcap</t>
        </is>
      </c>
      <c r="H267" s="32" t="n">
        <v>7894.18</v>
      </c>
      <c r="I267" s="32" t="n">
        <v>180.68</v>
      </c>
      <c r="J267" s="32" t="n">
        <v>4.98</v>
      </c>
      <c r="K267" s="32" t="n">
        <v>8639340</v>
      </c>
      <c r="L267" s="31" t="n">
        <v>38</v>
      </c>
      <c r="M267" s="31" t="inlineStr">
        <is>
          <t>Outperforming</t>
        </is>
      </c>
      <c r="N267" s="32">
        <f>IF(M267="Underperforming",-5,IF(L267&gt;=95,15,IF(L267&gt;=90,10,IF(L267&gt;=80,5,0))))</f>
        <v/>
      </c>
      <c r="O267" s="32" t="n">
        <v>63.81</v>
      </c>
      <c r="P267" s="32" t="n">
        <v>37.37</v>
      </c>
      <c r="Q267" s="32" t="inlineStr"/>
      <c r="R267" s="31" t="inlineStr">
        <is>
          <t>Earnings / Momentum Support</t>
        </is>
      </c>
      <c r="S267" s="31" t="inlineStr">
        <is>
          <t>Nifty FMCG</t>
        </is>
      </c>
      <c r="T267" s="32" t="n">
        <v>-13.73</v>
      </c>
      <c r="U267" s="32" t="n">
        <v>30.8</v>
      </c>
      <c r="V267" s="32" t="n">
        <v>51.62</v>
      </c>
      <c r="W267" s="32" t="n">
        <v>5.8</v>
      </c>
      <c r="X267" s="31" t="inlineStr">
        <is>
          <t>Growing Industry</t>
        </is>
      </c>
      <c r="Y267" s="31">
        <f>IF(X267="Growing Industry",10,IF(X267="Cyclical in an Upturn",5,0))</f>
        <v/>
      </c>
      <c r="Z267" s="31" t="inlineStr">
        <is>
          <t>Oligopoly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Shallow Cyclical (2 to 3 Years Growth)</t>
        </is>
      </c>
      <c r="AG267" s="31">
        <f>IF(AF267="Structural (10 Years Consistency)",10,IF(AF267="Shallow Cyclical (2 to 3 years growth)",5,0))</f>
        <v/>
      </c>
      <c r="AH267" s="31" t="inlineStr">
        <is>
          <t>Yes due to Product Mix change or Operating Leverage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Volatile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Yes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Allocated capital in Non-core Areas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Above 40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3</t>
        </is>
      </c>
      <c r="BC267" s="31">
        <f>IF(BB267="Stage 2",20,IF(BB267="Stage 1",0,IF(BB267="Stage 3",5,IF(BB267="Stage 4",-5,0))))</f>
        <v/>
      </c>
      <c r="BD267" s="31" t="inlineStr">
        <is>
          <t>Negative Trend</t>
        </is>
      </c>
      <c r="BE267" s="31">
        <f>IF(BD267="Positive Trend",20,IF(BD267="Negative Trend",-10,0))</f>
        <v/>
      </c>
      <c r="BF267" s="31" t="inlineStr">
        <is>
          <t>Sideways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Overhead supply in last 2 years in last 2 years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More than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No</t>
        </is>
      </c>
      <c r="BS267" s="31">
        <f>IF(BR267="NO",5,0)</f>
        <v/>
      </c>
      <c r="BT267" s="31" t="inlineStr">
        <is>
          <t>Less than 1.5</t>
        </is>
      </c>
      <c r="BU267" s="31">
        <f>IF(BT267="Above 2",0,IF(BT267="Between 1.5 to 2",5,IF(BT267="Less than 1.5",10,0)))</f>
        <v/>
      </c>
      <c r="BV267" s="31" t="inlineStr">
        <is>
          <t>Above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More than 15%</t>
        </is>
      </c>
      <c r="CC267" s="31">
        <f>IF(CB267="More than 15%",-10,IF(CB267="Less than 15%",10,0))</f>
        <v/>
      </c>
      <c r="CD267" s="31" t="inlineStr">
        <is>
          <t>Yes Upto 10%</t>
        </is>
      </c>
      <c r="CE267" s="31">
        <f>IF(CD267="Yes, more than 10%",-10,IF(CD267="No",10,0))</f>
        <v/>
      </c>
    </row>
    <row r="268">
      <c r="A268" s="31">
        <f>IF(B268=0,"",RANK(B268,$B$2:$B$366,0))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1" t="inlineStr">
        <is>
          <t>GUJALKALI</t>
        </is>
      </c>
      <c r="D268" s="31" t="inlineStr">
        <is>
          <t>Gujarat Alkalies And Chemicals Limited</t>
        </is>
      </c>
      <c r="E268" s="31" t="inlineStr">
        <is>
          <t>chemicals</t>
        </is>
      </c>
      <c r="F268" s="31" t="inlineStr">
        <is>
          <t>chemicals</t>
        </is>
      </c>
      <c r="G268" s="31" t="inlineStr">
        <is>
          <t>smallcap</t>
        </is>
      </c>
      <c r="H268" s="32" t="n">
        <v>4926.15</v>
      </c>
      <c r="I268" s="32" t="n">
        <v>697.25</v>
      </c>
      <c r="J268" s="32" t="n">
        <v>3.94</v>
      </c>
      <c r="K268" s="32" t="n">
        <v>465124</v>
      </c>
      <c r="L268" s="31" t="n">
        <v>36</v>
      </c>
      <c r="M268" s="31" t="inlineStr">
        <is>
          <t>Outperforming</t>
        </is>
      </c>
      <c r="N268" s="32">
        <f>IF(M268="Underperforming",-5,IF(L268&gt;=95,15,IF(L268&gt;=90,10,IF(L268&gt;=80,5,0))))</f>
        <v/>
      </c>
      <c r="O268" s="32" t="n">
        <v>57.69</v>
      </c>
      <c r="P268" s="32" t="n">
        <v>31.71</v>
      </c>
      <c r="Q268" s="32" t="inlineStr"/>
      <c r="R268" s="31" t="inlineStr">
        <is>
          <t>Earnings / Momentum Support</t>
        </is>
      </c>
      <c r="S268" s="31" t="inlineStr">
        <is>
          <t>Nifty 50</t>
        </is>
      </c>
      <c r="T268" s="32" t="n">
        <v>-0.74</v>
      </c>
      <c r="U268" s="32" t="n">
        <v>20.1</v>
      </c>
      <c r="V268" s="32" t="n">
        <v>21</v>
      </c>
      <c r="W268" s="32" t="n">
        <v>5.46</v>
      </c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Oligopoly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Shallow Cyclical (2 to 3 Years Growth)</t>
        </is>
      </c>
      <c r="AG268" s="31">
        <f>IF(AF268="Structural (10 Years Consistency)",10,IF(AF268="Shallow Cyclical (2 to 3 years growth)",5,0))</f>
        <v/>
      </c>
      <c r="AH268" s="31" t="inlineStr">
        <is>
          <t>Yes due to Product Mix change or Operating Leverage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Volatile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Yes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Allocated capital in Non-core Areas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Above 40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3</t>
        </is>
      </c>
      <c r="BC268" s="31">
        <f>IF(BB268="Stage 2",20,IF(BB268="Stage 1",0,IF(BB268="Stage 3",5,IF(BB268="Stage 4",-5,0))))</f>
        <v/>
      </c>
      <c r="BD268" s="31" t="inlineStr">
        <is>
          <t>Negative Trend</t>
        </is>
      </c>
      <c r="BE268" s="31">
        <f>IF(BD268="Positive Trend",20,IF(BD268="Negative Trend",-10,0))</f>
        <v/>
      </c>
      <c r="BF268" s="31" t="inlineStr">
        <is>
          <t>Sideways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Overhead supply in last 2 years in last 2 years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No</t>
        </is>
      </c>
      <c r="BS268" s="31">
        <f>IF(BR268="NO",5,0)</f>
        <v/>
      </c>
      <c r="BT268" s="31" t="inlineStr">
        <is>
          <t>Less than 1.5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More than 15%</t>
        </is>
      </c>
      <c r="CC268" s="31">
        <f>IF(CB268="More than 15%",-10,IF(CB268="Less than 15%",10,0))</f>
        <v/>
      </c>
      <c r="CD268" s="31" t="inlineStr">
        <is>
          <t>Yes Upto 10%</t>
        </is>
      </c>
      <c r="CE268" s="31">
        <f>IF(CD268="Yes, more than 10%",-10,IF(CD268="No",10,0))</f>
        <v/>
      </c>
    </row>
    <row r="269">
      <c r="A269" s="31">
        <f>IF(B269=0,"",RANK(B269,$B$2:$B$366,0))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3MINDIA</t>
        </is>
      </c>
      <c r="D269" s="31" t="inlineStr">
        <is>
          <t>3m India Limited</t>
        </is>
      </c>
      <c r="E269" s="31" t="inlineStr">
        <is>
          <t>miscellaneous</t>
        </is>
      </c>
      <c r="F269" s="31" t="inlineStr">
        <is>
          <t>diversified - large</t>
        </is>
      </c>
      <c r="G269" s="31" t="inlineStr">
        <is>
          <t>largecap</t>
        </is>
      </c>
      <c r="H269" s="32" t="n">
        <v>38994.04</v>
      </c>
      <c r="I269" s="32" t="n">
        <v>35800</v>
      </c>
      <c r="J269" s="32" t="n">
        <v>3.42</v>
      </c>
      <c r="K269" s="32" t="n">
        <v>6489</v>
      </c>
      <c r="L269" s="31" t="n">
        <v>27</v>
      </c>
      <c r="M269" s="31" t="inlineStr">
        <is>
          <t>Outperforming</t>
        </is>
      </c>
      <c r="N269" s="32">
        <f>IF(M269="Underperforming",-5,IF(L269&gt;=95,15,IF(L269&gt;=90,10,IF(L269&gt;=80,5,0))))</f>
        <v/>
      </c>
      <c r="O269" s="32" t="n">
        <v>56.53</v>
      </c>
      <c r="P269" s="32" t="n">
        <v>14.47</v>
      </c>
      <c r="Q269" s="32" t="inlineStr"/>
      <c r="R269" s="31" t="inlineStr">
        <is>
          <t>Earnings / Momentum Support</t>
        </is>
      </c>
      <c r="S269" s="31" t="inlineStr">
        <is>
          <t>Nifty 50</t>
        </is>
      </c>
      <c r="T269" s="32" t="n">
        <v>-0.74</v>
      </c>
      <c r="U269" s="32" t="n">
        <v>13.63</v>
      </c>
      <c r="V269" s="32" t="n">
        <v>14.47</v>
      </c>
      <c r="W269" s="32" t="n">
        <v>3.96</v>
      </c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Headwind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No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0 to 20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3</t>
        </is>
      </c>
      <c r="BC269" s="31">
        <f>IF(BB269="Stage 2",20,IF(BB269="Stage 1",0,IF(BB269="Stage 3",5,IF(BB269="Stage 4",-5,0))))</f>
        <v/>
      </c>
      <c r="BD269" s="31" t="inlineStr">
        <is>
          <t>Negative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More than 20%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Yes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Between 50% to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IF(B270=0,"",RANK(B270,$B$2:$B$366,0))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FLUOROCHEM</t>
        </is>
      </c>
      <c r="D270" s="31" t="inlineStr">
        <is>
          <t>Gujarat Fluorochemicals Ltd</t>
        </is>
      </c>
      <c r="E270" s="31" t="inlineStr">
        <is>
          <t>chemicals</t>
        </is>
      </c>
      <c r="F270" s="31" t="inlineStr">
        <is>
          <t>chemicals</t>
        </is>
      </c>
      <c r="G270" s="31" t="inlineStr">
        <is>
          <t>largecap</t>
        </is>
      </c>
      <c r="H270" s="32" t="n">
        <v>47969.3</v>
      </c>
      <c r="I270" s="32" t="n">
        <v>4483.5</v>
      </c>
      <c r="J270" s="32" t="n">
        <v>2.67</v>
      </c>
      <c r="K270" s="32" t="n">
        <v>125714</v>
      </c>
      <c r="L270" s="31" t="n">
        <v>56</v>
      </c>
      <c r="M270" s="31" t="inlineStr">
        <is>
          <t>Outperforming</t>
        </is>
      </c>
      <c r="N270" s="32">
        <f>IF(M270="Underperforming",-5,IF(L270&gt;=95,15,IF(L270&gt;=90,10,IF(L270&gt;=80,5,0))))</f>
        <v/>
      </c>
      <c r="O270" s="32" t="n">
        <v>66.52</v>
      </c>
      <c r="P270" s="32" t="n">
        <v>27.17</v>
      </c>
      <c r="Q270" s="32" t="inlineStr"/>
      <c r="R270" s="31" t="inlineStr">
        <is>
          <t>Earnings / Momentum Support</t>
        </is>
      </c>
      <c r="S270" s="31" t="inlineStr">
        <is>
          <t>Nifty 50</t>
        </is>
      </c>
      <c r="T270" s="32" t="n">
        <v>-0.74</v>
      </c>
      <c r="U270" s="32" t="n">
        <v>25.03</v>
      </c>
      <c r="V270" s="32" t="n">
        <v>25.96</v>
      </c>
      <c r="W270" s="32" t="n">
        <v>10.05</v>
      </c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Oligopoly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Shallow Cyclical (2 to 3 Years Growth)</t>
        </is>
      </c>
      <c r="AG270" s="31">
        <f>IF(AF270="Structural (10 Years Consistency)",10,IF(AF270="Shallow Cyclical (2 to 3 years growth)",5,0))</f>
        <v/>
      </c>
      <c r="AH270" s="31" t="inlineStr">
        <is>
          <t>Yes due to Product Mix change or Operating Leverage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Volatile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Yes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Allocated capital in Non-core Areas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Above 40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3</t>
        </is>
      </c>
      <c r="BC270" s="31">
        <f>IF(BB270="Stage 2",20,IF(BB270="Stage 1",0,IF(BB270="Stage 3",5,IF(BB270="Stage 4",-5,0))))</f>
        <v/>
      </c>
      <c r="BD270" s="31" t="inlineStr">
        <is>
          <t>Negative Trend</t>
        </is>
      </c>
      <c r="BE270" s="31">
        <f>IF(BD270="Positive Trend",20,IF(BD270="Negative Trend",-10,0))</f>
        <v/>
      </c>
      <c r="BF270" s="31" t="inlineStr">
        <is>
          <t>Sideways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Overhead supply in last 2 years in last 2 years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More than 20%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No</t>
        </is>
      </c>
      <c r="BS270" s="31">
        <f>IF(BR270="NO",5,0)</f>
        <v/>
      </c>
      <c r="BT270" s="31" t="inlineStr">
        <is>
          <t>Less than 1.5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More than 15%</t>
        </is>
      </c>
      <c r="CC270" s="31">
        <f>IF(CB270="More than 15%",-10,IF(CB270="Less than 15%",10,0))</f>
        <v/>
      </c>
      <c r="CD270" s="31" t="inlineStr">
        <is>
          <t>Yes Upto 10%</t>
        </is>
      </c>
      <c r="CE270" s="31">
        <f>IF(CD270="Yes, more than 10%",-10,IF(CD270="No",10,0))</f>
        <v/>
      </c>
    </row>
    <row r="271">
      <c r="A271" s="31">
        <f>IF(B271=0,"",RANK(B271,$B$2:$B$366,0))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TITAN</t>
        </is>
      </c>
      <c r="D271" s="31" t="inlineStr">
        <is>
          <t>Titan Company Limited</t>
        </is>
      </c>
      <c r="E271" s="31" t="inlineStr">
        <is>
          <t>consumer discretionary</t>
        </is>
      </c>
      <c r="F271" s="31" t="inlineStr">
        <is>
          <t>diamond cutting / jewellery</t>
        </is>
      </c>
      <c r="G271" s="31" t="inlineStr">
        <is>
          <t>largecap</t>
        </is>
      </c>
      <c r="H271" s="32" t="n">
        <v>432813.51</v>
      </c>
      <c r="I271" s="32" t="n">
        <v>5000</v>
      </c>
      <c r="J271" s="32" t="n">
        <v>2.56</v>
      </c>
      <c r="K271" s="32" t="n">
        <v>1442659</v>
      </c>
      <c r="L271" s="31" t="n">
        <v>58</v>
      </c>
      <c r="M271" s="31" t="inlineStr">
        <is>
          <t>Outperforming</t>
        </is>
      </c>
      <c r="N271" s="32">
        <f>IF(M271="Underperforming",-5,IF(L271&gt;=95,15,IF(L271&gt;=90,10,IF(L271&gt;=80,5,0))))</f>
        <v/>
      </c>
      <c r="O271" s="32" t="n">
        <v>68.25</v>
      </c>
      <c r="P271" s="32" t="n">
        <v>20.29</v>
      </c>
      <c r="Q271" s="32" t="inlineStr"/>
      <c r="R271" s="31" t="inlineStr">
        <is>
          <t>Earnings / Momentum Support</t>
        </is>
      </c>
      <c r="S271" s="31" t="inlineStr">
        <is>
          <t>Nifty 50</t>
        </is>
      </c>
      <c r="T271" s="32" t="n">
        <v>-0.74</v>
      </c>
      <c r="U271" s="32" t="n">
        <v>47.5</v>
      </c>
      <c r="V271" s="32" t="n">
        <v>48.6</v>
      </c>
      <c r="W271" s="32" t="n">
        <v>10.49</v>
      </c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Headwind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No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20 to 40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3</t>
        </is>
      </c>
      <c r="BC271" s="31">
        <f>IF(BB271="Stage 2",20,IF(BB271="Stage 1",0,IF(BB271="Stage 3",5,IF(BB271="Stage 4",-5,0))))</f>
        <v/>
      </c>
      <c r="BD271" s="31" t="inlineStr">
        <is>
          <t>Negative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More than 20%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Yes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Above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More than 1.2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IF(B272=0,"",RANK(B272,$B$2:$B$366,0))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3" t="inlineStr">
        <is>
          <t>UNOMINDA</t>
        </is>
      </c>
      <c r="D272" s="33" t="inlineStr">
        <is>
          <t>Uno Minda Ltd</t>
        </is>
      </c>
      <c r="E272" s="31" t="inlineStr">
        <is>
          <t>auto</t>
        </is>
      </c>
      <c r="F272" s="31" t="inlineStr">
        <is>
          <t>auto ancillaries</t>
        </is>
      </c>
      <c r="G272" s="31" t="inlineStr">
        <is>
          <t>largecap</t>
        </is>
      </c>
      <c r="H272" s="32" t="n">
        <v>68170</v>
      </c>
      <c r="I272" s="32" t="n">
        <v>1210</v>
      </c>
      <c r="J272" s="32" t="n">
        <v>2.5</v>
      </c>
      <c r="K272" s="32" t="n">
        <v>2418994</v>
      </c>
      <c r="L272" s="31" t="n">
        <v>20</v>
      </c>
      <c r="M272" s="31" t="inlineStr">
        <is>
          <t>Underperforming</t>
        </is>
      </c>
      <c r="N272" s="32">
        <f>IF(M272="Underperforming",-5,IF(L272&gt;=95,15,IF(L272&gt;=90,10,IF(L272&gt;=80,5,0))))</f>
        <v/>
      </c>
      <c r="O272" s="32" t="n">
        <v>55.33</v>
      </c>
      <c r="P272" s="32" t="n">
        <v>16.64</v>
      </c>
      <c r="Q272" s="32" t="inlineStr"/>
      <c r="R272" s="31" t="inlineStr">
        <is>
          <t>Earnings / Momentum Support</t>
        </is>
      </c>
      <c r="S272" s="31" t="inlineStr">
        <is>
          <t>Nifty Auto</t>
        </is>
      </c>
      <c r="T272" s="32" t="n">
        <v>13.41</v>
      </c>
      <c r="U272" s="32" t="n">
        <v>6.28</v>
      </c>
      <c r="V272" s="32" t="n">
        <v>-6.29</v>
      </c>
      <c r="W272" s="32" t="n">
        <v>2.51</v>
      </c>
      <c r="X272" s="31" t="inlineStr">
        <is>
          <t>Growing Industry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Headwind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No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0 to 20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3</t>
        </is>
      </c>
      <c r="BC272" s="31">
        <f>IF(BB272="Stage 2",20,IF(BB272="Stage 1",0,IF(BB272="Stage 3",5,IF(BB272="Stage 4",-5,0))))</f>
        <v/>
      </c>
      <c r="BD272" s="31" t="inlineStr">
        <is>
          <t>Negative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More than 20%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Yes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Above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IF(B273=0,"",RANK(B273,$B$2:$B$366,0))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1" t="inlineStr">
        <is>
          <t>SOUTHWEST</t>
        </is>
      </c>
      <c r="D273" s="31" t="inlineStr">
        <is>
          <t>South West Pinnacle Exploration Ltd</t>
        </is>
      </c>
      <c r="E273" s="31" t="inlineStr">
        <is>
          <t>metals &amp; mining</t>
        </is>
      </c>
      <c r="F273" s="31" t="inlineStr">
        <is>
          <t>mining / minerals / metals</t>
        </is>
      </c>
      <c r="G273" s="31" t="inlineStr">
        <is>
          <t>smallcap</t>
        </is>
      </c>
      <c r="H273" s="32" t="n">
        <v>777.99</v>
      </c>
      <c r="I273" s="32" t="n">
        <v>240.44</v>
      </c>
      <c r="J273" s="32" t="n">
        <v>0.91</v>
      </c>
      <c r="K273" s="32" t="n">
        <v>106951</v>
      </c>
      <c r="L273" s="31" t="n">
        <v>51</v>
      </c>
      <c r="M273" s="31" t="inlineStr">
        <is>
          <t>Outperforming</t>
        </is>
      </c>
      <c r="N273" s="32">
        <f>IF(M273="Underperforming",-5,IF(L273&gt;=95,15,IF(L273&gt;=90,10,IF(L273&gt;=80,5,0))))</f>
        <v/>
      </c>
      <c r="O273" s="32" t="n">
        <v>56.31</v>
      </c>
      <c r="P273" s="32" t="n">
        <v>27.72</v>
      </c>
      <c r="Q273" s="32" t="inlineStr"/>
      <c r="R273" s="31" t="inlineStr">
        <is>
          <t>Earnings / Momentum Support</t>
        </is>
      </c>
      <c r="S273" s="31" t="inlineStr">
        <is>
          <t>Nifty Metal</t>
        </is>
      </c>
      <c r="T273" s="32" t="n">
        <v>31.49</v>
      </c>
      <c r="U273" s="32" t="n">
        <v>47.84</v>
      </c>
      <c r="V273" s="32" t="n">
        <v>12.43</v>
      </c>
      <c r="W273" s="32" t="n">
        <v>8.890000000000001</v>
      </c>
      <c r="X273" s="31" t="inlineStr">
        <is>
          <t>Cyclical in an Upturn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Headwind</t>
        </is>
      </c>
      <c r="AE273" s="31">
        <f>IF(AD273="Tailwind",10,0)</f>
        <v/>
      </c>
      <c r="AF273" s="31" t="inlineStr">
        <is>
          <t>Cyclical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Volatile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No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20 to 40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3</t>
        </is>
      </c>
      <c r="BC273" s="31">
        <f>IF(BB273="Stage 2",20,IF(BB273="Stage 1",0,IF(BB273="Stage 3",5,IF(BB273="Stage 4",-5,0))))</f>
        <v/>
      </c>
      <c r="BD273" s="31" t="inlineStr">
        <is>
          <t>Negative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More than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No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IF(B274=0,"",RANK(B274,$B$2:$B$366,0))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BHARATFORG</t>
        </is>
      </c>
      <c r="D274" s="31" t="inlineStr">
        <is>
          <t>Bharat Forge Limited</t>
        </is>
      </c>
      <c r="E274" s="31" t="inlineStr">
        <is>
          <t>industrials</t>
        </is>
      </c>
      <c r="F274" s="31" t="inlineStr">
        <is>
          <t>castings &amp; forgings</t>
        </is>
      </c>
      <c r="G274" s="31" t="inlineStr">
        <is>
          <t>largecap</t>
        </is>
      </c>
      <c r="H274" s="32" t="n">
        <v>105169.94</v>
      </c>
      <c r="I274" s="32" t="n">
        <v>2211</v>
      </c>
      <c r="J274" s="32" t="n">
        <v>0.51</v>
      </c>
      <c r="K274" s="32" t="n">
        <v>1732438</v>
      </c>
      <c r="L274" s="31" t="n">
        <v>79</v>
      </c>
      <c r="M274" s="31" t="inlineStr">
        <is>
          <t>Outperforming</t>
        </is>
      </c>
      <c r="N274" s="32">
        <f>IF(M274="Underperforming",-5,IF(L274&gt;=95,15,IF(L274&gt;=90,10,IF(L274&gt;=80,5,0))))</f>
        <v/>
      </c>
      <c r="O274" s="32" t="n">
        <v>71.25</v>
      </c>
      <c r="P274" s="32" t="n">
        <v>46.75</v>
      </c>
      <c r="Q274" s="32" t="inlineStr"/>
      <c r="R274" s="31" t="inlineStr">
        <is>
          <t>Earnings / Momentum Support</t>
        </is>
      </c>
      <c r="S274" s="31" t="inlineStr">
        <is>
          <t>Nifty 500</t>
        </is>
      </c>
      <c r="T274" s="32" t="n">
        <v>3.47</v>
      </c>
      <c r="U274" s="32" t="n">
        <v>92.73999999999999</v>
      </c>
      <c r="V274" s="32" t="n">
        <v>86.27</v>
      </c>
      <c r="W274" s="32" t="n">
        <v>18.17</v>
      </c>
      <c r="X274" s="31" t="inlineStr">
        <is>
          <t>Cyclical in an Upturn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Headwind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No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Above 40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3</t>
        </is>
      </c>
      <c r="BC274" s="31">
        <f>IF(BB274="Stage 2",20,IF(BB274="Stage 1",0,IF(BB274="Stage 3",5,IF(BB274="Stage 4",-5,0))))</f>
        <v/>
      </c>
      <c r="BD274" s="31" t="inlineStr">
        <is>
          <t>Negative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Less than 12%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Yes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Between 50% to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Between 0.7 to 1.2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IF(B275=0,"",RANK(B275,$B$2:$B$366,0))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1" t="inlineStr">
        <is>
          <t>LANDMARK</t>
        </is>
      </c>
      <c r="D275" s="31" t="inlineStr">
        <is>
          <t>Landmark Cars Ltd</t>
        </is>
      </c>
      <c r="E275" s="31" t="inlineStr">
        <is>
          <t>consumer discretionary</t>
        </is>
      </c>
      <c r="F275" s="31" t="inlineStr">
        <is>
          <t>trading</t>
        </is>
      </c>
      <c r="G275" s="31" t="inlineStr">
        <is>
          <t>smallcap</t>
        </is>
      </c>
      <c r="H275" s="32" t="n">
        <v>2242.22</v>
      </c>
      <c r="I275" s="32" t="n">
        <v>542.9</v>
      </c>
      <c r="J275" s="32" t="n">
        <v>0.4</v>
      </c>
      <c r="K275" s="32" t="n">
        <v>265415</v>
      </c>
      <c r="L275" s="31" t="n">
        <v>61</v>
      </c>
      <c r="M275" s="31" t="inlineStr">
        <is>
          <t>Outperforming</t>
        </is>
      </c>
      <c r="N275" s="32">
        <f>IF(M275="Underperforming",-5,IF(L275&gt;=95,15,IF(L275&gt;=90,10,IF(L275&gt;=80,5,0))))</f>
        <v/>
      </c>
      <c r="O275" s="32" t="n">
        <v>65.86</v>
      </c>
      <c r="P275" s="32" t="n">
        <v>20.82</v>
      </c>
      <c r="Q275" s="32" t="inlineStr"/>
      <c r="R275" s="31" t="inlineStr">
        <is>
          <t>Earnings / Momentum Support</t>
        </is>
      </c>
      <c r="S275" s="31" t="inlineStr">
        <is>
          <t>Nifty 50</t>
        </is>
      </c>
      <c r="T275" s="32" t="n">
        <v>-0.74</v>
      </c>
      <c r="U275" s="32" t="n">
        <v>9.92</v>
      </c>
      <c r="V275" s="32" t="n">
        <v>10.74</v>
      </c>
      <c r="W275" s="32" t="n">
        <v>11.84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Headwind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No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20 to 40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3</t>
        </is>
      </c>
      <c r="BC275" s="31">
        <f>IF(BB275="Stage 2",20,IF(BB275="Stage 1",0,IF(BB275="Stage 3",5,IF(BB275="Stage 4",-5,0))))</f>
        <v/>
      </c>
      <c r="BD275" s="31" t="inlineStr">
        <is>
          <t>Negative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More than 20%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Yes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More than 1.2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IF(B276=0,"",RANK(B276,$B$2:$B$366,0))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SBC</t>
        </is>
      </c>
      <c r="D276" s="31" t="inlineStr">
        <is>
          <t>SBC Exports Ltd</t>
        </is>
      </c>
      <c r="E276" s="31" t="inlineStr">
        <is>
          <t>textiles</t>
        </is>
      </c>
      <c r="F276" s="31" t="inlineStr">
        <is>
          <t>textiles - products</t>
        </is>
      </c>
      <c r="G276" s="31" t="inlineStr">
        <is>
          <t>smallcap</t>
        </is>
      </c>
      <c r="H276" s="32" t="n">
        <v>2000.47</v>
      </c>
      <c r="I276" s="32" t="n">
        <v>41.99</v>
      </c>
      <c r="J276" s="32" t="n">
        <v>-0.05</v>
      </c>
      <c r="K276" s="32" t="n">
        <v>7304655</v>
      </c>
      <c r="L276" s="31" t="n">
        <v>88</v>
      </c>
      <c r="M276" s="31" t="inlineStr">
        <is>
          <t>Outperforming</t>
        </is>
      </c>
      <c r="N276" s="32">
        <f>IF(M276="Underperforming",-5,IF(L276&gt;=95,15,IF(L276&gt;=90,10,IF(L276&gt;=80,5,0))))</f>
        <v/>
      </c>
      <c r="O276" s="32" t="n">
        <v>71.94</v>
      </c>
      <c r="P276" s="32" t="n">
        <v>42.76</v>
      </c>
      <c r="Q276" s="32" t="inlineStr"/>
      <c r="R276" s="31" t="inlineStr">
        <is>
          <t>Earnings / Momentum Support</t>
        </is>
      </c>
      <c r="S276" s="31" t="inlineStr">
        <is>
          <t>Nifty 50</t>
        </is>
      </c>
      <c r="T276" s="32" t="n">
        <v>-0.74</v>
      </c>
      <c r="U276" s="32" t="n">
        <v>133.13</v>
      </c>
      <c r="V276" s="32" t="n">
        <v>134.87</v>
      </c>
      <c r="W276" s="32" t="n">
        <v>23.87</v>
      </c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Headwind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Above 40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3</t>
        </is>
      </c>
      <c r="BC276" s="31">
        <f>IF(BB276="Stage 2",20,IF(BB276="Stage 1",0,IF(BB276="Stage 3",5,IF(BB276="Stage 4",-5,0))))</f>
        <v/>
      </c>
      <c r="BD276" s="31" t="inlineStr">
        <is>
          <t>Negative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More than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Yes</t>
        </is>
      </c>
      <c r="BS276" s="31">
        <f>IF(BR276="NO",5,0)</f>
        <v/>
      </c>
      <c r="BT276" s="31" t="inlineStr">
        <is>
          <t>Between 1.5 to 2</t>
        </is>
      </c>
      <c r="BU276" s="31">
        <f>IF(BT276="Above 2",0,IF(BT276="Between 1.5 to 2",5,IF(BT276="Less than 1.5",10,0)))</f>
        <v/>
      </c>
      <c r="BV276" s="31" t="inlineStr">
        <is>
          <t>Negative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More than 1.2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IF(B277=0,"",RANK(B277,$B$2:$B$366,0))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1" t="inlineStr">
        <is>
          <t>KECL</t>
        </is>
      </c>
      <c r="D277" s="31" t="inlineStr">
        <is>
          <t>Kirloskar Electric Company Limited</t>
        </is>
      </c>
      <c r="E277" s="31" t="inlineStr">
        <is>
          <t>industrials</t>
        </is>
      </c>
      <c r="F277" s="31" t="inlineStr">
        <is>
          <t>electric equipment</t>
        </is>
      </c>
      <c r="G277" s="31" t="inlineStr">
        <is>
          <t>smallcap</t>
        </is>
      </c>
      <c r="H277" s="32" t="n">
        <v>915.12</v>
      </c>
      <c r="I277" s="32" t="n">
        <v>135</v>
      </c>
      <c r="J277" s="32" t="n">
        <v>-2.02</v>
      </c>
      <c r="K277" s="32" t="n">
        <v>303164</v>
      </c>
      <c r="L277" s="31" t="n">
        <v>46</v>
      </c>
      <c r="M277" s="31" t="inlineStr">
        <is>
          <t>Outperforming</t>
        </is>
      </c>
      <c r="N277" s="32">
        <f>IF(M277="Underperforming",-5,IF(L277&gt;=95,15,IF(L277&gt;=90,10,IF(L277&gt;=80,5,0))))</f>
        <v/>
      </c>
      <c r="O277" s="32" t="n">
        <v>63.82</v>
      </c>
      <c r="P277" s="32" t="n">
        <v>26.96</v>
      </c>
      <c r="Q277" s="32" t="inlineStr"/>
      <c r="R277" s="31" t="inlineStr">
        <is>
          <t>Earnings / Momentum Support</t>
        </is>
      </c>
      <c r="S277" s="31" t="inlineStr">
        <is>
          <t>Nifty 50</t>
        </is>
      </c>
      <c r="T277" s="32" t="n">
        <v>-0.74</v>
      </c>
      <c r="U277" s="32" t="n">
        <v>11.83</v>
      </c>
      <c r="V277" s="32" t="n">
        <v>12.67</v>
      </c>
      <c r="W277" s="32" t="n">
        <v>7.46</v>
      </c>
      <c r="X277" s="31" t="inlineStr">
        <is>
          <t>Cyclical in an Upturn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Headwind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No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20 to 40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3</t>
        </is>
      </c>
      <c r="BC277" s="31">
        <f>IF(BB277="Stage 2",20,IF(BB277="Stage 1",0,IF(BB277="Stage 3",5,IF(BB277="Stage 4",-5,0))))</f>
        <v/>
      </c>
      <c r="BD277" s="31" t="inlineStr">
        <is>
          <t>Negative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More than 20%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Yes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Between 50% to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Between 0.7 to 1.2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IF(B278=0,"",RANK(B278,$B$2:$B$366,0))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1" t="inlineStr">
        <is>
          <t>POLICYBZR</t>
        </is>
      </c>
      <c r="D278" s="31" t="inlineStr">
        <is>
          <t>PB Fintech Ltd</t>
        </is>
      </c>
      <c r="E278" s="31" t="inlineStr">
        <is>
          <t>i.t</t>
        </is>
      </c>
      <c r="F278" s="31" t="inlineStr">
        <is>
          <t>miscellaneous</t>
        </is>
      </c>
      <c r="G278" s="31" t="inlineStr">
        <is>
          <t>largecap</t>
        </is>
      </c>
      <c r="H278" s="32" t="n">
        <v>74100.58</v>
      </c>
      <c r="I278" s="32" t="n">
        <v>1650</v>
      </c>
      <c r="J278" s="32" t="n">
        <v>3.03</v>
      </c>
      <c r="K278" s="32" t="n">
        <v>1901991</v>
      </c>
      <c r="L278" s="31" t="n">
        <v>4</v>
      </c>
      <c r="M278" s="31" t="inlineStr">
        <is>
          <t>Outperforming</t>
        </is>
      </c>
      <c r="N278" s="32">
        <f>IF(M278="Underperforming",-5,IF(L278&gt;=95,15,IF(L278&gt;=90,10,IF(L278&gt;=80,5,0))))</f>
        <v/>
      </c>
      <c r="O278" s="32" t="n">
        <v>49.31</v>
      </c>
      <c r="P278" s="32" t="n">
        <v>5.7</v>
      </c>
      <c r="Q278" s="32" t="inlineStr"/>
      <c r="R278" s="31" t="inlineStr">
        <is>
          <t>Earnings / Momentum Support</t>
        </is>
      </c>
      <c r="S278" s="31" t="inlineStr">
        <is>
          <t>Nifty IT</t>
        </is>
      </c>
      <c r="T278" s="32" t="n">
        <v>-11.37</v>
      </c>
      <c r="U278" s="32" t="n">
        <v>-10.07</v>
      </c>
      <c r="V278" s="32" t="n">
        <v>1.47</v>
      </c>
      <c r="W278" s="32" t="n">
        <v>-2.78</v>
      </c>
      <c r="X278" s="31" t="inlineStr">
        <is>
          <t>Growing Industry</t>
        </is>
      </c>
      <c r="Y278" s="31">
        <f>IF(X278="Growing Industry",10,IF(X278="Cyclical in an Upturn",5,0))</f>
        <v/>
      </c>
      <c r="Z278" s="31" t="inlineStr">
        <is>
          <t>Monopoly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Yes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Volatile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B2C</t>
        </is>
      </c>
      <c r="AO278" s="31">
        <f>IF(AN278="B2C",10,IF(AN278="B2B",5,0))</f>
        <v/>
      </c>
      <c r="AP278" s="31" t="inlineStr">
        <is>
          <t>Yes</t>
        </is>
      </c>
      <c r="AQ278" s="31">
        <f>IF(AP278="Yes",10,0)</f>
        <v/>
      </c>
      <c r="AR278" s="31" t="inlineStr">
        <is>
          <t>Fully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Allocated capital in Non-core Areas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20 to 40</t>
        </is>
      </c>
      <c r="AY278" s="31">
        <f>IF(AX278="Above 40",20,IF(AX278="20 to 40",10,IF(AX278="0 to 20",-5,0)))</f>
        <v/>
      </c>
      <c r="AZ278" s="31" t="inlineStr">
        <is>
          <t>Below 45</t>
        </is>
      </c>
      <c r="BA278" s="31">
        <f>IF(AZ278="Between 50 to 75",10,IF(AZ278="Above 75",0,0))</f>
        <v/>
      </c>
      <c r="BB278" s="31" t="inlineStr">
        <is>
          <t>Stage 1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Downtrend</t>
        </is>
      </c>
      <c r="BG278" s="31">
        <f>IF(BF278="Uptrend",10,IF(BF278="Sideways",5,0))</f>
        <v/>
      </c>
      <c r="BH278" s="31" t="inlineStr">
        <is>
          <t>Downtrend</t>
        </is>
      </c>
      <c r="BI278" s="31">
        <f>IF(BH278="Uptrend",10,IF(BH278="Sideways",5,0))</f>
        <v/>
      </c>
      <c r="BJ278" s="31" t="inlineStr">
        <is>
          <t>Overhead supply in last 2 years in last 2 years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Less than 12%</t>
        </is>
      </c>
      <c r="BO278" s="31">
        <f>IF(BN278="More than 20%",10,IF(BN278="Between 12 to 20%",5,IF(BN278="Less than 12%",0,0)))</f>
        <v/>
      </c>
      <c r="BP278" s="31" t="inlineStr">
        <is>
          <t>Yes</t>
        </is>
      </c>
      <c r="BQ278" s="31">
        <f>IF(BP278="No",10,0)</f>
        <v/>
      </c>
      <c r="BR278" s="31" t="inlineStr">
        <is>
          <t>Yes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IF(B279=0,"",RANK(B279,$B$2:$B$366,0))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TI</t>
        </is>
      </c>
      <c r="D279" s="31" t="inlineStr">
        <is>
          <t>Tilaknagar Industries Limited</t>
        </is>
      </c>
      <c r="E279" s="31" t="inlineStr">
        <is>
          <t>fmcg</t>
        </is>
      </c>
      <c r="F279" s="31" t="inlineStr">
        <is>
          <t>breweries &amp; distilleries</t>
        </is>
      </c>
      <c r="G279" s="31" t="inlineStr">
        <is>
          <t>midcap</t>
        </is>
      </c>
      <c r="H279" s="32" t="n">
        <v>11511.25</v>
      </c>
      <c r="I279" s="32" t="n">
        <v>465.8</v>
      </c>
      <c r="J279" s="32" t="n">
        <v>0.14</v>
      </c>
      <c r="K279" s="32" t="n">
        <v>1070942</v>
      </c>
      <c r="L279" s="31" t="n">
        <v>16</v>
      </c>
      <c r="M279" s="31" t="inlineStr">
        <is>
          <t>Outperforming</t>
        </is>
      </c>
      <c r="N279" s="32">
        <f>IF(M279="Underperforming",-5,IF(L279&gt;=95,15,IF(L279&gt;=90,10,IF(L279&gt;=80,5,0))))</f>
        <v/>
      </c>
      <c r="O279" s="32" t="n">
        <v>55.95</v>
      </c>
      <c r="P279" s="32" t="n">
        <v>6.61</v>
      </c>
      <c r="Q279" s="32" t="inlineStr"/>
      <c r="R279" s="31" t="inlineStr">
        <is>
          <t>Earnings / Momentum Support</t>
        </is>
      </c>
      <c r="S279" s="31" t="inlineStr">
        <is>
          <t>Nifty FMCG</t>
        </is>
      </c>
      <c r="T279" s="32" t="n">
        <v>-13.73</v>
      </c>
      <c r="U279" s="32" t="n">
        <v>11.7</v>
      </c>
      <c r="V279" s="32" t="n">
        <v>29.47</v>
      </c>
      <c r="W279" s="32" t="n">
        <v>1.63</v>
      </c>
      <c r="X279" s="31" t="inlineStr">
        <is>
          <t>Growing Industry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Headwind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B2C</t>
        </is>
      </c>
      <c r="AO279" s="31">
        <f>IF(AN279="B2C",10,IF(AN279="B2B",5,0))</f>
        <v/>
      </c>
      <c r="AP279" s="31" t="inlineStr">
        <is>
          <t>No</t>
        </is>
      </c>
      <c r="AQ279" s="31">
        <f>IF(AP279="Yes",10,0)</f>
        <v/>
      </c>
      <c r="AR279" s="31" t="inlineStr">
        <is>
          <t>Higher Annuity, Lower One Time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0 to 20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3</t>
        </is>
      </c>
      <c r="BC279" s="31">
        <f>IF(BB279="Stage 2",20,IF(BB279="Stage 1",0,IF(BB279="Stage 3",5,IF(BB279="Stage 4",-5,0))))</f>
        <v/>
      </c>
      <c r="BD279" s="31" t="inlineStr">
        <is>
          <t>Negative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Less than 12%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No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Between 0.7 to 1.2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IF(B280=0,"",RANK(B280,$B$2:$B$366,0))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3" t="inlineStr">
        <is>
          <t>DEEPINDS</t>
        </is>
      </c>
      <c r="D280" s="33" t="inlineStr">
        <is>
          <t>Deep Industries Ltd</t>
        </is>
      </c>
      <c r="E280" s="31" t="inlineStr">
        <is>
          <t>energy</t>
        </is>
      </c>
      <c r="F280" s="31" t="inlineStr">
        <is>
          <t>oil drilling / allied services</t>
        </is>
      </c>
      <c r="G280" s="31" t="inlineStr">
        <is>
          <t>smallcap</t>
        </is>
      </c>
      <c r="H280" s="32" t="n">
        <v>3820.16</v>
      </c>
      <c r="I280" s="32" t="n">
        <v>649.3</v>
      </c>
      <c r="J280" s="32" t="n">
        <v>8.779999999999999</v>
      </c>
      <c r="K280" s="32" t="n">
        <v>3599984</v>
      </c>
      <c r="L280" s="31" t="n">
        <v>15</v>
      </c>
      <c r="M280" s="31" t="inlineStr">
        <is>
          <t>Underperforming</t>
        </is>
      </c>
      <c r="N280" s="32">
        <f>IF(M280="Underperforming",-5,IF(L280&gt;=95,15,IF(L280&gt;=90,10,IF(L280&gt;=80,5,0))))</f>
        <v/>
      </c>
      <c r="O280" s="32" t="n">
        <v>69.64</v>
      </c>
      <c r="P280" s="32" t="n">
        <v>15.6</v>
      </c>
      <c r="Q280" s="32" t="inlineStr"/>
      <c r="R280" s="31" t="inlineStr">
        <is>
          <t>Volume Spike / Accumulation</t>
        </is>
      </c>
      <c r="S280" s="31" t="inlineStr">
        <is>
          <t>Nifty Energy</t>
        </is>
      </c>
      <c r="T280" s="32" t="n">
        <v>8.41</v>
      </c>
      <c r="U280" s="32" t="n">
        <v>0.27</v>
      </c>
      <c r="V280" s="32" t="n">
        <v>-7.51</v>
      </c>
      <c r="W280" s="32" t="n">
        <v>1.2</v>
      </c>
      <c r="X280" s="31" t="inlineStr">
        <is>
          <t>Cyclical in an Upturn</t>
        </is>
      </c>
      <c r="Y280" s="31">
        <f>IF(X280="Growing Industry",10,IF(X280="Cyclical in an Upturn",5,0))</f>
        <v/>
      </c>
      <c r="Z280" s="31" t="inlineStr">
        <is>
          <t>Oligopoly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Yes</t>
        </is>
      </c>
      <c r="AC280" s="31">
        <f>IF(AB280="No",5,0)</f>
        <v/>
      </c>
      <c r="AD280" s="31" t="inlineStr">
        <is>
          <t>Headwind</t>
        </is>
      </c>
      <c r="AE280" s="31">
        <f>IF(AD280="Tailwind",10,0)</f>
        <v/>
      </c>
      <c r="AF280" s="31" t="inlineStr">
        <is>
          <t>Cyclical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Volatile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Yes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0 to 20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3</t>
        </is>
      </c>
      <c r="BC280" s="31">
        <f>IF(BB280="Stage 2",20,IF(BB280="Stage 1",0,IF(BB280="Stage 3",5,IF(BB280="Stage 4",-5,0))))</f>
        <v/>
      </c>
      <c r="BD280" s="31" t="inlineStr">
        <is>
          <t>Negative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More than 20%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No</t>
        </is>
      </c>
      <c r="BS280" s="31">
        <f>IF(BR280="NO",5,0)</f>
        <v/>
      </c>
      <c r="BT280" s="31" t="inlineStr">
        <is>
          <t>Less than 1.5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IF(B281=0,"",RANK(B281,$B$2:$B$366,0))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3" t="inlineStr">
        <is>
          <t>INDIANHUME</t>
        </is>
      </c>
      <c r="D281" s="33" t="inlineStr">
        <is>
          <t>Indian Hume Pipe Company Limited</t>
        </is>
      </c>
      <c r="E281" s="31" t="inlineStr">
        <is>
          <t>realty</t>
        </is>
      </c>
      <c r="F281" s="31" t="inlineStr">
        <is>
          <t>construction</t>
        </is>
      </c>
      <c r="G281" s="31" t="inlineStr">
        <is>
          <t>smallcap</t>
        </is>
      </c>
      <c r="H281" s="32" t="n">
        <v>2058.54</v>
      </c>
      <c r="I281" s="32" t="n">
        <v>414.5</v>
      </c>
      <c r="J281" s="32" t="n">
        <v>6.08</v>
      </c>
      <c r="K281" s="32" t="n">
        <v>183175</v>
      </c>
      <c r="L281" s="31" t="n">
        <v>26</v>
      </c>
      <c r="M281" s="31" t="inlineStr">
        <is>
          <t>Underperforming</t>
        </is>
      </c>
      <c r="N281" s="32">
        <f>IF(M281="Underperforming",-5,IF(L281&gt;=95,15,IF(L281&gt;=90,10,IF(L281&gt;=80,5,0))))</f>
        <v/>
      </c>
      <c r="O281" s="32" t="n">
        <v>62.9</v>
      </c>
      <c r="P281" s="32" t="n">
        <v>18.94</v>
      </c>
      <c r="Q281" s="32" t="inlineStr"/>
      <c r="R281" s="31" t="inlineStr">
        <is>
          <t>Earnings / Momentum Support</t>
        </is>
      </c>
      <c r="S281" s="31" t="inlineStr">
        <is>
          <t>Nifty Realty</t>
        </is>
      </c>
      <c r="T281" s="32" t="n">
        <v>-8.119999999999999</v>
      </c>
      <c r="U281" s="32" t="n">
        <v>-9.41</v>
      </c>
      <c r="V281" s="32" t="n">
        <v>-1.4</v>
      </c>
      <c r="W281" s="32" t="n">
        <v>3.61</v>
      </c>
      <c r="X281" s="31" t="inlineStr">
        <is>
          <t>Growing Industry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Headwind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No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0 to 20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3</t>
        </is>
      </c>
      <c r="BC281" s="31">
        <f>IF(BB281="Stage 2",20,IF(BB281="Stage 1",0,IF(BB281="Stage 3",5,IF(BB281="Stage 4",-5,0))))</f>
        <v/>
      </c>
      <c r="BD281" s="31" t="inlineStr">
        <is>
          <t>Negative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Less than 12%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No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IF(B282=0,"",RANK(B282,$B$2:$B$366,0))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3" t="inlineStr">
        <is>
          <t>EMAMIPAP</t>
        </is>
      </c>
      <c r="D282" s="33" t="inlineStr">
        <is>
          <t>Emami Paper Mills Ltd</t>
        </is>
      </c>
      <c r="E282" s="31" t="inlineStr">
        <is>
          <t>building materials</t>
        </is>
      </c>
      <c r="F282" s="31" t="inlineStr">
        <is>
          <t>paper</t>
        </is>
      </c>
      <c r="G282" s="31" t="inlineStr">
        <is>
          <t>smallcap</t>
        </is>
      </c>
      <c r="H282" s="32" t="n">
        <v>663.01</v>
      </c>
      <c r="I282" s="32" t="n">
        <v>115.05</v>
      </c>
      <c r="J282" s="32" t="n">
        <v>4.98</v>
      </c>
      <c r="K282" s="32" t="n">
        <v>82955</v>
      </c>
      <c r="L282" s="31" t="n">
        <v>22</v>
      </c>
      <c r="M282" s="31" t="inlineStr">
        <is>
          <t>Underperforming</t>
        </is>
      </c>
      <c r="N282" s="32">
        <f>IF(M282="Underperforming",-5,IF(L282&gt;=95,15,IF(L282&gt;=90,10,IF(L282&gt;=80,5,0))))</f>
        <v/>
      </c>
      <c r="O282" s="32" t="n">
        <v>67.17</v>
      </c>
      <c r="P282" s="32" t="n">
        <v>16.08</v>
      </c>
      <c r="Q282" s="32" t="inlineStr"/>
      <c r="R282" s="31" t="inlineStr">
        <is>
          <t>Earnings / Momentum Support</t>
        </is>
      </c>
      <c r="S282" s="31" t="inlineStr">
        <is>
          <t>Nifty Infra</t>
        </is>
      </c>
      <c r="T282" s="32" t="n">
        <v>1.74</v>
      </c>
      <c r="U282" s="32" t="n">
        <v>-10.22</v>
      </c>
      <c r="V282" s="32" t="n">
        <v>-11.76</v>
      </c>
      <c r="W282" s="32" t="n">
        <v>2.78</v>
      </c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Headwind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0 to 20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3</t>
        </is>
      </c>
      <c r="BC282" s="31">
        <f>IF(BB282="Stage 2",20,IF(BB282="Stage 1",0,IF(BB282="Stage 3",5,IF(BB282="Stage 4",-5,0))))</f>
        <v/>
      </c>
      <c r="BD282" s="31" t="inlineStr">
        <is>
          <t>Negative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More than 20%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No</t>
        </is>
      </c>
      <c r="BS282" s="31">
        <f>IF(BR282="NO",5,0)</f>
        <v/>
      </c>
      <c r="BT282" s="31" t="inlineStr">
        <is>
          <t>Less than 1.5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More than 1.2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IF(B283=0,"",RANK(B283,$B$2:$B$366,0))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LUMAXTECH</t>
        </is>
      </c>
      <c r="D283" s="31" t="inlineStr">
        <is>
          <t>Lumax Auto Technologies Limited</t>
        </is>
      </c>
      <c r="E283" s="31" t="inlineStr">
        <is>
          <t>auto</t>
        </is>
      </c>
      <c r="F283" s="31" t="inlineStr">
        <is>
          <t>auto ancillaries</t>
        </is>
      </c>
      <c r="G283" s="31" t="inlineStr">
        <is>
          <t>midcap</t>
        </is>
      </c>
      <c r="H283" s="32" t="n">
        <v>10689.17</v>
      </c>
      <c r="I283" s="32" t="n">
        <v>1625.7</v>
      </c>
      <c r="J283" s="32" t="n">
        <v>3.66</v>
      </c>
      <c r="K283" s="32" t="n">
        <v>309091</v>
      </c>
      <c r="L283" s="31" t="n">
        <v>16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50.98</v>
      </c>
      <c r="P283" s="32" t="n">
        <v>11.44</v>
      </c>
      <c r="Q283" s="32" t="inlineStr"/>
      <c r="R283" s="31" t="inlineStr">
        <is>
          <t>Earnings / Momentum Support</t>
        </is>
      </c>
      <c r="S283" s="31" t="inlineStr">
        <is>
          <t>Nifty Auto</t>
        </is>
      </c>
      <c r="T283" s="32" t="n">
        <v>13.41</v>
      </c>
      <c r="U283" s="32" t="n">
        <v>24.53</v>
      </c>
      <c r="V283" s="32" t="n">
        <v>9.800000000000001</v>
      </c>
      <c r="W283" s="32" t="n">
        <v>1.74</v>
      </c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Headwind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No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0 to 20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4</t>
        </is>
      </c>
      <c r="BC283" s="31">
        <f>IF(BB283="Stage 2",20,IF(BB283="Stage 1",0,IF(BB283="Stage 3",5,IF(BB283="Stage 4",-5,0))))</f>
        <v/>
      </c>
      <c r="BD283" s="31" t="inlineStr">
        <is>
          <t>Negative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Close to 52 week high or retracement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More than 20%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No</t>
        </is>
      </c>
      <c r="BS283" s="31">
        <f>IF(BR283="NO",5,0)</f>
        <v/>
      </c>
      <c r="BT283" s="31" t="inlineStr">
        <is>
          <t>Less than 1.5</t>
        </is>
      </c>
      <c r="BU283" s="31">
        <f>IF(BT283="Above 2",0,IF(BT283="Between 1.5 to 2",5,IF(BT283="Less than 1.5",10,0)))</f>
        <v/>
      </c>
      <c r="BV283" s="31" t="inlineStr">
        <is>
          <t>Between 50% to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Between 0.7 to 1.2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IF(B284=0,"",RANK(B284,$B$2:$B$366,0))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1" t="inlineStr">
        <is>
          <t>TRAVELFOOD</t>
        </is>
      </c>
      <c r="D284" s="31" t="inlineStr">
        <is>
          <t>Travel Food Services Ltd</t>
        </is>
      </c>
      <c r="E284" s="31" t="inlineStr">
        <is>
          <t>consumer discretionary</t>
        </is>
      </c>
      <c r="F284" s="31" t="inlineStr">
        <is>
          <t>hotels</t>
        </is>
      </c>
      <c r="G284" s="31" t="inlineStr">
        <is>
          <t>midcap</t>
        </is>
      </c>
      <c r="H284" s="32" t="n">
        <v>17156.52</v>
      </c>
      <c r="I284" s="32" t="n">
        <v>1344.6</v>
      </c>
      <c r="J284" s="32" t="n">
        <v>3.2</v>
      </c>
      <c r="K284" s="32" t="n">
        <v>37162</v>
      </c>
      <c r="L284" s="31" t="n">
        <v>42</v>
      </c>
      <c r="M284" s="31" t="inlineStr">
        <is>
          <t>Outperforming</t>
        </is>
      </c>
      <c r="N284" s="32">
        <f>IF(M284="Underperforming",-5,IF(L284&gt;=95,15,IF(L284&gt;=90,10,IF(L284&gt;=80,5,0))))</f>
        <v/>
      </c>
      <c r="O284" s="32" t="n">
        <v>55.17</v>
      </c>
      <c r="P284" s="32" t="n">
        <v>10.37</v>
      </c>
      <c r="Q284" s="32" t="inlineStr"/>
      <c r="R284" s="31" t="inlineStr">
        <is>
          <t>Earnings / Momentum Support</t>
        </is>
      </c>
      <c r="S284" s="31" t="inlineStr">
        <is>
          <t>Nifty 50</t>
        </is>
      </c>
      <c r="T284" s="32" t="n">
        <v>-0.74</v>
      </c>
      <c r="U284" s="32" t="n">
        <v>26.95</v>
      </c>
      <c r="V284" s="32" t="n">
        <v>27.9</v>
      </c>
      <c r="W284" s="32" t="n">
        <v>6.86</v>
      </c>
      <c r="X284" s="31" t="inlineStr">
        <is>
          <t>Growing Industry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Headwind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No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0 to 20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3</t>
        </is>
      </c>
      <c r="BC284" s="31">
        <f>IF(BB284="Stage 2",20,IF(BB284="Stage 1",0,IF(BB284="Stage 3",5,IF(BB284="Stage 4",-5,0))))</f>
        <v/>
      </c>
      <c r="BD284" s="31" t="inlineStr">
        <is>
          <t>Negative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Between 12 to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Yes</t>
        </is>
      </c>
      <c r="BS284" s="31">
        <f>IF(BR284="NO",5,0)</f>
        <v/>
      </c>
      <c r="BT284" s="31" t="inlineStr">
        <is>
          <t>Above 2</t>
        </is>
      </c>
      <c r="BU284" s="31">
        <f>IF(BT284="Above 2",0,IF(BT284="Between 1.5 to 2",5,IF(BT284="Less than 1.5",10,0)))</f>
        <v/>
      </c>
      <c r="BV284" s="31" t="inlineStr">
        <is>
          <t>Between 50% to 70%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IF(B285=0,"",RANK(B285,$B$2:$B$366,0))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3" t="inlineStr">
        <is>
          <t>THEJO</t>
        </is>
      </c>
      <c r="D285" s="33" t="inlineStr">
        <is>
          <t>Thejo Engineering Ltd</t>
        </is>
      </c>
      <c r="E285" s="31" t="inlineStr">
        <is>
          <t>industrials</t>
        </is>
      </c>
      <c r="F285" s="31" t="inlineStr">
        <is>
          <t>engineering</t>
        </is>
      </c>
      <c r="G285" s="31" t="inlineStr">
        <is>
          <t>smallcap</t>
        </is>
      </c>
      <c r="H285" s="32" t="n">
        <v>2287.41</v>
      </c>
      <c r="I285" s="32" t="n">
        <v>2175</v>
      </c>
      <c r="J285" s="32" t="n">
        <v>3.14</v>
      </c>
      <c r="K285" s="32" t="n">
        <v>21034</v>
      </c>
      <c r="L285" s="31" t="n">
        <v>17</v>
      </c>
      <c r="M285" s="31" t="inlineStr">
        <is>
          <t>Underperforming</t>
        </is>
      </c>
      <c r="N285" s="32">
        <f>IF(M285="Underperforming",-5,IF(L285&gt;=95,15,IF(L285&gt;=90,10,IF(L285&gt;=80,5,0))))</f>
        <v/>
      </c>
      <c r="O285" s="32" t="n">
        <v>67.73999999999999</v>
      </c>
      <c r="P285" s="32" t="n">
        <v>22.85</v>
      </c>
      <c r="Q285" s="32" t="inlineStr"/>
      <c r="R285" s="31" t="inlineStr">
        <is>
          <t>Earnings / Momentum Support</t>
        </is>
      </c>
      <c r="S285" s="31" t="inlineStr">
        <is>
          <t>Nifty 50</t>
        </is>
      </c>
      <c r="T285" s="32" t="n">
        <v>-0.74</v>
      </c>
      <c r="U285" s="32" t="n">
        <v>-10.01</v>
      </c>
      <c r="V285" s="32" t="n">
        <v>-9.34</v>
      </c>
      <c r="W285" s="32" t="n">
        <v>2.01</v>
      </c>
      <c r="X285" s="31" t="inlineStr">
        <is>
          <t>Cyclical in an Upturn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Headwind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No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20 to 40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3</t>
        </is>
      </c>
      <c r="BC285" s="31">
        <f>IF(BB285="Stage 2",20,IF(BB285="Stage 1",0,IF(BB285="Stage 3",5,IF(BB285="Stage 4",-5,0))))</f>
        <v/>
      </c>
      <c r="BD285" s="31" t="inlineStr">
        <is>
          <t>Negative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Less than 12%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Yes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Between 50% to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Less than 0.7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IF(B286=0,"",RANK(B286,$B$2:$B$366,0))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3" t="inlineStr">
        <is>
          <t>TCPLPACK</t>
        </is>
      </c>
      <c r="D286" s="33" t="inlineStr">
        <is>
          <t>TCPL Packaging Ltd</t>
        </is>
      </c>
      <c r="E286" s="31" t="inlineStr">
        <is>
          <t>industrials</t>
        </is>
      </c>
      <c r="F286" s="31" t="inlineStr">
        <is>
          <t>packaging</t>
        </is>
      </c>
      <c r="G286" s="31" t="inlineStr">
        <is>
          <t>smallcap</t>
        </is>
      </c>
      <c r="H286" s="32" t="n">
        <v>2869.59</v>
      </c>
      <c r="I286" s="32" t="n">
        <v>3250.8</v>
      </c>
      <c r="J286" s="32" t="n">
        <v>3.09</v>
      </c>
      <c r="K286" s="32" t="n">
        <v>4115</v>
      </c>
      <c r="L286" s="31" t="n">
        <v>18</v>
      </c>
      <c r="M286" s="31" t="inlineStr">
        <is>
          <t>Underperforming</t>
        </is>
      </c>
      <c r="N286" s="32">
        <f>IF(M286="Underperforming",-5,IF(L286&gt;=95,15,IF(L286&gt;=90,10,IF(L286&gt;=80,5,0))))</f>
        <v/>
      </c>
      <c r="O286" s="32" t="n">
        <v>59.84</v>
      </c>
      <c r="P286" s="32" t="n">
        <v>20.85</v>
      </c>
      <c r="Q286" s="32" t="inlineStr"/>
      <c r="R286" s="31" t="inlineStr">
        <is>
          <t>Earnings / Momentum Support</t>
        </is>
      </c>
      <c r="S286" s="31" t="inlineStr">
        <is>
          <t>Nifty Infra</t>
        </is>
      </c>
      <c r="T286" s="32" t="n">
        <v>1.74</v>
      </c>
      <c r="U286" s="32" t="n">
        <v>-14.32</v>
      </c>
      <c r="V286" s="32" t="n">
        <v>-15.79</v>
      </c>
      <c r="W286" s="32" t="n">
        <v>2.11</v>
      </c>
      <c r="X286" s="31" t="inlineStr">
        <is>
          <t>Cyclical in an Upturn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Headwind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No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20 to 40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3</t>
        </is>
      </c>
      <c r="BC286" s="31">
        <f>IF(BB286="Stage 2",20,IF(BB286="Stage 1",0,IF(BB286="Stage 3",5,IF(BB286="Stage 4",-5,0))))</f>
        <v/>
      </c>
      <c r="BD286" s="31" t="inlineStr">
        <is>
          <t>Negative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Less than 12%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No</t>
        </is>
      </c>
      <c r="BS286" s="31">
        <f>IF(BR286="NO",5,0)</f>
        <v/>
      </c>
      <c r="BT286" s="31" t="inlineStr">
        <is>
          <t>Above 2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Between 0.7 to 1.2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IF(B287=0,"",RANK(B287,$B$2:$B$366,0))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1" t="inlineStr">
        <is>
          <t>LT</t>
        </is>
      </c>
      <c r="D287" s="31" t="inlineStr">
        <is>
          <t>Larsen &amp; Toubro Limited</t>
        </is>
      </c>
      <c r="E287" s="31" t="inlineStr">
        <is>
          <t>realty</t>
        </is>
      </c>
      <c r="F287" s="31" t="inlineStr">
        <is>
          <t>engineering - turnkey services</t>
        </is>
      </c>
      <c r="G287" s="31" t="inlineStr">
        <is>
          <t>largecap</t>
        </is>
      </c>
      <c r="H287" s="32" t="n">
        <v>541885.97</v>
      </c>
      <c r="I287" s="32" t="n">
        <v>4025</v>
      </c>
      <c r="J287" s="32" t="n">
        <v>2.19</v>
      </c>
      <c r="K287" s="32" t="n">
        <v>5512775</v>
      </c>
      <c r="L287" s="31" t="n">
        <v>14</v>
      </c>
      <c r="M287" s="31" t="inlineStr">
        <is>
          <t>Outperforming</t>
        </is>
      </c>
      <c r="N287" s="32">
        <f>IF(M287="Underperforming",-5,IF(L287&gt;=95,15,IF(L287&gt;=90,10,IF(L287&gt;=80,5,0))))</f>
        <v/>
      </c>
      <c r="O287" s="32" t="n">
        <v>50.48</v>
      </c>
      <c r="P287" s="32" t="n">
        <v>7.57</v>
      </c>
      <c r="Q287" s="32" t="inlineStr"/>
      <c r="R287" s="31" t="inlineStr">
        <is>
          <t>Earnings / Momentum Support</t>
        </is>
      </c>
      <c r="S287" s="31" t="inlineStr">
        <is>
          <t>Nifty Realty</t>
        </is>
      </c>
      <c r="T287" s="32" t="n">
        <v>-8.119999999999999</v>
      </c>
      <c r="U287" s="32" t="n">
        <v>11.17</v>
      </c>
      <c r="V287" s="32" t="n">
        <v>20.99</v>
      </c>
      <c r="W287" s="32" t="n">
        <v>1.11</v>
      </c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Headwind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No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0 to 20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3</t>
        </is>
      </c>
      <c r="BC287" s="31">
        <f>IF(BB287="Stage 2",20,IF(BB287="Stage 1",0,IF(BB287="Stage 3",5,IF(BB287="Stage 4",-5,0))))</f>
        <v/>
      </c>
      <c r="BD287" s="31" t="inlineStr">
        <is>
          <t>Negative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Between 12 to 20%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No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Between 0.7 to 1.2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IF(B288=0,"",RANK(B288,$B$2:$B$366,0))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1" t="inlineStr">
        <is>
          <t>PYRAMID</t>
        </is>
      </c>
      <c r="D288" s="31" t="inlineStr">
        <is>
          <t>Pyramid Technoplast Ltd</t>
        </is>
      </c>
      <c r="E288" s="31" t="inlineStr">
        <is>
          <t>industrials</t>
        </is>
      </c>
      <c r="F288" s="31" t="inlineStr">
        <is>
          <t>packaging</t>
        </is>
      </c>
      <c r="G288" s="31" t="inlineStr">
        <is>
          <t>smallcap</t>
        </is>
      </c>
      <c r="H288" s="32" t="n">
        <v>666.25</v>
      </c>
      <c r="I288" s="32" t="n">
        <v>184.97</v>
      </c>
      <c r="J288" s="32" t="n">
        <v>2.13</v>
      </c>
      <c r="K288" s="32" t="n">
        <v>58320</v>
      </c>
      <c r="L288" s="31" t="n">
        <v>22</v>
      </c>
      <c r="M288" s="31" t="inlineStr">
        <is>
          <t>Outperforming</t>
        </is>
      </c>
      <c r="N288" s="32">
        <f>IF(M288="Underperforming",-5,IF(L288&gt;=95,15,IF(L288&gt;=90,10,IF(L288&gt;=80,5,0))))</f>
        <v/>
      </c>
      <c r="O288" s="32" t="n">
        <v>59.85</v>
      </c>
      <c r="P288" s="32" t="n">
        <v>10.94</v>
      </c>
      <c r="Q288" s="32" t="inlineStr"/>
      <c r="R288" s="31" t="inlineStr">
        <is>
          <t>Earnings / Momentum Support</t>
        </is>
      </c>
      <c r="S288" s="31" t="inlineStr">
        <is>
          <t>Nifty 50</t>
        </is>
      </c>
      <c r="T288" s="32" t="n">
        <v>-0.74</v>
      </c>
      <c r="U288" s="32" t="n">
        <v>9.76</v>
      </c>
      <c r="V288" s="32" t="n">
        <v>10.57</v>
      </c>
      <c r="W288" s="32" t="n">
        <v>2.81</v>
      </c>
      <c r="X288" s="31" t="inlineStr">
        <is>
          <t>Cyclical in an Upturn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Headwind</t>
        </is>
      </c>
      <c r="AE288" s="31">
        <f>IF(AD288="Tailwind",10,0)</f>
        <v/>
      </c>
      <c r="AF288" s="31" t="inlineStr">
        <is>
          <t>Structural (10 Years Consistency)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No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0 to 20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3</t>
        </is>
      </c>
      <c r="BC288" s="31">
        <f>IF(BB288="Stage 2",20,IF(BB288="Stage 1",0,IF(BB288="Stage 3",5,IF(BB288="Stage 4",-5,0))))</f>
        <v/>
      </c>
      <c r="BD288" s="31" t="inlineStr">
        <is>
          <t>Negative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More than 20%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No</t>
        </is>
      </c>
      <c r="BS288" s="31">
        <f>IF(BR288="NO",5,0)</f>
        <v/>
      </c>
      <c r="BT288" s="31" t="inlineStr">
        <is>
          <t>Less than 1.5</t>
        </is>
      </c>
      <c r="BU288" s="31">
        <f>IF(BT288="Above 2",0,IF(BT288="Between 1.5 to 2",5,IF(BT288="Less than 1.5",10,0)))</f>
        <v/>
      </c>
      <c r="BV288" s="31" t="inlineStr">
        <is>
          <t>Negative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IF(B289=0,"",RANK(B289,$B$2:$B$366,0))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1" t="inlineStr">
        <is>
          <t>TVSMOTOR</t>
        </is>
      </c>
      <c r="D289" s="31" t="inlineStr">
        <is>
          <t>Tvs Motor Company Limited</t>
        </is>
      </c>
      <c r="E289" s="31" t="inlineStr">
        <is>
          <t>auto</t>
        </is>
      </c>
      <c r="F289" s="31" t="inlineStr">
        <is>
          <t>automobiles - motorcycles / mopeds</t>
        </is>
      </c>
      <c r="G289" s="31" t="inlineStr">
        <is>
          <t>largecap</t>
        </is>
      </c>
      <c r="H289" s="32" t="n">
        <v>204909.82</v>
      </c>
      <c r="I289" s="32" t="n">
        <v>4389</v>
      </c>
      <c r="J289" s="32" t="n">
        <v>1.76</v>
      </c>
      <c r="K289" s="32" t="n">
        <v>4755005</v>
      </c>
      <c r="L289" s="31" t="n">
        <v>33</v>
      </c>
      <c r="M289" s="31" t="inlineStr">
        <is>
          <t>Outperforming</t>
        </is>
      </c>
      <c r="N289" s="32">
        <f>IF(M289="Underperforming",-5,IF(L289&gt;=95,15,IF(L289&gt;=90,10,IF(L289&gt;=80,5,0))))</f>
        <v/>
      </c>
      <c r="O289" s="32" t="n">
        <v>70.56</v>
      </c>
      <c r="P289" s="32" t="n">
        <v>16</v>
      </c>
      <c r="Q289" s="32" t="inlineStr"/>
      <c r="R289" s="31" t="inlineStr">
        <is>
          <t>Earnings / Momentum Support</t>
        </is>
      </c>
      <c r="S289" s="31" t="inlineStr">
        <is>
          <t>Nifty Auto</t>
        </is>
      </c>
      <c r="T289" s="32" t="n">
        <v>13.41</v>
      </c>
      <c r="U289" s="32" t="n">
        <v>27.43</v>
      </c>
      <c r="V289" s="32" t="n">
        <v>12.36</v>
      </c>
      <c r="W289" s="32" t="n">
        <v>4.91</v>
      </c>
      <c r="X289" s="31" t="inlineStr">
        <is>
          <t>Growing Industry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Headwind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No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0 to 20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3</t>
        </is>
      </c>
      <c r="BC289" s="31">
        <f>IF(BB289="Stage 2",20,IF(BB289="Stage 1",0,IF(BB289="Stage 3",5,IF(BB289="Stage 4",-5,0))))</f>
        <v/>
      </c>
      <c r="BD289" s="31" t="inlineStr">
        <is>
          <t>Negative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More than 20%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Yes</t>
        </is>
      </c>
      <c r="BS289" s="31">
        <f>IF(BR289="NO",5,0)</f>
        <v/>
      </c>
      <c r="BT289" s="31" t="inlineStr">
        <is>
          <t>Less than 1.5</t>
        </is>
      </c>
      <c r="BU289" s="31">
        <f>IF(BT289="Above 2",0,IF(BT289="Between 1.5 to 2",5,IF(BT289="Less than 1.5",10,0)))</f>
        <v/>
      </c>
      <c r="BV289" s="31" t="inlineStr">
        <is>
          <t>Above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More than 1.2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IF(B290=0,"",RANK(B290,$B$2:$B$366,0))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1" t="inlineStr">
        <is>
          <t>GODREJIND</t>
        </is>
      </c>
      <c r="D290" s="31" t="inlineStr">
        <is>
          <t>Godrej Industries Limited</t>
        </is>
      </c>
      <c r="E290" s="31" t="inlineStr">
        <is>
          <t>chemicals</t>
        </is>
      </c>
      <c r="F290" s="31" t="inlineStr">
        <is>
          <t>chemicals</t>
        </is>
      </c>
      <c r="G290" s="31" t="inlineStr">
        <is>
          <t>largecap</t>
        </is>
      </c>
      <c r="H290" s="32" t="n">
        <v>44377.41</v>
      </c>
      <c r="I290" s="32" t="n">
        <v>1336.2</v>
      </c>
      <c r="J290" s="32" t="n">
        <v>1.41</v>
      </c>
      <c r="K290" s="32" t="n">
        <v>78905</v>
      </c>
      <c r="L290" s="31" t="n">
        <v>62</v>
      </c>
      <c r="M290" s="31" t="inlineStr">
        <is>
          <t>Outperforming</t>
        </is>
      </c>
      <c r="N290" s="32">
        <f>IF(M290="Underperforming",-5,IF(L290&gt;=95,15,IF(L290&gt;=90,10,IF(L290&gt;=80,5,0))))</f>
        <v/>
      </c>
      <c r="O290" s="32" t="n">
        <v>63.26</v>
      </c>
      <c r="P290" s="32" t="n">
        <v>40.97</v>
      </c>
      <c r="Q290" s="32" t="inlineStr"/>
      <c r="R290" s="31" t="inlineStr">
        <is>
          <t>Earnings / Momentum Support</t>
        </is>
      </c>
      <c r="S290" s="31" t="inlineStr">
        <is>
          <t>Nifty 500</t>
        </is>
      </c>
      <c r="T290" s="32" t="n">
        <v>3.47</v>
      </c>
      <c r="U290" s="32" t="n">
        <v>18.19</v>
      </c>
      <c r="V290" s="32" t="n">
        <v>14.23</v>
      </c>
      <c r="W290" s="32" t="n">
        <v>12.09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Headwind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No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Above 40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3</t>
        </is>
      </c>
      <c r="BC290" s="31">
        <f>IF(BB290="Stage 2",20,IF(BB290="Stage 1",0,IF(BB290="Stage 3",5,IF(BB290="Stage 4",-5,0))))</f>
        <v/>
      </c>
      <c r="BD290" s="31" t="inlineStr">
        <is>
          <t>Negative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More than 20%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No</t>
        </is>
      </c>
      <c r="BS290" s="31">
        <f>IF(BR290="NO",5,0)</f>
        <v/>
      </c>
      <c r="BT290" s="31" t="inlineStr">
        <is>
          <t>Above 2</t>
        </is>
      </c>
      <c r="BU290" s="31">
        <f>IF(BT290="Above 2",0,IF(BT290="Between 1.5 to 2",5,IF(BT290="Less than 1.5",10,0)))</f>
        <v/>
      </c>
      <c r="BV290" s="31" t="inlineStr">
        <is>
          <t>Negative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More than 1.2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IF(B291=0,"",RANK(B291,$B$2:$B$366,0))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3" t="inlineStr">
        <is>
          <t>ULTRACEMCO</t>
        </is>
      </c>
      <c r="D291" s="33" t="inlineStr">
        <is>
          <t>Ultratech Cement Limited</t>
        </is>
      </c>
      <c r="E291" s="31" t="inlineStr">
        <is>
          <t>building materials</t>
        </is>
      </c>
      <c r="F291" s="31" t="inlineStr">
        <is>
          <t>cement - north india</t>
        </is>
      </c>
      <c r="G291" s="31" t="inlineStr">
        <is>
          <t>largecap</t>
        </is>
      </c>
      <c r="H291" s="32" t="n">
        <v>350756.62</v>
      </c>
      <c r="I291" s="32" t="n">
        <v>12054</v>
      </c>
      <c r="J291" s="32" t="n">
        <v>1.27</v>
      </c>
      <c r="K291" s="32" t="n">
        <v>461385</v>
      </c>
      <c r="L291" s="31" t="n">
        <v>6</v>
      </c>
      <c r="M291" s="31" t="inlineStr">
        <is>
          <t>Underperforming</t>
        </is>
      </c>
      <c r="N291" s="32">
        <f>IF(M291="Underperforming",-5,IF(L291&gt;=95,15,IF(L291&gt;=90,10,IF(L291&gt;=80,5,0))))</f>
        <v/>
      </c>
      <c r="O291" s="32" t="n">
        <v>56.97</v>
      </c>
      <c r="P291" s="32" t="n">
        <v>13.73</v>
      </c>
      <c r="Q291" s="32" t="inlineStr"/>
      <c r="R291" s="31" t="inlineStr">
        <is>
          <t>Earnings / Momentum Support</t>
        </is>
      </c>
      <c r="S291" s="31" t="inlineStr">
        <is>
          <t>Nifty Infra</t>
        </is>
      </c>
      <c r="T291" s="32" t="n">
        <v>1.74</v>
      </c>
      <c r="U291" s="32" t="n">
        <v>-5.57</v>
      </c>
      <c r="V291" s="32" t="n">
        <v>-7.19</v>
      </c>
      <c r="W291" s="32" t="n">
        <v>-1.4</v>
      </c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Headwind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No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0 to 20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3</t>
        </is>
      </c>
      <c r="BC291" s="31">
        <f>IF(BB291="Stage 2",20,IF(BB291="Stage 1",0,IF(BB291="Stage 3",5,IF(BB291="Stage 4",-5,0))))</f>
        <v/>
      </c>
      <c r="BD291" s="31" t="inlineStr">
        <is>
          <t>Negative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Between 12 to 20%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Yes</t>
        </is>
      </c>
      <c r="BS291" s="31">
        <f>IF(BR291="NO",5,0)</f>
        <v/>
      </c>
      <c r="BT291" s="31" t="inlineStr">
        <is>
          <t>Above 2</t>
        </is>
      </c>
      <c r="BU291" s="31">
        <f>IF(BT291="Above 2",0,IF(BT291="Between 1.5 to 2",5,IF(BT291="Less than 1.5",10,0)))</f>
        <v/>
      </c>
      <c r="BV291" s="31" t="inlineStr">
        <is>
          <t>Above 70%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Less than 0.7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IF(B292=0,"",RANK(B292,$B$2:$B$366,0))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3" t="inlineStr">
        <is>
          <t>ENDURANCE</t>
        </is>
      </c>
      <c r="D292" s="33" t="inlineStr">
        <is>
          <t>Endurance Technologies Limited</t>
        </is>
      </c>
      <c r="E292" s="31" t="inlineStr">
        <is>
          <t>auto</t>
        </is>
      </c>
      <c r="F292" s="31" t="inlineStr">
        <is>
          <t>auto ancillaries</t>
        </is>
      </c>
      <c r="G292" s="31" t="inlineStr">
        <is>
          <t>largecap</t>
        </is>
      </c>
      <c r="H292" s="32" t="n">
        <v>38799.03</v>
      </c>
      <c r="I292" s="32" t="n">
        <v>2787.6</v>
      </c>
      <c r="J292" s="32" t="n">
        <v>1.06</v>
      </c>
      <c r="K292" s="32" t="n">
        <v>125969</v>
      </c>
      <c r="L292" s="31" t="n">
        <v>28</v>
      </c>
      <c r="M292" s="31" t="inlineStr">
        <is>
          <t>Underperforming</t>
        </is>
      </c>
      <c r="N292" s="32">
        <f>IF(M292="Underperforming",-5,IF(L292&gt;=95,15,IF(L292&gt;=90,10,IF(L292&gt;=80,5,0))))</f>
        <v/>
      </c>
      <c r="O292" s="32" t="n">
        <v>58.5</v>
      </c>
      <c r="P292" s="32" t="n">
        <v>14.94</v>
      </c>
      <c r="Q292" s="32" t="inlineStr"/>
      <c r="R292" s="31" t="inlineStr">
        <is>
          <t>Earnings / Momentum Support</t>
        </is>
      </c>
      <c r="S292" s="31" t="inlineStr">
        <is>
          <t>Nifty Auto</t>
        </is>
      </c>
      <c r="T292" s="32" t="n">
        <v>13.41</v>
      </c>
      <c r="U292" s="32" t="n">
        <v>3.04</v>
      </c>
      <c r="V292" s="32" t="n">
        <v>-9.140000000000001</v>
      </c>
      <c r="W292" s="32" t="n">
        <v>4.03</v>
      </c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No</t>
        </is>
      </c>
      <c r="AC292" s="31">
        <f>IF(AB292="No",5,0)</f>
        <v/>
      </c>
      <c r="AD292" s="31" t="inlineStr">
        <is>
          <t>Headwind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No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0 to 20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3</t>
        </is>
      </c>
      <c r="BC292" s="31">
        <f>IF(BB292="Stage 2",20,IF(BB292="Stage 1",0,IF(BB292="Stage 3",5,IF(BB292="Stage 4",-5,0))))</f>
        <v/>
      </c>
      <c r="BD292" s="31" t="inlineStr">
        <is>
          <t>Negative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Between 12 to 20%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Yes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Above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Less than 0.7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IF(B293=0,"",RANK(B293,$B$2:$B$366,0))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1" t="inlineStr">
        <is>
          <t>PANAMAPET</t>
        </is>
      </c>
      <c r="D293" s="31" t="inlineStr">
        <is>
          <t>Panama Petrochem Limited</t>
        </is>
      </c>
      <c r="E293" s="31" t="inlineStr">
        <is>
          <t>energy</t>
        </is>
      </c>
      <c r="F293" s="31" t="inlineStr">
        <is>
          <t>petrochemicals</t>
        </is>
      </c>
      <c r="G293" s="31" t="inlineStr">
        <is>
          <t>smallcap</t>
        </is>
      </c>
      <c r="H293" s="32" t="n">
        <v>2743.69</v>
      </c>
      <c r="I293" s="32" t="n">
        <v>458</v>
      </c>
      <c r="J293" s="32" t="n">
        <v>0.98</v>
      </c>
      <c r="K293" s="32" t="n">
        <v>132370</v>
      </c>
      <c r="L293" s="31" t="n">
        <v>75</v>
      </c>
      <c r="M293" s="31" t="inlineStr">
        <is>
          <t>Outperforming</t>
        </is>
      </c>
      <c r="N293" s="32">
        <f>IF(M293="Underperforming",-5,IF(L293&gt;=95,15,IF(L293&gt;=90,10,IF(L293&gt;=80,5,0))))</f>
        <v/>
      </c>
      <c r="O293" s="32" t="n">
        <v>63.05</v>
      </c>
      <c r="P293" s="32" t="n">
        <v>48.36</v>
      </c>
      <c r="Q293" s="32" t="inlineStr"/>
      <c r="R293" s="31" t="inlineStr">
        <is>
          <t>Earnings / Momentum Support</t>
        </is>
      </c>
      <c r="S293" s="31" t="inlineStr">
        <is>
          <t>Nifty Energy</t>
        </is>
      </c>
      <c r="T293" s="32" t="n">
        <v>8.41</v>
      </c>
      <c r="U293" s="32" t="n">
        <v>17.3</v>
      </c>
      <c r="V293" s="32" t="n">
        <v>8.199999999999999</v>
      </c>
      <c r="W293" s="32" t="n">
        <v>16.41</v>
      </c>
      <c r="X293" s="31" t="inlineStr">
        <is>
          <t>Cyclical in an Upturn</t>
        </is>
      </c>
      <c r="Y293" s="31">
        <f>IF(X293="Growing Industry",10,IF(X293="Cyclical in an Upturn",5,0))</f>
        <v/>
      </c>
      <c r="Z293" s="31" t="inlineStr">
        <is>
          <t>Oligopoly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Yes</t>
        </is>
      </c>
      <c r="AC293" s="31">
        <f>IF(AB293="No",5,0)</f>
        <v/>
      </c>
      <c r="AD293" s="31" t="inlineStr">
        <is>
          <t>Headwind</t>
        </is>
      </c>
      <c r="AE293" s="31">
        <f>IF(AD293="Tailwind",10,0)</f>
        <v/>
      </c>
      <c r="AF293" s="31" t="inlineStr">
        <is>
          <t>Cyclical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Volatile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No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Above 40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3</t>
        </is>
      </c>
      <c r="BC293" s="31">
        <f>IF(BB293="Stage 2",20,IF(BB293="Stage 1",0,IF(BB293="Stage 3",5,IF(BB293="Stage 4",-5,0))))</f>
        <v/>
      </c>
      <c r="BD293" s="31" t="inlineStr">
        <is>
          <t>Negative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More than 20%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No</t>
        </is>
      </c>
      <c r="BS293" s="31">
        <f>IF(BR293="NO",5,0)</f>
        <v/>
      </c>
      <c r="BT293" s="31" t="inlineStr">
        <is>
          <t>Less than 1.5</t>
        </is>
      </c>
      <c r="BU293" s="31">
        <f>IF(BT293="Above 2",0,IF(BT293="Between 1.5 to 2",5,IF(BT293="Less than 1.5",10,0)))</f>
        <v/>
      </c>
      <c r="BV293" s="31" t="inlineStr">
        <is>
          <t>Negative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Less than 0.7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IF(B294=0,"",RANK(B294,$B$2:$B$366,0))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1" t="inlineStr">
        <is>
          <t>MMFL</t>
        </is>
      </c>
      <c r="D294" s="31" t="inlineStr">
        <is>
          <t>Mm Forgings Limited</t>
        </is>
      </c>
      <c r="E294" s="31" t="inlineStr">
        <is>
          <t>industrials</t>
        </is>
      </c>
      <c r="F294" s="31" t="inlineStr">
        <is>
          <t>castings &amp; forgings</t>
        </is>
      </c>
      <c r="G294" s="31" t="inlineStr">
        <is>
          <t>smallcap</t>
        </is>
      </c>
      <c r="H294" s="32" t="n">
        <v>2640.28</v>
      </c>
      <c r="I294" s="32" t="n">
        <v>552</v>
      </c>
      <c r="J294" s="32" t="n">
        <v>0.9399999999999999</v>
      </c>
      <c r="K294" s="32" t="n">
        <v>57880</v>
      </c>
      <c r="L294" s="31" t="n">
        <v>67</v>
      </c>
      <c r="M294" s="31" t="inlineStr">
        <is>
          <t>Outperforming</t>
        </is>
      </c>
      <c r="N294" s="32">
        <f>IF(M294="Underperforming",-5,IF(L294&gt;=95,15,IF(L294&gt;=90,10,IF(L294&gt;=80,5,0))))</f>
        <v/>
      </c>
      <c r="O294" s="32" t="n">
        <v>70.16</v>
      </c>
      <c r="P294" s="32" t="n">
        <v>18.32</v>
      </c>
      <c r="Q294" s="32" t="inlineStr"/>
      <c r="R294" s="31" t="inlineStr">
        <is>
          <t>Earnings / Momentum Support</t>
        </is>
      </c>
      <c r="S294" s="31" t="inlineStr">
        <is>
          <t>Nifty 50</t>
        </is>
      </c>
      <c r="T294" s="32" t="n">
        <v>-0.74</v>
      </c>
      <c r="U294" s="32" t="n">
        <v>64.15000000000001</v>
      </c>
      <c r="V294" s="32" t="n">
        <v>65.38</v>
      </c>
      <c r="W294" s="32" t="n">
        <v>13.71</v>
      </c>
      <c r="X294" s="31" t="inlineStr">
        <is>
          <t>Cyclical in an Upturn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Headwind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No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0 to 20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3</t>
        </is>
      </c>
      <c r="BC294" s="31">
        <f>IF(BB294="Stage 2",20,IF(BB294="Stage 1",0,IF(BB294="Stage 3",5,IF(BB294="Stage 4",-5,0))))</f>
        <v/>
      </c>
      <c r="BD294" s="31" t="inlineStr">
        <is>
          <t>Negative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More than 20%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No</t>
        </is>
      </c>
      <c r="BS294" s="31">
        <f>IF(BR294="NO",5,0)</f>
        <v/>
      </c>
      <c r="BT294" s="31" t="inlineStr">
        <is>
          <t>Less than 1.5</t>
        </is>
      </c>
      <c r="BU294" s="31">
        <f>IF(BT294="Above 2",0,IF(BT294="Between 1.5 to 2",5,IF(BT294="Less than 1.5",10,0)))</f>
        <v/>
      </c>
      <c r="BV294" s="31" t="inlineStr">
        <is>
          <t>Above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More than 1.2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IF(B295=0,"",RANK(B295,$B$2:$B$366,0))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3" t="inlineStr">
        <is>
          <t>M&amp;M</t>
        </is>
      </c>
      <c r="D295" s="33" t="inlineStr">
        <is>
          <t>Mahindra &amp; Mahindra Limited</t>
        </is>
      </c>
      <c r="E295" s="31" t="inlineStr">
        <is>
          <t>auto</t>
        </is>
      </c>
      <c r="F295" s="31" t="inlineStr">
        <is>
          <t>automobiles - passenger cars</t>
        </is>
      </c>
      <c r="G295" s="31" t="inlineStr">
        <is>
          <t>largecap</t>
        </is>
      </c>
      <c r="H295" s="32" t="n">
        <v>422613.27</v>
      </c>
      <c r="I295" s="32" t="n">
        <v>3428.6</v>
      </c>
      <c r="J295" s="32" t="n">
        <v>0.89</v>
      </c>
      <c r="K295" s="32" t="n">
        <v>6294453</v>
      </c>
      <c r="L295" s="31" t="n">
        <v>12</v>
      </c>
      <c r="M295" s="31" t="inlineStr">
        <is>
          <t>Underperforming</t>
        </is>
      </c>
      <c r="N295" s="32">
        <f>IF(M295="Underperforming",-5,IF(L295&gt;=95,15,IF(L295&gt;=90,10,IF(L295&gt;=80,5,0))))</f>
        <v/>
      </c>
      <c r="O295" s="32" t="n">
        <v>59.12</v>
      </c>
      <c r="P295" s="32" t="n">
        <v>10.26</v>
      </c>
      <c r="Q295" s="32" t="inlineStr"/>
      <c r="R295" s="31" t="inlineStr">
        <is>
          <t>Earnings / Momentum Support</t>
        </is>
      </c>
      <c r="S295" s="31" t="inlineStr">
        <is>
          <t>Nifty Auto</t>
        </is>
      </c>
      <c r="T295" s="32" t="n">
        <v>13.41</v>
      </c>
      <c r="U295" s="32" t="n">
        <v>0.63</v>
      </c>
      <c r="V295" s="32" t="n">
        <v>-11.27</v>
      </c>
      <c r="W295" s="32" t="n">
        <v>0.5600000000000001</v>
      </c>
      <c r="X295" s="31" t="inlineStr">
        <is>
          <t>Growing Industry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Headwind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No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0 to 20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3</t>
        </is>
      </c>
      <c r="BC295" s="31">
        <f>IF(BB295="Stage 2",20,IF(BB295="Stage 1",0,IF(BB295="Stage 3",5,IF(BB295="Stage 4",-5,0))))</f>
        <v/>
      </c>
      <c r="BD295" s="31" t="inlineStr">
        <is>
          <t>Negative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Close to 52 week high or retracement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More than 20%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No</t>
        </is>
      </c>
      <c r="BS295" s="31">
        <f>IF(BR295="NO",5,0)</f>
        <v/>
      </c>
      <c r="BT295" s="31" t="inlineStr">
        <is>
          <t>Less than 1.5</t>
        </is>
      </c>
      <c r="BU295" s="31">
        <f>IF(BT295="Above 2",0,IF(BT295="Between 1.5 to 2",5,IF(BT295="Less than 1.5",10,0)))</f>
        <v/>
      </c>
      <c r="BV295" s="31" t="inlineStr">
        <is>
          <t>Above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More than 1.2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IF(B296=0,"",RANK(B296,$B$2:$B$366,0))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3" t="inlineStr">
        <is>
          <t>SUNFLAG</t>
        </is>
      </c>
      <c r="D296" s="33" t="inlineStr">
        <is>
          <t>Sunflag Iron And Steel Company Limited</t>
        </is>
      </c>
      <c r="E296" s="31" t="inlineStr">
        <is>
          <t>metals &amp; mining</t>
        </is>
      </c>
      <c r="F296" s="31" t="inlineStr">
        <is>
          <t>steel - medium / small</t>
        </is>
      </c>
      <c r="G296" s="31" t="inlineStr">
        <is>
          <t>midcap</t>
        </is>
      </c>
      <c r="H296" s="32" t="n">
        <v>6583.42</v>
      </c>
      <c r="I296" s="32" t="n">
        <v>366.85</v>
      </c>
      <c r="J296" s="32" t="n">
        <v>0.42</v>
      </c>
      <c r="K296" s="32" t="n">
        <v>422640</v>
      </c>
      <c r="L296" s="31" t="n">
        <v>53</v>
      </c>
      <c r="M296" s="31" t="inlineStr">
        <is>
          <t>Underperforming</t>
        </is>
      </c>
      <c r="N296" s="32">
        <f>IF(M296="Underperforming",-5,IF(L296&gt;=95,15,IF(L296&gt;=90,10,IF(L296&gt;=80,5,0))))</f>
        <v/>
      </c>
      <c r="O296" s="32" t="n">
        <v>62.8</v>
      </c>
      <c r="P296" s="32" t="n">
        <v>44.62</v>
      </c>
      <c r="Q296" s="32" t="inlineStr"/>
      <c r="R296" s="31" t="inlineStr">
        <is>
          <t>Earnings / Momentum Support</t>
        </is>
      </c>
      <c r="S296" s="31" t="inlineStr">
        <is>
          <t>Nifty Metal</t>
        </is>
      </c>
      <c r="T296" s="32" t="n">
        <v>31.49</v>
      </c>
      <c r="U296" s="32" t="n">
        <v>16.87</v>
      </c>
      <c r="V296" s="32" t="n">
        <v>-11.12</v>
      </c>
      <c r="W296" s="32" t="n">
        <v>9.19</v>
      </c>
      <c r="X296" s="31" t="inlineStr">
        <is>
          <t>Cyclical in an Upturn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Headwind</t>
        </is>
      </c>
      <c r="AE296" s="31">
        <f>IF(AD296="Tailwind",10,0)</f>
        <v/>
      </c>
      <c r="AF296" s="31" t="inlineStr">
        <is>
          <t>Cyclical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Volatile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No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Above 40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3</t>
        </is>
      </c>
      <c r="BC296" s="31">
        <f>IF(BB296="Stage 2",20,IF(BB296="Stage 1",0,IF(BB296="Stage 3",5,IF(BB296="Stage 4",-5,0))))</f>
        <v/>
      </c>
      <c r="BD296" s="31" t="inlineStr">
        <is>
          <t>Negative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Less than 12%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No</t>
        </is>
      </c>
      <c r="BS296" s="31">
        <f>IF(BR296="NO",5,0)</f>
        <v/>
      </c>
      <c r="BT296" s="31" t="inlineStr">
        <is>
          <t>Above 2</t>
        </is>
      </c>
      <c r="BU296" s="31">
        <f>IF(BT296="Above 2",0,IF(BT296="Between 1.5 to 2",5,IF(BT296="Less than 1.5",10,0)))</f>
        <v/>
      </c>
      <c r="BV296" s="31" t="inlineStr">
        <is>
          <t>Above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IF(B297=0,"",RANK(B297,$B$2:$B$366,0))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1" t="inlineStr">
        <is>
          <t>ANANTRAJ</t>
        </is>
      </c>
      <c r="D297" s="31" t="inlineStr">
        <is>
          <t>Anant Raj Limited</t>
        </is>
      </c>
      <c r="E297" s="31" t="inlineStr">
        <is>
          <t>realty</t>
        </is>
      </c>
      <c r="F297" s="31" t="inlineStr">
        <is>
          <t>construction</t>
        </is>
      </c>
      <c r="G297" s="31" t="inlineStr">
        <is>
          <t>largecap</t>
        </is>
      </c>
      <c r="H297" s="32" t="n">
        <v>22474.31</v>
      </c>
      <c r="I297" s="32" t="n">
        <v>626.15</v>
      </c>
      <c r="J297" s="32" t="n">
        <v>0.26</v>
      </c>
      <c r="K297" s="32" t="n">
        <v>2761055</v>
      </c>
      <c r="L297" s="31" t="n">
        <v>26</v>
      </c>
      <c r="M297" s="31" t="inlineStr">
        <is>
          <t>Outperforming</t>
        </is>
      </c>
      <c r="N297" s="32">
        <f>IF(M297="Underperforming",-5,IF(L297&gt;=95,15,IF(L297&gt;=90,10,IF(L297&gt;=80,5,0))))</f>
        <v/>
      </c>
      <c r="O297" s="32" t="n">
        <v>61.57</v>
      </c>
      <c r="P297" s="32" t="n">
        <v>18.99</v>
      </c>
      <c r="Q297" s="32" t="inlineStr"/>
      <c r="R297" s="31" t="inlineStr">
        <is>
          <t>Earnings / Momentum Support</t>
        </is>
      </c>
      <c r="S297" s="31" t="inlineStr">
        <is>
          <t>Nifty Realty</t>
        </is>
      </c>
      <c r="T297" s="32" t="n">
        <v>-8.119999999999999</v>
      </c>
      <c r="U297" s="32" t="n">
        <v>0.49</v>
      </c>
      <c r="V297" s="32" t="n">
        <v>9.369999999999999</v>
      </c>
      <c r="W297" s="32" t="n">
        <v>3.59</v>
      </c>
      <c r="X297" s="31" t="inlineStr">
        <is>
          <t>Growing Industry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Headwind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No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0 to 20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3</t>
        </is>
      </c>
      <c r="BC297" s="31">
        <f>IF(BB297="Stage 2",20,IF(BB297="Stage 1",0,IF(BB297="Stage 3",5,IF(BB297="Stage 4",-5,0))))</f>
        <v/>
      </c>
      <c r="BD297" s="31" t="inlineStr">
        <is>
          <t>Negative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More than 20%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No</t>
        </is>
      </c>
      <c r="BS297" s="31">
        <f>IF(BR297="NO",5,0)</f>
        <v/>
      </c>
      <c r="BT297" s="31" t="inlineStr">
        <is>
          <t>Between 1.5 to 2</t>
        </is>
      </c>
      <c r="BU297" s="31">
        <f>IF(BT297="Above 2",0,IF(BT297="Between 1.5 to 2",5,IF(BT297="Less than 1.5",10,0)))</f>
        <v/>
      </c>
      <c r="BV297" s="31" t="inlineStr">
        <is>
          <t>Negative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Less than 0.7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IF(B298=0,"",RANK(B298,$B$2:$B$366,0))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1" t="inlineStr">
        <is>
          <t>SUYOG</t>
        </is>
      </c>
      <c r="D298" s="31" t="inlineStr">
        <is>
          <t>Suyog Telematics Ltd</t>
        </is>
      </c>
      <c r="E298" s="31" t="inlineStr">
        <is>
          <t>telecom</t>
        </is>
      </c>
      <c r="F298" s="31" t="inlineStr">
        <is>
          <t>transmisson line towers / equipment</t>
        </is>
      </c>
      <c r="G298" s="31" t="inlineStr">
        <is>
          <t>smallcap</t>
        </is>
      </c>
      <c r="H298" s="32" t="n">
        <v>1015</v>
      </c>
      <c r="I298" s="32" t="n">
        <v>868</v>
      </c>
      <c r="J298" s="32" t="n">
        <v>0.2</v>
      </c>
      <c r="K298" s="32" t="n">
        <v>15733</v>
      </c>
      <c r="L298" s="31" t="n">
        <v>37</v>
      </c>
      <c r="M298" s="31" t="inlineStr">
        <is>
          <t>Outperforming</t>
        </is>
      </c>
      <c r="N298" s="32">
        <f>IF(M298="Underperforming",-5,IF(L298&gt;=95,15,IF(L298&gt;=90,10,IF(L298&gt;=80,5,0))))</f>
        <v/>
      </c>
      <c r="O298" s="32" t="n">
        <v>59.23</v>
      </c>
      <c r="P298" s="32" t="n">
        <v>17.44</v>
      </c>
      <c r="Q298" s="32" t="inlineStr"/>
      <c r="R298" s="31" t="inlineStr">
        <is>
          <t>Earnings / Momentum Support</t>
        </is>
      </c>
      <c r="S298" s="31" t="inlineStr">
        <is>
          <t>Nifty 50</t>
        </is>
      </c>
      <c r="T298" s="32" t="n">
        <v>-0.74</v>
      </c>
      <c r="U298" s="32" t="n">
        <v>1.77</v>
      </c>
      <c r="V298" s="32" t="n">
        <v>2.53</v>
      </c>
      <c r="W298" s="32" t="n">
        <v>5.68</v>
      </c>
      <c r="X298" s="31" t="inlineStr">
        <is>
          <t>Growing Industry</t>
        </is>
      </c>
      <c r="Y298" s="31">
        <f>IF(X298="Growing Industry",10,IF(X298="Cyclical in an Upturn",5,0))</f>
        <v/>
      </c>
      <c r="Z298" s="31" t="inlineStr">
        <is>
          <t>Oligopoly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Yes</t>
        </is>
      </c>
      <c r="AC298" s="31">
        <f>IF(AB298="No",5,0)</f>
        <v/>
      </c>
      <c r="AD298" s="31" t="inlineStr">
        <is>
          <t>Headwind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No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0 to 20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3</t>
        </is>
      </c>
      <c r="BC298" s="31">
        <f>IF(BB298="Stage 2",20,IF(BB298="Stage 1",0,IF(BB298="Stage 3",5,IF(BB298="Stage 4",-5,0))))</f>
        <v/>
      </c>
      <c r="BD298" s="31" t="inlineStr">
        <is>
          <t>Negative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More than 20%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No</t>
        </is>
      </c>
      <c r="BS298" s="31">
        <f>IF(BR298="NO",5,0)</f>
        <v/>
      </c>
      <c r="BT298" s="31" t="inlineStr">
        <is>
          <t>Less than 1.5</t>
        </is>
      </c>
      <c r="BU298" s="31">
        <f>IF(BT298="Above 2",0,IF(BT298="Between 1.5 to 2",5,IF(BT298="Less than 1.5",10,0)))</f>
        <v/>
      </c>
      <c r="BV298" s="31" t="inlineStr">
        <is>
          <t>Less than 50%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Between 0.7 to 1.2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IF(B299=0,"",RANK(B299,$B$2:$B$366,0))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1" t="inlineStr">
        <is>
          <t>HIRECT</t>
        </is>
      </c>
      <c r="D299" s="31" t="inlineStr">
        <is>
          <t>Hind Rectifiers Limited</t>
        </is>
      </c>
      <c r="E299" s="31" t="inlineStr">
        <is>
          <t>consumer discretionary</t>
        </is>
      </c>
      <c r="F299" s="31" t="inlineStr">
        <is>
          <t>electronics - components</t>
        </is>
      </c>
      <c r="G299" s="31" t="inlineStr">
        <is>
          <t>smallcap</t>
        </is>
      </c>
      <c r="H299" s="32" t="n">
        <v>4745.43</v>
      </c>
      <c r="I299" s="32" t="n">
        <v>1339.4</v>
      </c>
      <c r="J299" s="32" t="n">
        <v>0.08</v>
      </c>
      <c r="K299" s="32" t="n">
        <v>80334</v>
      </c>
      <c r="L299" s="31" t="n">
        <v>82</v>
      </c>
      <c r="M299" s="31" t="inlineStr">
        <is>
          <t>Outperforming</t>
        </is>
      </c>
      <c r="N299" s="32">
        <f>IF(M299="Underperforming",-5,IF(L299&gt;=95,15,IF(L299&gt;=90,10,IF(L299&gt;=80,5,0))))</f>
        <v/>
      </c>
      <c r="O299" s="32" t="n">
        <v>77.67</v>
      </c>
      <c r="P299" s="32" t="n">
        <v>32.21</v>
      </c>
      <c r="Q299" s="32" t="inlineStr"/>
      <c r="R299" s="31" t="inlineStr">
        <is>
          <t>Earnings / Momentum Support</t>
        </is>
      </c>
      <c r="S299" s="31" t="inlineStr">
        <is>
          <t>Nifty 50</t>
        </is>
      </c>
      <c r="T299" s="32" t="n">
        <v>-0.74</v>
      </c>
      <c r="U299" s="32" t="n">
        <v>41.16</v>
      </c>
      <c r="V299" s="32" t="n">
        <v>42.22</v>
      </c>
      <c r="W299" s="32" t="n">
        <v>20.13</v>
      </c>
      <c r="X299" s="31" t="inlineStr">
        <is>
          <t>Growing Industry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Headwind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No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20 to 40</t>
        </is>
      </c>
      <c r="AY299" s="31">
        <f>IF(AX299="Above 40",20,IF(AX299="20 to 40",10,IF(AX299="0 to 20",-5,0)))</f>
        <v/>
      </c>
      <c r="AZ299" s="31" t="inlineStr">
        <is>
          <t>Above 75</t>
        </is>
      </c>
      <c r="BA299" s="31">
        <f>IF(AZ299="Between 50 to 75",10,IF(AZ299="Above 75",0,0))</f>
        <v/>
      </c>
      <c r="BB299" s="31" t="inlineStr">
        <is>
          <t>Stage 3</t>
        </is>
      </c>
      <c r="BC299" s="31">
        <f>IF(BB299="Stage 2",20,IF(BB299="Stage 1",0,IF(BB299="Stage 3",5,IF(BB299="Stage 4",-5,0))))</f>
        <v/>
      </c>
      <c r="BD299" s="31" t="inlineStr">
        <is>
          <t>Negative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Less than 12%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Yes</t>
        </is>
      </c>
      <c r="BS299" s="31">
        <f>IF(BR299="NO",5,0)</f>
        <v/>
      </c>
      <c r="BT299" s="31" t="inlineStr">
        <is>
          <t>Above 2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Between 0.7 to 1.2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IF(B300=0,"",RANK(B300,$B$2:$B$366,0))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3" t="inlineStr">
        <is>
          <t>SAMBHV</t>
        </is>
      </c>
      <c r="D300" s="33" t="inlineStr">
        <is>
          <t>Sambhv Steel Tubes Ltd</t>
        </is>
      </c>
      <c r="E300" s="31" t="inlineStr">
        <is>
          <t>metals &amp; mining</t>
        </is>
      </c>
      <c r="F300" s="31" t="inlineStr">
        <is>
          <t>steel - medium / small</t>
        </is>
      </c>
      <c r="G300" s="31" t="inlineStr">
        <is>
          <t>smallcap</t>
        </is>
      </c>
      <c r="H300" s="32" t="n">
        <v>3537.83</v>
      </c>
      <c r="I300" s="32" t="n">
        <v>119.96</v>
      </c>
      <c r="J300" s="32" t="n">
        <v>-0.08</v>
      </c>
      <c r="K300" s="32" t="n">
        <v>1664183</v>
      </c>
      <c r="L300" s="31" t="n">
        <v>9</v>
      </c>
      <c r="M300" s="31" t="inlineStr">
        <is>
          <t>Underperforming</t>
        </is>
      </c>
      <c r="N300" s="32">
        <f>IF(M300="Underperforming",-5,IF(L300&gt;=95,15,IF(L300&gt;=90,10,IF(L300&gt;=80,5,0))))</f>
        <v/>
      </c>
      <c r="O300" s="32" t="n">
        <v>62.08</v>
      </c>
      <c r="P300" s="32" t="n">
        <v>23.83</v>
      </c>
      <c r="Q300" s="32" t="inlineStr"/>
      <c r="R300" s="31" t="inlineStr">
        <is>
          <t>Earnings / Momentum Support</t>
        </is>
      </c>
      <c r="S300" s="31" t="inlineStr">
        <is>
          <t>Nifty Metal</t>
        </is>
      </c>
      <c r="T300" s="32" t="n">
        <v>31.49</v>
      </c>
      <c r="U300" s="32" t="n">
        <v>-6.1</v>
      </c>
      <c r="V300" s="32" t="n">
        <v>-28.59</v>
      </c>
      <c r="W300" s="32" t="n">
        <v>-0.51</v>
      </c>
      <c r="X300" s="31" t="inlineStr">
        <is>
          <t>Cyclical in an Upturn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Headwind</t>
        </is>
      </c>
      <c r="AE300" s="31">
        <f>IF(AD300="Tailwind",10,0)</f>
        <v/>
      </c>
      <c r="AF300" s="31" t="inlineStr">
        <is>
          <t>Cyclical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Volatile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No</t>
        </is>
      </c>
      <c r="AQ300" s="31">
        <f>IF(AP300="Yes",10,0)</f>
        <v/>
      </c>
      <c r="AR300" s="31" t="inlineStr">
        <is>
          <t>Higher One Time, Lower Annuity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20 to 40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3</t>
        </is>
      </c>
      <c r="BC300" s="31">
        <f>IF(BB300="Stage 2",20,IF(BB300="Stage 1",0,IF(BB300="Stage 3",5,IF(BB300="Stage 4",-5,0))))</f>
        <v/>
      </c>
      <c r="BD300" s="31" t="inlineStr">
        <is>
          <t>Negative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Close to 52 week high or retracement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More than 20%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No</t>
        </is>
      </c>
      <c r="BS300" s="31">
        <f>IF(BR300="NO",5,0)</f>
        <v/>
      </c>
      <c r="BT300" s="31" t="inlineStr">
        <is>
          <t>Above 2</t>
        </is>
      </c>
      <c r="BU300" s="31">
        <f>IF(BT300="Above 2",0,IF(BT300="Between 1.5 to 2",5,IF(BT300="Less than 1.5",10,0)))</f>
        <v/>
      </c>
      <c r="BV300" s="31" t="inlineStr">
        <is>
          <t>Above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IF(B301=0,"",RANK(B301,$B$2:$B$366,0))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3" t="inlineStr">
        <is>
          <t>CONCOR</t>
        </is>
      </c>
      <c r="D301" s="33" t="inlineStr">
        <is>
          <t>Container Corporation Of India Limited</t>
        </is>
      </c>
      <c r="E301" s="31" t="inlineStr">
        <is>
          <t>transportation</t>
        </is>
      </c>
      <c r="F301" s="31" t="inlineStr">
        <is>
          <t>miscellaneous</t>
        </is>
      </c>
      <c r="G301" s="31" t="inlineStr">
        <is>
          <t>largecap</t>
        </is>
      </c>
      <c r="H301" s="32" t="n">
        <v>40023.02</v>
      </c>
      <c r="I301" s="32" t="n">
        <v>525</v>
      </c>
      <c r="J301" s="32" t="n">
        <v>-0.1</v>
      </c>
      <c r="K301" s="32" t="n">
        <v>5759365</v>
      </c>
      <c r="L301" s="31" t="n">
        <v>9</v>
      </c>
      <c r="M301" s="31" t="inlineStr">
        <is>
          <t>Underperforming</t>
        </is>
      </c>
      <c r="N301" s="32">
        <f>IF(M301="Underperforming",-5,IF(L301&gt;=95,15,IF(L301&gt;=90,10,IF(L301&gt;=80,5,0))))</f>
        <v/>
      </c>
      <c r="O301" s="32" t="n">
        <v>57.68</v>
      </c>
      <c r="P301" s="32" t="n">
        <v>12.97</v>
      </c>
      <c r="Q301" s="32" t="inlineStr"/>
      <c r="R301" s="31" t="inlineStr">
        <is>
          <t>Earnings / Momentum Support</t>
        </is>
      </c>
      <c r="S301" s="31" t="inlineStr">
        <is>
          <t>Nifty 50</t>
        </is>
      </c>
      <c r="T301" s="32" t="n">
        <v>-0.74</v>
      </c>
      <c r="U301" s="32" t="n">
        <v>-7.03</v>
      </c>
      <c r="V301" s="32" t="n">
        <v>-6.34</v>
      </c>
      <c r="W301" s="32" t="n">
        <v>-0.72</v>
      </c>
      <c r="X301" s="31" t="inlineStr">
        <is>
          <t>Growing Industry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Headwind</t>
        </is>
      </c>
      <c r="AE301" s="31">
        <f>IF(AD301="Tailwind",10,0)</f>
        <v/>
      </c>
      <c r="AF301" s="31" t="inlineStr">
        <is>
          <t>Structural (10 Years Consistency)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Stable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No</t>
        </is>
      </c>
      <c r="AQ301" s="31">
        <f>IF(AP301="Yes",10,0)</f>
        <v/>
      </c>
      <c r="AR301" s="31" t="inlineStr">
        <is>
          <t>Higher One Time, Lower Annuity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0 to 20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3</t>
        </is>
      </c>
      <c r="BC301" s="31">
        <f>IF(BB301="Stage 2",20,IF(BB301="Stage 1",0,IF(BB301="Stage 3",5,IF(BB301="Stage 4",-5,0))))</f>
        <v/>
      </c>
      <c r="BD301" s="31" t="inlineStr">
        <is>
          <t>Negative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Less than 12%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No</t>
        </is>
      </c>
      <c r="BS301" s="31">
        <f>IF(BR301="NO",5,0)</f>
        <v/>
      </c>
      <c r="BT301" s="31" t="inlineStr">
        <is>
          <t>Above 2</t>
        </is>
      </c>
      <c r="BU301" s="31">
        <f>IF(BT301="Above 2",0,IF(BT301="Between 1.5 to 2",5,IF(BT301="Less than 1.5",10,0)))</f>
        <v/>
      </c>
      <c r="BV301" s="31" t="inlineStr">
        <is>
          <t>Above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IF(B302=0,"",RANK(B302,$B$2:$B$366,0))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1" t="inlineStr">
        <is>
          <t>DIACABS</t>
        </is>
      </c>
      <c r="D302" s="31" t="inlineStr">
        <is>
          <t>Diamond Power Infrastructure Ltd</t>
        </is>
      </c>
      <c r="E302" s="31" t="inlineStr">
        <is>
          <t>industrials</t>
        </is>
      </c>
      <c r="F302" s="31" t="inlineStr">
        <is>
          <t>cables - power</t>
        </is>
      </c>
      <c r="G302" s="31" t="inlineStr">
        <is>
          <t>midcap</t>
        </is>
      </c>
      <c r="H302" s="32" t="n">
        <v>17072.28</v>
      </c>
      <c r="I302" s="32" t="n">
        <v>322.85</v>
      </c>
      <c r="J302" s="32" t="n">
        <v>-0.35</v>
      </c>
      <c r="K302" s="32" t="n">
        <v>3140561</v>
      </c>
      <c r="L302" s="31" t="n">
        <v>77</v>
      </c>
      <c r="M302" s="31" t="inlineStr">
        <is>
          <t>Outperforming</t>
        </is>
      </c>
      <c r="N302" s="32">
        <f>IF(M302="Underperforming",-5,IF(L302&gt;=95,15,IF(L302&gt;=90,10,IF(L302&gt;=80,5,0))))</f>
        <v/>
      </c>
      <c r="O302" s="32" t="n">
        <v>86.04000000000001</v>
      </c>
      <c r="P302" s="32" t="n">
        <v>60.02</v>
      </c>
      <c r="Q302" s="32" t="inlineStr"/>
      <c r="R302" s="31" t="inlineStr">
        <is>
          <t>Earnings / Momentum Support</t>
        </is>
      </c>
      <c r="S302" s="31" t="inlineStr">
        <is>
          <t>Nifty Energy</t>
        </is>
      </c>
      <c r="T302" s="32" t="n">
        <v>8.41</v>
      </c>
      <c r="U302" s="32" t="n">
        <v>31.69</v>
      </c>
      <c r="V302" s="32" t="n">
        <v>21.48</v>
      </c>
      <c r="W302" s="32" t="n">
        <v>17.59</v>
      </c>
      <c r="X302" s="31" t="inlineStr">
        <is>
          <t>Cyclical in an Upturn</t>
        </is>
      </c>
      <c r="Y302" s="31">
        <f>IF(X302="Growing Industry",10,IF(X302="Cyclical in an Upturn",5,0))</f>
        <v/>
      </c>
      <c r="Z302" s="31" t="inlineStr">
        <is>
          <t>Too Many Players with High ROCE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No</t>
        </is>
      </c>
      <c r="AC302" s="31">
        <f>IF(AB302="No",5,0)</f>
        <v/>
      </c>
      <c r="AD302" s="31" t="inlineStr">
        <is>
          <t>Headwind</t>
        </is>
      </c>
      <c r="AE302" s="31">
        <f>IF(AD302="Tailwind",10,0)</f>
        <v/>
      </c>
      <c r="AF302" s="31" t="inlineStr">
        <is>
          <t>Structural (10 Years Consistency)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Stable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No</t>
        </is>
      </c>
      <c r="AQ302" s="31">
        <f>IF(AP302="Yes",10,0)</f>
        <v/>
      </c>
      <c r="AR302" s="31" t="inlineStr">
        <is>
          <t>Higher One Time, Lower Annuity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Above 40</t>
        </is>
      </c>
      <c r="AY302" s="31">
        <f>IF(AX302="Above 40",20,IF(AX302="20 to 40",10,IF(AX302="0 to 20",-5,0)))</f>
        <v/>
      </c>
      <c r="AZ302" s="31" t="inlineStr">
        <is>
          <t>Above 75</t>
        </is>
      </c>
      <c r="BA302" s="31">
        <f>IF(AZ302="Between 50 to 75",10,IF(AZ302="Above 75",0,0))</f>
        <v/>
      </c>
      <c r="BB302" s="31" t="inlineStr">
        <is>
          <t>Stage 3</t>
        </is>
      </c>
      <c r="BC302" s="31">
        <f>IF(BB302="Stage 2",20,IF(BB302="Stage 1",0,IF(BB302="Stage 3",5,IF(BB302="Stage 4",-5,0))))</f>
        <v/>
      </c>
      <c r="BD302" s="31" t="inlineStr">
        <is>
          <t>Negative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More than 20%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Yes</t>
        </is>
      </c>
      <c r="BS302" s="31">
        <f>IF(BR302="NO",5,0)</f>
        <v/>
      </c>
      <c r="BT302" s="31" t="inlineStr">
        <is>
          <t>Above 2</t>
        </is>
      </c>
      <c r="BU302" s="31">
        <f>IF(BT302="Above 2",0,IF(BT302="Between 1.5 to 2",5,IF(BT302="Less than 1.5",10,0)))</f>
        <v/>
      </c>
      <c r="BV302" s="31" t="inlineStr">
        <is>
          <t>Negative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Less than 0.7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IF(B303=0,"",RANK(B303,$B$2:$B$366,0))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3" t="inlineStr">
        <is>
          <t>MARUTI</t>
        </is>
      </c>
      <c r="D303" s="33" t="inlineStr">
        <is>
          <t>Maruti Suzuki India Limited</t>
        </is>
      </c>
      <c r="E303" s="31" t="inlineStr">
        <is>
          <t>auto</t>
        </is>
      </c>
      <c r="F303" s="31" t="inlineStr">
        <is>
          <t>automobiles - passenger cars</t>
        </is>
      </c>
      <c r="G303" s="31" t="inlineStr">
        <is>
          <t>largecap</t>
        </is>
      </c>
      <c r="H303" s="32" t="n">
        <v>447520.62</v>
      </c>
      <c r="I303" s="32" t="n">
        <v>14150</v>
      </c>
      <c r="J303" s="32" t="n">
        <v>-0.59</v>
      </c>
      <c r="K303" s="32" t="n">
        <v>2866394</v>
      </c>
      <c r="L303" s="31" t="n">
        <v>28</v>
      </c>
      <c r="M303" s="31" t="inlineStr">
        <is>
          <t>Underperforming</t>
        </is>
      </c>
      <c r="N303" s="32">
        <f>IF(M303="Underperforming",-5,IF(L303&gt;=95,15,IF(L303&gt;=90,10,IF(L303&gt;=80,5,0))))</f>
        <v/>
      </c>
      <c r="O303" s="32" t="n">
        <v>53.82</v>
      </c>
      <c r="P303" s="32" t="n">
        <v>10.91</v>
      </c>
      <c r="Q303" s="32" t="inlineStr"/>
      <c r="R303" s="31" t="inlineStr">
        <is>
          <t>Earnings / Momentum Support</t>
        </is>
      </c>
      <c r="S303" s="31" t="inlineStr">
        <is>
          <t>Nifty Auto</t>
        </is>
      </c>
      <c r="T303" s="32" t="n">
        <v>13.41</v>
      </c>
      <c r="U303" s="32" t="n">
        <v>12.35</v>
      </c>
      <c r="V303" s="32" t="n">
        <v>-0.9399999999999999</v>
      </c>
      <c r="W303" s="32" t="n">
        <v>4.04</v>
      </c>
      <c r="X303" s="31" t="inlineStr">
        <is>
          <t>Growing Industry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No</t>
        </is>
      </c>
      <c r="AC303" s="31">
        <f>IF(AB303="No",5,0)</f>
        <v/>
      </c>
      <c r="AD303" s="31" t="inlineStr">
        <is>
          <t>Headwind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No</t>
        </is>
      </c>
      <c r="AQ303" s="31">
        <f>IF(AP303="Yes",10,0)</f>
        <v/>
      </c>
      <c r="AR303" s="31" t="inlineStr">
        <is>
          <t>Higher One Time, Lower Annuity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0 to 20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3</t>
        </is>
      </c>
      <c r="BC303" s="31">
        <f>IF(BB303="Stage 2",20,IF(BB303="Stage 1",0,IF(BB303="Stage 3",5,IF(BB303="Stage 4",-5,0))))</f>
        <v/>
      </c>
      <c r="BD303" s="31" t="inlineStr">
        <is>
          <t>Negative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Less than 12%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No</t>
        </is>
      </c>
      <c r="BS303" s="31">
        <f>IF(BR303="NO",5,0)</f>
        <v/>
      </c>
      <c r="BT303" s="31" t="inlineStr">
        <is>
          <t>Above 2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Less than 0.7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IF(B304=0,"",RANK(B304,$B$2:$B$366,0))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3" t="inlineStr">
        <is>
          <t>INDIGOPNTS</t>
        </is>
      </c>
      <c r="D304" s="33" t="inlineStr">
        <is>
          <t>Indigo Paints Ltd</t>
        </is>
      </c>
      <c r="E304" s="31" t="inlineStr">
        <is>
          <t>building materials</t>
        </is>
      </c>
      <c r="F304" s="31" t="inlineStr">
        <is>
          <t>paints / varnishes</t>
        </is>
      </c>
      <c r="G304" s="31" t="inlineStr">
        <is>
          <t>midcap</t>
        </is>
      </c>
      <c r="H304" s="32" t="n">
        <v>5300.58</v>
      </c>
      <c r="I304" s="32" t="n">
        <v>1087.4</v>
      </c>
      <c r="J304" s="32" t="n">
        <v>-2.19</v>
      </c>
      <c r="K304" s="32" t="n">
        <v>48464</v>
      </c>
      <c r="L304" s="31" t="n">
        <v>37</v>
      </c>
      <c r="M304" s="31" t="inlineStr">
        <is>
          <t>Underperforming</t>
        </is>
      </c>
      <c r="N304" s="32">
        <f>IF(M304="Underperforming",-5,IF(L304&gt;=95,15,IF(L304&gt;=90,10,IF(L304&gt;=80,5,0))))</f>
        <v/>
      </c>
      <c r="O304" s="32" t="n">
        <v>61.87</v>
      </c>
      <c r="P304" s="32" t="n">
        <v>10.99</v>
      </c>
      <c r="Q304" s="32" t="inlineStr"/>
      <c r="R304" s="31" t="inlineStr">
        <is>
          <t>Earnings / Momentum Support</t>
        </is>
      </c>
      <c r="S304" s="31" t="inlineStr">
        <is>
          <t>Nifty Infra</t>
        </is>
      </c>
      <c r="T304" s="32" t="n">
        <v>1.74</v>
      </c>
      <c r="U304" s="32" t="n">
        <v>-11.05</v>
      </c>
      <c r="V304" s="32" t="n">
        <v>-12.57</v>
      </c>
      <c r="W304" s="32" t="n">
        <v>5.62</v>
      </c>
      <c r="X304" s="31" t="inlineStr">
        <is>
          <t>Growing Industry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No</t>
        </is>
      </c>
      <c r="AC304" s="31">
        <f>IF(AB304="No",5,0)</f>
        <v/>
      </c>
      <c r="AD304" s="31" t="inlineStr">
        <is>
          <t>Headwind</t>
        </is>
      </c>
      <c r="AE304" s="31">
        <f>IF(AD304="Tailwind",10,0)</f>
        <v/>
      </c>
      <c r="AF304" s="31" t="inlineStr">
        <is>
          <t>Structural (10 Years Consistency)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No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0 to 20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3</t>
        </is>
      </c>
      <c r="BC304" s="31">
        <f>IF(BB304="Stage 2",20,IF(BB304="Stage 1",0,IF(BB304="Stage 3",5,IF(BB304="Stage 4",-5,0))))</f>
        <v/>
      </c>
      <c r="BD304" s="31" t="inlineStr">
        <is>
          <t>Negative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Less than 12%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No</t>
        </is>
      </c>
      <c r="BS304" s="31">
        <f>IF(BR304="NO",5,0)</f>
        <v/>
      </c>
      <c r="BT304" s="31" t="inlineStr">
        <is>
          <t>Above 2</t>
        </is>
      </c>
      <c r="BU304" s="31">
        <f>IF(BT304="Above 2",0,IF(BT304="Between 1.5 to 2",5,IF(BT304="Less than 1.5",10,0)))</f>
        <v/>
      </c>
      <c r="BV304" s="31" t="inlineStr">
        <is>
          <t>Above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Less than 0.7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IF(B305=0,"",RANK(B305,$B$2:$B$366,0))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1" t="inlineStr">
        <is>
          <t>SENCO</t>
        </is>
      </c>
      <c r="D305" s="31" t="inlineStr">
        <is>
          <t>Senco Gold Ltd</t>
        </is>
      </c>
      <c r="E305" s="31" t="inlineStr">
        <is>
          <t>consumer discretionary</t>
        </is>
      </c>
      <c r="F305" s="31" t="inlineStr">
        <is>
          <t>diamond cutting / jewellery</t>
        </is>
      </c>
      <c r="G305" s="31" t="inlineStr">
        <is>
          <t>midcap</t>
        </is>
      </c>
      <c r="H305" s="32" t="n">
        <v>6605.97</v>
      </c>
      <c r="I305" s="32" t="n">
        <v>388.1</v>
      </c>
      <c r="J305" s="32" t="n">
        <v>-3.75</v>
      </c>
      <c r="K305" s="32" t="n">
        <v>1410396</v>
      </c>
      <c r="L305" s="31" t="n">
        <v>61</v>
      </c>
      <c r="M305" s="31" t="inlineStr">
        <is>
          <t>Outperforming</t>
        </is>
      </c>
      <c r="N305" s="32">
        <f>IF(M305="Underperforming",-5,IF(L305&gt;=95,15,IF(L305&gt;=90,10,IF(L305&gt;=80,5,0))))</f>
        <v/>
      </c>
      <c r="O305" s="32" t="n">
        <v>66.18000000000001</v>
      </c>
      <c r="P305" s="32" t="n">
        <v>30.45</v>
      </c>
      <c r="Q305" s="32" t="inlineStr"/>
      <c r="R305" s="31" t="inlineStr">
        <is>
          <t>Earnings / Momentum Support</t>
        </is>
      </c>
      <c r="S305" s="31" t="inlineStr">
        <is>
          <t>Nifty 50</t>
        </is>
      </c>
      <c r="T305" s="32" t="n">
        <v>-0.74</v>
      </c>
      <c r="U305" s="32" t="n">
        <v>28.92</v>
      </c>
      <c r="V305" s="32" t="n">
        <v>29.88</v>
      </c>
      <c r="W305" s="32" t="n">
        <v>11.58</v>
      </c>
      <c r="X305" s="31" t="inlineStr">
        <is>
          <t>Growing Industry</t>
        </is>
      </c>
      <c r="Y305" s="31">
        <f>IF(X305="Growing Industry",10,IF(X305="Cyclical in an Upturn",5,0))</f>
        <v/>
      </c>
      <c r="Z305" s="31" t="inlineStr">
        <is>
          <t>Too Many Players with High ROCE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Headwind</t>
        </is>
      </c>
      <c r="AE305" s="31">
        <f>IF(AD305="Tailwind",10,0)</f>
        <v/>
      </c>
      <c r="AF305" s="31" t="inlineStr">
        <is>
          <t>Structural (10 Years Consistency)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Stable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No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20 to 40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3</t>
        </is>
      </c>
      <c r="BC305" s="31">
        <f>IF(BB305="Stage 2",20,IF(BB305="Stage 1",0,IF(BB305="Stage 3",5,IF(BB305="Stage 4",-5,0))))</f>
        <v/>
      </c>
      <c r="BD305" s="31" t="inlineStr">
        <is>
          <t>Negative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More than 20%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No</t>
        </is>
      </c>
      <c r="BS305" s="31">
        <f>IF(BR305="NO",5,0)</f>
        <v/>
      </c>
      <c r="BT305" s="31" t="inlineStr">
        <is>
          <t>Above 2</t>
        </is>
      </c>
      <c r="BU305" s="31">
        <f>IF(BT305="Above 2",0,IF(BT305="Between 1.5 to 2",5,IF(BT305="Less than 1.5",10,0)))</f>
        <v/>
      </c>
      <c r="BV305" s="31" t="inlineStr">
        <is>
          <t>Negative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Between 0.7 to 1.2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IF(B306=0,"",RANK(B306,$B$2:$B$366,0))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1" t="inlineStr">
        <is>
          <t>SMLMAH</t>
        </is>
      </c>
      <c r="D306" s="31" t="inlineStr">
        <is>
          <t>SML Mahindra Ltd</t>
        </is>
      </c>
      <c r="E306" s="31" t="inlineStr">
        <is>
          <t>auto</t>
        </is>
      </c>
      <c r="F306" s="31" t="inlineStr">
        <is>
          <t>automobiles - lcvs / hcvs</t>
        </is>
      </c>
      <c r="G306" s="31" t="inlineStr">
        <is>
          <t>midcap</t>
        </is>
      </c>
      <c r="H306" s="32" t="n">
        <v>8228</v>
      </c>
      <c r="I306" s="32" t="n">
        <v>5464</v>
      </c>
      <c r="J306" s="32" t="n">
        <v>-3.9</v>
      </c>
      <c r="K306" s="32" t="n">
        <v>257129</v>
      </c>
      <c r="L306" s="31" t="n">
        <v>35</v>
      </c>
      <c r="M306" s="31" t="inlineStr">
        <is>
          <t>Outperforming</t>
        </is>
      </c>
      <c r="N306" s="32">
        <f>IF(M306="Underperforming",-5,IF(L306&gt;=95,15,IF(L306&gt;=90,10,IF(L306&gt;=80,5,0))))</f>
        <v/>
      </c>
      <c r="O306" s="32" t="n">
        <v>71.17</v>
      </c>
      <c r="P306" s="32" t="n">
        <v>9.44</v>
      </c>
      <c r="Q306" s="32" t="inlineStr"/>
      <c r="R306" s="31" t="inlineStr">
        <is>
          <t>Earnings / Momentum Support</t>
        </is>
      </c>
      <c r="S306" s="31" t="inlineStr">
        <is>
          <t>Nifty Auto</t>
        </is>
      </c>
      <c r="T306" s="32" t="n">
        <v>13.41</v>
      </c>
      <c r="U306" s="32" t="n">
        <v>24.19</v>
      </c>
      <c r="V306" s="32" t="n">
        <v>9.5</v>
      </c>
      <c r="W306" s="32" t="n">
        <v>5.34</v>
      </c>
      <c r="X306" s="31" t="inlineStr">
        <is>
          <t>Growing Industry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Headwind</t>
        </is>
      </c>
      <c r="AE306" s="31">
        <f>IF(AD306="Tailwind",10,0)</f>
        <v/>
      </c>
      <c r="AF306" s="31" t="inlineStr">
        <is>
          <t>Structural (10 Years Consistency)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Stable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No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0 to 20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3</t>
        </is>
      </c>
      <c r="BC306" s="31">
        <f>IF(BB306="Stage 2",20,IF(BB306="Stage 1",0,IF(BB306="Stage 3",5,IF(BB306="Stage 4",-5,0))))</f>
        <v/>
      </c>
      <c r="BD306" s="31" t="inlineStr">
        <is>
          <t>Negative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Less than 12%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Yes</t>
        </is>
      </c>
      <c r="BS306" s="31">
        <f>IF(BR306="NO",5,0)</f>
        <v/>
      </c>
      <c r="BT306" s="31" t="inlineStr">
        <is>
          <t>Above 2</t>
        </is>
      </c>
      <c r="BU306" s="31">
        <f>IF(BT306="Above 2",0,IF(BT306="Between 1.5 to 2",5,IF(BT306="Less than 1.5",10,0)))</f>
        <v/>
      </c>
      <c r="BV306" s="31" t="inlineStr">
        <is>
          <t>Above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Less than 0.7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IF(B307=0,"",RANK(B307,$B$2:$B$366,0))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3" t="inlineStr">
        <is>
          <t>MAGADSUGAR</t>
        </is>
      </c>
      <c r="D307" s="33" t="inlineStr">
        <is>
          <t>Magadh Sugar &amp; Energy Ltd</t>
        </is>
      </c>
      <c r="E307" s="31" t="inlineStr">
        <is>
          <t>fmcg</t>
        </is>
      </c>
      <c r="F307" s="31" t="inlineStr">
        <is>
          <t>sugar</t>
        </is>
      </c>
      <c r="G307" s="31" t="inlineStr">
        <is>
          <t>smallcap</t>
        </is>
      </c>
      <c r="H307" s="32" t="n">
        <v>705.15</v>
      </c>
      <c r="I307" s="32" t="n">
        <v>534.95</v>
      </c>
      <c r="J307" s="32" t="n">
        <v>6.9</v>
      </c>
      <c r="K307" s="32" t="n">
        <v>104201</v>
      </c>
      <c r="L307" s="31" t="n">
        <v>3</v>
      </c>
      <c r="M307" s="31" t="inlineStr">
        <is>
          <t>Underperforming</t>
        </is>
      </c>
      <c r="N307" s="32">
        <f>IF(M307="Underperforming",-5,IF(L307&gt;=95,15,IF(L307&gt;=90,10,IF(L307&gt;=80,5,0))))</f>
        <v/>
      </c>
      <c r="O307" s="32" t="n">
        <v>56.83</v>
      </c>
      <c r="P307" s="32" t="n">
        <v>12.5</v>
      </c>
      <c r="Q307" s="32" t="inlineStr"/>
      <c r="R307" s="31" t="inlineStr">
        <is>
          <t>Earnings / Momentum Support</t>
        </is>
      </c>
      <c r="S307" s="31" t="inlineStr">
        <is>
          <t>Nifty FMCG</t>
        </is>
      </c>
      <c r="T307" s="32" t="n">
        <v>-13.73</v>
      </c>
      <c r="U307" s="32" t="n">
        <v>-19.58</v>
      </c>
      <c r="V307" s="32" t="n">
        <v>-6.78</v>
      </c>
      <c r="W307" s="32" t="n">
        <v>-3.74</v>
      </c>
      <c r="X307" s="31" t="inlineStr">
        <is>
          <t>Growing Industry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Headwind</t>
        </is>
      </c>
      <c r="AE307" s="31">
        <f>IF(AD307="Tailwind",10,0)</f>
        <v/>
      </c>
      <c r="AF307" s="31" t="inlineStr">
        <is>
          <t>Structural (10 Years Consistency)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Stable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B2C</t>
        </is>
      </c>
      <c r="AO307" s="31">
        <f>IF(AN307="B2C",10,IF(AN307="B2B",5,0))</f>
        <v/>
      </c>
      <c r="AP307" s="31" t="inlineStr">
        <is>
          <t>No</t>
        </is>
      </c>
      <c r="AQ307" s="31">
        <f>IF(AP307="Yes",10,0)</f>
        <v/>
      </c>
      <c r="AR307" s="31" t="inlineStr">
        <is>
          <t>Higher Annuity, Lower One Time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0 to 20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3</t>
        </is>
      </c>
      <c r="BC307" s="31">
        <f>IF(BB307="Stage 2",20,IF(BB307="Stage 1",0,IF(BB307="Stage 3",5,IF(BB307="Stage 4",-5,0))))</f>
        <v/>
      </c>
      <c r="BD307" s="31" t="inlineStr">
        <is>
          <t>Negative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Less than 12%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No</t>
        </is>
      </c>
      <c r="BS307" s="31">
        <f>IF(BR307="NO",5,0)</f>
        <v/>
      </c>
      <c r="BT307" s="31" t="inlineStr">
        <is>
          <t>Above 2</t>
        </is>
      </c>
      <c r="BU307" s="31">
        <f>IF(BT307="Above 2",0,IF(BT307="Between 1.5 to 2",5,IF(BT307="Less than 1.5",10,0)))</f>
        <v/>
      </c>
      <c r="BV307" s="31" t="inlineStr">
        <is>
          <t>Above 70%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Between 0.7 to 1.2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IF(B308=0,"",RANK(B308,$B$2:$B$366,0))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3" t="inlineStr">
        <is>
          <t>PFIZER</t>
        </is>
      </c>
      <c r="D308" s="33" t="inlineStr">
        <is>
          <t>Pfizer Limited</t>
        </is>
      </c>
      <c r="E308" s="31" t="inlineStr">
        <is>
          <t>healthcare</t>
        </is>
      </c>
      <c r="F308" s="31" t="inlineStr">
        <is>
          <t>pharmaceuticals - multinational</t>
        </is>
      </c>
      <c r="G308" s="31" t="inlineStr">
        <is>
          <t>largecap</t>
        </is>
      </c>
      <c r="H308" s="32" t="n">
        <v>22068.25</v>
      </c>
      <c r="I308" s="32" t="n">
        <v>4914.6</v>
      </c>
      <c r="J308" s="32" t="n">
        <v>1.88</v>
      </c>
      <c r="K308" s="32" t="n">
        <v>44140</v>
      </c>
      <c r="L308" s="31" t="n">
        <v>11</v>
      </c>
      <c r="M308" s="31" t="inlineStr">
        <is>
          <t>Underperforming</t>
        </is>
      </c>
      <c r="N308" s="32">
        <f>IF(M308="Underperforming",-5,IF(L308&gt;=95,15,IF(L308&gt;=90,10,IF(L308&gt;=80,5,0))))</f>
        <v/>
      </c>
      <c r="O308" s="32" t="n">
        <v>55.1</v>
      </c>
      <c r="P308" s="32" t="n">
        <v>9.6</v>
      </c>
      <c r="Q308" s="32" t="inlineStr"/>
      <c r="R308" s="31" t="inlineStr">
        <is>
          <t>Earnings / Momentum Support</t>
        </is>
      </c>
      <c r="S308" s="31" t="inlineStr">
        <is>
          <t>Nifty Pharma</t>
        </is>
      </c>
      <c r="T308" s="32" t="n">
        <v>20.55</v>
      </c>
      <c r="U308" s="32" t="n">
        <v>-3.01</v>
      </c>
      <c r="V308" s="32" t="n">
        <v>-19.55</v>
      </c>
      <c r="W308" s="32" t="n">
        <v>0.43</v>
      </c>
      <c r="X308" s="31" t="inlineStr">
        <is>
          <t>Growing Industry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Yes</t>
        </is>
      </c>
      <c r="AC308" s="31">
        <f>IF(AB308="No",5,0)</f>
        <v/>
      </c>
      <c r="AD308" s="31" t="inlineStr">
        <is>
          <t>Headwind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No</t>
        </is>
      </c>
      <c r="AQ308" s="31">
        <f>IF(AP308="Yes",10,0)</f>
        <v/>
      </c>
      <c r="AR308" s="31" t="inlineStr">
        <is>
          <t>Higher Annuity, Lower One Time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0 to 20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3</t>
        </is>
      </c>
      <c r="BC308" s="31">
        <f>IF(BB308="Stage 2",20,IF(BB308="Stage 1",0,IF(BB308="Stage 3",5,IF(BB308="Stage 4",-5,0))))</f>
        <v/>
      </c>
      <c r="BD308" s="31" t="inlineStr">
        <is>
          <t>Negative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Less than 12%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No</t>
        </is>
      </c>
      <c r="BS308" s="31">
        <f>IF(BR308="NO",5,0)</f>
        <v/>
      </c>
      <c r="BT308" s="31" t="inlineStr">
        <is>
          <t>Above 2</t>
        </is>
      </c>
      <c r="BU308" s="31">
        <f>IF(BT308="Above 2",0,IF(BT308="Between 1.5 to 2",5,IF(BT308="Less than 1.5",10,0)))</f>
        <v/>
      </c>
      <c r="BV308" s="31" t="inlineStr">
        <is>
          <t>Above 70%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Less than 0.7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IF(B309=0,"",RANK(B309,$B$2:$B$366,0))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3" t="inlineStr">
        <is>
          <t>CIPLA</t>
        </is>
      </c>
      <c r="D309" s="33" t="inlineStr">
        <is>
          <t>Cipla Limited</t>
        </is>
      </c>
      <c r="E309" s="31" t="inlineStr">
        <is>
          <t>healthcare</t>
        </is>
      </c>
      <c r="F309" s="31" t="inlineStr">
        <is>
          <t>pharmaceuticals - indian - bulk drugs &amp; formln</t>
        </is>
      </c>
      <c r="G309" s="31" t="inlineStr">
        <is>
          <t>largecap</t>
        </is>
      </c>
      <c r="H309" s="32" t="n">
        <v>119011.77</v>
      </c>
      <c r="I309" s="32" t="n">
        <v>1474.4</v>
      </c>
      <c r="J309" s="32" t="n">
        <v>0.08</v>
      </c>
      <c r="K309" s="32" t="n">
        <v>2329154</v>
      </c>
      <c r="L309" s="31" t="n">
        <v>22</v>
      </c>
      <c r="M309" s="31" t="inlineStr">
        <is>
          <t>Underperforming</t>
        </is>
      </c>
      <c r="N309" s="32">
        <f>IF(M309="Underperforming",-5,IF(L309&gt;=95,15,IF(L309&gt;=90,10,IF(L309&gt;=80,5,0))))</f>
        <v/>
      </c>
      <c r="O309" s="32" t="n">
        <v>60.67</v>
      </c>
      <c r="P309" s="32" t="n">
        <v>9.08</v>
      </c>
      <c r="Q309" s="32" t="inlineStr"/>
      <c r="R309" s="31" t="inlineStr">
        <is>
          <t>Earnings / Momentum Support</t>
        </is>
      </c>
      <c r="S309" s="31" t="inlineStr">
        <is>
          <t>Nifty Pharma</t>
        </is>
      </c>
      <c r="T309" s="32" t="n">
        <v>20.55</v>
      </c>
      <c r="U309" s="32" t="n">
        <v>-1.05</v>
      </c>
      <c r="V309" s="32" t="n">
        <v>-17.92</v>
      </c>
      <c r="W309" s="32" t="n">
        <v>2.81</v>
      </c>
      <c r="X309" s="31" t="inlineStr">
        <is>
          <t>Growing Industry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Yes</t>
        </is>
      </c>
      <c r="AC309" s="31">
        <f>IF(AB309="No",5,0)</f>
        <v/>
      </c>
      <c r="AD309" s="31" t="inlineStr">
        <is>
          <t>Headwind</t>
        </is>
      </c>
      <c r="AE309" s="31">
        <f>IF(AD309="Tailwind",10,0)</f>
        <v/>
      </c>
      <c r="AF309" s="31" t="inlineStr">
        <is>
          <t>Structural (10 Years Consistency)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Stable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No</t>
        </is>
      </c>
      <c r="AQ309" s="31">
        <f>IF(AP309="Yes",10,0)</f>
        <v/>
      </c>
      <c r="AR309" s="31" t="inlineStr">
        <is>
          <t>Higher Annuity, Lower One Time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0 to 20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3</t>
        </is>
      </c>
      <c r="BC309" s="31">
        <f>IF(BB309="Stage 2",20,IF(BB309="Stage 1",0,IF(BB309="Stage 3",5,IF(BB309="Stage 4",-5,0))))</f>
        <v/>
      </c>
      <c r="BD309" s="31" t="inlineStr">
        <is>
          <t>Negative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Less than 12%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No</t>
        </is>
      </c>
      <c r="BS309" s="31">
        <f>IF(BR309="NO",5,0)</f>
        <v/>
      </c>
      <c r="BT309" s="31" t="inlineStr">
        <is>
          <t>Above 2</t>
        </is>
      </c>
      <c r="BU309" s="31">
        <f>IF(BT309="Above 2",0,IF(BT309="Between 1.5 to 2",5,IF(BT309="Less than 1.5",10,0)))</f>
        <v/>
      </c>
      <c r="BV309" s="31" t="inlineStr">
        <is>
          <t>Above 70%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Less than 0.7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IF(B310=0,"",RANK(B310,$B$2:$B$366,0))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3" t="inlineStr">
        <is>
          <t>ETHOSLTD</t>
        </is>
      </c>
      <c r="D310" s="33" t="inlineStr">
        <is>
          <t>Ethos Ltd</t>
        </is>
      </c>
      <c r="E310" s="31" t="inlineStr">
        <is>
          <t>consumer discretionary</t>
        </is>
      </c>
      <c r="F310" s="31" t="inlineStr">
        <is>
          <t>trading</t>
        </is>
      </c>
      <c r="G310" s="31" t="inlineStr">
        <is>
          <t>midcap</t>
        </is>
      </c>
      <c r="H310" s="32" t="n">
        <v>6891.18</v>
      </c>
      <c r="I310" s="32" t="n">
        <v>2962.7</v>
      </c>
      <c r="J310" s="32" t="n">
        <v>15.04</v>
      </c>
      <c r="K310" s="32" t="n">
        <v>1592339</v>
      </c>
      <c r="L310" s="31" t="n">
        <v>14</v>
      </c>
      <c r="M310" s="31" t="inlineStr">
        <is>
          <t>Underperforming</t>
        </is>
      </c>
      <c r="N310" s="32">
        <f>IF(M310="Underperforming",-5,IF(L310&gt;=95,15,IF(L310&gt;=90,10,IF(L310&gt;=80,5,0))))</f>
        <v/>
      </c>
      <c r="O310" s="32" t="n">
        <v>53.86</v>
      </c>
      <c r="P310" s="32" t="n">
        <v>10.12</v>
      </c>
      <c r="Q310" s="32" t="inlineStr"/>
      <c r="R310" s="31" t="inlineStr">
        <is>
          <t>Volume Spike / Accumulation</t>
        </is>
      </c>
      <c r="S310" s="31" t="inlineStr">
        <is>
          <t>Nifty 50</t>
        </is>
      </c>
      <c r="T310" s="32" t="n">
        <v>-0.74</v>
      </c>
      <c r="U310" s="32" t="n">
        <v>-3.3</v>
      </c>
      <c r="V310" s="32" t="n">
        <v>-2.58</v>
      </c>
      <c r="W310" s="32" t="n">
        <v>1.12</v>
      </c>
      <c r="X310" s="31" t="inlineStr">
        <is>
          <t>Growing Industry</t>
        </is>
      </c>
      <c r="Y310" s="31">
        <f>IF(X310="Growing Industry",10,IF(X310="Cyclical in an Upturn",5,0))</f>
        <v/>
      </c>
      <c r="Z310" s="31" t="inlineStr">
        <is>
          <t>Too Many Players with High ROCE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No</t>
        </is>
      </c>
      <c r="AC310" s="31">
        <f>IF(AB310="No",5,0)</f>
        <v/>
      </c>
      <c r="AD310" s="31" t="inlineStr">
        <is>
          <t>Headwind</t>
        </is>
      </c>
      <c r="AE310" s="31">
        <f>IF(AD310="Tailwind",10,0)</f>
        <v/>
      </c>
      <c r="AF310" s="31" t="inlineStr">
        <is>
          <t>Structural (10 Years Consistency)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Yes</t>
        </is>
      </c>
      <c r="AQ310" s="31">
        <f>IF(AP310="Yes",10,0)</f>
        <v/>
      </c>
      <c r="AR310" s="31" t="inlineStr">
        <is>
          <t>Higher One Time, Lower Annuity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0 to 20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3</t>
        </is>
      </c>
      <c r="BC310" s="31">
        <f>IF(BB310="Stage 2",20,IF(BB310="Stage 1",0,IF(BB310="Stage 3",5,IF(BB310="Stage 4",-5,0))))</f>
        <v/>
      </c>
      <c r="BD310" s="31" t="inlineStr">
        <is>
          <t>Negative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Close to 52 week high or retracement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Less than 12%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Yes</t>
        </is>
      </c>
      <c r="BS310" s="31">
        <f>IF(BR310="NO",5,0)</f>
        <v/>
      </c>
      <c r="BT310" s="31" t="inlineStr">
        <is>
          <t>Above 2</t>
        </is>
      </c>
      <c r="BU310" s="31">
        <f>IF(BT310="Above 2",0,IF(BT310="Between 1.5 to 2",5,IF(BT310="Less than 1.5",10,0)))</f>
        <v/>
      </c>
      <c r="BV310" s="31" t="inlineStr">
        <is>
          <t>Less than 50%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Less than 0.7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IF(B311=0,"",RANK(B311,$B$2:$B$366,0))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3" t="inlineStr">
        <is>
          <t>RBA</t>
        </is>
      </c>
      <c r="D311" s="33" t="inlineStr">
        <is>
          <t>Restaurant Brands Asia Ltd</t>
        </is>
      </c>
      <c r="E311" s="31" t="inlineStr">
        <is>
          <t>consumer discretionary</t>
        </is>
      </c>
      <c r="F311" s="31" t="inlineStr">
        <is>
          <t>hotels</t>
        </is>
      </c>
      <c r="G311" s="31" t="inlineStr">
        <is>
          <t>smallcap</t>
        </is>
      </c>
      <c r="H311" s="32" t="n">
        <v>4742.89</v>
      </c>
      <c r="I311" s="32" t="n">
        <v>71.3</v>
      </c>
      <c r="J311" s="32" t="n">
        <v>6.99</v>
      </c>
      <c r="K311" s="32" t="n">
        <v>5382951</v>
      </c>
      <c r="L311" s="31" t="n">
        <v>3</v>
      </c>
      <c r="M311" s="31" t="inlineStr">
        <is>
          <t>Underperforming</t>
        </is>
      </c>
      <c r="N311" s="32">
        <f>IF(M311="Underperforming",-5,IF(L311&gt;=95,15,IF(L311&gt;=90,10,IF(L311&gt;=80,5,0))))</f>
        <v/>
      </c>
      <c r="O311" s="32" t="n">
        <v>47.25</v>
      </c>
      <c r="P311" s="32" t="n">
        <v>21.81</v>
      </c>
      <c r="Q311" s="32" t="inlineStr"/>
      <c r="R311" s="31" t="inlineStr">
        <is>
          <t>Earnings / Momentum Support</t>
        </is>
      </c>
      <c r="S311" s="31" t="inlineStr">
        <is>
          <t>Nifty 50</t>
        </is>
      </c>
      <c r="T311" s="32" t="n">
        <v>-0.74</v>
      </c>
      <c r="U311" s="32" t="n">
        <v>-20.62</v>
      </c>
      <c r="V311" s="32" t="n">
        <v>-20.03</v>
      </c>
      <c r="W311" s="32" t="n">
        <v>-3.73</v>
      </c>
      <c r="X311" s="31" t="inlineStr">
        <is>
          <t>Growing Industry</t>
        </is>
      </c>
      <c r="Y311" s="31">
        <f>IF(X311="Growing Industry",10,IF(X311="Cyclical in an Upturn",5,0))</f>
        <v/>
      </c>
      <c r="Z311" s="31" t="inlineStr">
        <is>
          <t>Too Many Players with High ROCE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No</t>
        </is>
      </c>
      <c r="AC311" s="31">
        <f>IF(AB311="No",5,0)</f>
        <v/>
      </c>
      <c r="AD311" s="31" t="inlineStr">
        <is>
          <t>Headwind</t>
        </is>
      </c>
      <c r="AE311" s="31">
        <f>IF(AD311="Tailwind",10,0)</f>
        <v/>
      </c>
      <c r="AF311" s="31" t="inlineStr">
        <is>
          <t>Structural (10 Years Consistency)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Stable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No</t>
        </is>
      </c>
      <c r="AQ311" s="31">
        <f>IF(AP311="Yes",10,0)</f>
        <v/>
      </c>
      <c r="AR311" s="31" t="inlineStr">
        <is>
          <t>Higher One Time, Lower Annuity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20 to 40</t>
        </is>
      </c>
      <c r="AY311" s="31">
        <f>IF(AX311="Above 40",20,IF(AX311="20 to 40",10,IF(AX311="0 to 20",-5,0)))</f>
        <v/>
      </c>
      <c r="AZ311" s="31" t="inlineStr">
        <is>
          <t>Below 45</t>
        </is>
      </c>
      <c r="BA311" s="31">
        <f>IF(AZ311="Between 50 to 75",10,IF(AZ311="Above 75",0,0))</f>
        <v/>
      </c>
      <c r="BB311" s="31" t="inlineStr">
        <is>
          <t>Stage 4</t>
        </is>
      </c>
      <c r="BC311" s="31">
        <f>IF(BB311="Stage 2",20,IF(BB311="Stage 1",0,IF(BB311="Stage 3",5,IF(BB311="Stage 4",-5,0))))</f>
        <v/>
      </c>
      <c r="BD311" s="31" t="inlineStr">
        <is>
          <t>Negative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Close to 52 week high or retracement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More than 20%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No</t>
        </is>
      </c>
      <c r="BS311" s="31">
        <f>IF(BR311="NO",5,0)</f>
        <v/>
      </c>
      <c r="BT311" s="31" t="inlineStr">
        <is>
          <t>Less than 1.5</t>
        </is>
      </c>
      <c r="BU311" s="31">
        <f>IF(BT311="Above 2",0,IF(BT311="Between 1.5 to 2",5,IF(BT311="Less than 1.5",10,0)))</f>
        <v/>
      </c>
      <c r="BV311" s="31" t="inlineStr">
        <is>
          <t>Above 70%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More than 1.2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IF(B312=0,"",RANK(B312,$B$2:$B$366,0))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3" t="inlineStr">
        <is>
          <t>JYOTICNC</t>
        </is>
      </c>
      <c r="D312" s="33" t="inlineStr">
        <is>
          <t>Jyoti CNC Automation Ltd</t>
        </is>
      </c>
      <c r="E312" s="31" t="inlineStr">
        <is>
          <t>industrials</t>
        </is>
      </c>
      <c r="F312" s="31" t="inlineStr">
        <is>
          <t>engineering</t>
        </is>
      </c>
      <c r="G312" s="31" t="inlineStr">
        <is>
          <t>midcap</t>
        </is>
      </c>
      <c r="H312" s="32" t="n">
        <v>18390.57</v>
      </c>
      <c r="I312" s="32" t="n">
        <v>858.3</v>
      </c>
      <c r="J312" s="32" t="n">
        <v>6.14</v>
      </c>
      <c r="K312" s="32" t="n">
        <v>1473924</v>
      </c>
      <c r="L312" s="31" t="n">
        <v>4</v>
      </c>
      <c r="M312" s="31" t="inlineStr">
        <is>
          <t>Underperforming</t>
        </is>
      </c>
      <c r="N312" s="32">
        <f>IF(M312="Underperforming",-5,IF(L312&gt;=95,15,IF(L312&gt;=90,10,IF(L312&gt;=80,5,0))))</f>
        <v/>
      </c>
      <c r="O312" s="32" t="n">
        <v>53.51</v>
      </c>
      <c r="P312" s="32" t="n">
        <v>21.35</v>
      </c>
      <c r="Q312" s="32" t="inlineStr"/>
      <c r="R312" s="31" t="inlineStr">
        <is>
          <t>Earnings / Momentum Support</t>
        </is>
      </c>
      <c r="S312" s="31" t="inlineStr">
        <is>
          <t>Nifty 50</t>
        </is>
      </c>
      <c r="T312" s="32" t="n">
        <v>-0.74</v>
      </c>
      <c r="U312" s="32" t="n">
        <v>-19.94</v>
      </c>
      <c r="V312" s="32" t="n">
        <v>-19.35</v>
      </c>
      <c r="W312" s="32" t="n">
        <v>-2.49</v>
      </c>
      <c r="X312" s="31" t="inlineStr">
        <is>
          <t>Cyclical in an Upturn</t>
        </is>
      </c>
      <c r="Y312" s="31">
        <f>IF(X312="Growing Industry",10,IF(X312="Cyclical in an Upturn",5,0))</f>
        <v/>
      </c>
      <c r="Z312" s="31" t="inlineStr">
        <is>
          <t>Too Many Players with High ROCE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No</t>
        </is>
      </c>
      <c r="AC312" s="31">
        <f>IF(AB312="No",5,0)</f>
        <v/>
      </c>
      <c r="AD312" s="31" t="inlineStr">
        <is>
          <t>Headwind</t>
        </is>
      </c>
      <c r="AE312" s="31">
        <f>IF(AD312="Tailwind",10,0)</f>
        <v/>
      </c>
      <c r="AF312" s="31" t="inlineStr">
        <is>
          <t>Structural (10 Years Consistency)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Stable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No</t>
        </is>
      </c>
      <c r="AQ312" s="31">
        <f>IF(AP312="Yes",10,0)</f>
        <v/>
      </c>
      <c r="AR312" s="31" t="inlineStr">
        <is>
          <t>Higher One Time, Lower Annuity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20 to 40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3</t>
        </is>
      </c>
      <c r="BC312" s="31">
        <f>IF(BB312="Stage 2",20,IF(BB312="Stage 1",0,IF(BB312="Stage 3",5,IF(BB312="Stage 4",-5,0))))</f>
        <v/>
      </c>
      <c r="BD312" s="31" t="inlineStr">
        <is>
          <t>Negative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Close to 52 week high or retracement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Less than 12%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Yes</t>
        </is>
      </c>
      <c r="BS312" s="31">
        <f>IF(BR312="NO",5,0)</f>
        <v/>
      </c>
      <c r="BT312" s="31" t="inlineStr">
        <is>
          <t>Above 2</t>
        </is>
      </c>
      <c r="BU312" s="31">
        <f>IF(BT312="Above 2",0,IF(BT312="Between 1.5 to 2",5,IF(BT312="Less than 1.5",10,0)))</f>
        <v/>
      </c>
      <c r="BV312" s="31" t="inlineStr">
        <is>
          <t>Less than 50%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Less than 0.7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IF(B313=0,"",RANK(B313,$B$2:$B$366,0))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3" t="inlineStr">
        <is>
          <t>NOCIL</t>
        </is>
      </c>
      <c r="D313" s="33" t="inlineStr">
        <is>
          <t>Nocil Limited</t>
        </is>
      </c>
      <c r="E313" s="31" t="inlineStr">
        <is>
          <t>chemicals</t>
        </is>
      </c>
      <c r="F313" s="31" t="inlineStr">
        <is>
          <t>chemicals</t>
        </is>
      </c>
      <c r="G313" s="31" t="inlineStr">
        <is>
          <t>smallcap</t>
        </is>
      </c>
      <c r="H313" s="32" t="n">
        <v>2742.05</v>
      </c>
      <c r="I313" s="32" t="n">
        <v>174.05</v>
      </c>
      <c r="J313" s="32" t="n">
        <v>6.02</v>
      </c>
      <c r="K313" s="32" t="n">
        <v>12379988</v>
      </c>
      <c r="L313" s="31" t="n">
        <v>7</v>
      </c>
      <c r="M313" s="31" t="inlineStr">
        <is>
          <t>Underperforming</t>
        </is>
      </c>
      <c r="N313" s="32">
        <f>IF(M313="Underperforming",-5,IF(L313&gt;=95,15,IF(L313&gt;=90,10,IF(L313&gt;=80,5,0))))</f>
        <v/>
      </c>
      <c r="O313" s="32" t="n">
        <v>49.69</v>
      </c>
      <c r="P313" s="32" t="n">
        <v>16.66</v>
      </c>
      <c r="Q313" s="32" t="inlineStr"/>
      <c r="R313" s="31" t="inlineStr">
        <is>
          <t>Volume Spike / Accumulation</t>
        </is>
      </c>
      <c r="S313" s="31" t="inlineStr">
        <is>
          <t>Nifty 50</t>
        </is>
      </c>
      <c r="T313" s="32" t="n">
        <v>-0.74</v>
      </c>
      <c r="U313" s="32" t="n">
        <v>-8.130000000000001</v>
      </c>
      <c r="V313" s="32" t="n">
        <v>-7.44</v>
      </c>
      <c r="W313" s="32" t="n">
        <v>-1.37</v>
      </c>
      <c r="X313" s="31" t="inlineStr">
        <is>
          <t>Growing Industry</t>
        </is>
      </c>
      <c r="Y313" s="31">
        <f>IF(X313="Growing Industry",10,IF(X313="Cyclical in an Upturn",5,0))</f>
        <v/>
      </c>
      <c r="Z313" s="31" t="inlineStr">
        <is>
          <t>Too Many Players with High ROCE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No</t>
        </is>
      </c>
      <c r="AC313" s="31">
        <f>IF(AB313="No",5,0)</f>
        <v/>
      </c>
      <c r="AD313" s="31" t="inlineStr">
        <is>
          <t>Headwind</t>
        </is>
      </c>
      <c r="AE313" s="31">
        <f>IF(AD313="Tailwind",10,0)</f>
        <v/>
      </c>
      <c r="AF313" s="31" t="inlineStr">
        <is>
          <t>Structural (10 Years Consistency)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Stable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Yes</t>
        </is>
      </c>
      <c r="AQ313" s="31">
        <f>IF(AP313="Yes",10,0)</f>
        <v/>
      </c>
      <c r="AR313" s="31" t="inlineStr">
        <is>
          <t>Higher One Time, Lower Annuity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0 to 20</t>
        </is>
      </c>
      <c r="AY313" s="31">
        <f>IF(AX313="Above 40",20,IF(AX313="20 to 40",10,IF(AX313="0 to 20",-5,0)))</f>
        <v/>
      </c>
      <c r="AZ313" s="31" t="inlineStr">
        <is>
          <t>Below 45</t>
        </is>
      </c>
      <c r="BA313" s="31">
        <f>IF(AZ313="Between 50 to 75",10,IF(AZ313="Above 75",0,0))</f>
        <v/>
      </c>
      <c r="BB313" s="31" t="inlineStr">
        <is>
          <t>Stage 3</t>
        </is>
      </c>
      <c r="BC313" s="31">
        <f>IF(BB313="Stage 2",20,IF(BB313="Stage 1",0,IF(BB313="Stage 3",5,IF(BB313="Stage 4",-5,0))))</f>
        <v/>
      </c>
      <c r="BD313" s="31" t="inlineStr">
        <is>
          <t>Negative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Close to 52 week high or retracement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Less than 12%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Yes</t>
        </is>
      </c>
      <c r="BS313" s="31">
        <f>IF(BR313="NO",5,0)</f>
        <v/>
      </c>
      <c r="BT313" s="31" t="inlineStr">
        <is>
          <t>Above 2</t>
        </is>
      </c>
      <c r="BU313" s="31">
        <f>IF(BT313="Above 2",0,IF(BT313="Between 1.5 to 2",5,IF(BT313="Less than 1.5",10,0)))</f>
        <v/>
      </c>
      <c r="BV313" s="31" t="inlineStr">
        <is>
          <t>Above 70%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Less than 0.7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IF(B314=0,"",RANK(B314,$B$2:$B$366,0))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1" t="inlineStr">
        <is>
          <t>NATIONALUM</t>
        </is>
      </c>
      <c r="D314" s="31" t="inlineStr">
        <is>
          <t>National Aluminium Company Limited</t>
        </is>
      </c>
      <c r="E314" s="31" t="inlineStr">
        <is>
          <t>metals &amp; mining</t>
        </is>
      </c>
      <c r="F314" s="31" t="inlineStr">
        <is>
          <t>aluminium and aluminium products</t>
        </is>
      </c>
      <c r="G314" s="31" t="inlineStr">
        <is>
          <t>largecap</t>
        </is>
      </c>
      <c r="H314" s="32" t="n">
        <v>64291.3</v>
      </c>
      <c r="I314" s="32" t="n">
        <v>369</v>
      </c>
      <c r="J314" s="32" t="n">
        <v>5.41</v>
      </c>
      <c r="K314" s="32" t="n">
        <v>36976177</v>
      </c>
      <c r="L314" s="31" t="n">
        <v>64</v>
      </c>
      <c r="M314" s="31" t="inlineStr">
        <is>
          <t>Outperforming</t>
        </is>
      </c>
      <c r="N314" s="32">
        <f>IF(M314="Underperforming",-5,IF(L314&gt;=95,15,IF(L314&gt;=90,10,IF(L314&gt;=80,5,0))))</f>
        <v/>
      </c>
      <c r="O314" s="32" t="n">
        <v>47.86</v>
      </c>
      <c r="P314" s="32" t="n">
        <v>24.35</v>
      </c>
      <c r="Q314" s="32" t="inlineStr"/>
      <c r="R314" s="31" t="inlineStr">
        <is>
          <t>Earnings / Momentum Support</t>
        </is>
      </c>
      <c r="S314" s="31" t="inlineStr">
        <is>
          <t>Nifty Metal</t>
        </is>
      </c>
      <c r="T314" s="32" t="n">
        <v>31.49</v>
      </c>
      <c r="U314" s="32" t="n">
        <v>88.94</v>
      </c>
      <c r="V314" s="32" t="n">
        <v>43.69</v>
      </c>
      <c r="W314" s="32" t="n">
        <v>12.55</v>
      </c>
      <c r="X314" s="31" t="inlineStr">
        <is>
          <t>Cyclical in an Upturn</t>
        </is>
      </c>
      <c r="Y314" s="31">
        <f>IF(X314="Growing Industry",10,IF(X314="Cyclical in an Upturn",5,0))</f>
        <v/>
      </c>
      <c r="Z314" s="31" t="inlineStr">
        <is>
          <t>Too Many Players with High ROCE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No</t>
        </is>
      </c>
      <c r="AC314" s="31">
        <f>IF(AB314="No",5,0)</f>
        <v/>
      </c>
      <c r="AD314" s="31" t="inlineStr">
        <is>
          <t>Headwind</t>
        </is>
      </c>
      <c r="AE314" s="31">
        <f>IF(AD314="Tailwind",10,0)</f>
        <v/>
      </c>
      <c r="AF314" s="31" t="inlineStr">
        <is>
          <t>Cyclical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Volatile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No</t>
        </is>
      </c>
      <c r="AQ314" s="31">
        <f>IF(AP314="Yes",10,0)</f>
        <v/>
      </c>
      <c r="AR314" s="31" t="inlineStr">
        <is>
          <t>Higher One Time, Lower Annuity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20 to 40</t>
        </is>
      </c>
      <c r="AY314" s="31">
        <f>IF(AX314="Above 40",20,IF(AX314="20 to 40",10,IF(AX314="0 to 20",-5,0)))</f>
        <v/>
      </c>
      <c r="AZ314" s="31" t="inlineStr">
        <is>
          <t>Below 45</t>
        </is>
      </c>
      <c r="BA314" s="31">
        <f>IF(AZ314="Between 50 to 75",10,IF(AZ314="Above 75",0,0))</f>
        <v/>
      </c>
      <c r="BB314" s="31" t="inlineStr">
        <is>
          <t>Stage 4</t>
        </is>
      </c>
      <c r="BC314" s="31">
        <f>IF(BB314="Stage 2",20,IF(BB314="Stage 1",0,IF(BB314="Stage 3",5,IF(BB314="Stage 4",-5,0))))</f>
        <v/>
      </c>
      <c r="BD314" s="31" t="inlineStr">
        <is>
          <t>Negative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Close to 52 week high or retracement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More than 20%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No</t>
        </is>
      </c>
      <c r="BS314" s="31">
        <f>IF(BR314="NO",5,0)</f>
        <v/>
      </c>
      <c r="BT314" s="31" t="inlineStr">
        <is>
          <t>Less than 1.5</t>
        </is>
      </c>
      <c r="BU314" s="31">
        <f>IF(BT314="Above 2",0,IF(BT314="Between 1.5 to 2",5,IF(BT314="Less than 1.5",10,0)))</f>
        <v/>
      </c>
      <c r="BV314" s="31" t="inlineStr">
        <is>
          <t>Above 70%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Less than 0.7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IF(B315=0,"",RANK(B315,$B$2:$B$366,0))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1" t="inlineStr">
        <is>
          <t>GRASIM</t>
        </is>
      </c>
      <c r="D315" s="31" t="inlineStr">
        <is>
          <t>Grasim Industries Limited</t>
        </is>
      </c>
      <c r="E315" s="31" t="inlineStr">
        <is>
          <t>textiles</t>
        </is>
      </c>
      <c r="F315" s="31" t="inlineStr">
        <is>
          <t>textiles - manmade</t>
        </is>
      </c>
      <c r="G315" s="31" t="inlineStr">
        <is>
          <t>largecap</t>
        </is>
      </c>
      <c r="H315" s="32" t="n">
        <v>211034.43</v>
      </c>
      <c r="I315" s="32" t="n">
        <v>3260</v>
      </c>
      <c r="J315" s="32" t="n">
        <v>5.13</v>
      </c>
      <c r="K315" s="32" t="n">
        <v>1112791</v>
      </c>
      <c r="L315" s="31" t="n">
        <v>34</v>
      </c>
      <c r="M315" s="31" t="inlineStr">
        <is>
          <t>Outperforming</t>
        </is>
      </c>
      <c r="N315" s="32">
        <f>IF(M315="Underperforming",-5,IF(L315&gt;=95,15,IF(L315&gt;=90,10,IF(L315&gt;=80,5,0))))</f>
        <v/>
      </c>
      <c r="O315" s="32" t="n">
        <v>59.06</v>
      </c>
      <c r="P315" s="32" t="n">
        <v>33.26</v>
      </c>
      <c r="Q315" s="32" t="inlineStr"/>
      <c r="R315" s="31" t="inlineStr">
        <is>
          <t>Earnings / Momentum Support</t>
        </is>
      </c>
      <c r="S315" s="31" t="inlineStr">
        <is>
          <t>Nifty 50</t>
        </is>
      </c>
      <c r="T315" s="32" t="n">
        <v>-0.74</v>
      </c>
      <c r="U315" s="32" t="n">
        <v>14.32</v>
      </c>
      <c r="V315" s="32" t="n">
        <v>15.17</v>
      </c>
      <c r="W315" s="32" t="n">
        <v>5.06</v>
      </c>
      <c r="X315" s="31" t="inlineStr">
        <is>
          <t>Growing Industry</t>
        </is>
      </c>
      <c r="Y315" s="31">
        <f>IF(X315="Growing Industry",10,IF(X315="Cyclical in an Upturn",5,0))</f>
        <v/>
      </c>
      <c r="Z315" s="31" t="inlineStr">
        <is>
          <t>Too Many Players with High ROCE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No</t>
        </is>
      </c>
      <c r="AC315" s="31">
        <f>IF(AB315="No",5,0)</f>
        <v/>
      </c>
      <c r="AD315" s="31" t="inlineStr">
        <is>
          <t>Headwind</t>
        </is>
      </c>
      <c r="AE315" s="31">
        <f>IF(AD315="Tailwind",10,0)</f>
        <v/>
      </c>
      <c r="AF315" s="31" t="inlineStr">
        <is>
          <t>Structural (10 Years Consistency)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Stable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No</t>
        </is>
      </c>
      <c r="AQ315" s="31">
        <f>IF(AP315="Yes",10,0)</f>
        <v/>
      </c>
      <c r="AR315" s="31" t="inlineStr">
        <is>
          <t>Higher One Time, Lower Annuity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20 to 40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3</t>
        </is>
      </c>
      <c r="BC315" s="31">
        <f>IF(BB315="Stage 2",20,IF(BB315="Stage 1",0,IF(BB315="Stage 3",5,IF(BB315="Stage 4",-5,0))))</f>
        <v/>
      </c>
      <c r="BD315" s="31" t="inlineStr">
        <is>
          <t>Negative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Close to 52 week high or retracement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More than 20%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Yes</t>
        </is>
      </c>
      <c r="BS315" s="31">
        <f>IF(BR315="NO",5,0)</f>
        <v/>
      </c>
      <c r="BT315" s="31" t="inlineStr">
        <is>
          <t>Less than 1.5</t>
        </is>
      </c>
      <c r="BU315" s="31">
        <f>IF(BT315="Above 2",0,IF(BT315="Between 1.5 to 2",5,IF(BT315="Less than 1.5",10,0)))</f>
        <v/>
      </c>
      <c r="BV315" s="31" t="inlineStr">
        <is>
          <t>Negative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More than 1.2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IF(B316=0,"",RANK(B316,$B$2:$B$366,0))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3" t="inlineStr">
        <is>
          <t>SADHNANIQ</t>
        </is>
      </c>
      <c r="D316" s="33" t="inlineStr">
        <is>
          <t>Sadhana Nitro Chem Ltd</t>
        </is>
      </c>
      <c r="E316" s="31" t="inlineStr">
        <is>
          <t>chemicals</t>
        </is>
      </c>
      <c r="F316" s="31" t="inlineStr">
        <is>
          <t>chemicals</t>
        </is>
      </c>
      <c r="G316" s="31" t="inlineStr">
        <is>
          <t>smallcap</t>
        </is>
      </c>
      <c r="H316" s="32" t="n">
        <v>788.61</v>
      </c>
      <c r="I316" s="32" t="n">
        <v>2.79</v>
      </c>
      <c r="J316" s="32" t="n">
        <v>4.89</v>
      </c>
      <c r="K316" s="32" t="n">
        <v>1778674</v>
      </c>
      <c r="L316" s="31" t="n">
        <v>1</v>
      </c>
      <c r="M316" s="31" t="inlineStr">
        <is>
          <t>Underperforming</t>
        </is>
      </c>
      <c r="N316" s="32">
        <f>IF(M316="Underperforming",-5,IF(L316&gt;=95,15,IF(L316&gt;=90,10,IF(L316&gt;=80,5,0))))</f>
        <v/>
      </c>
      <c r="O316" s="32" t="n">
        <v>39.49</v>
      </c>
      <c r="P316" s="32" t="n">
        <v>14.96</v>
      </c>
      <c r="Q316" s="32" t="inlineStr"/>
      <c r="R316" s="31" t="inlineStr">
        <is>
          <t>Earnings / Momentum Support</t>
        </is>
      </c>
      <c r="S316" s="31" t="inlineStr">
        <is>
          <t>Nifty 50</t>
        </is>
      </c>
      <c r="T316" s="32" t="n">
        <v>-0.74</v>
      </c>
      <c r="U316" s="32" t="n">
        <v>-60.71</v>
      </c>
      <c r="V316" s="32" t="n">
        <v>-60.42</v>
      </c>
      <c r="W316" s="32" t="n">
        <v>-9.460000000000001</v>
      </c>
      <c r="X316" s="31" t="inlineStr">
        <is>
          <t>Growing Industry</t>
        </is>
      </c>
      <c r="Y316" s="31">
        <f>IF(X316="Growing Industry",10,IF(X316="Cyclical in an Upturn",5,0))</f>
        <v/>
      </c>
      <c r="Z316" s="31" t="inlineStr">
        <is>
          <t>Too Many Players with High ROCE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No</t>
        </is>
      </c>
      <c r="AC316" s="31">
        <f>IF(AB316="No",5,0)</f>
        <v/>
      </c>
      <c r="AD316" s="31" t="inlineStr">
        <is>
          <t>Headwind</t>
        </is>
      </c>
      <c r="AE316" s="31">
        <f>IF(AD316="Tailwind",10,0)</f>
        <v/>
      </c>
      <c r="AF316" s="31" t="inlineStr">
        <is>
          <t>Structural (10 Years Consistency)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Stable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No</t>
        </is>
      </c>
      <c r="AQ316" s="31">
        <f>IF(AP316="Yes",10,0)</f>
        <v/>
      </c>
      <c r="AR316" s="31" t="inlineStr">
        <is>
          <t>Higher One Time, Lower Annuity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0 to 20</t>
        </is>
      </c>
      <c r="AY316" s="31">
        <f>IF(AX316="Above 40",20,IF(AX316="20 to 40",10,IF(AX316="0 to 20",-5,0)))</f>
        <v/>
      </c>
      <c r="AZ316" s="31" t="inlineStr">
        <is>
          <t>Below 45</t>
        </is>
      </c>
      <c r="BA316" s="31">
        <f>IF(AZ316="Between 50 to 75",10,IF(AZ316="Above 75",0,0))</f>
        <v/>
      </c>
      <c r="BB316" s="31" t="inlineStr">
        <is>
          <t>Stage 4</t>
        </is>
      </c>
      <c r="BC316" s="31">
        <f>IF(BB316="Stage 2",20,IF(BB316="Stage 1",0,IF(BB316="Stage 3",5,IF(BB316="Stage 4",-5,0))))</f>
        <v/>
      </c>
      <c r="BD316" s="31" t="inlineStr">
        <is>
          <t>Negative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Close to 52 week high or retracement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More than 20%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No</t>
        </is>
      </c>
      <c r="BS316" s="31">
        <f>IF(BR316="NO",5,0)</f>
        <v/>
      </c>
      <c r="BT316" s="31" t="inlineStr">
        <is>
          <t>Less than 1.5</t>
        </is>
      </c>
      <c r="BU316" s="31">
        <f>IF(BT316="Above 2",0,IF(BT316="Between 1.5 to 2",5,IF(BT316="Less than 1.5",10,0)))</f>
        <v/>
      </c>
      <c r="BV316" s="31" t="inlineStr">
        <is>
          <t>Between 50% to 70%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Less than 0.7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IF(B317=0,"",RANK(B317,$B$2:$B$366,0))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1" t="inlineStr">
        <is>
          <t>RKFORGE</t>
        </is>
      </c>
      <c r="D317" s="31" t="inlineStr">
        <is>
          <t>Ramkrishna Forgings Limited</t>
        </is>
      </c>
      <c r="E317" s="31" t="inlineStr">
        <is>
          <t>industrials</t>
        </is>
      </c>
      <c r="F317" s="31" t="inlineStr">
        <is>
          <t>castings &amp; forgings</t>
        </is>
      </c>
      <c r="G317" s="31" t="inlineStr">
        <is>
          <t>midcap</t>
        </is>
      </c>
      <c r="H317" s="32" t="n">
        <v>11862</v>
      </c>
      <c r="I317" s="32" t="n">
        <v>681.15</v>
      </c>
      <c r="J317" s="32" t="n">
        <v>4.61</v>
      </c>
      <c r="K317" s="32" t="n">
        <v>3198869</v>
      </c>
      <c r="L317" s="31" t="n">
        <v>34</v>
      </c>
      <c r="M317" s="31" t="inlineStr">
        <is>
          <t>Outperforming</t>
        </is>
      </c>
      <c r="N317" s="32">
        <f>IF(M317="Underperforming",-5,IF(L317&gt;=95,15,IF(L317&gt;=90,10,IF(L317&gt;=80,5,0))))</f>
        <v/>
      </c>
      <c r="O317" s="32" t="n">
        <v>64.51000000000001</v>
      </c>
      <c r="P317" s="32" t="n">
        <v>9.039999999999999</v>
      </c>
      <c r="Q317" s="32" t="inlineStr"/>
      <c r="R317" s="31" t="inlineStr">
        <is>
          <t>Earnings / Momentum Support</t>
        </is>
      </c>
      <c r="S317" s="31" t="inlineStr">
        <is>
          <t>Nifty 50</t>
        </is>
      </c>
      <c r="T317" s="32" t="n">
        <v>-0.74</v>
      </c>
      <c r="U317" s="32" t="n">
        <v>15.28</v>
      </c>
      <c r="V317" s="32" t="n">
        <v>16.14</v>
      </c>
      <c r="W317" s="32" t="n">
        <v>5.05</v>
      </c>
      <c r="X317" s="31" t="inlineStr">
        <is>
          <t>Cyclical in an Upturn</t>
        </is>
      </c>
      <c r="Y317" s="31">
        <f>IF(X317="Growing Industry",10,IF(X317="Cyclical in an Upturn",5,0))</f>
        <v/>
      </c>
      <c r="Z317" s="31" t="inlineStr">
        <is>
          <t>Too Many Players with High ROCE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No</t>
        </is>
      </c>
      <c r="AC317" s="31">
        <f>IF(AB317="No",5,0)</f>
        <v/>
      </c>
      <c r="AD317" s="31" t="inlineStr">
        <is>
          <t>Headwind</t>
        </is>
      </c>
      <c r="AE317" s="31">
        <f>IF(AD317="Tailwind",10,0)</f>
        <v/>
      </c>
      <c r="AF317" s="31" t="inlineStr">
        <is>
          <t>Structural (10 Years Consistency)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Stable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No</t>
        </is>
      </c>
      <c r="AQ317" s="31">
        <f>IF(AP317="Yes",10,0)</f>
        <v/>
      </c>
      <c r="AR317" s="31" t="inlineStr">
        <is>
          <t>Higher One Time, Lower Annuity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0 to 20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3</t>
        </is>
      </c>
      <c r="BC317" s="31">
        <f>IF(BB317="Stage 2",20,IF(BB317="Stage 1",0,IF(BB317="Stage 3",5,IF(BB317="Stage 4",-5,0))))</f>
        <v/>
      </c>
      <c r="BD317" s="31" t="inlineStr">
        <is>
          <t>Negative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Close to 52 week high or retracement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More than 20%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Yes</t>
        </is>
      </c>
      <c r="BS317" s="31">
        <f>IF(BR317="NO",5,0)</f>
        <v/>
      </c>
      <c r="BT317" s="31" t="inlineStr">
        <is>
          <t>Above 2</t>
        </is>
      </c>
      <c r="BU317" s="31">
        <f>IF(BT317="Above 2",0,IF(BT317="Between 1.5 to 2",5,IF(BT317="Less than 1.5",10,0)))</f>
        <v/>
      </c>
      <c r="BV317" s="31" t="inlineStr">
        <is>
          <t>Above 70%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Between 0.7 to 1.2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IF(B318=0,"",RANK(B318,$B$2:$B$366,0))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3" t="inlineStr">
        <is>
          <t>GULFOILLUB</t>
        </is>
      </c>
      <c r="D318" s="33" t="inlineStr">
        <is>
          <t>Gulf Oil Lubricants India Limited</t>
        </is>
      </c>
      <c r="E318" s="31" t="inlineStr">
        <is>
          <t>chemicals</t>
        </is>
      </c>
      <c r="F318" s="31" t="inlineStr">
        <is>
          <t>chemicals</t>
        </is>
      </c>
      <c r="G318" s="31" t="inlineStr">
        <is>
          <t>midcap</t>
        </is>
      </c>
      <c r="H318" s="32" t="n">
        <v>5294.83</v>
      </c>
      <c r="I318" s="32" t="n">
        <v>1115.1</v>
      </c>
      <c r="J318" s="32" t="n">
        <v>4.28</v>
      </c>
      <c r="K318" s="32" t="n">
        <v>143341</v>
      </c>
      <c r="L318" s="31" t="n">
        <v>13</v>
      </c>
      <c r="M318" s="31" t="inlineStr">
        <is>
          <t>Underperforming</t>
        </is>
      </c>
      <c r="N318" s="32">
        <f>IF(M318="Underperforming",-5,IF(L318&gt;=95,15,IF(L318&gt;=90,10,IF(L318&gt;=80,5,0))))</f>
        <v/>
      </c>
      <c r="O318" s="32" t="n">
        <v>54.81</v>
      </c>
      <c r="P318" s="32" t="n">
        <v>17.18</v>
      </c>
      <c r="Q318" s="32" t="inlineStr"/>
      <c r="R318" s="31" t="inlineStr">
        <is>
          <t>Earnings / Momentum Support</t>
        </is>
      </c>
      <c r="S318" s="31" t="inlineStr">
        <is>
          <t>Nifty 50</t>
        </is>
      </c>
      <c r="T318" s="32" t="n">
        <v>-0.74</v>
      </c>
      <c r="U318" s="32" t="n">
        <v>-5</v>
      </c>
      <c r="V318" s="32" t="n">
        <v>-4.29</v>
      </c>
      <c r="W318" s="32" t="n">
        <v>1.07</v>
      </c>
      <c r="X318" s="31" t="inlineStr">
        <is>
          <t>Growing Industry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No</t>
        </is>
      </c>
      <c r="AC318" s="31">
        <f>IF(AB318="No",5,0)</f>
        <v/>
      </c>
      <c r="AD318" s="31" t="inlineStr">
        <is>
          <t>Headwind</t>
        </is>
      </c>
      <c r="AE318" s="31">
        <f>IF(AD318="Tailwind",10,0)</f>
        <v/>
      </c>
      <c r="AF318" s="31" t="inlineStr">
        <is>
          <t>Structural (10 Years Consistency)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Stable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B2B</t>
        </is>
      </c>
      <c r="AO318" s="31">
        <f>IF(AN318="B2C",10,IF(AN318="B2B",5,0))</f>
        <v/>
      </c>
      <c r="AP318" s="31" t="inlineStr">
        <is>
          <t>No</t>
        </is>
      </c>
      <c r="AQ318" s="31">
        <f>IF(AP318="Yes",10,0)</f>
        <v/>
      </c>
      <c r="AR318" s="31" t="inlineStr">
        <is>
          <t>Higher One Time, Lower Annuity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0 to 20</t>
        </is>
      </c>
      <c r="AY318" s="31">
        <f>IF(AX318="Above 40",20,IF(AX318="20 to 40",10,IF(AX318="0 to 20",-5,0)))</f>
        <v/>
      </c>
      <c r="AZ318" s="31" t="inlineStr">
        <is>
          <t>Between 50 to 75</t>
        </is>
      </c>
      <c r="BA318" s="31">
        <f>IF(AZ318="Between 50 to 75",10,IF(AZ318="Above 75",0,0))</f>
        <v/>
      </c>
      <c r="BB318" s="31" t="inlineStr">
        <is>
          <t>Stage 3</t>
        </is>
      </c>
      <c r="BC318" s="31">
        <f>IF(BB318="Stage 2",20,IF(BB318="Stage 1",0,IF(BB318="Stage 3",5,IF(BB318="Stage 4",-5,0))))</f>
        <v/>
      </c>
      <c r="BD318" s="31" t="inlineStr">
        <is>
          <t>Negative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Close to 52 week high or retracement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Less than 12%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No</t>
        </is>
      </c>
      <c r="BS318" s="31">
        <f>IF(BR318="NO",5,0)</f>
        <v/>
      </c>
      <c r="BT318" s="31" t="inlineStr">
        <is>
          <t>Above 2</t>
        </is>
      </c>
      <c r="BU318" s="31">
        <f>IF(BT318="Above 2",0,IF(BT318="Between 1.5 to 2",5,IF(BT318="Less than 1.5",10,0)))</f>
        <v/>
      </c>
      <c r="BV318" s="31" t="inlineStr">
        <is>
          <t>Between 50% to 70%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Less than 0.7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IF(B319=0,"",RANK(B319,$B$2:$B$366,0))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1" t="inlineStr">
        <is>
          <t>DYNAMATECH</t>
        </is>
      </c>
      <c r="D319" s="31" t="inlineStr">
        <is>
          <t>Dynamatic Technologies Limited</t>
        </is>
      </c>
      <c r="E319" s="31" t="inlineStr">
        <is>
          <t>industrials</t>
        </is>
      </c>
      <c r="F319" s="31" t="inlineStr">
        <is>
          <t>engineering</t>
        </is>
      </c>
      <c r="G319" s="31" t="inlineStr">
        <is>
          <t>midcap</t>
        </is>
      </c>
      <c r="H319" s="32" t="n">
        <v>7021.67</v>
      </c>
      <c r="I319" s="32" t="n">
        <v>10763</v>
      </c>
      <c r="J319" s="32" t="n">
        <v>4.1</v>
      </c>
      <c r="K319" s="32" t="n">
        <v>17855</v>
      </c>
      <c r="L319" s="31" t="n">
        <v>53</v>
      </c>
      <c r="M319" s="31" t="inlineStr">
        <is>
          <t>Outperforming</t>
        </is>
      </c>
      <c r="N319" s="32">
        <f>IF(M319="Underperforming",-5,IF(L319&gt;=95,15,IF(L319&gt;=90,10,IF(L319&gt;=80,5,0))))</f>
        <v/>
      </c>
      <c r="O319" s="32" t="n">
        <v>51.3</v>
      </c>
      <c r="P319" s="32" t="n">
        <v>20.59</v>
      </c>
      <c r="Q319" s="32" t="inlineStr"/>
      <c r="R319" s="31" t="inlineStr">
        <is>
          <t>Earnings / Momentum Support</t>
        </is>
      </c>
      <c r="S319" s="31" t="inlineStr">
        <is>
          <t>Nifty 50</t>
        </is>
      </c>
      <c r="T319" s="32" t="n">
        <v>-0.74</v>
      </c>
      <c r="U319" s="32" t="n">
        <v>61.23</v>
      </c>
      <c r="V319" s="32" t="n">
        <v>62.43</v>
      </c>
      <c r="W319" s="32" t="n">
        <v>9.25</v>
      </c>
      <c r="X319" s="31" t="inlineStr">
        <is>
          <t>Cyclical in an Upturn</t>
        </is>
      </c>
      <c r="Y319" s="31">
        <f>IF(X319="Growing Industry",10,IF(X319="Cyclical in an Upturn",5,0))</f>
        <v/>
      </c>
      <c r="Z319" s="31" t="inlineStr">
        <is>
          <t>Too Many Players with High ROCE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No</t>
        </is>
      </c>
      <c r="AC319" s="31">
        <f>IF(AB319="No",5,0)</f>
        <v/>
      </c>
      <c r="AD319" s="31" t="inlineStr">
        <is>
          <t>Headwind</t>
        </is>
      </c>
      <c r="AE319" s="31">
        <f>IF(AD319="Tailwind",10,0)</f>
        <v/>
      </c>
      <c r="AF319" s="31" t="inlineStr">
        <is>
          <t>Structural (10 Years Consistency)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Stable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No</t>
        </is>
      </c>
      <c r="AQ319" s="31">
        <f>IF(AP319="Yes",10,0)</f>
        <v/>
      </c>
      <c r="AR319" s="31" t="inlineStr">
        <is>
          <t>Higher One Time, Lower Annuity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20 to 40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3</t>
        </is>
      </c>
      <c r="BC319" s="31">
        <f>IF(BB319="Stage 2",20,IF(BB319="Stage 1",0,IF(BB319="Stage 3",5,IF(BB319="Stage 4",-5,0))))</f>
        <v/>
      </c>
      <c r="BD319" s="31" t="inlineStr">
        <is>
          <t>Negative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Close to 52 week high or retracement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Less than 12%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Yes</t>
        </is>
      </c>
      <c r="BS319" s="31">
        <f>IF(BR319="NO",5,0)</f>
        <v/>
      </c>
      <c r="BT319" s="31" t="inlineStr">
        <is>
          <t>Above 2</t>
        </is>
      </c>
      <c r="BU319" s="31">
        <f>IF(BT319="Above 2",0,IF(BT319="Between 1.5 to 2",5,IF(BT319="Less than 1.5",10,0)))</f>
        <v/>
      </c>
      <c r="BV319" s="31" t="inlineStr">
        <is>
          <t>Between 50% to 70%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Between 0.7 to 1.2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IF(B320=0,"",RANK(B320,$B$2:$B$366,0))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1" t="inlineStr">
        <is>
          <t>PFOCUS</t>
        </is>
      </c>
      <c r="D320" s="31" t="inlineStr">
        <is>
          <t>Prime Focus Limited</t>
        </is>
      </c>
      <c r="E320" s="31" t="inlineStr">
        <is>
          <t>realty</t>
        </is>
      </c>
      <c r="F320" s="31" t="inlineStr">
        <is>
          <t>miscellaneous</t>
        </is>
      </c>
      <c r="G320" s="31" t="inlineStr">
        <is>
          <t>largecap</t>
        </is>
      </c>
      <c r="H320" s="32" t="n">
        <v>22293.82</v>
      </c>
      <c r="I320" s="32" t="n">
        <v>298.75</v>
      </c>
      <c r="J320" s="32" t="n">
        <v>4.05</v>
      </c>
      <c r="K320" s="32" t="n">
        <v>1046083</v>
      </c>
      <c r="L320" s="31" t="n">
        <v>59</v>
      </c>
      <c r="M320" s="31" t="inlineStr">
        <is>
          <t>Outperforming</t>
        </is>
      </c>
      <c r="N320" s="32">
        <f>IF(M320="Underperforming",-5,IF(L320&gt;=95,15,IF(L320&gt;=90,10,IF(L320&gt;=80,5,0))))</f>
        <v/>
      </c>
      <c r="O320" s="32" t="n">
        <v>58.08</v>
      </c>
      <c r="P320" s="32" t="n">
        <v>12.24</v>
      </c>
      <c r="Q320" s="32" t="inlineStr"/>
      <c r="R320" s="31" t="inlineStr">
        <is>
          <t>Earnings / Momentum Support</t>
        </is>
      </c>
      <c r="S320" s="31" t="inlineStr">
        <is>
          <t>Nifty Realty</t>
        </is>
      </c>
      <c r="T320" s="32" t="n">
        <v>-8.119999999999999</v>
      </c>
      <c r="U320" s="32" t="n">
        <v>71.87</v>
      </c>
      <c r="V320" s="32" t="n">
        <v>87.06999999999999</v>
      </c>
      <c r="W320" s="32" t="n">
        <v>10.87</v>
      </c>
      <c r="X320" s="31" t="inlineStr">
        <is>
          <t>Growing Industry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No</t>
        </is>
      </c>
      <c r="AC320" s="31">
        <f>IF(AB320="No",5,0)</f>
        <v/>
      </c>
      <c r="AD320" s="31" t="inlineStr">
        <is>
          <t>Headwind</t>
        </is>
      </c>
      <c r="AE320" s="31">
        <f>IF(AD320="Tailwind",10,0)</f>
        <v/>
      </c>
      <c r="AF320" s="31" t="inlineStr">
        <is>
          <t>Structural (10 Years Consistency)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Stable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No</t>
        </is>
      </c>
      <c r="AQ320" s="31">
        <f>IF(AP320="Yes",10,0)</f>
        <v/>
      </c>
      <c r="AR320" s="31" t="inlineStr">
        <is>
          <t>Higher One Time, Lower Annuity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0 to 20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3</t>
        </is>
      </c>
      <c r="BC320" s="31">
        <f>IF(BB320="Stage 2",20,IF(BB320="Stage 1",0,IF(BB320="Stage 3",5,IF(BB320="Stage 4",-5,0))))</f>
        <v/>
      </c>
      <c r="BD320" s="31" t="inlineStr">
        <is>
          <t>Negative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Close to 52 week high or retracement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More than 20%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Yes</t>
        </is>
      </c>
      <c r="BS320" s="31">
        <f>IF(BR320="NO",5,0)</f>
        <v/>
      </c>
      <c r="BT320" s="31" t="inlineStr">
        <is>
          <t>Between 1.5 to 2</t>
        </is>
      </c>
      <c r="BU320" s="31">
        <f>IF(BT320="Above 2",0,IF(BT320="Between 1.5 to 2",5,IF(BT320="Less than 1.5",10,0)))</f>
        <v/>
      </c>
      <c r="BV320" s="31" t="inlineStr">
        <is>
          <t>Above 70%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More than 1.2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IF(B321=0,"",RANK(B321,$B$2:$B$366,0))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3" t="inlineStr">
        <is>
          <t>RAJRATAN</t>
        </is>
      </c>
      <c r="D321" s="33" t="inlineStr">
        <is>
          <t>Rajratan Global Wire Ltd</t>
        </is>
      </c>
      <c r="E321" s="31" t="inlineStr">
        <is>
          <t>metals &amp; mining</t>
        </is>
      </c>
      <c r="F321" s="31" t="inlineStr">
        <is>
          <t>steel - medium / small</t>
        </is>
      </c>
      <c r="G321" s="31" t="inlineStr">
        <is>
          <t>smallcap</t>
        </is>
      </c>
      <c r="H321" s="32" t="n">
        <v>2513.16</v>
      </c>
      <c r="I321" s="32" t="n">
        <v>513.5</v>
      </c>
      <c r="J321" s="32" t="n">
        <v>3.74</v>
      </c>
      <c r="K321" s="32" t="n">
        <v>154153</v>
      </c>
      <c r="L321" s="31" t="n">
        <v>55</v>
      </c>
      <c r="M321" s="31" t="inlineStr">
        <is>
          <t>Underperforming</t>
        </is>
      </c>
      <c r="N321" s="32">
        <f>IF(M321="Underperforming",-5,IF(L321&gt;=95,15,IF(L321&gt;=90,10,IF(L321&gt;=80,5,0))))</f>
        <v/>
      </c>
      <c r="O321" s="32" t="n">
        <v>62.71</v>
      </c>
      <c r="P321" s="32" t="n">
        <v>15.37</v>
      </c>
      <c r="Q321" s="32" t="inlineStr"/>
      <c r="R321" s="31" t="inlineStr">
        <is>
          <t>Earnings / Momentum Support</t>
        </is>
      </c>
      <c r="S321" s="31" t="inlineStr">
        <is>
          <t>Nifty Metal</t>
        </is>
      </c>
      <c r="T321" s="32" t="n">
        <v>31.49</v>
      </c>
      <c r="U321" s="32" t="n">
        <v>16.62</v>
      </c>
      <c r="V321" s="32" t="n">
        <v>-11.31</v>
      </c>
      <c r="W321" s="32" t="n">
        <v>9.619999999999999</v>
      </c>
      <c r="X321" s="31" t="inlineStr">
        <is>
          <t>Cyclical in an Upturn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Headwind</t>
        </is>
      </c>
      <c r="AE321" s="31">
        <f>IF(AD321="Tailwind",10,0)</f>
        <v/>
      </c>
      <c r="AF321" s="31" t="inlineStr">
        <is>
          <t>Cyclical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Volatile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No</t>
        </is>
      </c>
      <c r="AQ321" s="31">
        <f>IF(AP321="Yes",10,0)</f>
        <v/>
      </c>
      <c r="AR321" s="31" t="inlineStr">
        <is>
          <t>Higher One Time, Lower Annuity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0 to 20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3</t>
        </is>
      </c>
      <c r="BC321" s="31">
        <f>IF(BB321="Stage 2",20,IF(BB321="Stage 1",0,IF(BB321="Stage 3",5,IF(BB321="Stage 4",-5,0))))</f>
        <v/>
      </c>
      <c r="BD321" s="31" t="inlineStr">
        <is>
          <t>Negative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Close to 52 week high or retracement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More than 20%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No</t>
        </is>
      </c>
      <c r="BS321" s="31">
        <f>IF(BR321="NO",5,0)</f>
        <v/>
      </c>
      <c r="BT321" s="31" t="inlineStr">
        <is>
          <t>Less than 1.5</t>
        </is>
      </c>
      <c r="BU321" s="31">
        <f>IF(BT321="Above 2",0,IF(BT321="Between 1.5 to 2",5,IF(BT321="Less than 1.5",10,0)))</f>
        <v/>
      </c>
      <c r="BV321" s="31" t="inlineStr">
        <is>
          <t>Above 70%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Less than 0.7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IF(B322=0,"",RANK(B322,$B$2:$B$366,0))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3" t="inlineStr">
        <is>
          <t>SHREECEM</t>
        </is>
      </c>
      <c r="D322" s="33" t="inlineStr">
        <is>
          <t>Shree Cements Limited</t>
        </is>
      </c>
      <c r="E322" s="31" t="inlineStr">
        <is>
          <t>building materials</t>
        </is>
      </c>
      <c r="F322" s="31" t="inlineStr">
        <is>
          <t>cement - north india</t>
        </is>
      </c>
      <c r="G322" s="31" t="inlineStr">
        <is>
          <t>largecap</t>
        </is>
      </c>
      <c r="H322" s="32" t="n">
        <v>94008.39</v>
      </c>
      <c r="I322" s="32" t="n">
        <v>27000</v>
      </c>
      <c r="J322" s="32" t="n">
        <v>3.63</v>
      </c>
      <c r="K322" s="32" t="n">
        <v>99561</v>
      </c>
      <c r="L322" s="31" t="n">
        <v>5</v>
      </c>
      <c r="M322" s="31" t="inlineStr">
        <is>
          <t>Underperforming</t>
        </is>
      </c>
      <c r="N322" s="32">
        <f>IF(M322="Underperforming",-5,IF(L322&gt;=95,15,IF(L322&gt;=90,10,IF(L322&gt;=80,5,0))))</f>
        <v/>
      </c>
      <c r="O322" s="32" t="n">
        <v>52.21</v>
      </c>
      <c r="P322" s="32" t="n">
        <v>11.83</v>
      </c>
      <c r="Q322" s="32" t="inlineStr"/>
      <c r="R322" s="31" t="inlineStr">
        <is>
          <t>Earnings / Momentum Support</t>
        </is>
      </c>
      <c r="S322" s="31" t="inlineStr">
        <is>
          <t>Nifty Infra</t>
        </is>
      </c>
      <c r="T322" s="32" t="n">
        <v>1.74</v>
      </c>
      <c r="U322" s="32" t="n">
        <v>-13.25</v>
      </c>
      <c r="V322" s="32" t="n">
        <v>-14.73</v>
      </c>
      <c r="W322" s="32" t="n">
        <v>-1.66</v>
      </c>
      <c r="X322" s="31" t="inlineStr">
        <is>
          <t>Growing Industry</t>
        </is>
      </c>
      <c r="Y322" s="31">
        <f>IF(X322="Growing Industry",10,IF(X322="Cyclical in an Upturn",5,0))</f>
        <v/>
      </c>
      <c r="Z322" s="31" t="inlineStr">
        <is>
          <t>Too Many Players with High ROCE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No</t>
        </is>
      </c>
      <c r="AC322" s="31">
        <f>IF(AB322="No",5,0)</f>
        <v/>
      </c>
      <c r="AD322" s="31" t="inlineStr">
        <is>
          <t>Headwind</t>
        </is>
      </c>
      <c r="AE322" s="31">
        <f>IF(AD322="Tailwind",10,0)</f>
        <v/>
      </c>
      <c r="AF322" s="31" t="inlineStr">
        <is>
          <t>Structural (10 Years Consistency)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Stable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No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0 to 20</t>
        </is>
      </c>
      <c r="AY322" s="31">
        <f>IF(AX322="Above 40",20,IF(AX322="20 to 40",10,IF(AX322="0 to 20",-5,0)))</f>
        <v/>
      </c>
      <c r="AZ322" s="31" t="inlineStr">
        <is>
          <t>Between 50 to 75</t>
        </is>
      </c>
      <c r="BA322" s="31">
        <f>IF(AZ322="Between 50 to 75",10,IF(AZ322="Above 75",0,0))</f>
        <v/>
      </c>
      <c r="BB322" s="31" t="inlineStr">
        <is>
          <t>Stage 3</t>
        </is>
      </c>
      <c r="BC322" s="31">
        <f>IF(BB322="Stage 2",20,IF(BB322="Stage 1",0,IF(BB322="Stage 3",5,IF(BB322="Stage 4",-5,0))))</f>
        <v/>
      </c>
      <c r="BD322" s="31" t="inlineStr">
        <is>
          <t>Negative Trend</t>
        </is>
      </c>
      <c r="BE322" s="31">
        <f>IF(BD322="Positive Trend",20,IF(BD322="Negative Trend",-10,0))</f>
        <v/>
      </c>
      <c r="BF322" s="31" t="inlineStr">
        <is>
          <t>Uptrend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Close to 52 week high or retracement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Less than 12%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Yes</t>
        </is>
      </c>
      <c r="BS322" s="31">
        <f>IF(BR322="NO",5,0)</f>
        <v/>
      </c>
      <c r="BT322" s="31" t="inlineStr">
        <is>
          <t>Above 2</t>
        </is>
      </c>
      <c r="BU322" s="31">
        <f>IF(BT322="Above 2",0,IF(BT322="Between 1.5 to 2",5,IF(BT322="Less than 1.5",10,0)))</f>
        <v/>
      </c>
      <c r="BV322" s="31" t="inlineStr">
        <is>
          <t>Above 70%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Less than 0.7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IF(B323=0,"",RANK(B323,$B$2:$B$366,0))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3" t="inlineStr">
        <is>
          <t>MANALIPETC</t>
        </is>
      </c>
      <c r="D323" s="33" t="inlineStr">
        <is>
          <t>Manali Petrochemicals Limited</t>
        </is>
      </c>
      <c r="E323" s="31" t="inlineStr">
        <is>
          <t>energy</t>
        </is>
      </c>
      <c r="F323" s="31" t="inlineStr">
        <is>
          <t>petrochemicals</t>
        </is>
      </c>
      <c r="G323" s="31" t="inlineStr">
        <is>
          <t>smallcap</t>
        </is>
      </c>
      <c r="H323" s="32" t="n">
        <v>1116.1</v>
      </c>
      <c r="I323" s="32" t="n">
        <v>66.64</v>
      </c>
      <c r="J323" s="32" t="n">
        <v>2.7</v>
      </c>
      <c r="K323" s="32" t="n">
        <v>541368</v>
      </c>
      <c r="L323" s="31" t="n">
        <v>5</v>
      </c>
      <c r="M323" s="31" t="inlineStr">
        <is>
          <t>Underperforming</t>
        </is>
      </c>
      <c r="N323" s="32">
        <f>IF(M323="Underperforming",-5,IF(L323&gt;=95,15,IF(L323&gt;=90,10,IF(L323&gt;=80,5,0))))</f>
        <v/>
      </c>
      <c r="O323" s="32" t="n">
        <v>57.07</v>
      </c>
      <c r="P323" s="32" t="n">
        <v>28.15</v>
      </c>
      <c r="Q323" s="32" t="inlineStr"/>
      <c r="R323" s="31" t="inlineStr">
        <is>
          <t>Earnings / Momentum Support</t>
        </is>
      </c>
      <c r="S323" s="31" t="inlineStr">
        <is>
          <t>Nifty Energy</t>
        </is>
      </c>
      <c r="T323" s="32" t="n">
        <v>8.41</v>
      </c>
      <c r="U323" s="32" t="n">
        <v>-21.51</v>
      </c>
      <c r="V323" s="32" t="n">
        <v>-27.6</v>
      </c>
      <c r="W323" s="32" t="n">
        <v>-1.78</v>
      </c>
      <c r="X323" s="31" t="inlineStr">
        <is>
          <t>Cyclical in an Upturn</t>
        </is>
      </c>
      <c r="Y323" s="31">
        <f>IF(X323="Growing Industry",10,IF(X323="Cyclical in an Upturn",5,0))</f>
        <v/>
      </c>
      <c r="Z323" s="31" t="inlineStr">
        <is>
          <t>Oligopoly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Yes</t>
        </is>
      </c>
      <c r="AC323" s="31">
        <f>IF(AB323="No",5,0)</f>
        <v/>
      </c>
      <c r="AD323" s="31" t="inlineStr">
        <is>
          <t>Headwind</t>
        </is>
      </c>
      <c r="AE323" s="31">
        <f>IF(AD323="Tailwind",10,0)</f>
        <v/>
      </c>
      <c r="AF323" s="31" t="inlineStr">
        <is>
          <t>Cyclical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Volatile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No</t>
        </is>
      </c>
      <c r="AQ323" s="31">
        <f>IF(AP323="Yes",10,0)</f>
        <v/>
      </c>
      <c r="AR323" s="31" t="inlineStr">
        <is>
          <t>Higher One Time, Lower Annuity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20 to 40</t>
        </is>
      </c>
      <c r="AY323" s="31">
        <f>IF(AX323="Above 40",20,IF(AX323="20 to 40",10,IF(AX323="0 to 20",-5,0)))</f>
        <v/>
      </c>
      <c r="AZ323" s="31" t="inlineStr">
        <is>
          <t>Between 50 to 75</t>
        </is>
      </c>
      <c r="BA323" s="31">
        <f>IF(AZ323="Between 50 to 75",10,IF(AZ323="Above 75",0,0))</f>
        <v/>
      </c>
      <c r="BB323" s="31" t="inlineStr">
        <is>
          <t>Stage 3</t>
        </is>
      </c>
      <c r="BC323" s="31">
        <f>IF(BB323="Stage 2",20,IF(BB323="Stage 1",0,IF(BB323="Stage 3",5,IF(BB323="Stage 4",-5,0))))</f>
        <v/>
      </c>
      <c r="BD323" s="31" t="inlineStr">
        <is>
          <t>Negative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Close to 52 week high or retracement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More than 20%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No</t>
        </is>
      </c>
      <c r="BS323" s="31">
        <f>IF(BR323="NO",5,0)</f>
        <v/>
      </c>
      <c r="BT323" s="31" t="inlineStr">
        <is>
          <t>Above 2</t>
        </is>
      </c>
      <c r="BU323" s="31">
        <f>IF(BT323="Above 2",0,IF(BT323="Between 1.5 to 2",5,IF(BT323="Less than 1.5",10,0)))</f>
        <v/>
      </c>
      <c r="BV323" s="31" t="inlineStr">
        <is>
          <t>Above 70%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Less than 0.7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IF(B324=0,"",RANK(B324,$B$2:$B$366,0))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3" t="inlineStr">
        <is>
          <t>IONEXCHANG</t>
        </is>
      </c>
      <c r="D324" s="33" t="inlineStr">
        <is>
          <t>Ion Exchange (India) Ltd</t>
        </is>
      </c>
      <c r="E324" s="31" t="inlineStr">
        <is>
          <t>realty</t>
        </is>
      </c>
      <c r="F324" s="31" t="inlineStr">
        <is>
          <t>engineering - turnkey services</t>
        </is>
      </c>
      <c r="G324" s="31" t="inlineStr">
        <is>
          <t>midcap</t>
        </is>
      </c>
      <c r="H324" s="32" t="n">
        <v>6170.26</v>
      </c>
      <c r="I324" s="32" t="n">
        <v>432</v>
      </c>
      <c r="J324" s="32" t="n">
        <v>2.69</v>
      </c>
      <c r="K324" s="32" t="n">
        <v>322009</v>
      </c>
      <c r="L324" s="31" t="n">
        <v>6</v>
      </c>
      <c r="M324" s="31" t="inlineStr">
        <is>
          <t>Underperforming</t>
        </is>
      </c>
      <c r="N324" s="32">
        <f>IF(M324="Underperforming",-5,IF(L324&gt;=95,15,IF(L324&gt;=90,10,IF(L324&gt;=80,5,0))))</f>
        <v/>
      </c>
      <c r="O324" s="32" t="n">
        <v>55.37</v>
      </c>
      <c r="P324" s="32" t="n">
        <v>21.31</v>
      </c>
      <c r="Q324" s="32" t="inlineStr"/>
      <c r="R324" s="31" t="inlineStr">
        <is>
          <t>Earnings / Momentum Support</t>
        </is>
      </c>
      <c r="S324" s="31" t="inlineStr">
        <is>
          <t>Nifty Realty</t>
        </is>
      </c>
      <c r="T324" s="32" t="n">
        <v>-8.119999999999999</v>
      </c>
      <c r="U324" s="32" t="n">
        <v>-20.33</v>
      </c>
      <c r="V324" s="32" t="n">
        <v>-13.29</v>
      </c>
      <c r="W324" s="32" t="n">
        <v>-1.61</v>
      </c>
      <c r="X324" s="31" t="inlineStr">
        <is>
          <t>Growing Industry</t>
        </is>
      </c>
      <c r="Y324" s="31">
        <f>IF(X324="Growing Industry",10,IF(X324="Cyclical in an Upturn",5,0))</f>
        <v/>
      </c>
      <c r="Z324" s="31" t="inlineStr">
        <is>
          <t>Too Many Players with High ROCE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No</t>
        </is>
      </c>
      <c r="AC324" s="31">
        <f>IF(AB324="No",5,0)</f>
        <v/>
      </c>
      <c r="AD324" s="31" t="inlineStr">
        <is>
          <t>Headwind</t>
        </is>
      </c>
      <c r="AE324" s="31">
        <f>IF(AD324="Tailwind",10,0)</f>
        <v/>
      </c>
      <c r="AF324" s="31" t="inlineStr">
        <is>
          <t>Structural (10 Years Consistency)</t>
        </is>
      </c>
      <c r="AG324" s="31">
        <f>IF(AF324="Structural (10 Years Consistency)",10,IF(AF324="Shallow Cyclical (2 to 3 years growth)",5,0))</f>
        <v/>
      </c>
      <c r="AH324" s="31" t="inlineStr">
        <is>
          <t>No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Stable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B2B</t>
        </is>
      </c>
      <c r="AO324" s="31">
        <f>IF(AN324="B2C",10,IF(AN324="B2B",5,0))</f>
        <v/>
      </c>
      <c r="AP324" s="31" t="inlineStr">
        <is>
          <t>No</t>
        </is>
      </c>
      <c r="AQ324" s="31">
        <f>IF(AP324="Yes",10,0)</f>
        <v/>
      </c>
      <c r="AR324" s="31" t="inlineStr">
        <is>
          <t>Higher One Time, Lower Annuity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Good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20 to 40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3</t>
        </is>
      </c>
      <c r="BC324" s="31">
        <f>IF(BB324="Stage 2",20,IF(BB324="Stage 1",0,IF(BB324="Stage 3",5,IF(BB324="Stage 4",-5,0))))</f>
        <v/>
      </c>
      <c r="BD324" s="31" t="inlineStr">
        <is>
          <t>Negative Trend</t>
        </is>
      </c>
      <c r="BE324" s="31">
        <f>IF(BD324="Positive Trend",20,IF(BD324="Negative Trend",-10,0))</f>
        <v/>
      </c>
      <c r="BF324" s="31" t="inlineStr">
        <is>
          <t>Uptrend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Close to 52 week high or retracement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Less than 12%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No</t>
        </is>
      </c>
      <c r="BS324" s="31">
        <f>IF(BR324="NO",5,0)</f>
        <v/>
      </c>
      <c r="BT324" s="31" t="inlineStr">
        <is>
          <t>Above 2</t>
        </is>
      </c>
      <c r="BU324" s="31">
        <f>IF(BT324="Above 2",0,IF(BT324="Between 1.5 to 2",5,IF(BT324="Less than 1.5",10,0)))</f>
        <v/>
      </c>
      <c r="BV324" s="31" t="inlineStr">
        <is>
          <t>Negative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Less than 0.7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Less than 15%</t>
        </is>
      </c>
      <c r="CC324" s="31">
        <f>IF(CB324="More than 15%",-10,IF(CB324="Less than 15%",10,0))</f>
        <v/>
      </c>
      <c r="CD324" s="31" t="inlineStr">
        <is>
          <t>No</t>
        </is>
      </c>
      <c r="CE324" s="31">
        <f>IF(CD324="Yes, more than 10%",-10,IF(CD324="No",10,0))</f>
        <v/>
      </c>
    </row>
    <row r="325">
      <c r="A325" s="31">
        <f>IF(B325=0,"",RANK(B325,$B$2:$B$366,0))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3" t="inlineStr">
        <is>
          <t>AJAXENGG</t>
        </is>
      </c>
      <c r="D325" s="33" t="inlineStr">
        <is>
          <t>Ajax Engineering Ltd</t>
        </is>
      </c>
      <c r="E325" s="31" t="inlineStr">
        <is>
          <t>industrials</t>
        </is>
      </c>
      <c r="F325" s="31" t="inlineStr">
        <is>
          <t>engineering</t>
        </is>
      </c>
      <c r="G325" s="31" t="inlineStr">
        <is>
          <t>midcap</t>
        </is>
      </c>
      <c r="H325" s="32" t="n">
        <v>6637.31</v>
      </c>
      <c r="I325" s="32" t="n">
        <v>595.05</v>
      </c>
      <c r="J325" s="32" t="n">
        <v>2.57</v>
      </c>
      <c r="K325" s="32" t="n">
        <v>49060</v>
      </c>
      <c r="L325" s="31" t="n">
        <v>17</v>
      </c>
      <c r="M325" s="31" t="inlineStr">
        <is>
          <t>Underperforming</t>
        </is>
      </c>
      <c r="N325" s="32">
        <f>IF(M325="Underperforming",-5,IF(L325&gt;=95,15,IF(L325&gt;=90,10,IF(L325&gt;=80,5,0))))</f>
        <v/>
      </c>
      <c r="O325" s="32" t="n">
        <v>55.18</v>
      </c>
      <c r="P325" s="32" t="n">
        <v>12.13</v>
      </c>
      <c r="Q325" s="32" t="inlineStr"/>
      <c r="R325" s="31" t="inlineStr">
        <is>
          <t>Earnings / Momentum Support</t>
        </is>
      </c>
      <c r="S325" s="31" t="inlineStr">
        <is>
          <t>Nifty Infra</t>
        </is>
      </c>
      <c r="T325" s="32" t="n">
        <v>1.74</v>
      </c>
      <c r="U325" s="32" t="n">
        <v>-15.07</v>
      </c>
      <c r="V325" s="32" t="n">
        <v>-16.52</v>
      </c>
      <c r="W325" s="32" t="n">
        <v>1.86</v>
      </c>
      <c r="X325" s="31" t="inlineStr">
        <is>
          <t>Cyclical in an Upturn</t>
        </is>
      </c>
      <c r="Y325" s="31">
        <f>IF(X325="Growing Industry",10,IF(X325="Cyclical in an Upturn",5,0))</f>
        <v/>
      </c>
      <c r="Z325" s="31" t="inlineStr">
        <is>
          <t>Too Many Players with High ROCE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No</t>
        </is>
      </c>
      <c r="AC325" s="31">
        <f>IF(AB325="No",5,0)</f>
        <v/>
      </c>
      <c r="AD325" s="31" t="inlineStr">
        <is>
          <t>Headwind</t>
        </is>
      </c>
      <c r="AE325" s="31">
        <f>IF(AD325="Tailwind",10,0)</f>
        <v/>
      </c>
      <c r="AF325" s="31" t="inlineStr">
        <is>
          <t>Structural (10 Years Consistency)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Stable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B2B</t>
        </is>
      </c>
      <c r="AO325" s="31">
        <f>IF(AN325="B2C",10,IF(AN325="B2B",5,0))</f>
        <v/>
      </c>
      <c r="AP325" s="31" t="inlineStr">
        <is>
          <t>No</t>
        </is>
      </c>
      <c r="AQ325" s="31">
        <f>IF(AP325="Yes",10,0)</f>
        <v/>
      </c>
      <c r="AR325" s="31" t="inlineStr">
        <is>
          <t>Higher One Time, Lower Annuity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0 to 20</t>
        </is>
      </c>
      <c r="AY325" s="31">
        <f>IF(AX325="Above 40",20,IF(AX325="20 to 40",10,IF(AX325="0 to 20",-5,0)))</f>
        <v/>
      </c>
      <c r="AZ325" s="31" t="inlineStr">
        <is>
          <t>Between 50 to 75</t>
        </is>
      </c>
      <c r="BA325" s="31">
        <f>IF(AZ325="Between 50 to 75",10,IF(AZ325="Above 75",0,0))</f>
        <v/>
      </c>
      <c r="BB325" s="31" t="inlineStr">
        <is>
          <t>Stage 3</t>
        </is>
      </c>
      <c r="BC325" s="31">
        <f>IF(BB325="Stage 2",20,IF(BB325="Stage 1",0,IF(BB325="Stage 3",5,IF(BB325="Stage 4",-5,0))))</f>
        <v/>
      </c>
      <c r="BD325" s="31" t="inlineStr">
        <is>
          <t>Negative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Close to 52 week high or retracement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Less than 12%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No</t>
        </is>
      </c>
      <c r="BS325" s="31">
        <f>IF(BR325="NO",5,0)</f>
        <v/>
      </c>
      <c r="BT325" s="31" t="inlineStr">
        <is>
          <t>Above 2</t>
        </is>
      </c>
      <c r="BU325" s="31">
        <f>IF(BT325="Above 2",0,IF(BT325="Between 1.5 to 2",5,IF(BT325="Less than 1.5",10,0)))</f>
        <v/>
      </c>
      <c r="BV325" s="31" t="inlineStr">
        <is>
          <t>Above 70%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Less than 0.7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IF(B326=0,"",RANK(B326,$B$2:$B$366,0))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1" t="inlineStr">
        <is>
          <t>DEEDEV</t>
        </is>
      </c>
      <c r="D326" s="31" t="inlineStr">
        <is>
          <t>DEE Development Engineers Ltd</t>
        </is>
      </c>
      <c r="E326" s="31" t="inlineStr">
        <is>
          <t>metals &amp; mining</t>
        </is>
      </c>
      <c r="F326" s="31" t="inlineStr">
        <is>
          <t>steel - medium / small</t>
        </is>
      </c>
      <c r="G326" s="31" t="inlineStr">
        <is>
          <t>midcap</t>
        </is>
      </c>
      <c r="H326" s="32" t="n">
        <v>5105.37</v>
      </c>
      <c r="I326" s="32" t="n">
        <v>694</v>
      </c>
      <c r="J326" s="32" t="n">
        <v>2.28</v>
      </c>
      <c r="K326" s="32" t="n">
        <v>56180</v>
      </c>
      <c r="L326" s="31" t="n">
        <v>97</v>
      </c>
      <c r="M326" s="31" t="inlineStr">
        <is>
          <t>Outperforming</t>
        </is>
      </c>
      <c r="N326" s="32">
        <f>IF(M326="Underperforming",-5,IF(L326&gt;=95,15,IF(L326&gt;=90,10,IF(L326&gt;=80,5,0))))</f>
        <v/>
      </c>
      <c r="O326" s="32" t="n">
        <v>72.68000000000001</v>
      </c>
      <c r="P326" s="32" t="n">
        <v>63</v>
      </c>
      <c r="Q326" s="32" t="inlineStr"/>
      <c r="R326" s="31" t="inlineStr">
        <is>
          <t>Earnings / Momentum Support</t>
        </is>
      </c>
      <c r="S326" s="31" t="inlineStr">
        <is>
          <t>Nifty Metal</t>
        </is>
      </c>
      <c r="T326" s="32" t="n">
        <v>31.49</v>
      </c>
      <c r="U326" s="32" t="n">
        <v>126.51</v>
      </c>
      <c r="V326" s="32" t="n">
        <v>72.26000000000001</v>
      </c>
      <c r="W326" s="32" t="n">
        <v>43.59</v>
      </c>
      <c r="X326" s="31" t="inlineStr">
        <is>
          <t>Cyclical in an Upturn</t>
        </is>
      </c>
      <c r="Y326" s="31">
        <f>IF(X326="Growing Industry",10,IF(X326="Cyclical in an Upturn",5,0))</f>
        <v/>
      </c>
      <c r="Z326" s="31" t="inlineStr">
        <is>
          <t>Too Many Players with High ROCE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No</t>
        </is>
      </c>
      <c r="AC326" s="31">
        <f>IF(AB326="No",5,0)</f>
        <v/>
      </c>
      <c r="AD326" s="31" t="inlineStr">
        <is>
          <t>Headwind</t>
        </is>
      </c>
      <c r="AE326" s="31">
        <f>IF(AD326="Tailwind",10,0)</f>
        <v/>
      </c>
      <c r="AF326" s="31" t="inlineStr">
        <is>
          <t>Cyclical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Volatile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No</t>
        </is>
      </c>
      <c r="AQ326" s="31">
        <f>IF(AP326="Yes",10,0)</f>
        <v/>
      </c>
      <c r="AR326" s="31" t="inlineStr">
        <is>
          <t>Higher One Time, Lower Annuity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Above 40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3</t>
        </is>
      </c>
      <c r="BC326" s="31">
        <f>IF(BB326="Stage 2",20,IF(BB326="Stage 1",0,IF(BB326="Stage 3",5,IF(BB326="Stage 4",-5,0))))</f>
        <v/>
      </c>
      <c r="BD326" s="31" t="inlineStr">
        <is>
          <t>Negative Trend</t>
        </is>
      </c>
      <c r="BE326" s="31">
        <f>IF(BD326="Positive Trend",20,IF(BD326="Negative Trend",-10,0))</f>
        <v/>
      </c>
      <c r="BF326" s="31" t="inlineStr">
        <is>
          <t>Uptrend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Close to 52 week high or retracement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Less than 12%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Yes</t>
        </is>
      </c>
      <c r="BS326" s="31">
        <f>IF(BR326="NO",5,0)</f>
        <v/>
      </c>
      <c r="BT326" s="31" t="inlineStr">
        <is>
          <t>Above 2</t>
        </is>
      </c>
      <c r="BU326" s="31">
        <f>IF(BT326="Above 2",0,IF(BT326="Between 1.5 to 2",5,IF(BT326="Less than 1.5",10,0)))</f>
        <v/>
      </c>
      <c r="BV326" s="31" t="inlineStr">
        <is>
          <t>Less than 50%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Between 0.7 to 1.2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IF(B327=0,"",RANK(B327,$B$2:$B$366,0))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3" t="inlineStr">
        <is>
          <t>BHARTIHEXA</t>
        </is>
      </c>
      <c r="D327" s="33" t="inlineStr">
        <is>
          <t>Bharti Hexacom Ltd</t>
        </is>
      </c>
      <c r="E327" s="31" t="inlineStr">
        <is>
          <t>telecom-service</t>
        </is>
      </c>
      <c r="F327" s="31" t="inlineStr">
        <is>
          <t>telecommunications - service provider</t>
        </is>
      </c>
      <c r="G327" s="31" t="inlineStr">
        <is>
          <t>largecap</t>
        </is>
      </c>
      <c r="H327" s="32" t="n">
        <v>80375</v>
      </c>
      <c r="I327" s="32" t="n">
        <v>1641</v>
      </c>
      <c r="J327" s="32" t="n">
        <v>2.08</v>
      </c>
      <c r="K327" s="32" t="n">
        <v>68641</v>
      </c>
      <c r="L327" s="31" t="n">
        <v>8</v>
      </c>
      <c r="M327" s="31" t="inlineStr">
        <is>
          <t>Underperforming</t>
        </is>
      </c>
      <c r="N327" s="32">
        <f>IF(M327="Underperforming",-5,IF(L327&gt;=95,15,IF(L327&gt;=90,10,IF(L327&gt;=80,5,0))))</f>
        <v/>
      </c>
      <c r="O327" s="32" t="n">
        <v>55.74</v>
      </c>
      <c r="P327" s="32" t="n">
        <v>20.93</v>
      </c>
      <c r="Q327" s="32" t="inlineStr"/>
      <c r="R327" s="31" t="inlineStr">
        <is>
          <t>Earnings / Momentum Support</t>
        </is>
      </c>
      <c r="S327" s="31" t="inlineStr">
        <is>
          <t>Nifty 50</t>
        </is>
      </c>
      <c r="T327" s="32" t="n">
        <v>-0.74</v>
      </c>
      <c r="U327" s="32" t="n">
        <v>-11.89</v>
      </c>
      <c r="V327" s="32" t="n">
        <v>-11.24</v>
      </c>
      <c r="W327" s="32" t="n">
        <v>-0.82</v>
      </c>
      <c r="X327" s="31" t="inlineStr">
        <is>
          <t>Growing Industry</t>
        </is>
      </c>
      <c r="Y327" s="31">
        <f>IF(X327="Growing Industry",10,IF(X327="Cyclical in an Upturn",5,0))</f>
        <v/>
      </c>
      <c r="Z327" s="31" t="inlineStr">
        <is>
          <t>Oligopoly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Yes</t>
        </is>
      </c>
      <c r="AC327" s="31">
        <f>IF(AB327="No",5,0)</f>
        <v/>
      </c>
      <c r="AD327" s="31" t="inlineStr">
        <is>
          <t>Headwind</t>
        </is>
      </c>
      <c r="AE327" s="31">
        <f>IF(AD327="Tailwind",10,0)</f>
        <v/>
      </c>
      <c r="AF327" s="31" t="inlineStr">
        <is>
          <t>Structural (10 Years Consistency)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Stable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B2B</t>
        </is>
      </c>
      <c r="AO327" s="31">
        <f>IF(AN327="B2C",10,IF(AN327="B2B",5,0))</f>
        <v/>
      </c>
      <c r="AP327" s="31" t="inlineStr">
        <is>
          <t>No</t>
        </is>
      </c>
      <c r="AQ327" s="31">
        <f>IF(AP327="Yes",10,0)</f>
        <v/>
      </c>
      <c r="AR327" s="31" t="inlineStr">
        <is>
          <t>Higher One Time, Lower Annuity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20 to 40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3</t>
        </is>
      </c>
      <c r="BC327" s="31">
        <f>IF(BB327="Stage 2",20,IF(BB327="Stage 1",0,IF(BB327="Stage 3",5,IF(BB327="Stage 4",-5,0))))</f>
        <v/>
      </c>
      <c r="BD327" s="31" t="inlineStr">
        <is>
          <t>Negative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Close to 52 week high or retracement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Less than 12%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Yes</t>
        </is>
      </c>
      <c r="BS327" s="31">
        <f>IF(BR327="NO",5,0)</f>
        <v/>
      </c>
      <c r="BT327" s="31" t="inlineStr">
        <is>
          <t>Above 2</t>
        </is>
      </c>
      <c r="BU327" s="31">
        <f>IF(BT327="Above 2",0,IF(BT327="Between 1.5 to 2",5,IF(BT327="Less than 1.5",10,0)))</f>
        <v/>
      </c>
      <c r="BV327" s="31" t="inlineStr">
        <is>
          <t>Above 70%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Between 0.7 to 1.2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IF(B328=0,"",RANK(B328,$B$2:$B$366,0))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3" t="inlineStr">
        <is>
          <t>TIMETECHNO</t>
        </is>
      </c>
      <c r="D328" s="33" t="inlineStr">
        <is>
          <t>Time Technoplast Limited</t>
        </is>
      </c>
      <c r="E328" s="31" t="inlineStr">
        <is>
          <t>plastic products</t>
        </is>
      </c>
      <c r="F328" s="31" t="inlineStr">
        <is>
          <t>plastics products</t>
        </is>
      </c>
      <c r="G328" s="31" t="inlineStr">
        <is>
          <t>midcap</t>
        </is>
      </c>
      <c r="H328" s="32" t="n">
        <v>10295.26</v>
      </c>
      <c r="I328" s="32" t="n">
        <v>210.15</v>
      </c>
      <c r="J328" s="32" t="n">
        <v>0.76</v>
      </c>
      <c r="K328" s="32" t="n">
        <v>3019188</v>
      </c>
      <c r="L328" s="31" t="n">
        <v>12</v>
      </c>
      <c r="M328" s="31" t="inlineStr">
        <is>
          <t>Underperforming</t>
        </is>
      </c>
      <c r="N328" s="32">
        <f>IF(M328="Underperforming",-5,IF(L328&gt;=95,15,IF(L328&gt;=90,10,IF(L328&gt;=80,5,0))))</f>
        <v/>
      </c>
      <c r="O328" s="32" t="n">
        <v>62.11</v>
      </c>
      <c r="P328" s="32" t="n">
        <v>12.31</v>
      </c>
      <c r="Q328" s="32" t="inlineStr"/>
      <c r="R328" s="31" t="inlineStr">
        <is>
          <t>Earnings / Momentum Support</t>
        </is>
      </c>
      <c r="S328" s="31" t="inlineStr">
        <is>
          <t>Nifty 50</t>
        </is>
      </c>
      <c r="T328" s="32" t="n">
        <v>-0.74</v>
      </c>
      <c r="U328" s="32" t="n">
        <v>-7.29</v>
      </c>
      <c r="V328" s="32" t="n">
        <v>-6.6</v>
      </c>
      <c r="W328" s="32" t="n">
        <v>0.5</v>
      </c>
      <c r="X328" s="31" t="inlineStr">
        <is>
          <t>Growing Industry</t>
        </is>
      </c>
      <c r="Y328" s="31">
        <f>IF(X328="Growing Industry",10,IF(X328="Cyclical in an Upturn",5,0))</f>
        <v/>
      </c>
      <c r="Z328" s="31" t="inlineStr">
        <is>
          <t>Too Many Players with High ROCE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No</t>
        </is>
      </c>
      <c r="AC328" s="31">
        <f>IF(AB328="No",5,0)</f>
        <v/>
      </c>
      <c r="AD328" s="31" t="inlineStr">
        <is>
          <t>Headwind</t>
        </is>
      </c>
      <c r="AE328" s="31">
        <f>IF(AD328="Tailwind",10,0)</f>
        <v/>
      </c>
      <c r="AF328" s="31" t="inlineStr">
        <is>
          <t>Structural (10 Years Consistency)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Stable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No</t>
        </is>
      </c>
      <c r="AQ328" s="31">
        <f>IF(AP328="Yes",10,0)</f>
        <v/>
      </c>
      <c r="AR328" s="31" t="inlineStr">
        <is>
          <t>Higher One Time, Lower Annuity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0 to 20</t>
        </is>
      </c>
      <c r="AY328" s="31">
        <f>IF(AX328="Above 40",20,IF(AX328="20 to 40",10,IF(AX328="0 to 20",-5,0)))</f>
        <v/>
      </c>
      <c r="AZ328" s="31" t="inlineStr">
        <is>
          <t>Between 50 to 75</t>
        </is>
      </c>
      <c r="BA328" s="31">
        <f>IF(AZ328="Between 50 to 75",10,IF(AZ328="Above 75",0,0))</f>
        <v/>
      </c>
      <c r="BB328" s="31" t="inlineStr">
        <is>
          <t>Stage 3</t>
        </is>
      </c>
      <c r="BC328" s="31">
        <f>IF(BB328="Stage 2",20,IF(BB328="Stage 1",0,IF(BB328="Stage 3",5,IF(BB328="Stage 4",-5,0))))</f>
        <v/>
      </c>
      <c r="BD328" s="31" t="inlineStr">
        <is>
          <t>Negative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Close to 52 week high or retracement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Less than 12%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No</t>
        </is>
      </c>
      <c r="BS328" s="31">
        <f>IF(BR328="NO",5,0)</f>
        <v/>
      </c>
      <c r="BT328" s="31" t="inlineStr">
        <is>
          <t>Between 1.5 to 2</t>
        </is>
      </c>
      <c r="BU328" s="31">
        <f>IF(BT328="Above 2",0,IF(BT328="Between 1.5 to 2",5,IF(BT328="Less than 1.5",10,0)))</f>
        <v/>
      </c>
      <c r="BV328" s="31" t="inlineStr">
        <is>
          <t>Less than 50%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Less than 0.7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IF(B329=0,"",RANK(B329,$B$2:$B$366,0))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1" t="inlineStr">
        <is>
          <t>TEXINFRA</t>
        </is>
      </c>
      <c r="D329" s="31" t="inlineStr">
        <is>
          <t>Texmaco Infrastructure &amp; Holdings Limited</t>
        </is>
      </c>
      <c r="E329" s="31" t="inlineStr">
        <is>
          <t>realty</t>
        </is>
      </c>
      <c r="F329" s="31" t="inlineStr">
        <is>
          <t>construction</t>
        </is>
      </c>
      <c r="G329" s="31" t="inlineStr">
        <is>
          <t>smallcap</t>
        </is>
      </c>
      <c r="H329" s="32" t="n">
        <v>1452.54</v>
      </c>
      <c r="I329" s="32" t="n">
        <v>114</v>
      </c>
      <c r="J329" s="32" t="n">
        <v>0.01</v>
      </c>
      <c r="K329" s="32" t="n">
        <v>94802</v>
      </c>
      <c r="L329" s="31" t="n">
        <v>31</v>
      </c>
      <c r="M329" s="31" t="inlineStr">
        <is>
          <t>Outperforming</t>
        </is>
      </c>
      <c r="N329" s="32">
        <f>IF(M329="Underperforming",-5,IF(L329&gt;=95,15,IF(L329&gt;=90,10,IF(L329&gt;=80,5,0))))</f>
        <v/>
      </c>
      <c r="O329" s="32" t="n">
        <v>66.08</v>
      </c>
      <c r="P329" s="32" t="n">
        <v>37.28</v>
      </c>
      <c r="Q329" s="32" t="inlineStr"/>
      <c r="R329" s="31" t="inlineStr">
        <is>
          <t>Earnings / Momentum Support</t>
        </is>
      </c>
      <c r="S329" s="31" t="inlineStr">
        <is>
          <t>Nifty Realty</t>
        </is>
      </c>
      <c r="T329" s="32" t="n">
        <v>-8.119999999999999</v>
      </c>
      <c r="U329" s="32" t="n">
        <v>10.81</v>
      </c>
      <c r="V329" s="32" t="n">
        <v>20.6</v>
      </c>
      <c r="W329" s="32" t="n">
        <v>4.74</v>
      </c>
      <c r="X329" s="31" t="inlineStr">
        <is>
          <t>Growing Industry</t>
        </is>
      </c>
      <c r="Y329" s="31">
        <f>IF(X329="Growing Industry",10,IF(X329="Cyclical in an Upturn",5,0))</f>
        <v/>
      </c>
      <c r="Z329" s="31" t="inlineStr">
        <is>
          <t>Too Many Players with High ROCE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No</t>
        </is>
      </c>
      <c r="AC329" s="31">
        <f>IF(AB329="No",5,0)</f>
        <v/>
      </c>
      <c r="AD329" s="31" t="inlineStr">
        <is>
          <t>Headwind</t>
        </is>
      </c>
      <c r="AE329" s="31">
        <f>IF(AD329="Tailwind",10,0)</f>
        <v/>
      </c>
      <c r="AF329" s="31" t="inlineStr">
        <is>
          <t>Structural (10 Years Consistency)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Stable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B2B</t>
        </is>
      </c>
      <c r="AO329" s="31">
        <f>IF(AN329="B2C",10,IF(AN329="B2B",5,0))</f>
        <v/>
      </c>
      <c r="AP329" s="31" t="inlineStr">
        <is>
          <t>No</t>
        </is>
      </c>
      <c r="AQ329" s="31">
        <f>IF(AP329="Yes",10,0)</f>
        <v/>
      </c>
      <c r="AR329" s="31" t="inlineStr">
        <is>
          <t>Higher One Time, Lower Annuity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20 to 40</t>
        </is>
      </c>
      <c r="AY329" s="31">
        <f>IF(AX329="Above 40",20,IF(AX329="20 to 40",10,IF(AX329="0 to 20",-5,0)))</f>
        <v/>
      </c>
      <c r="AZ329" s="31" t="inlineStr">
        <is>
          <t>Between 50 to 75</t>
        </is>
      </c>
      <c r="BA329" s="31">
        <f>IF(AZ329="Between 50 to 75",10,IF(AZ329="Above 75",0,0))</f>
        <v/>
      </c>
      <c r="BB329" s="31" t="inlineStr">
        <is>
          <t>Stage 3</t>
        </is>
      </c>
      <c r="BC329" s="31">
        <f>IF(BB329="Stage 2",20,IF(BB329="Stage 1",0,IF(BB329="Stage 3",5,IF(BB329="Stage 4",-5,0))))</f>
        <v/>
      </c>
      <c r="BD329" s="31" t="inlineStr">
        <is>
          <t>Negative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Close to 52 week high or retracement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Less than 12%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Yes</t>
        </is>
      </c>
      <c r="BS329" s="31">
        <f>IF(BR329="NO",5,0)</f>
        <v/>
      </c>
      <c r="BT329" s="31" t="inlineStr">
        <is>
          <t>Above 2</t>
        </is>
      </c>
      <c r="BU329" s="31">
        <f>IF(BT329="Above 2",0,IF(BT329="Between 1.5 to 2",5,IF(BT329="Less than 1.5",10,0)))</f>
        <v/>
      </c>
      <c r="BV329" s="31" t="inlineStr">
        <is>
          <t>Negative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Less than 0.7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IF(B330=0,"",RANK(B330,$B$2:$B$366,0))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3" t="inlineStr">
        <is>
          <t>ARIHANT</t>
        </is>
      </c>
      <c r="D330" s="33" t="inlineStr">
        <is>
          <t>Arihant Foundations &amp; Housing Limited</t>
        </is>
      </c>
      <c r="E330" s="31" t="inlineStr">
        <is>
          <t>realty</t>
        </is>
      </c>
      <c r="F330" s="31" t="inlineStr">
        <is>
          <t>construction</t>
        </is>
      </c>
      <c r="G330" s="31" t="inlineStr">
        <is>
          <t>smallcap</t>
        </is>
      </c>
      <c r="H330" s="32" t="n">
        <v>1138.82</v>
      </c>
      <c r="I330" s="32" t="n">
        <v>1140</v>
      </c>
      <c r="J330" s="32" t="n">
        <v>-0.24</v>
      </c>
      <c r="K330" s="32" t="n">
        <v>1636</v>
      </c>
      <c r="L330" s="31" t="n">
        <v>1</v>
      </c>
      <c r="M330" s="31" t="inlineStr">
        <is>
          <t>Underperforming</t>
        </is>
      </c>
      <c r="N330" s="32">
        <f>IF(M330="Underperforming",-5,IF(L330&gt;=95,15,IF(L330&gt;=90,10,IF(L330&gt;=80,5,0))))</f>
        <v/>
      </c>
      <c r="O330" s="32" t="n">
        <v>64.16</v>
      </c>
      <c r="P330" s="32" t="n">
        <v>22.91</v>
      </c>
      <c r="Q330" s="32" t="inlineStr"/>
      <c r="R330" s="31" t="inlineStr">
        <is>
          <t>Earnings / Momentum Support</t>
        </is>
      </c>
      <c r="S330" s="31" t="inlineStr">
        <is>
          <t>Nifty Realty</t>
        </is>
      </c>
      <c r="T330" s="32" t="n">
        <v>-8.119999999999999</v>
      </c>
      <c r="U330" s="32" t="n">
        <v>-36.76</v>
      </c>
      <c r="V330" s="32" t="n">
        <v>-31.17</v>
      </c>
      <c r="W330" s="32" t="n">
        <v>-11.87</v>
      </c>
      <c r="X330" s="31" t="inlineStr">
        <is>
          <t>Growing Industry</t>
        </is>
      </c>
      <c r="Y330" s="31">
        <f>IF(X330="Growing Industry",10,IF(X330="Cyclical in an Upturn",5,0))</f>
        <v/>
      </c>
      <c r="Z330" s="31" t="inlineStr">
        <is>
          <t>Too Many Players with High ROCE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No</t>
        </is>
      </c>
      <c r="AC330" s="31">
        <f>IF(AB330="No",5,0)</f>
        <v/>
      </c>
      <c r="AD330" s="31" t="inlineStr">
        <is>
          <t>Headwind</t>
        </is>
      </c>
      <c r="AE330" s="31">
        <f>IF(AD330="Tailwind",10,0)</f>
        <v/>
      </c>
      <c r="AF330" s="31" t="inlineStr">
        <is>
          <t>Structural (10 Years Consistency)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Stable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No</t>
        </is>
      </c>
      <c r="AQ330" s="31">
        <f>IF(AP330="Yes",10,0)</f>
        <v/>
      </c>
      <c r="AR330" s="31" t="inlineStr">
        <is>
          <t>Higher One Time, Lower Annuity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20 to 40</t>
        </is>
      </c>
      <c r="AY330" s="31">
        <f>IF(AX330="Above 40",20,IF(AX330="20 to 40",10,IF(AX330="0 to 20",-5,0)))</f>
        <v/>
      </c>
      <c r="AZ330" s="31" t="inlineStr">
        <is>
          <t>Between 50 to 75</t>
        </is>
      </c>
      <c r="BA330" s="31">
        <f>IF(AZ330="Between 50 to 75",10,IF(AZ330="Above 75",0,0))</f>
        <v/>
      </c>
      <c r="BB330" s="31" t="inlineStr">
        <is>
          <t>Stage 3</t>
        </is>
      </c>
      <c r="BC330" s="31">
        <f>IF(BB330="Stage 2",20,IF(BB330="Stage 1",0,IF(BB330="Stage 3",5,IF(BB330="Stage 4",-5,0))))</f>
        <v/>
      </c>
      <c r="BD330" s="31" t="inlineStr">
        <is>
          <t>Negative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Close to 52 week high or retracement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Less than 12%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No</t>
        </is>
      </c>
      <c r="BS330" s="31">
        <f>IF(BR330="NO",5,0)</f>
        <v/>
      </c>
      <c r="BT330" s="31" t="inlineStr">
        <is>
          <t>Above 2</t>
        </is>
      </c>
      <c r="BU330" s="31">
        <f>IF(BT330="Above 2",0,IF(BT330="Between 1.5 to 2",5,IF(BT330="Less than 1.5",10,0)))</f>
        <v/>
      </c>
      <c r="BV330" s="31" t="inlineStr">
        <is>
          <t>Above 70%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More than 1.2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IF(B331=0,"",RANK(B331,$B$2:$B$366,0))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3" t="inlineStr">
        <is>
          <t>MEDANTA</t>
        </is>
      </c>
      <c r="D331" s="33" t="inlineStr">
        <is>
          <t>Global Health Ltd</t>
        </is>
      </c>
      <c r="E331" s="31" t="inlineStr">
        <is>
          <t>healthcare</t>
        </is>
      </c>
      <c r="F331" s="31" t="inlineStr">
        <is>
          <t>healthcare</t>
        </is>
      </c>
      <c r="G331" s="31" t="inlineStr">
        <is>
          <t>largecap</t>
        </is>
      </c>
      <c r="H331" s="32" t="n">
        <v>37792.62</v>
      </c>
      <c r="I331" s="32" t="n">
        <v>1450</v>
      </c>
      <c r="J331" s="32" t="n">
        <v>3.16</v>
      </c>
      <c r="K331" s="32" t="n">
        <v>382840</v>
      </c>
      <c r="L331" s="31" t="n">
        <v>43</v>
      </c>
      <c r="M331" s="31" t="inlineStr">
        <is>
          <t>Underperforming</t>
        </is>
      </c>
      <c r="N331" s="32">
        <f>IF(M331="Underperforming",-5,IF(L331&gt;=95,15,IF(L331&gt;=90,10,IF(L331&gt;=80,5,0))))</f>
        <v/>
      </c>
      <c r="O331" s="32" t="n">
        <v>68.77</v>
      </c>
      <c r="P331" s="32" t="n">
        <v>19.27</v>
      </c>
      <c r="Q331" s="32" t="inlineStr"/>
      <c r="R331" s="31" t="inlineStr">
        <is>
          <t>Earnings / Momentum Support</t>
        </is>
      </c>
      <c r="S331" s="31" t="inlineStr">
        <is>
          <t>Nifty Pharma</t>
        </is>
      </c>
      <c r="T331" s="32" t="n">
        <v>20.55</v>
      </c>
      <c r="U331" s="32" t="n">
        <v>5.13</v>
      </c>
      <c r="V331" s="32" t="n">
        <v>-12.79</v>
      </c>
      <c r="W331" s="32" t="n">
        <v>6.97</v>
      </c>
      <c r="X331" s="31" t="inlineStr">
        <is>
          <t>Growing Industry</t>
        </is>
      </c>
      <c r="Y331" s="31">
        <f>IF(X331="Growing Industry",10,IF(X331="Cyclical in an Upturn",5,0))</f>
        <v/>
      </c>
      <c r="Z331" s="31" t="inlineStr">
        <is>
          <t>Too Many Players with High ROCE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Yes</t>
        </is>
      </c>
      <c r="AC331" s="31">
        <f>IF(AB331="No",5,0)</f>
        <v/>
      </c>
      <c r="AD331" s="31" t="inlineStr">
        <is>
          <t>Headwind</t>
        </is>
      </c>
      <c r="AE331" s="31">
        <f>IF(AD331="Tailwind",10,0)</f>
        <v/>
      </c>
      <c r="AF331" s="31" t="inlineStr">
        <is>
          <t>Structural (10 Years Consistency)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Stable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No</t>
        </is>
      </c>
      <c r="AQ331" s="31">
        <f>IF(AP331="Yes",10,0)</f>
        <v/>
      </c>
      <c r="AR331" s="31" t="inlineStr">
        <is>
          <t>Higher Annuity, Lower One Time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0 to 20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3</t>
        </is>
      </c>
      <c r="BC331" s="31">
        <f>IF(BB331="Stage 2",20,IF(BB331="Stage 1",0,IF(BB331="Stage 3",5,IF(BB331="Stage 4",-5,0))))</f>
        <v/>
      </c>
      <c r="BD331" s="31" t="inlineStr">
        <is>
          <t>Negative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Less than 12%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Yes</t>
        </is>
      </c>
      <c r="BS331" s="31">
        <f>IF(BR331="NO",5,0)</f>
        <v/>
      </c>
      <c r="BT331" s="31" t="inlineStr">
        <is>
          <t>Above 2</t>
        </is>
      </c>
      <c r="BU331" s="31">
        <f>IF(BT331="Above 2",0,IF(BT331="Between 1.5 to 2",5,IF(BT331="Less than 1.5",10,0)))</f>
        <v/>
      </c>
      <c r="BV331" s="31" t="inlineStr">
        <is>
          <t>Above 70%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Less than 0.7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IF(B332=0,"",RANK(B332,$B$2:$B$366,0))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3" t="inlineStr">
        <is>
          <t>KIMS</t>
        </is>
      </c>
      <c r="D332" s="33" t="inlineStr">
        <is>
          <t>Krishna Institute of Medical Sciences Ltd</t>
        </is>
      </c>
      <c r="E332" s="31" t="inlineStr">
        <is>
          <t>healthcare</t>
        </is>
      </c>
      <c r="F332" s="31" t="inlineStr">
        <is>
          <t>healthcare</t>
        </is>
      </c>
      <c r="G332" s="31" t="inlineStr">
        <is>
          <t>largecap</t>
        </is>
      </c>
      <c r="H332" s="32" t="n">
        <v>33797.92</v>
      </c>
      <c r="I332" s="32" t="n">
        <v>820.6</v>
      </c>
      <c r="J332" s="32" t="n">
        <v>1.98</v>
      </c>
      <c r="K332" s="32" t="n">
        <v>818924</v>
      </c>
      <c r="L332" s="31" t="n">
        <v>40</v>
      </c>
      <c r="M332" s="31" t="inlineStr">
        <is>
          <t>Underperforming</t>
        </is>
      </c>
      <c r="N332" s="32">
        <f>IF(M332="Underperforming",-5,IF(L332&gt;=95,15,IF(L332&gt;=90,10,IF(L332&gt;=80,5,0))))</f>
        <v/>
      </c>
      <c r="O332" s="32" t="n">
        <v>60.71</v>
      </c>
      <c r="P332" s="32" t="n">
        <v>42.16</v>
      </c>
      <c r="Q332" s="32" t="inlineStr"/>
      <c r="R332" s="31" t="inlineStr">
        <is>
          <t>Earnings / Momentum Support</t>
        </is>
      </c>
      <c r="S332" s="31" t="inlineStr">
        <is>
          <t>Nifty Pharma</t>
        </is>
      </c>
      <c r="T332" s="32" t="n">
        <v>20.55</v>
      </c>
      <c r="U332" s="32" t="n">
        <v>6.38</v>
      </c>
      <c r="V332" s="32" t="n">
        <v>-11.75</v>
      </c>
      <c r="W332" s="32" t="n">
        <v>6.27</v>
      </c>
      <c r="X332" s="31" t="inlineStr">
        <is>
          <t>Growing Industry</t>
        </is>
      </c>
      <c r="Y332" s="31">
        <f>IF(X332="Growing Industry",10,IF(X332="Cyclical in an Upturn",5,0))</f>
        <v/>
      </c>
      <c r="Z332" s="31" t="inlineStr">
        <is>
          <t>Too Many Players with High ROCE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Yes</t>
        </is>
      </c>
      <c r="AC332" s="31">
        <f>IF(AB332="No",5,0)</f>
        <v/>
      </c>
      <c r="AD332" s="31" t="inlineStr">
        <is>
          <t>Headwind</t>
        </is>
      </c>
      <c r="AE332" s="31">
        <f>IF(AD332="Tailwind",10,0)</f>
        <v/>
      </c>
      <c r="AF332" s="31" t="inlineStr">
        <is>
          <t>Structural (10 Years Consistency)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Stable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B2B</t>
        </is>
      </c>
      <c r="AO332" s="31">
        <f>IF(AN332="B2C",10,IF(AN332="B2B",5,0))</f>
        <v/>
      </c>
      <c r="AP332" s="31" t="inlineStr">
        <is>
          <t>No</t>
        </is>
      </c>
      <c r="AQ332" s="31">
        <f>IF(AP332="Yes",10,0)</f>
        <v/>
      </c>
      <c r="AR332" s="31" t="inlineStr">
        <is>
          <t>Higher Annuity, Lower One Time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Above 40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3</t>
        </is>
      </c>
      <c r="BC332" s="31">
        <f>IF(BB332="Stage 2",20,IF(BB332="Stage 1",0,IF(BB332="Stage 3",5,IF(BB332="Stage 4",-5,0))))</f>
        <v/>
      </c>
      <c r="BD332" s="31" t="inlineStr">
        <is>
          <t>Negative Trend</t>
        </is>
      </c>
      <c r="BE332" s="31">
        <f>IF(BD332="Positive Trend",20,IF(BD332="Negative Trend",-10,0))</f>
        <v/>
      </c>
      <c r="BF332" s="31" t="inlineStr">
        <is>
          <t>Uptrend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Close to 52 week high or retracement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Yes</t>
        </is>
      </c>
      <c r="BM332" s="31">
        <f>IF(BL332="Yes",10,0)</f>
        <v/>
      </c>
      <c r="BN332" s="31" t="inlineStr">
        <is>
          <t>Less than 12%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Yes</t>
        </is>
      </c>
      <c r="BS332" s="31">
        <f>IF(BR332="NO",5,0)</f>
        <v/>
      </c>
      <c r="BT332" s="31" t="inlineStr">
        <is>
          <t>Above 2</t>
        </is>
      </c>
      <c r="BU332" s="31">
        <f>IF(BT332="Above 2",0,IF(BT332="Between 1.5 to 2",5,IF(BT332="Less than 1.5",10,0)))</f>
        <v/>
      </c>
      <c r="BV332" s="31" t="inlineStr">
        <is>
          <t>Between 50% to 70%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More than 1.2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IF(B333=0,"",RANK(B333,$B$2:$B$366,0))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3" t="inlineStr">
        <is>
          <t>GLAXO</t>
        </is>
      </c>
      <c r="D333" s="33" t="inlineStr">
        <is>
          <t>Glaxosmithkline Pharmaceuticals Limited</t>
        </is>
      </c>
      <c r="E333" s="31" t="inlineStr">
        <is>
          <t>healthcare</t>
        </is>
      </c>
      <c r="F333" s="31" t="inlineStr">
        <is>
          <t>pharmaceuticals - multinational</t>
        </is>
      </c>
      <c r="G333" s="31" t="inlineStr">
        <is>
          <t>largecap</t>
        </is>
      </c>
      <c r="H333" s="32" t="n">
        <v>44984.08</v>
      </c>
      <c r="I333" s="32" t="n">
        <v>2662.3</v>
      </c>
      <c r="J333" s="32" t="n">
        <v>0.26</v>
      </c>
      <c r="K333" s="32" t="n">
        <v>89411</v>
      </c>
      <c r="L333" s="31" t="n">
        <v>18</v>
      </c>
      <c r="M333" s="31" t="inlineStr">
        <is>
          <t>Underperforming</t>
        </is>
      </c>
      <c r="N333" s="32">
        <f>IF(M333="Underperforming",-5,IF(L333&gt;=95,15,IF(L333&gt;=90,10,IF(L333&gt;=80,5,0))))</f>
        <v/>
      </c>
      <c r="O333" s="32" t="n">
        <v>63.72</v>
      </c>
      <c r="P333" s="32" t="n">
        <v>19.98</v>
      </c>
      <c r="Q333" s="32" t="inlineStr"/>
      <c r="R333" s="31" t="inlineStr">
        <is>
          <t>Earnings / Momentum Support</t>
        </is>
      </c>
      <c r="S333" s="31" t="inlineStr">
        <is>
          <t>Nifty Pharma</t>
        </is>
      </c>
      <c r="T333" s="32" t="n">
        <v>20.55</v>
      </c>
      <c r="U333" s="32" t="n">
        <v>-7.27</v>
      </c>
      <c r="V333" s="32" t="n">
        <v>-23.08</v>
      </c>
      <c r="W333" s="32" t="n">
        <v>2.25</v>
      </c>
      <c r="X333" s="31" t="inlineStr">
        <is>
          <t>Growing Industry</t>
        </is>
      </c>
      <c r="Y333" s="31">
        <f>IF(X333="Growing Industry",10,IF(X333="Cyclical in an Upturn",5,0))</f>
        <v/>
      </c>
      <c r="Z333" s="31" t="inlineStr">
        <is>
          <t>Too Many Players with High ROCE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Yes</t>
        </is>
      </c>
      <c r="AC333" s="31">
        <f>IF(AB333="No",5,0)</f>
        <v/>
      </c>
      <c r="AD333" s="31" t="inlineStr">
        <is>
          <t>Headwind</t>
        </is>
      </c>
      <c r="AE333" s="31">
        <f>IF(AD333="Tailwind",10,0)</f>
        <v/>
      </c>
      <c r="AF333" s="31" t="inlineStr">
        <is>
          <t>Structural (10 Years Consistency)</t>
        </is>
      </c>
      <c r="AG333" s="31">
        <f>IF(AF333="Structural (10 Years Consistency)",10,IF(AF333="Shallow Cyclical (2 to 3 years growth)",5,0))</f>
        <v/>
      </c>
      <c r="AH333" s="31" t="inlineStr">
        <is>
          <t>No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Stable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No</t>
        </is>
      </c>
      <c r="AQ333" s="31">
        <f>IF(AP333="Yes",10,0)</f>
        <v/>
      </c>
      <c r="AR333" s="31" t="inlineStr">
        <is>
          <t>Higher Annuity, Lower One Time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Good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0 to 20</t>
        </is>
      </c>
      <c r="AY333" s="31">
        <f>IF(AX333="Above 40",20,IF(AX333="20 to 40",10,IF(AX333="0 to 20",-5,0)))</f>
        <v/>
      </c>
      <c r="AZ333" s="31" t="inlineStr">
        <is>
          <t>Between 50 to 75</t>
        </is>
      </c>
      <c r="BA333" s="31">
        <f>IF(AZ333="Between 50 to 75",10,IF(AZ333="Above 75",0,0))</f>
        <v/>
      </c>
      <c r="BB333" s="31" t="inlineStr">
        <is>
          <t>Stage 3</t>
        </is>
      </c>
      <c r="BC333" s="31">
        <f>IF(BB333="Stage 2",20,IF(BB333="Stage 1",0,IF(BB333="Stage 3",5,IF(BB333="Stage 4",-5,0))))</f>
        <v/>
      </c>
      <c r="BD333" s="31" t="inlineStr">
        <is>
          <t>Negative Trend</t>
        </is>
      </c>
      <c r="BE333" s="31">
        <f>IF(BD333="Positive Trend",20,IF(BD333="Negative Trend",-10,0))</f>
        <v/>
      </c>
      <c r="BF333" s="31" t="inlineStr">
        <is>
          <t>Uptrend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Close to 52 week high or retracement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Less than 12%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Yes</t>
        </is>
      </c>
      <c r="BS333" s="31">
        <f>IF(BR333="NO",5,0)</f>
        <v/>
      </c>
      <c r="BT333" s="31" t="inlineStr">
        <is>
          <t>Above 2</t>
        </is>
      </c>
      <c r="BU333" s="31">
        <f>IF(BT333="Above 2",0,IF(BT333="Between 1.5 to 2",5,IF(BT333="Less than 1.5",10,0)))</f>
        <v/>
      </c>
      <c r="BV333" s="31" t="inlineStr">
        <is>
          <t>Above 70%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Less than 0.7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Less than 15%</t>
        </is>
      </c>
      <c r="CC333" s="31">
        <f>IF(CB333="More than 15%",-10,IF(CB333="Less than 15%",10,0))</f>
        <v/>
      </c>
      <c r="CD333" s="31" t="inlineStr">
        <is>
          <t>No</t>
        </is>
      </c>
      <c r="CE333" s="31">
        <f>IF(CD333="Yes, more than 10%",-10,IF(CD333="No",10,0))</f>
        <v/>
      </c>
    </row>
    <row r="334">
      <c r="A334" s="31">
        <f>IF(B334=0,"",RANK(B334,$B$2:$B$366,0))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3" t="inlineStr">
        <is>
          <t>DDEVPLSTIK</t>
        </is>
      </c>
      <c r="D334" s="33" t="inlineStr">
        <is>
          <t>DDev Plastiks Industries Ltd</t>
        </is>
      </c>
      <c r="E334" s="31" t="inlineStr">
        <is>
          <t>chemicals</t>
        </is>
      </c>
      <c r="F334" s="31" t="inlineStr">
        <is>
          <t>chemicals</t>
        </is>
      </c>
      <c r="G334" s="31" t="inlineStr">
        <is>
          <t>smallcap</t>
        </is>
      </c>
      <c r="H334" s="32" t="n">
        <v>2774.73</v>
      </c>
      <c r="I334" s="32" t="n">
        <v>288.35</v>
      </c>
      <c r="J334" s="32" t="n">
        <v>7.53</v>
      </c>
      <c r="K334" s="32" t="n">
        <v>265871</v>
      </c>
      <c r="L334" s="31" t="n">
        <v>9</v>
      </c>
      <c r="M334" s="31" t="inlineStr">
        <is>
          <t>Underperforming</t>
        </is>
      </c>
      <c r="N334" s="32">
        <f>IF(M334="Underperforming",-5,IF(L334&gt;=95,15,IF(L334&gt;=90,10,IF(L334&gt;=80,5,0))))</f>
        <v/>
      </c>
      <c r="O334" s="32" t="n">
        <v>50.43</v>
      </c>
      <c r="P334" s="32" t="n">
        <v>10.38</v>
      </c>
      <c r="Q334" s="32" t="inlineStr"/>
      <c r="R334" s="31" t="inlineStr">
        <is>
          <t>Earnings / Momentum Support</t>
        </is>
      </c>
      <c r="S334" s="31" t="inlineStr">
        <is>
          <t>Nifty 50</t>
        </is>
      </c>
      <c r="T334" s="32" t="n">
        <v>-0.74</v>
      </c>
      <c r="U334" s="32" t="n">
        <v>-8.199999999999999</v>
      </c>
      <c r="V334" s="32" t="n">
        <v>-7.51</v>
      </c>
      <c r="W334" s="32" t="n">
        <v>-0.28</v>
      </c>
      <c r="X334" s="31" t="inlineStr">
        <is>
          <t>Growing Industry</t>
        </is>
      </c>
      <c r="Y334" s="31">
        <f>IF(X334="Growing Industry",10,IF(X334="Cyclical in an Upturn",5,0))</f>
        <v/>
      </c>
      <c r="Z334" s="31" t="inlineStr">
        <is>
          <t>Too Many Players with High ROCE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No</t>
        </is>
      </c>
      <c r="AC334" s="31">
        <f>IF(AB334="No",5,0)</f>
        <v/>
      </c>
      <c r="AD334" s="31" t="inlineStr">
        <is>
          <t>Headwind</t>
        </is>
      </c>
      <c r="AE334" s="31">
        <f>IF(AD334="Tailwind",10,0)</f>
        <v/>
      </c>
      <c r="AF334" s="31" t="inlineStr">
        <is>
          <t>Structural (10 Years Consistency)</t>
        </is>
      </c>
      <c r="AG334" s="31">
        <f>IF(AF334="Structural (10 Years Consistency)",10,IF(AF334="Shallow Cyclical (2 to 3 years growth)",5,0))</f>
        <v/>
      </c>
      <c r="AH334" s="31" t="inlineStr">
        <is>
          <t>No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Stable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B2B</t>
        </is>
      </c>
      <c r="AO334" s="31">
        <f>IF(AN334="B2C",10,IF(AN334="B2B",5,0))</f>
        <v/>
      </c>
      <c r="AP334" s="31" t="inlineStr">
        <is>
          <t>No</t>
        </is>
      </c>
      <c r="AQ334" s="31">
        <f>IF(AP334="Yes",10,0)</f>
        <v/>
      </c>
      <c r="AR334" s="31" t="inlineStr">
        <is>
          <t>Higher One Time, Lower Annuity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Good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0 to 20</t>
        </is>
      </c>
      <c r="AY334" s="31">
        <f>IF(AX334="Above 40",20,IF(AX334="20 to 40",10,IF(AX334="0 to 20",-5,0)))</f>
        <v/>
      </c>
      <c r="AZ334" s="31" t="inlineStr">
        <is>
          <t>Between 50 to 75</t>
        </is>
      </c>
      <c r="BA334" s="31">
        <f>IF(AZ334="Between 50 to 75",10,IF(AZ334="Above 75",0,0))</f>
        <v/>
      </c>
      <c r="BB334" s="31" t="inlineStr">
        <is>
          <t>Stage 3</t>
        </is>
      </c>
      <c r="BC334" s="31">
        <f>IF(BB334="Stage 2",20,IF(BB334="Stage 1",0,IF(BB334="Stage 3",5,IF(BB334="Stage 4",-5,0))))</f>
        <v/>
      </c>
      <c r="BD334" s="31" t="inlineStr">
        <is>
          <t>Negative Trend</t>
        </is>
      </c>
      <c r="BE334" s="31">
        <f>IF(BD334="Positive Trend",20,IF(BD334="Negative Trend",-10,0))</f>
        <v/>
      </c>
      <c r="BF334" s="31" t="inlineStr">
        <is>
          <t>Uptrend</t>
        </is>
      </c>
      <c r="BG334" s="31">
        <f>IF(BF334="Uptrend",10,IF(BF334="Sideways",5,0))</f>
        <v/>
      </c>
      <c r="BH334" s="31" t="inlineStr">
        <is>
          <t>Uptrend</t>
        </is>
      </c>
      <c r="BI334" s="31">
        <f>IF(BH334="Uptrend",10,IF(BH334="Sideways",5,0))</f>
        <v/>
      </c>
      <c r="BJ334" s="31" t="inlineStr">
        <is>
          <t>Close to 52 week high or retracement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Less than 12%</t>
        </is>
      </c>
      <c r="BO334" s="31">
        <f>IF(BN334="More than 20%",10,IF(BN334="Between 12 to 20%",5,IF(BN334="Less than 12%",0,0)))</f>
        <v/>
      </c>
      <c r="BP334" s="31" t="inlineStr">
        <is>
          <t>No</t>
        </is>
      </c>
      <c r="BQ334" s="31">
        <f>IF(BP334="No",10,0)</f>
        <v/>
      </c>
      <c r="BR334" s="31" t="inlineStr">
        <is>
          <t>No</t>
        </is>
      </c>
      <c r="BS334" s="31">
        <f>IF(BR334="NO",5,0)</f>
        <v/>
      </c>
      <c r="BT334" s="31" t="inlineStr">
        <is>
          <t>Above 2</t>
        </is>
      </c>
      <c r="BU334" s="31">
        <f>IF(BT334="Above 2",0,IF(BT334="Between 1.5 to 2",5,IF(BT334="Less than 1.5",10,0)))</f>
        <v/>
      </c>
      <c r="BV334" s="31" t="inlineStr">
        <is>
          <t>Less than 50%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Less than 0.7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Less than 15%</t>
        </is>
      </c>
      <c r="CC334" s="31">
        <f>IF(CB334="More than 15%",-10,IF(CB334="Less than 15%",10,0))</f>
        <v/>
      </c>
      <c r="CD334" s="31" t="inlineStr">
        <is>
          <t>No</t>
        </is>
      </c>
      <c r="CE334" s="31">
        <f>IF(CD334="Yes, more than 10%",-10,IF(CD334="No",10,0))</f>
        <v/>
      </c>
    </row>
    <row r="335">
      <c r="A335" s="31">
        <f>IF(B335=0,"",RANK(B335,$B$2:$B$366,0))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1" t="inlineStr">
        <is>
          <t>SIEMENS</t>
        </is>
      </c>
      <c r="D335" s="31" t="inlineStr">
        <is>
          <t>Siemens Limited</t>
        </is>
      </c>
      <c r="E335" s="31" t="inlineStr">
        <is>
          <t>industrials</t>
        </is>
      </c>
      <c r="F335" s="31" t="inlineStr">
        <is>
          <t>electric equipment</t>
        </is>
      </c>
      <c r="G335" s="31" t="inlineStr">
        <is>
          <t>largecap</t>
        </is>
      </c>
      <c r="H335" s="32" t="n">
        <v>133901.31</v>
      </c>
      <c r="I335" s="32" t="n">
        <v>3900</v>
      </c>
      <c r="J335" s="32" t="n">
        <v>3.72</v>
      </c>
      <c r="K335" s="32" t="n">
        <v>1813599</v>
      </c>
      <c r="L335" s="31" t="n">
        <v>33</v>
      </c>
      <c r="M335" s="31" t="inlineStr">
        <is>
          <t>Outperforming</t>
        </is>
      </c>
      <c r="N335" s="32">
        <f>IF(M335="Underperforming",-5,IF(L335&gt;=95,15,IF(L335&gt;=90,10,IF(L335&gt;=80,5,0))))</f>
        <v/>
      </c>
      <c r="O335" s="32" t="n">
        <v>58.88</v>
      </c>
      <c r="P335" s="32" t="n">
        <v>23.08</v>
      </c>
      <c r="Q335" s="32" t="inlineStr"/>
      <c r="R335" s="31" t="inlineStr">
        <is>
          <t>Earnings / Momentum Support</t>
        </is>
      </c>
      <c r="S335" s="31" t="inlineStr">
        <is>
          <t>Nifty 50</t>
        </is>
      </c>
      <c r="T335" s="32" t="n">
        <v>-0.74</v>
      </c>
      <c r="U335" s="32" t="n">
        <v>24.97</v>
      </c>
      <c r="V335" s="32" t="n">
        <v>25.9</v>
      </c>
      <c r="W335" s="32" t="n">
        <v>4.97</v>
      </c>
      <c r="X335" s="31" t="inlineStr">
        <is>
          <t>Cyclical in an Upturn</t>
        </is>
      </c>
      <c r="Y335" s="31">
        <f>IF(X335="Growing Industry",10,IF(X335="Cyclical in an Upturn",5,0))</f>
        <v/>
      </c>
      <c r="Z335" s="31" t="inlineStr">
        <is>
          <t>Too Many Players with High ROCE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No</t>
        </is>
      </c>
      <c r="AC335" s="31">
        <f>IF(AB335="No",5,0)</f>
        <v/>
      </c>
      <c r="AD335" s="31" t="inlineStr">
        <is>
          <t>Headwind</t>
        </is>
      </c>
      <c r="AE335" s="31">
        <f>IF(AD335="Tailwind",10,0)</f>
        <v/>
      </c>
      <c r="AF335" s="31" t="inlineStr">
        <is>
          <t>Structural (10 Years Consistency)</t>
        </is>
      </c>
      <c r="AG335" s="31">
        <f>IF(AF335="Structural (10 Years Consistency)",10,IF(AF335="Shallow Cyclical (2 to 3 years growth)",5,0))</f>
        <v/>
      </c>
      <c r="AH335" s="31" t="inlineStr">
        <is>
          <t>No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Stable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B2B</t>
        </is>
      </c>
      <c r="AO335" s="31">
        <f>IF(AN335="B2C",10,IF(AN335="B2B",5,0))</f>
        <v/>
      </c>
      <c r="AP335" s="31" t="inlineStr">
        <is>
          <t>No</t>
        </is>
      </c>
      <c r="AQ335" s="31">
        <f>IF(AP335="Yes",10,0)</f>
        <v/>
      </c>
      <c r="AR335" s="31" t="inlineStr">
        <is>
          <t>Higher One Time, Lower Annuity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Good</t>
        </is>
      </c>
      <c r="AU335" s="31">
        <f>IF(AT335="Good",10,0)</f>
        <v/>
      </c>
      <c r="AV335" s="31" t="inlineStr">
        <is>
          <t>Yes for more than 2 years</t>
        </is>
      </c>
      <c r="AW335" s="31">
        <f>IF(AV335="Yes for more than 2 years",10,IF(AV335="Yes only for next 1 to 2 years",5,0))</f>
        <v/>
      </c>
      <c r="AX335" s="31" t="inlineStr">
        <is>
          <t>20 to 40</t>
        </is>
      </c>
      <c r="AY335" s="31">
        <f>IF(AX335="Above 40",20,IF(AX335="20 to 40",10,IF(AX335="0 to 20",-5,0)))</f>
        <v/>
      </c>
      <c r="AZ335" s="31" t="inlineStr">
        <is>
          <t>Between 50 to 75</t>
        </is>
      </c>
      <c r="BA335" s="31">
        <f>IF(AZ335="Between 50 to 75",10,IF(AZ335="Above 75",0,0))</f>
        <v/>
      </c>
      <c r="BB335" s="31" t="inlineStr">
        <is>
          <t>Stage 3</t>
        </is>
      </c>
      <c r="BC335" s="31">
        <f>IF(BB335="Stage 2",20,IF(BB335="Stage 1",0,IF(BB335="Stage 3",5,IF(BB335="Stage 4",-5,0))))</f>
        <v/>
      </c>
      <c r="BD335" s="31" t="inlineStr">
        <is>
          <t>Negative Trend</t>
        </is>
      </c>
      <c r="BE335" s="31">
        <f>IF(BD335="Positive Trend",20,IF(BD335="Negative Trend",-10,0))</f>
        <v/>
      </c>
      <c r="BF335" s="31" t="inlineStr">
        <is>
          <t>Uptrend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Close to 52 week high or retracement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Less than 12%</t>
        </is>
      </c>
      <c r="BO335" s="31">
        <f>IF(BN335="More than 20%",10,IF(BN335="Between 12 to 20%",5,IF(BN335="Less than 12%",0,0)))</f>
        <v/>
      </c>
      <c r="BP335" s="31" t="inlineStr">
        <is>
          <t>No</t>
        </is>
      </c>
      <c r="BQ335" s="31">
        <f>IF(BP335="No",10,0)</f>
        <v/>
      </c>
      <c r="BR335" s="31" t="inlineStr">
        <is>
          <t>Yes</t>
        </is>
      </c>
      <c r="BS335" s="31">
        <f>IF(BR335="NO",5,0)</f>
        <v/>
      </c>
      <c r="BT335" s="31" t="inlineStr">
        <is>
          <t>Above 2</t>
        </is>
      </c>
      <c r="BU335" s="31">
        <f>IF(BT335="Above 2",0,IF(BT335="Between 1.5 to 2",5,IF(BT335="Less than 1.5",10,0)))</f>
        <v/>
      </c>
      <c r="BV335" s="31" t="inlineStr">
        <is>
          <t>Negative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Less than 0.7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Less than 15%</t>
        </is>
      </c>
      <c r="CC335" s="31">
        <f>IF(CB335="More than 15%",-10,IF(CB335="Less than 15%",10,0))</f>
        <v/>
      </c>
      <c r="CD335" s="31" t="inlineStr">
        <is>
          <t>No</t>
        </is>
      </c>
      <c r="CE335" s="31">
        <f>IF(CD335="Yes, more than 10%",-10,IF(CD335="No",10,0))</f>
        <v/>
      </c>
    </row>
    <row r="336">
      <c r="A336" s="31">
        <f>IF(B336=0,"",RANK(B336,$B$2:$B$366,0))</f>
        <v/>
      </c>
      <c r="B336" s="32">
        <f>SUM(N336,Y336,AA336,AC336,AE336,AG336,AI336,AK336,AM336,AO336,AQ336,AS336,AU336,AW336,AY336,BA336,BC336,BE336,BG336,BI336,BK336,BM336,BO336,BQ336,BS336,BU336,BW336,BY336,CA336,CC336,CE336)</f>
        <v/>
      </c>
      <c r="C336" s="33" t="inlineStr">
        <is>
          <t>BPCL</t>
        </is>
      </c>
      <c r="D336" s="33" t="inlineStr">
        <is>
          <t>Bharat Petroleum Corporation Limited</t>
        </is>
      </c>
      <c r="E336" s="31" t="inlineStr">
        <is>
          <t>energy</t>
        </is>
      </c>
      <c r="F336" s="31" t="inlineStr">
        <is>
          <t>refineries</t>
        </is>
      </c>
      <c r="G336" s="31" t="inlineStr">
        <is>
          <t>largecap</t>
        </is>
      </c>
      <c r="H336" s="32" t="n">
        <v>138723.71</v>
      </c>
      <c r="I336" s="32" t="n">
        <v>329.95</v>
      </c>
      <c r="J336" s="32" t="n">
        <v>3.19</v>
      </c>
      <c r="K336" s="32" t="n">
        <v>16887433</v>
      </c>
      <c r="L336" s="31" t="n">
        <v>11</v>
      </c>
      <c r="M336" s="31" t="inlineStr">
        <is>
          <t>Underperforming</t>
        </is>
      </c>
      <c r="N336" s="32">
        <f>IF(M336="Underperforming",-5,IF(L336&gt;=95,15,IF(L336&gt;=90,10,IF(L336&gt;=80,5,0))))</f>
        <v/>
      </c>
      <c r="O336" s="32" t="n">
        <v>52.72</v>
      </c>
      <c r="P336" s="32" t="n">
        <v>10.81</v>
      </c>
      <c r="Q336" s="32" t="inlineStr"/>
      <c r="R336" s="31" t="inlineStr">
        <is>
          <t>Earnings / Momentum Support</t>
        </is>
      </c>
      <c r="S336" s="31" t="inlineStr">
        <is>
          <t>Nifty Energy</t>
        </is>
      </c>
      <c r="T336" s="32" t="n">
        <v>8.41</v>
      </c>
      <c r="U336" s="32" t="n">
        <v>-2.13</v>
      </c>
      <c r="V336" s="32" t="n">
        <v>-9.720000000000001</v>
      </c>
      <c r="W336" s="32" t="n">
        <v>0.04</v>
      </c>
      <c r="X336" s="31" t="inlineStr">
        <is>
          <t>Cyclical in an Upturn</t>
        </is>
      </c>
      <c r="Y336" s="31">
        <f>IF(X336="Growing Industry",10,IF(X336="Cyclical in an Upturn",5,0))</f>
        <v/>
      </c>
      <c r="Z336" s="31" t="inlineStr">
        <is>
          <t>Oligopoly</t>
        </is>
      </c>
      <c r="AA336" s="31">
        <f>IF(Z336="Monopoly",10,IF(Z336="Oligopoly",5,IF(Z336="Duopoly that cooperate",10,IF(Z336="Duopoly that compete",5,IF(Z336="Too many players with High ROCE",5,0)))))</f>
        <v/>
      </c>
      <c r="AB336" s="31" t="inlineStr">
        <is>
          <t>Yes</t>
        </is>
      </c>
      <c r="AC336" s="31">
        <f>IF(AB336="No",5,0)</f>
        <v/>
      </c>
      <c r="AD336" s="31" t="inlineStr">
        <is>
          <t>Headwind</t>
        </is>
      </c>
      <c r="AE336" s="31">
        <f>IF(AD336="Tailwind",10,0)</f>
        <v/>
      </c>
      <c r="AF336" s="31" t="inlineStr">
        <is>
          <t>Cyclical</t>
        </is>
      </c>
      <c r="AG336" s="31">
        <f>IF(AF336="Structural (10 Years Consistency)",10,IF(AF336="Shallow Cyclical (2 to 3 years growth)",5,0))</f>
        <v/>
      </c>
      <c r="AH336" s="31" t="inlineStr">
        <is>
          <t>No</t>
        </is>
      </c>
      <c r="AI336" s="31">
        <f>IF(AH336="Yes due to Product Mix change or Operating Leverage",10,IF(AH336="Yes, these are peak margins",-5,IF(AH336="No",5,0)))</f>
        <v/>
      </c>
      <c r="AJ336" s="31" t="inlineStr">
        <is>
          <t>Volatile</t>
        </is>
      </c>
      <c r="AK336" s="31">
        <f>IF(AJ336="Stable",10,0)</f>
        <v/>
      </c>
      <c r="AL336" s="31" t="inlineStr">
        <is>
          <t>Yes</t>
        </is>
      </c>
      <c r="AM336" s="31">
        <f>IF(AL336="Yes",10,0)</f>
        <v/>
      </c>
      <c r="AN336" s="31" t="inlineStr">
        <is>
          <t>B2B</t>
        </is>
      </c>
      <c r="AO336" s="31">
        <f>IF(AN336="B2C",10,IF(AN336="B2B",5,0))</f>
        <v/>
      </c>
      <c r="AP336" s="31" t="inlineStr">
        <is>
          <t>No</t>
        </is>
      </c>
      <c r="AQ336" s="31">
        <f>IF(AP336="Yes",10,0)</f>
        <v/>
      </c>
      <c r="AR336" s="31" t="inlineStr">
        <is>
          <t>Higher One Time, Lower Annuity</t>
        </is>
      </c>
      <c r="AS336" s="31">
        <f>IF(AR336="Fully Annuity",10,IF(AR336="Higher Annuity, Lower One Time",5,IF(AR336="Higher One Time, Lower Annuity",3,0)))</f>
        <v/>
      </c>
      <c r="AT336" s="31" t="inlineStr">
        <is>
          <t>Good</t>
        </is>
      </c>
      <c r="AU336" s="31">
        <f>IF(AT336="Good",10,0)</f>
        <v/>
      </c>
      <c r="AV336" s="31" t="inlineStr">
        <is>
          <t>Yes for more than 2 years</t>
        </is>
      </c>
      <c r="AW336" s="31">
        <f>IF(AV336="Yes for more than 2 years",10,IF(AV336="Yes only for next 1 to 2 years",5,0))</f>
        <v/>
      </c>
      <c r="AX336" s="31" t="inlineStr">
        <is>
          <t>0 to 20</t>
        </is>
      </c>
      <c r="AY336" s="31">
        <f>IF(AX336="Above 40",20,IF(AX336="20 to 40",10,IF(AX336="0 to 20",-5,0)))</f>
        <v/>
      </c>
      <c r="AZ336" s="31" t="inlineStr">
        <is>
          <t>Between 50 to 75</t>
        </is>
      </c>
      <c r="BA336" s="31">
        <f>IF(AZ336="Between 50 to 75",10,IF(AZ336="Above 75",0,0))</f>
        <v/>
      </c>
      <c r="BB336" s="31" t="inlineStr">
        <is>
          <t>Stage 3</t>
        </is>
      </c>
      <c r="BC336" s="31">
        <f>IF(BB336="Stage 2",20,IF(BB336="Stage 1",0,IF(BB336="Stage 3",5,IF(BB336="Stage 4",-5,0))))</f>
        <v/>
      </c>
      <c r="BD336" s="31" t="inlineStr">
        <is>
          <t>Negative Trend</t>
        </is>
      </c>
      <c r="BE336" s="31">
        <f>IF(BD336="Positive Trend",20,IF(BD336="Negative Trend",-10,0))</f>
        <v/>
      </c>
      <c r="BF336" s="31" t="inlineStr">
        <is>
          <t>Uptrend</t>
        </is>
      </c>
      <c r="BG336" s="31">
        <f>IF(BF336="Uptrend",10,IF(BF336="Sideways",5,0))</f>
        <v/>
      </c>
      <c r="BH336" s="31" t="inlineStr">
        <is>
          <t>Uptrend</t>
        </is>
      </c>
      <c r="BI336" s="31">
        <f>IF(BH336="Uptrend",10,IF(BH336="Sideways",5,0))</f>
        <v/>
      </c>
      <c r="BJ336" s="31" t="inlineStr">
        <is>
          <t>Close to 52 week high or retracement</t>
        </is>
      </c>
      <c r="BK336" s="31">
        <f>IF(BJ336="Overhead supply in last 2 years in last 2 years",-5,IF(BJ336="Close to 52 week high or retracement",5,IF(BJ336="Blue sky scenario",10,IF(BJ336="Long term Downtrend",-10,0))))</f>
        <v/>
      </c>
      <c r="BL336" s="31" t="inlineStr">
        <is>
          <t>Yes</t>
        </is>
      </c>
      <c r="BM336" s="31">
        <f>IF(BL336="Yes",10,0)</f>
        <v/>
      </c>
      <c r="BN336" s="31" t="inlineStr">
        <is>
          <t>More than 20%</t>
        </is>
      </c>
      <c r="BO336" s="31">
        <f>IF(BN336="More than 20%",10,IF(BN336="Between 12 to 20%",5,IF(BN336="Less than 12%",0,0)))</f>
        <v/>
      </c>
      <c r="BP336" s="31" t="inlineStr">
        <is>
          <t>No</t>
        </is>
      </c>
      <c r="BQ336" s="31">
        <f>IF(BP336="No",10,0)</f>
        <v/>
      </c>
      <c r="BR336" s="31" t="inlineStr">
        <is>
          <t>No</t>
        </is>
      </c>
      <c r="BS336" s="31">
        <f>IF(BR336="NO",5,0)</f>
        <v/>
      </c>
      <c r="BT336" s="31" t="inlineStr">
        <is>
          <t>Less than 1.5</t>
        </is>
      </c>
      <c r="BU336" s="31">
        <f>IF(BT336="Above 2",0,IF(BT336="Between 1.5 to 2",5,IF(BT336="Less than 1.5",10,0)))</f>
        <v/>
      </c>
      <c r="BV336" s="31" t="inlineStr">
        <is>
          <t>Above 70%</t>
        </is>
      </c>
      <c r="BW336" s="31">
        <f>IF(BV336="Above 70%",10,IF(BV336="Between 50% to 70%",5,IF(BV336="Less than 50%",0,IF(BV336="Negative",-10,IF(BV336="Less than 50% and Borrowings are increasing",-5,0)))))</f>
        <v/>
      </c>
      <c r="BX336" s="31" t="inlineStr">
        <is>
          <t>Less than 0.7</t>
        </is>
      </c>
      <c r="BY336" s="31">
        <f>IF(BX336="More than 1.2",-10,IF(BX336="Between 0.7 to 1.2",0,IF(BX336="Less than 0.7",10,0)))</f>
        <v/>
      </c>
      <c r="BZ336" s="31" t="inlineStr">
        <is>
          <t>No</t>
        </is>
      </c>
      <c r="CA336" s="31">
        <f>IF(BZ336="Yes",-10,0)</f>
        <v/>
      </c>
      <c r="CB336" s="31" t="inlineStr">
        <is>
          <t>Less than 15%</t>
        </is>
      </c>
      <c r="CC336" s="31">
        <f>IF(CB336="More than 15%",-10,IF(CB336="Less than 15%",10,0))</f>
        <v/>
      </c>
      <c r="CD336" s="31" t="inlineStr">
        <is>
          <t>No</t>
        </is>
      </c>
      <c r="CE336" s="31">
        <f>IF(CD336="Yes, more than 10%",-10,IF(CD336="No",10,0))</f>
        <v/>
      </c>
    </row>
    <row r="337">
      <c r="A337" s="31">
        <f>IF(B337=0,"",RANK(B337,$B$2:$B$366,0))</f>
        <v/>
      </c>
      <c r="B337" s="32">
        <f>SUM(N337,Y337,AA337,AC337,AE337,AG337,AI337,AK337,AM337,AO337,AQ337,AS337,AU337,AW337,AY337,BA337,BC337,BE337,BG337,BI337,BK337,BM337,BO337,BQ337,BS337,BU337,BW337,BY337,CA337,CC337,CE337)</f>
        <v/>
      </c>
      <c r="C337" s="31" t="inlineStr">
        <is>
          <t>OPTIEMUS</t>
        </is>
      </c>
      <c r="D337" s="31" t="inlineStr">
        <is>
          <t>Optiemus Infracom Ltd</t>
        </is>
      </c>
      <c r="E337" s="31" t="inlineStr">
        <is>
          <t>telecom</t>
        </is>
      </c>
      <c r="F337" s="31" t="inlineStr">
        <is>
          <t>trading</t>
        </is>
      </c>
      <c r="G337" s="31" t="inlineStr">
        <is>
          <t>midcap</t>
        </is>
      </c>
      <c r="H337" s="32" t="n">
        <v>5691.74</v>
      </c>
      <c r="I337" s="32" t="n">
        <v>657.8</v>
      </c>
      <c r="J337" s="32" t="n">
        <v>3.16</v>
      </c>
      <c r="K337" s="32" t="n">
        <v>394348</v>
      </c>
      <c r="L337" s="31" t="n">
        <v>73</v>
      </c>
      <c r="M337" s="31" t="inlineStr">
        <is>
          <t>Outperforming</t>
        </is>
      </c>
      <c r="N337" s="32">
        <f>IF(M337="Underperforming",-5,IF(L337&gt;=95,15,IF(L337&gt;=90,10,IF(L337&gt;=80,5,0))))</f>
        <v/>
      </c>
      <c r="O337" s="32" t="n">
        <v>71.56</v>
      </c>
      <c r="P337" s="32" t="n">
        <v>27.18</v>
      </c>
      <c r="Q337" s="32" t="inlineStr"/>
      <c r="R337" s="31" t="inlineStr">
        <is>
          <t>Earnings / Momentum Support</t>
        </is>
      </c>
      <c r="S337" s="31" t="inlineStr">
        <is>
          <t>Nifty 50</t>
        </is>
      </c>
      <c r="T337" s="32" t="n">
        <v>-0.74</v>
      </c>
      <c r="U337" s="32" t="n">
        <v>6.28</v>
      </c>
      <c r="V337" s="32" t="n">
        <v>7.07</v>
      </c>
      <c r="W337" s="32" t="n">
        <v>15.47</v>
      </c>
      <c r="X337" s="31" t="inlineStr">
        <is>
          <t>Growing Industry</t>
        </is>
      </c>
      <c r="Y337" s="31">
        <f>IF(X337="Growing Industry",10,IF(X337="Cyclical in an Upturn",5,0))</f>
        <v/>
      </c>
      <c r="Z337" s="31" t="inlineStr">
        <is>
          <t>Oligopoly</t>
        </is>
      </c>
      <c r="AA337" s="31">
        <f>IF(Z337="Monopoly",10,IF(Z337="Oligopoly",5,IF(Z337="Duopoly that cooperate",10,IF(Z337="Duopoly that compete",5,IF(Z337="Too many players with High ROCE",5,0)))))</f>
        <v/>
      </c>
      <c r="AB337" s="31" t="inlineStr">
        <is>
          <t>Yes</t>
        </is>
      </c>
      <c r="AC337" s="31">
        <f>IF(AB337="No",5,0)</f>
        <v/>
      </c>
      <c r="AD337" s="31" t="inlineStr">
        <is>
          <t>Headwind</t>
        </is>
      </c>
      <c r="AE337" s="31">
        <f>IF(AD337="Tailwind",10,0)</f>
        <v/>
      </c>
      <c r="AF337" s="31" t="inlineStr">
        <is>
          <t>Structural (10 Years Consistency)</t>
        </is>
      </c>
      <c r="AG337" s="31">
        <f>IF(AF337="Structural (10 Years Consistency)",10,IF(AF337="Shallow Cyclical (2 to 3 years growth)",5,0))</f>
        <v/>
      </c>
      <c r="AH337" s="31" t="inlineStr">
        <is>
          <t>No</t>
        </is>
      </c>
      <c r="AI337" s="31">
        <f>IF(AH337="Yes due to Product Mix change or Operating Leverage",10,IF(AH337="Yes, these are peak margins",-5,IF(AH337="No",5,0)))</f>
        <v/>
      </c>
      <c r="AJ337" s="31" t="inlineStr">
        <is>
          <t>Stable</t>
        </is>
      </c>
      <c r="AK337" s="31">
        <f>IF(AJ337="Stable",10,0)</f>
        <v/>
      </c>
      <c r="AL337" s="31" t="inlineStr">
        <is>
          <t>Yes</t>
        </is>
      </c>
      <c r="AM337" s="31">
        <f>IF(AL337="Yes",10,0)</f>
        <v/>
      </c>
      <c r="AN337" s="31" t="inlineStr">
        <is>
          <t>B2B</t>
        </is>
      </c>
      <c r="AO337" s="31">
        <f>IF(AN337="B2C",10,IF(AN337="B2B",5,0))</f>
        <v/>
      </c>
      <c r="AP337" s="31" t="inlineStr">
        <is>
          <t>No</t>
        </is>
      </c>
      <c r="AQ337" s="31">
        <f>IF(AP337="Yes",10,0)</f>
        <v/>
      </c>
      <c r="AR337" s="31" t="inlineStr">
        <is>
          <t>Higher One Time, Lower Annuity</t>
        </is>
      </c>
      <c r="AS337" s="31">
        <f>IF(AR337="Fully Annuity",10,IF(AR337="Higher Annuity, Lower One Time",5,IF(AR337="Higher One Time, Lower Annuity",3,0)))</f>
        <v/>
      </c>
      <c r="AT337" s="31" t="inlineStr">
        <is>
          <t>Good</t>
        </is>
      </c>
      <c r="AU337" s="31">
        <f>IF(AT337="Good",10,0)</f>
        <v/>
      </c>
      <c r="AV337" s="31" t="inlineStr">
        <is>
          <t>Yes for more than 2 years</t>
        </is>
      </c>
      <c r="AW337" s="31">
        <f>IF(AV337="Yes for more than 2 years",10,IF(AV337="Yes only for next 1 to 2 years",5,0))</f>
        <v/>
      </c>
      <c r="AX337" s="31" t="inlineStr">
        <is>
          <t>20 to 40</t>
        </is>
      </c>
      <c r="AY337" s="31">
        <f>IF(AX337="Above 40",20,IF(AX337="20 to 40",10,IF(AX337="0 to 20",-5,0)))</f>
        <v/>
      </c>
      <c r="AZ337" s="31" t="inlineStr">
        <is>
          <t>Between 50 to 75</t>
        </is>
      </c>
      <c r="BA337" s="31">
        <f>IF(AZ337="Between 50 to 75",10,IF(AZ337="Above 75",0,0))</f>
        <v/>
      </c>
      <c r="BB337" s="31" t="inlineStr">
        <is>
          <t>Stage 3</t>
        </is>
      </c>
      <c r="BC337" s="31">
        <f>IF(BB337="Stage 2",20,IF(BB337="Stage 1",0,IF(BB337="Stage 3",5,IF(BB337="Stage 4",-5,0))))</f>
        <v/>
      </c>
      <c r="BD337" s="31" t="inlineStr">
        <is>
          <t>Negative Trend</t>
        </is>
      </c>
      <c r="BE337" s="31">
        <f>IF(BD337="Positive Trend",20,IF(BD337="Negative Trend",-10,0))</f>
        <v/>
      </c>
      <c r="BF337" s="31" t="inlineStr">
        <is>
          <t>Uptrend</t>
        </is>
      </c>
      <c r="BG337" s="31">
        <f>IF(BF337="Uptrend",10,IF(BF337="Sideways",5,0))</f>
        <v/>
      </c>
      <c r="BH337" s="31" t="inlineStr">
        <is>
          <t>Uptrend</t>
        </is>
      </c>
      <c r="BI337" s="31">
        <f>IF(BH337="Uptrend",10,IF(BH337="Sideways",5,0))</f>
        <v/>
      </c>
      <c r="BJ337" s="31" t="inlineStr">
        <is>
          <t>Close to 52 week high or retracement</t>
        </is>
      </c>
      <c r="BK337" s="31">
        <f>IF(BJ337="Overhead supply in last 2 years in last 2 years",-5,IF(BJ337="Close to 52 week high or retracement",5,IF(BJ337="Blue sky scenario",10,IF(BJ337="Long term Downtrend",-10,0))))</f>
        <v/>
      </c>
      <c r="BL337" s="31" t="inlineStr">
        <is>
          <t>Yes</t>
        </is>
      </c>
      <c r="BM337" s="31">
        <f>IF(BL337="Yes",10,0)</f>
        <v/>
      </c>
      <c r="BN337" s="31" t="inlineStr">
        <is>
          <t>Less than 12%</t>
        </is>
      </c>
      <c r="BO337" s="31">
        <f>IF(BN337="More than 20%",10,IF(BN337="Between 12 to 20%",5,IF(BN337="Less than 12%",0,0)))</f>
        <v/>
      </c>
      <c r="BP337" s="31" t="inlineStr">
        <is>
          <t>No</t>
        </is>
      </c>
      <c r="BQ337" s="31">
        <f>IF(BP337="No",10,0)</f>
        <v/>
      </c>
      <c r="BR337" s="31" t="inlineStr">
        <is>
          <t>Yes</t>
        </is>
      </c>
      <c r="BS337" s="31">
        <f>IF(BR337="NO",5,0)</f>
        <v/>
      </c>
      <c r="BT337" s="31" t="inlineStr">
        <is>
          <t>Above 2</t>
        </is>
      </c>
      <c r="BU337" s="31">
        <f>IF(BT337="Above 2",0,IF(BT337="Between 1.5 to 2",5,IF(BT337="Less than 1.5",10,0)))</f>
        <v/>
      </c>
      <c r="BV337" s="31" t="inlineStr">
        <is>
          <t>Negative</t>
        </is>
      </c>
      <c r="BW337" s="31">
        <f>IF(BV337="Above 70%",10,IF(BV337="Between 50% to 70%",5,IF(BV337="Less than 50%",0,IF(BV337="Negative",-10,IF(BV337="Less than 50% and Borrowings are increasing",-5,0)))))</f>
        <v/>
      </c>
      <c r="BX337" s="31" t="inlineStr">
        <is>
          <t>Less than 0.7</t>
        </is>
      </c>
      <c r="BY337" s="31">
        <f>IF(BX337="More than 1.2",-10,IF(BX337="Between 0.7 to 1.2",0,IF(BX337="Less than 0.7",10,0)))</f>
        <v/>
      </c>
      <c r="BZ337" s="31" t="inlineStr">
        <is>
          <t>No</t>
        </is>
      </c>
      <c r="CA337" s="31">
        <f>IF(BZ337="Yes",-10,0)</f>
        <v/>
      </c>
      <c r="CB337" s="31" t="inlineStr">
        <is>
          <t>Less than 15%</t>
        </is>
      </c>
      <c r="CC337" s="31">
        <f>IF(CB337="More than 15%",-10,IF(CB337="Less than 15%",10,0))</f>
        <v/>
      </c>
      <c r="CD337" s="31" t="inlineStr">
        <is>
          <t>No</t>
        </is>
      </c>
      <c r="CE337" s="31">
        <f>IF(CD337="Yes, more than 10%",-10,IF(CD337="No",10,0))</f>
        <v/>
      </c>
    </row>
    <row r="338">
      <c r="A338" s="31">
        <f>IF(B338=0,"",RANK(B338,$B$2:$B$366,0))</f>
        <v/>
      </c>
      <c r="B338" s="32">
        <f>SUM(N338,Y338,AA338,AC338,AE338,AG338,AI338,AK338,AM338,AO338,AQ338,AS338,AU338,AW338,AY338,BA338,BC338,BE338,BG338,BI338,BK338,BM338,BO338,BQ338,BS338,BU338,BW338,BY338,CA338,CC338,CE338)</f>
        <v/>
      </c>
      <c r="C338" s="33" t="inlineStr">
        <is>
          <t>DEEPAKNTR</t>
        </is>
      </c>
      <c r="D338" s="33" t="inlineStr">
        <is>
          <t>Deepak Nitrite Limited</t>
        </is>
      </c>
      <c r="E338" s="31" t="inlineStr">
        <is>
          <t>chemicals</t>
        </is>
      </c>
      <c r="F338" s="31" t="inlineStr">
        <is>
          <t>chemicals</t>
        </is>
      </c>
      <c r="G338" s="31" t="inlineStr">
        <is>
          <t>largecap</t>
        </is>
      </c>
      <c r="H338" s="32" t="n">
        <v>22671.25</v>
      </c>
      <c r="I338" s="32" t="n">
        <v>1713.8</v>
      </c>
      <c r="J338" s="32" t="n">
        <v>3.1</v>
      </c>
      <c r="K338" s="32" t="n">
        <v>179793</v>
      </c>
      <c r="L338" s="31" t="n">
        <v>4</v>
      </c>
      <c r="M338" s="31" t="inlineStr">
        <is>
          <t>Underperforming</t>
        </is>
      </c>
      <c r="N338" s="32">
        <f>IF(M338="Underperforming",-5,IF(L338&gt;=95,15,IF(L338&gt;=90,10,IF(L338&gt;=80,5,0))))</f>
        <v/>
      </c>
      <c r="O338" s="32" t="n">
        <v>51.25</v>
      </c>
      <c r="P338" s="32" t="n">
        <v>12.55</v>
      </c>
      <c r="Q338" s="32" t="inlineStr"/>
      <c r="R338" s="31" t="inlineStr">
        <is>
          <t>Earnings / Momentum Support</t>
        </is>
      </c>
      <c r="S338" s="31" t="inlineStr">
        <is>
          <t>Nifty 50</t>
        </is>
      </c>
      <c r="T338" s="32" t="n">
        <v>-0.74</v>
      </c>
      <c r="U338" s="32" t="n">
        <v>-7.86</v>
      </c>
      <c r="V338" s="32" t="n">
        <v>-7.18</v>
      </c>
      <c r="W338" s="32" t="n">
        <v>-2.23</v>
      </c>
      <c r="X338" s="31" t="inlineStr">
        <is>
          <t>Growing Industry</t>
        </is>
      </c>
      <c r="Y338" s="31">
        <f>IF(X338="Growing Industry",10,IF(X338="Cyclical in an Upturn",5,0))</f>
        <v/>
      </c>
      <c r="Z338" s="31" t="inlineStr">
        <is>
          <t>Too Many Players with High ROCE</t>
        </is>
      </c>
      <c r="AA338" s="31">
        <f>IF(Z338="Monopoly",10,IF(Z338="Oligopoly",5,IF(Z338="Duopoly that cooperate",10,IF(Z338="Duopoly that compete",5,IF(Z338="Too many players with High ROCE",5,0)))))</f>
        <v/>
      </c>
      <c r="AB338" s="31" t="inlineStr">
        <is>
          <t>No</t>
        </is>
      </c>
      <c r="AC338" s="31">
        <f>IF(AB338="No",5,0)</f>
        <v/>
      </c>
      <c r="AD338" s="31" t="inlineStr">
        <is>
          <t>Headwind</t>
        </is>
      </c>
      <c r="AE338" s="31">
        <f>IF(AD338="Tailwind",10,0)</f>
        <v/>
      </c>
      <c r="AF338" s="31" t="inlineStr">
        <is>
          <t>Structural (10 Years Consistency)</t>
        </is>
      </c>
      <c r="AG338" s="31">
        <f>IF(AF338="Structural (10 Years Consistency)",10,IF(AF338="Shallow Cyclical (2 to 3 years growth)",5,0))</f>
        <v/>
      </c>
      <c r="AH338" s="31" t="inlineStr">
        <is>
          <t>No</t>
        </is>
      </c>
      <c r="AI338" s="31">
        <f>IF(AH338="Yes due to Product Mix change or Operating Leverage",10,IF(AH338="Yes, these are peak margins",-5,IF(AH338="No",5,0)))</f>
        <v/>
      </c>
      <c r="AJ338" s="31" t="inlineStr">
        <is>
          <t>Stable</t>
        </is>
      </c>
      <c r="AK338" s="31">
        <f>IF(AJ338="Stable",10,0)</f>
        <v/>
      </c>
      <c r="AL338" s="31" t="inlineStr">
        <is>
          <t>Yes</t>
        </is>
      </c>
      <c r="AM338" s="31">
        <f>IF(AL338="Yes",10,0)</f>
        <v/>
      </c>
      <c r="AN338" s="31" t="inlineStr">
        <is>
          <t>B2B</t>
        </is>
      </c>
      <c r="AO338" s="31">
        <f>IF(AN338="B2C",10,IF(AN338="B2B",5,0))</f>
        <v/>
      </c>
      <c r="AP338" s="31" t="inlineStr">
        <is>
          <t>No</t>
        </is>
      </c>
      <c r="AQ338" s="31">
        <f>IF(AP338="Yes",10,0)</f>
        <v/>
      </c>
      <c r="AR338" s="31" t="inlineStr">
        <is>
          <t>Higher One Time, Lower Annuity</t>
        </is>
      </c>
      <c r="AS338" s="31">
        <f>IF(AR338="Fully Annuity",10,IF(AR338="Higher Annuity, Lower One Time",5,IF(AR338="Higher One Time, Lower Annuity",3,0)))</f>
        <v/>
      </c>
      <c r="AT338" s="31" t="inlineStr">
        <is>
          <t>Good</t>
        </is>
      </c>
      <c r="AU338" s="31">
        <f>IF(AT338="Good",10,0)</f>
        <v/>
      </c>
      <c r="AV338" s="31" t="inlineStr">
        <is>
          <t>Yes for more than 2 years</t>
        </is>
      </c>
      <c r="AW338" s="31">
        <f>IF(AV338="Yes for more than 2 years",10,IF(AV338="Yes only for next 1 to 2 years",5,0))</f>
        <v/>
      </c>
      <c r="AX338" s="31" t="inlineStr">
        <is>
          <t>0 to 20</t>
        </is>
      </c>
      <c r="AY338" s="31">
        <f>IF(AX338="Above 40",20,IF(AX338="20 to 40",10,IF(AX338="0 to 20",-5,0)))</f>
        <v/>
      </c>
      <c r="AZ338" s="31" t="inlineStr">
        <is>
          <t>Between 50 to 75</t>
        </is>
      </c>
      <c r="BA338" s="31">
        <f>IF(AZ338="Between 50 to 75",10,IF(AZ338="Above 75",0,0))</f>
        <v/>
      </c>
      <c r="BB338" s="31" t="inlineStr">
        <is>
          <t>Stage 3</t>
        </is>
      </c>
      <c r="BC338" s="31">
        <f>IF(BB338="Stage 2",20,IF(BB338="Stage 1",0,IF(BB338="Stage 3",5,IF(BB338="Stage 4",-5,0))))</f>
        <v/>
      </c>
      <c r="BD338" s="31" t="inlineStr">
        <is>
          <t>Negative Trend</t>
        </is>
      </c>
      <c r="BE338" s="31">
        <f>IF(BD338="Positive Trend",20,IF(BD338="Negative Trend",-10,0))</f>
        <v/>
      </c>
      <c r="BF338" s="31" t="inlineStr">
        <is>
          <t>Uptrend</t>
        </is>
      </c>
      <c r="BG338" s="31">
        <f>IF(BF338="Uptrend",10,IF(BF338="Sideways",5,0))</f>
        <v/>
      </c>
      <c r="BH338" s="31" t="inlineStr">
        <is>
          <t>Uptrend</t>
        </is>
      </c>
      <c r="BI338" s="31">
        <f>IF(BH338="Uptrend",10,IF(BH338="Sideways",5,0))</f>
        <v/>
      </c>
      <c r="BJ338" s="31" t="inlineStr">
        <is>
          <t>Close to 52 week high or retracement</t>
        </is>
      </c>
      <c r="BK338" s="31">
        <f>IF(BJ338="Overhead supply in last 2 years in last 2 years",-5,IF(BJ338="Close to 52 week high or retracement",5,IF(BJ338="Blue sky scenario",10,IF(BJ338="Long term Downtrend",-10,0))))</f>
        <v/>
      </c>
      <c r="BL338" s="31" t="inlineStr">
        <is>
          <t>Yes</t>
        </is>
      </c>
      <c r="BM338" s="31">
        <f>IF(BL338="Yes",10,0)</f>
        <v/>
      </c>
      <c r="BN338" s="31" t="inlineStr">
        <is>
          <t>Less than 12%</t>
        </is>
      </c>
      <c r="BO338" s="31">
        <f>IF(BN338="More than 20%",10,IF(BN338="Between 12 to 20%",5,IF(BN338="Less than 12%",0,0)))</f>
        <v/>
      </c>
      <c r="BP338" s="31" t="inlineStr">
        <is>
          <t>No</t>
        </is>
      </c>
      <c r="BQ338" s="31">
        <f>IF(BP338="No",10,0)</f>
        <v/>
      </c>
      <c r="BR338" s="31" t="inlineStr">
        <is>
          <t>Yes</t>
        </is>
      </c>
      <c r="BS338" s="31">
        <f>IF(BR338="NO",5,0)</f>
        <v/>
      </c>
      <c r="BT338" s="31" t="inlineStr">
        <is>
          <t>Above 2</t>
        </is>
      </c>
      <c r="BU338" s="31">
        <f>IF(BT338="Above 2",0,IF(BT338="Between 1.5 to 2",5,IF(BT338="Less than 1.5",10,0)))</f>
        <v/>
      </c>
      <c r="BV338" s="31" t="inlineStr">
        <is>
          <t>Between 50% to 70%</t>
        </is>
      </c>
      <c r="BW338" s="31">
        <f>IF(BV338="Above 70%",10,IF(BV338="Between 50% to 70%",5,IF(BV338="Less than 50%",0,IF(BV338="Negative",-10,IF(BV338="Less than 50% and Borrowings are increasing",-5,0)))))</f>
        <v/>
      </c>
      <c r="BX338" s="31" t="inlineStr">
        <is>
          <t>Less than 0.7</t>
        </is>
      </c>
      <c r="BY338" s="31">
        <f>IF(BX338="More than 1.2",-10,IF(BX338="Between 0.7 to 1.2",0,IF(BX338="Less than 0.7",10,0)))</f>
        <v/>
      </c>
      <c r="BZ338" s="31" t="inlineStr">
        <is>
          <t>No</t>
        </is>
      </c>
      <c r="CA338" s="31">
        <f>IF(BZ338="Yes",-10,0)</f>
        <v/>
      </c>
      <c r="CB338" s="31" t="inlineStr">
        <is>
          <t>Less than 15%</t>
        </is>
      </c>
      <c r="CC338" s="31">
        <f>IF(CB338="More than 15%",-10,IF(CB338="Less than 15%",10,0))</f>
        <v/>
      </c>
      <c r="CD338" s="31" t="inlineStr">
        <is>
          <t>No</t>
        </is>
      </c>
      <c r="CE338" s="31">
        <f>IF(CD338="Yes, more than 10%",-10,IF(CD338="No",10,0))</f>
        <v/>
      </c>
    </row>
    <row r="339">
      <c r="A339" s="31">
        <f>IF(B339=0,"",RANK(B339,$B$2:$B$366,0))</f>
        <v/>
      </c>
      <c r="B339" s="32">
        <f>SUM(N339,Y339,AA339,AC339,AE339,AG339,AI339,AK339,AM339,AO339,AQ339,AS339,AU339,AW339,AY339,BA339,BC339,BE339,BG339,BI339,BK339,BM339,BO339,BQ339,BS339,BU339,BW339,BY339,CA339,CC339,CE339)</f>
        <v/>
      </c>
      <c r="C339" s="31" t="inlineStr">
        <is>
          <t>ASIANENE</t>
        </is>
      </c>
      <c r="D339" s="31" t="inlineStr">
        <is>
          <t>Asian Energy Services Ltd</t>
        </is>
      </c>
      <c r="E339" s="31" t="inlineStr">
        <is>
          <t>energy</t>
        </is>
      </c>
      <c r="F339" s="31" t="inlineStr">
        <is>
          <t>oil drilling / allied services</t>
        </is>
      </c>
      <c r="G339" s="31" t="inlineStr">
        <is>
          <t>smallcap</t>
        </is>
      </c>
      <c r="H339" s="32" t="n">
        <v>1938.13</v>
      </c>
      <c r="I339" s="32" t="n">
        <v>410.65</v>
      </c>
      <c r="J339" s="32" t="n">
        <v>3.04</v>
      </c>
      <c r="K339" s="32" t="n">
        <v>835789</v>
      </c>
      <c r="L339" s="31" t="n">
        <v>50</v>
      </c>
      <c r="M339" s="31" t="inlineStr">
        <is>
          <t>Outperforming</t>
        </is>
      </c>
      <c r="N339" s="32">
        <f>IF(M339="Underperforming",-5,IF(L339&gt;=95,15,IF(L339&gt;=90,10,IF(L339&gt;=80,5,0))))</f>
        <v/>
      </c>
      <c r="O339" s="32" t="n">
        <v>64.98</v>
      </c>
      <c r="P339" s="32" t="n">
        <v>14.99</v>
      </c>
      <c r="Q339" s="32" t="inlineStr"/>
      <c r="R339" s="31" t="inlineStr">
        <is>
          <t>Earnings / Momentum Support</t>
        </is>
      </c>
      <c r="S339" s="31" t="inlineStr">
        <is>
          <t>Nifty Energy</t>
        </is>
      </c>
      <c r="T339" s="32" t="n">
        <v>8.41</v>
      </c>
      <c r="U339" s="32" t="n">
        <v>17.9</v>
      </c>
      <c r="V339" s="32" t="n">
        <v>8.76</v>
      </c>
      <c r="W339" s="32" t="n">
        <v>8.279999999999999</v>
      </c>
      <c r="X339" s="31" t="inlineStr">
        <is>
          <t>Cyclical in an Upturn</t>
        </is>
      </c>
      <c r="Y339" s="31">
        <f>IF(X339="Growing Industry",10,IF(X339="Cyclical in an Upturn",5,0))</f>
        <v/>
      </c>
      <c r="Z339" s="31" t="inlineStr">
        <is>
          <t>Oligopoly</t>
        </is>
      </c>
      <c r="AA339" s="31">
        <f>IF(Z339="Monopoly",10,IF(Z339="Oligopoly",5,IF(Z339="Duopoly that cooperate",10,IF(Z339="Duopoly that compete",5,IF(Z339="Too many players with High ROCE",5,0)))))</f>
        <v/>
      </c>
      <c r="AB339" s="31" t="inlineStr">
        <is>
          <t>Yes</t>
        </is>
      </c>
      <c r="AC339" s="31">
        <f>IF(AB339="No",5,0)</f>
        <v/>
      </c>
      <c r="AD339" s="31" t="inlineStr">
        <is>
          <t>Headwind</t>
        </is>
      </c>
      <c r="AE339" s="31">
        <f>IF(AD339="Tailwind",10,0)</f>
        <v/>
      </c>
      <c r="AF339" s="31" t="inlineStr">
        <is>
          <t>Cyclical</t>
        </is>
      </c>
      <c r="AG339" s="31">
        <f>IF(AF339="Structural (10 Years Consistency)",10,IF(AF339="Shallow Cyclical (2 to 3 years growth)",5,0))</f>
        <v/>
      </c>
      <c r="AH339" s="31" t="inlineStr">
        <is>
          <t>No</t>
        </is>
      </c>
      <c r="AI339" s="31">
        <f>IF(AH339="Yes due to Product Mix change or Operating Leverage",10,IF(AH339="Yes, these are peak margins",-5,IF(AH339="No",5,0)))</f>
        <v/>
      </c>
      <c r="AJ339" s="31" t="inlineStr">
        <is>
          <t>Volatile</t>
        </is>
      </c>
      <c r="AK339" s="31">
        <f>IF(AJ339="Stable",10,0)</f>
        <v/>
      </c>
      <c r="AL339" s="31" t="inlineStr">
        <is>
          <t>Yes</t>
        </is>
      </c>
      <c r="AM339" s="31">
        <f>IF(AL339="Yes",10,0)</f>
        <v/>
      </c>
      <c r="AN339" s="31" t="inlineStr">
        <is>
          <t>B2B</t>
        </is>
      </c>
      <c r="AO339" s="31">
        <f>IF(AN339="B2C",10,IF(AN339="B2B",5,0))</f>
        <v/>
      </c>
      <c r="AP339" s="31" t="inlineStr">
        <is>
          <t>No</t>
        </is>
      </c>
      <c r="AQ339" s="31">
        <f>IF(AP339="Yes",10,0)</f>
        <v/>
      </c>
      <c r="AR339" s="31" t="inlineStr">
        <is>
          <t>Higher One Time, Lower Annuity</t>
        </is>
      </c>
      <c r="AS339" s="31">
        <f>IF(AR339="Fully Annuity",10,IF(AR339="Higher Annuity, Lower One Time",5,IF(AR339="Higher One Time, Lower Annuity",3,0)))</f>
        <v/>
      </c>
      <c r="AT339" s="31" t="inlineStr">
        <is>
          <t>Good</t>
        </is>
      </c>
      <c r="AU339" s="31">
        <f>IF(AT339="Good",10,0)</f>
        <v/>
      </c>
      <c r="AV339" s="31" t="inlineStr">
        <is>
          <t>Yes for more than 2 years</t>
        </is>
      </c>
      <c r="AW339" s="31">
        <f>IF(AV339="Yes for more than 2 years",10,IF(AV339="Yes only for next 1 to 2 years",5,0))</f>
        <v/>
      </c>
      <c r="AX339" s="31" t="inlineStr">
        <is>
          <t>0 to 20</t>
        </is>
      </c>
      <c r="AY339" s="31">
        <f>IF(AX339="Above 40",20,IF(AX339="20 to 40",10,IF(AX339="0 to 20",-5,0)))</f>
        <v/>
      </c>
      <c r="AZ339" s="31" t="inlineStr">
        <is>
          <t>Between 50 to 75</t>
        </is>
      </c>
      <c r="BA339" s="31">
        <f>IF(AZ339="Between 50 to 75",10,IF(AZ339="Above 75",0,0))</f>
        <v/>
      </c>
      <c r="BB339" s="31" t="inlineStr">
        <is>
          <t>Stage 3</t>
        </is>
      </c>
      <c r="BC339" s="31">
        <f>IF(BB339="Stage 2",20,IF(BB339="Stage 1",0,IF(BB339="Stage 3",5,IF(BB339="Stage 4",-5,0))))</f>
        <v/>
      </c>
      <c r="BD339" s="31" t="inlineStr">
        <is>
          <t>Negative Trend</t>
        </is>
      </c>
      <c r="BE339" s="31">
        <f>IF(BD339="Positive Trend",20,IF(BD339="Negative Trend",-10,0))</f>
        <v/>
      </c>
      <c r="BF339" s="31" t="inlineStr">
        <is>
          <t>Uptrend</t>
        </is>
      </c>
      <c r="BG339" s="31">
        <f>IF(BF339="Uptrend",10,IF(BF339="Sideways",5,0))</f>
        <v/>
      </c>
      <c r="BH339" s="31" t="inlineStr">
        <is>
          <t>Uptrend</t>
        </is>
      </c>
      <c r="BI339" s="31">
        <f>IF(BH339="Uptrend",10,IF(BH339="Sideways",5,0))</f>
        <v/>
      </c>
      <c r="BJ339" s="31" t="inlineStr">
        <is>
          <t>Close to 52 week high or retracement</t>
        </is>
      </c>
      <c r="BK339" s="31">
        <f>IF(BJ339="Overhead supply in last 2 years in last 2 years",-5,IF(BJ339="Close to 52 week high or retracement",5,IF(BJ339="Blue sky scenario",10,IF(BJ339="Long term Downtrend",-10,0))))</f>
        <v/>
      </c>
      <c r="BL339" s="31" t="inlineStr">
        <is>
          <t>Yes</t>
        </is>
      </c>
      <c r="BM339" s="31">
        <f>IF(BL339="Yes",10,0)</f>
        <v/>
      </c>
      <c r="BN339" s="31" t="inlineStr">
        <is>
          <t>More than 20%</t>
        </is>
      </c>
      <c r="BO339" s="31">
        <f>IF(BN339="More than 20%",10,IF(BN339="Between 12 to 20%",5,IF(BN339="Less than 12%",0,0)))</f>
        <v/>
      </c>
      <c r="BP339" s="31" t="inlineStr">
        <is>
          <t>No</t>
        </is>
      </c>
      <c r="BQ339" s="31">
        <f>IF(BP339="No",10,0)</f>
        <v/>
      </c>
      <c r="BR339" s="31" t="inlineStr">
        <is>
          <t>No</t>
        </is>
      </c>
      <c r="BS339" s="31">
        <f>IF(BR339="NO",5,0)</f>
        <v/>
      </c>
      <c r="BT339" s="31" t="inlineStr">
        <is>
          <t>Less than 1.5</t>
        </is>
      </c>
      <c r="BU339" s="31">
        <f>IF(BT339="Above 2",0,IF(BT339="Between 1.5 to 2",5,IF(BT339="Less than 1.5",10,0)))</f>
        <v/>
      </c>
      <c r="BV339" s="31" t="inlineStr">
        <is>
          <t>Between 50% to 70%</t>
        </is>
      </c>
      <c r="BW339" s="31">
        <f>IF(BV339="Above 70%",10,IF(BV339="Between 50% to 70%",5,IF(BV339="Less than 50%",0,IF(BV339="Negative",-10,IF(BV339="Less than 50% and Borrowings are increasing",-5,0)))))</f>
        <v/>
      </c>
      <c r="BX339" s="31" t="inlineStr">
        <is>
          <t>Less than 0.7</t>
        </is>
      </c>
      <c r="BY339" s="31">
        <f>IF(BX339="More than 1.2",-10,IF(BX339="Between 0.7 to 1.2",0,IF(BX339="Less than 0.7",10,0)))</f>
        <v/>
      </c>
      <c r="BZ339" s="31" t="inlineStr">
        <is>
          <t>No</t>
        </is>
      </c>
      <c r="CA339" s="31">
        <f>IF(BZ339="Yes",-10,0)</f>
        <v/>
      </c>
      <c r="CB339" s="31" t="inlineStr">
        <is>
          <t>Less than 15%</t>
        </is>
      </c>
      <c r="CC339" s="31">
        <f>IF(CB339="More than 15%",-10,IF(CB339="Less than 15%",10,0))</f>
        <v/>
      </c>
      <c r="CD339" s="31" t="inlineStr">
        <is>
          <t>No</t>
        </is>
      </c>
      <c r="CE339" s="31">
        <f>IF(CD339="Yes, more than 10%",-10,IF(CD339="No",10,0))</f>
        <v/>
      </c>
    </row>
    <row r="340">
      <c r="A340" s="31">
        <f>IF(B340=0,"",RANK(B340,$B$2:$B$366,0))</f>
        <v/>
      </c>
      <c r="B340" s="32">
        <f>SUM(N340,Y340,AA340,AC340,AE340,AG340,AI340,AK340,AM340,AO340,AQ340,AS340,AU340,AW340,AY340,BA340,BC340,BE340,BG340,BI340,BK340,BM340,BO340,BQ340,BS340,BU340,BW340,BY340,CA340,CC340,CE340)</f>
        <v/>
      </c>
      <c r="C340" s="33" t="inlineStr">
        <is>
          <t>VRLLOG</t>
        </is>
      </c>
      <c r="D340" s="33" t="inlineStr">
        <is>
          <t>Vrl Logistics Limited</t>
        </is>
      </c>
      <c r="E340" s="31" t="inlineStr">
        <is>
          <t>transportation</t>
        </is>
      </c>
      <c r="F340" s="31" t="inlineStr">
        <is>
          <t>miscellaneous</t>
        </is>
      </c>
      <c r="G340" s="31" t="inlineStr">
        <is>
          <t>smallcap</t>
        </is>
      </c>
      <c r="H340" s="32" t="n">
        <v>4647.2</v>
      </c>
      <c r="I340" s="32" t="n">
        <v>272.1</v>
      </c>
      <c r="J340" s="32" t="n">
        <v>2.43</v>
      </c>
      <c r="K340" s="32" t="n">
        <v>842050</v>
      </c>
      <c r="L340" s="31" t="n">
        <v>7</v>
      </c>
      <c r="M340" s="31" t="inlineStr">
        <is>
          <t>Underperforming</t>
        </is>
      </c>
      <c r="N340" s="32">
        <f>IF(M340="Underperforming",-5,IF(L340&gt;=95,15,IF(L340&gt;=90,10,IF(L340&gt;=80,5,0))))</f>
        <v/>
      </c>
      <c r="O340" s="32" t="n">
        <v>57.41</v>
      </c>
      <c r="P340" s="32" t="n">
        <v>9.43</v>
      </c>
      <c r="Q340" s="32" t="inlineStr"/>
      <c r="R340" s="31" t="inlineStr">
        <is>
          <t>Earnings / Momentum Support</t>
        </is>
      </c>
      <c r="S340" s="31" t="inlineStr">
        <is>
          <t>Nifty 50</t>
        </is>
      </c>
      <c r="T340" s="32" t="n">
        <v>-0.74</v>
      </c>
      <c r="U340" s="32" t="n">
        <v>-10.05</v>
      </c>
      <c r="V340" s="32" t="n">
        <v>-9.380000000000001</v>
      </c>
      <c r="W340" s="32" t="n">
        <v>-1.02</v>
      </c>
      <c r="X340" s="31" t="inlineStr">
        <is>
          <t>Growing Industry</t>
        </is>
      </c>
      <c r="Y340" s="31">
        <f>IF(X340="Growing Industry",10,IF(X340="Cyclical in an Upturn",5,0))</f>
        <v/>
      </c>
      <c r="Z340" s="31" t="inlineStr">
        <is>
          <t>Too Many Players with High ROCE</t>
        </is>
      </c>
      <c r="AA340" s="31">
        <f>IF(Z340="Monopoly",10,IF(Z340="Oligopoly",5,IF(Z340="Duopoly that cooperate",10,IF(Z340="Duopoly that compete",5,IF(Z340="Too many players with High ROCE",5,0)))))</f>
        <v/>
      </c>
      <c r="AB340" s="31" t="inlineStr">
        <is>
          <t>No</t>
        </is>
      </c>
      <c r="AC340" s="31">
        <f>IF(AB340="No",5,0)</f>
        <v/>
      </c>
      <c r="AD340" s="31" t="inlineStr">
        <is>
          <t>Headwind</t>
        </is>
      </c>
      <c r="AE340" s="31">
        <f>IF(AD340="Tailwind",10,0)</f>
        <v/>
      </c>
      <c r="AF340" s="31" t="inlineStr">
        <is>
          <t>Structural (10 Years Consistency)</t>
        </is>
      </c>
      <c r="AG340" s="31">
        <f>IF(AF340="Structural (10 Years Consistency)",10,IF(AF340="Shallow Cyclical (2 to 3 years growth)",5,0))</f>
        <v/>
      </c>
      <c r="AH340" s="31" t="inlineStr">
        <is>
          <t>No</t>
        </is>
      </c>
      <c r="AI340" s="31">
        <f>IF(AH340="Yes due to Product Mix change or Operating Leverage",10,IF(AH340="Yes, these are peak margins",-5,IF(AH340="No",5,0)))</f>
        <v/>
      </c>
      <c r="AJ340" s="31" t="inlineStr">
        <is>
          <t>Stable</t>
        </is>
      </c>
      <c r="AK340" s="31">
        <f>IF(AJ340="Stable",10,0)</f>
        <v/>
      </c>
      <c r="AL340" s="31" t="inlineStr">
        <is>
          <t>Yes</t>
        </is>
      </c>
      <c r="AM340" s="31">
        <f>IF(AL340="Yes",10,0)</f>
        <v/>
      </c>
      <c r="AN340" s="31" t="inlineStr">
        <is>
          <t>B2B</t>
        </is>
      </c>
      <c r="AO340" s="31">
        <f>IF(AN340="B2C",10,IF(AN340="B2B",5,0))</f>
        <v/>
      </c>
      <c r="AP340" s="31" t="inlineStr">
        <is>
          <t>No</t>
        </is>
      </c>
      <c r="AQ340" s="31">
        <f>IF(AP340="Yes",10,0)</f>
        <v/>
      </c>
      <c r="AR340" s="31" t="inlineStr">
        <is>
          <t>Higher One Time, Lower Annuity</t>
        </is>
      </c>
      <c r="AS340" s="31">
        <f>IF(AR340="Fully Annuity",10,IF(AR340="Higher Annuity, Lower One Time",5,IF(AR340="Higher One Time, Lower Annuity",3,0)))</f>
        <v/>
      </c>
      <c r="AT340" s="31" t="inlineStr">
        <is>
          <t>Good</t>
        </is>
      </c>
      <c r="AU340" s="31">
        <f>IF(AT340="Good",10,0)</f>
        <v/>
      </c>
      <c r="AV340" s="31" t="inlineStr">
        <is>
          <t>Yes for more than 2 years</t>
        </is>
      </c>
      <c r="AW340" s="31">
        <f>IF(AV340="Yes for more than 2 years",10,IF(AV340="Yes only for next 1 to 2 years",5,0))</f>
        <v/>
      </c>
      <c r="AX340" s="31" t="inlineStr">
        <is>
          <t>0 to 20</t>
        </is>
      </c>
      <c r="AY340" s="31">
        <f>IF(AX340="Above 40",20,IF(AX340="20 to 40",10,IF(AX340="0 to 20",-5,0)))</f>
        <v/>
      </c>
      <c r="AZ340" s="31" t="inlineStr">
        <is>
          <t>Between 50 to 75</t>
        </is>
      </c>
      <c r="BA340" s="31">
        <f>IF(AZ340="Between 50 to 75",10,IF(AZ340="Above 75",0,0))</f>
        <v/>
      </c>
      <c r="BB340" s="31" t="inlineStr">
        <is>
          <t>Stage 3</t>
        </is>
      </c>
      <c r="BC340" s="31">
        <f>IF(BB340="Stage 2",20,IF(BB340="Stage 1",0,IF(BB340="Stage 3",5,IF(BB340="Stage 4",-5,0))))</f>
        <v/>
      </c>
      <c r="BD340" s="31" t="inlineStr">
        <is>
          <t>Negative Trend</t>
        </is>
      </c>
      <c r="BE340" s="31">
        <f>IF(BD340="Positive Trend",20,IF(BD340="Negative Trend",-10,0))</f>
        <v/>
      </c>
      <c r="BF340" s="31" t="inlineStr">
        <is>
          <t>Uptrend</t>
        </is>
      </c>
      <c r="BG340" s="31">
        <f>IF(BF340="Uptrend",10,IF(BF340="Sideways",5,0))</f>
        <v/>
      </c>
      <c r="BH340" s="31" t="inlineStr">
        <is>
          <t>Uptrend</t>
        </is>
      </c>
      <c r="BI340" s="31">
        <f>IF(BH340="Uptrend",10,IF(BH340="Sideways",5,0))</f>
        <v/>
      </c>
      <c r="BJ340" s="31" t="inlineStr">
        <is>
          <t>Close to 52 week high or retracement</t>
        </is>
      </c>
      <c r="BK340" s="31">
        <f>IF(BJ340="Overhead supply in last 2 years in last 2 years",-5,IF(BJ340="Close to 52 week high or retracement",5,IF(BJ340="Blue sky scenario",10,IF(BJ340="Long term Downtrend",-10,0))))</f>
        <v/>
      </c>
      <c r="BL340" s="31" t="inlineStr">
        <is>
          <t>Yes</t>
        </is>
      </c>
      <c r="BM340" s="31">
        <f>IF(BL340="Yes",10,0)</f>
        <v/>
      </c>
      <c r="BN340" s="31" t="inlineStr">
        <is>
          <t>Less than 12%</t>
        </is>
      </c>
      <c r="BO340" s="31">
        <f>IF(BN340="More than 20%",10,IF(BN340="Between 12 to 20%",5,IF(BN340="Less than 12%",0,0)))</f>
        <v/>
      </c>
      <c r="BP340" s="31" t="inlineStr">
        <is>
          <t>No</t>
        </is>
      </c>
      <c r="BQ340" s="31">
        <f>IF(BP340="No",10,0)</f>
        <v/>
      </c>
      <c r="BR340" s="31" t="inlineStr">
        <is>
          <t>No</t>
        </is>
      </c>
      <c r="BS340" s="31">
        <f>IF(BR340="NO",5,0)</f>
        <v/>
      </c>
      <c r="BT340" s="31" t="inlineStr">
        <is>
          <t>Above 2</t>
        </is>
      </c>
      <c r="BU340" s="31">
        <f>IF(BT340="Above 2",0,IF(BT340="Between 1.5 to 2",5,IF(BT340="Less than 1.5",10,0)))</f>
        <v/>
      </c>
      <c r="BV340" s="31" t="inlineStr">
        <is>
          <t>Above 70%</t>
        </is>
      </c>
      <c r="BW340" s="31">
        <f>IF(BV340="Above 70%",10,IF(BV340="Between 50% to 70%",5,IF(BV340="Less than 50%",0,IF(BV340="Negative",-10,IF(BV340="Less than 50% and Borrowings are increasing",-5,0)))))</f>
        <v/>
      </c>
      <c r="BX340" s="31" t="inlineStr">
        <is>
          <t>Between 0.7 to 1.2</t>
        </is>
      </c>
      <c r="BY340" s="31">
        <f>IF(BX340="More than 1.2",-10,IF(BX340="Between 0.7 to 1.2",0,IF(BX340="Less than 0.7",10,0)))</f>
        <v/>
      </c>
      <c r="BZ340" s="31" t="inlineStr">
        <is>
          <t>No</t>
        </is>
      </c>
      <c r="CA340" s="31">
        <f>IF(BZ340="Yes",-10,0)</f>
        <v/>
      </c>
      <c r="CB340" s="31" t="inlineStr">
        <is>
          <t>Less than 15%</t>
        </is>
      </c>
      <c r="CC340" s="31">
        <f>IF(CB340="More than 15%",-10,IF(CB340="Less than 15%",10,0))</f>
        <v/>
      </c>
      <c r="CD340" s="31" t="inlineStr">
        <is>
          <t>No</t>
        </is>
      </c>
      <c r="CE340" s="31">
        <f>IF(CD340="Yes, more than 10%",-10,IF(CD340="No",10,0))</f>
        <v/>
      </c>
    </row>
    <row r="341">
      <c r="A341" s="31">
        <f>IF(B341=0,"",RANK(B341,$B$2:$B$366,0))</f>
        <v/>
      </c>
      <c r="B341" s="32">
        <f>SUM(N341,Y341,AA341,AC341,AE341,AG341,AI341,AK341,AM341,AO341,AQ341,AS341,AU341,AW341,AY341,BA341,BC341,BE341,BG341,BI341,BK341,BM341,BO341,BQ341,BS341,BU341,BW341,BY341,CA341,CC341,CE341)</f>
        <v/>
      </c>
      <c r="C341" s="33" t="inlineStr">
        <is>
          <t>JSWSTEEL</t>
        </is>
      </c>
      <c r="D341" s="33" t="inlineStr">
        <is>
          <t>Jsw Steel Limited</t>
        </is>
      </c>
      <c r="E341" s="31" t="inlineStr">
        <is>
          <t>metals &amp; mining</t>
        </is>
      </c>
      <c r="F341" s="31" t="inlineStr">
        <is>
          <t>steel - large</t>
        </is>
      </c>
      <c r="G341" s="31" t="inlineStr">
        <is>
          <t>largecap</t>
        </is>
      </c>
      <c r="H341" s="32" t="n">
        <v>310572.65</v>
      </c>
      <c r="I341" s="32" t="n">
        <v>1292.3</v>
      </c>
      <c r="J341" s="32" t="n">
        <v>1.76</v>
      </c>
      <c r="K341" s="32" t="n">
        <v>7634414</v>
      </c>
      <c r="L341" s="31" t="n">
        <v>27</v>
      </c>
      <c r="M341" s="31" t="inlineStr">
        <is>
          <t>Underperforming</t>
        </is>
      </c>
      <c r="N341" s="32">
        <f>IF(M341="Underperforming",-5,IF(L341&gt;=95,15,IF(L341&gt;=90,10,IF(L341&gt;=80,5,0))))</f>
        <v/>
      </c>
      <c r="O341" s="32" t="n">
        <v>58.41</v>
      </c>
      <c r="P341" s="32" t="n">
        <v>28.8</v>
      </c>
      <c r="Q341" s="32" t="inlineStr"/>
      <c r="R341" s="31" t="inlineStr">
        <is>
          <t>Earnings / Momentum Support</t>
        </is>
      </c>
      <c r="S341" s="31" t="inlineStr">
        <is>
          <t>Nifty Metal</t>
        </is>
      </c>
      <c r="T341" s="32" t="n">
        <v>31.49</v>
      </c>
      <c r="U341" s="32" t="n">
        <v>20.3</v>
      </c>
      <c r="V341" s="32" t="n">
        <v>-8.51</v>
      </c>
      <c r="W341" s="32" t="n">
        <v>3.93</v>
      </c>
      <c r="X341" s="31" t="inlineStr">
        <is>
          <t>Cyclical in an Upturn</t>
        </is>
      </c>
      <c r="Y341" s="31">
        <f>IF(X341="Growing Industry",10,IF(X341="Cyclical in an Upturn",5,0))</f>
        <v/>
      </c>
      <c r="Z341" s="31" t="inlineStr">
        <is>
          <t>Too Many Players with High ROCE</t>
        </is>
      </c>
      <c r="AA341" s="31">
        <f>IF(Z341="Monopoly",10,IF(Z341="Oligopoly",5,IF(Z341="Duopoly that cooperate",10,IF(Z341="Duopoly that compete",5,IF(Z341="Too many players with High ROCE",5,0)))))</f>
        <v/>
      </c>
      <c r="AB341" s="31" t="inlineStr">
        <is>
          <t>No</t>
        </is>
      </c>
      <c r="AC341" s="31">
        <f>IF(AB341="No",5,0)</f>
        <v/>
      </c>
      <c r="AD341" s="31" t="inlineStr">
        <is>
          <t>Headwind</t>
        </is>
      </c>
      <c r="AE341" s="31">
        <f>IF(AD341="Tailwind",10,0)</f>
        <v/>
      </c>
      <c r="AF341" s="31" t="inlineStr">
        <is>
          <t>Cyclical</t>
        </is>
      </c>
      <c r="AG341" s="31">
        <f>IF(AF341="Structural (10 Years Consistency)",10,IF(AF341="Shallow Cyclical (2 to 3 years growth)",5,0))</f>
        <v/>
      </c>
      <c r="AH341" s="31" t="inlineStr">
        <is>
          <t>No</t>
        </is>
      </c>
      <c r="AI341" s="31">
        <f>IF(AH341="Yes due to Product Mix change or Operating Leverage",10,IF(AH341="Yes, these are peak margins",-5,IF(AH341="No",5,0)))</f>
        <v/>
      </c>
      <c r="AJ341" s="31" t="inlineStr">
        <is>
          <t>Volatile</t>
        </is>
      </c>
      <c r="AK341" s="31">
        <f>IF(AJ341="Stable",10,0)</f>
        <v/>
      </c>
      <c r="AL341" s="31" t="inlineStr">
        <is>
          <t>Yes</t>
        </is>
      </c>
      <c r="AM341" s="31">
        <f>IF(AL341="Yes",10,0)</f>
        <v/>
      </c>
      <c r="AN341" s="31" t="inlineStr">
        <is>
          <t>B2B</t>
        </is>
      </c>
      <c r="AO341" s="31">
        <f>IF(AN341="B2C",10,IF(AN341="B2B",5,0))</f>
        <v/>
      </c>
      <c r="AP341" s="31" t="inlineStr">
        <is>
          <t>No</t>
        </is>
      </c>
      <c r="AQ341" s="31">
        <f>IF(AP341="Yes",10,0)</f>
        <v/>
      </c>
      <c r="AR341" s="31" t="inlineStr">
        <is>
          <t>Higher One Time, Lower Annuity</t>
        </is>
      </c>
      <c r="AS341" s="31">
        <f>IF(AR341="Fully Annuity",10,IF(AR341="Higher Annuity, Lower One Time",5,IF(AR341="Higher One Time, Lower Annuity",3,0)))</f>
        <v/>
      </c>
      <c r="AT341" s="31" t="inlineStr">
        <is>
          <t>Good</t>
        </is>
      </c>
      <c r="AU341" s="31">
        <f>IF(AT341="Good",10,0)</f>
        <v/>
      </c>
      <c r="AV341" s="31" t="inlineStr">
        <is>
          <t>Yes for more than 2 years</t>
        </is>
      </c>
      <c r="AW341" s="31">
        <f>IF(AV341="Yes for more than 2 years",10,IF(AV341="Yes only for next 1 to 2 years",5,0))</f>
        <v/>
      </c>
      <c r="AX341" s="31" t="inlineStr">
        <is>
          <t>20 to 40</t>
        </is>
      </c>
      <c r="AY341" s="31">
        <f>IF(AX341="Above 40",20,IF(AX341="20 to 40",10,IF(AX341="0 to 20",-5,0)))</f>
        <v/>
      </c>
      <c r="AZ341" s="31" t="inlineStr">
        <is>
          <t>Between 50 to 75</t>
        </is>
      </c>
      <c r="BA341" s="31">
        <f>IF(AZ341="Between 50 to 75",10,IF(AZ341="Above 75",0,0))</f>
        <v/>
      </c>
      <c r="BB341" s="31" t="inlineStr">
        <is>
          <t>Stage 3</t>
        </is>
      </c>
      <c r="BC341" s="31">
        <f>IF(BB341="Stage 2",20,IF(BB341="Stage 1",0,IF(BB341="Stage 3",5,IF(BB341="Stage 4",-5,0))))</f>
        <v/>
      </c>
      <c r="BD341" s="31" t="inlineStr">
        <is>
          <t>Negative Trend</t>
        </is>
      </c>
      <c r="BE341" s="31">
        <f>IF(BD341="Positive Trend",20,IF(BD341="Negative Trend",-10,0))</f>
        <v/>
      </c>
      <c r="BF341" s="31" t="inlineStr">
        <is>
          <t>Uptrend</t>
        </is>
      </c>
      <c r="BG341" s="31">
        <f>IF(BF341="Uptrend",10,IF(BF341="Sideways",5,0))</f>
        <v/>
      </c>
      <c r="BH341" s="31" t="inlineStr">
        <is>
          <t>Uptrend</t>
        </is>
      </c>
      <c r="BI341" s="31">
        <f>IF(BH341="Uptrend",10,IF(BH341="Sideways",5,0))</f>
        <v/>
      </c>
      <c r="BJ341" s="31" t="inlineStr">
        <is>
          <t>Close to 52 week high or retracement</t>
        </is>
      </c>
      <c r="BK341" s="31">
        <f>IF(BJ341="Overhead supply in last 2 years in last 2 years",-5,IF(BJ341="Close to 52 week high or retracement",5,IF(BJ341="Blue sky scenario",10,IF(BJ341="Long term Downtrend",-10,0))))</f>
        <v/>
      </c>
      <c r="BL341" s="31" t="inlineStr">
        <is>
          <t>Yes</t>
        </is>
      </c>
      <c r="BM341" s="31">
        <f>IF(BL341="Yes",10,0)</f>
        <v/>
      </c>
      <c r="BN341" s="31" t="inlineStr">
        <is>
          <t>More than 20%</t>
        </is>
      </c>
      <c r="BO341" s="31">
        <f>IF(BN341="More than 20%",10,IF(BN341="Between 12 to 20%",5,IF(BN341="Less than 12%",0,0)))</f>
        <v/>
      </c>
      <c r="BP341" s="31" t="inlineStr">
        <is>
          <t>No</t>
        </is>
      </c>
      <c r="BQ341" s="31">
        <f>IF(BP341="No",10,0)</f>
        <v/>
      </c>
      <c r="BR341" s="31" t="inlineStr">
        <is>
          <t>No</t>
        </is>
      </c>
      <c r="BS341" s="31">
        <f>IF(BR341="NO",5,0)</f>
        <v/>
      </c>
      <c r="BT341" s="31" t="inlineStr">
        <is>
          <t>Above 2</t>
        </is>
      </c>
      <c r="BU341" s="31">
        <f>IF(BT341="Above 2",0,IF(BT341="Between 1.5 to 2",5,IF(BT341="Less than 1.5",10,0)))</f>
        <v/>
      </c>
      <c r="BV341" s="31" t="inlineStr">
        <is>
          <t>Above 70%</t>
        </is>
      </c>
      <c r="BW341" s="31">
        <f>IF(BV341="Above 70%",10,IF(BV341="Between 50% to 70%",5,IF(BV341="Less than 50%",0,IF(BV341="Negative",-10,IF(BV341="Less than 50% and Borrowings are increasing",-5,0)))))</f>
        <v/>
      </c>
      <c r="BX341" s="31" t="inlineStr">
        <is>
          <t>Between 0.7 to 1.2</t>
        </is>
      </c>
      <c r="BY341" s="31">
        <f>IF(BX341="More than 1.2",-10,IF(BX341="Between 0.7 to 1.2",0,IF(BX341="Less than 0.7",10,0)))</f>
        <v/>
      </c>
      <c r="BZ341" s="31" t="inlineStr">
        <is>
          <t>No</t>
        </is>
      </c>
      <c r="CA341" s="31">
        <f>IF(BZ341="Yes",-10,0)</f>
        <v/>
      </c>
      <c r="CB341" s="31" t="inlineStr">
        <is>
          <t>Less than 15%</t>
        </is>
      </c>
      <c r="CC341" s="31">
        <f>IF(CB341="More than 15%",-10,IF(CB341="Less than 15%",10,0))</f>
        <v/>
      </c>
      <c r="CD341" s="31" t="inlineStr">
        <is>
          <t>No</t>
        </is>
      </c>
      <c r="CE341" s="31">
        <f>IF(CD341="Yes, more than 10%",-10,IF(CD341="No",10,0))</f>
        <v/>
      </c>
    </row>
    <row r="342">
      <c r="A342" s="31">
        <f>IF(B342=0,"",RANK(B342,$B$2:$B$366,0))</f>
        <v/>
      </c>
      <c r="B342" s="32">
        <f>SUM(N342,Y342,AA342,AC342,AE342,AG342,AI342,AK342,AM342,AO342,AQ342,AS342,AU342,AW342,AY342,BA342,BC342,BE342,BG342,BI342,BK342,BM342,BO342,BQ342,BS342,BU342,BW342,BY342,CA342,CC342,CE342)</f>
        <v/>
      </c>
      <c r="C342" s="33" t="inlineStr">
        <is>
          <t>MUKANDLTD</t>
        </is>
      </c>
      <c r="D342" s="33" t="inlineStr">
        <is>
          <t>Mukand Limited</t>
        </is>
      </c>
      <c r="E342" s="31" t="inlineStr">
        <is>
          <t>metals &amp; mining</t>
        </is>
      </c>
      <c r="F342" s="31" t="inlineStr">
        <is>
          <t>steel - medium / small</t>
        </is>
      </c>
      <c r="G342" s="31" t="inlineStr">
        <is>
          <t>smallcap</t>
        </is>
      </c>
      <c r="H342" s="32" t="n">
        <v>2043.46</v>
      </c>
      <c r="I342" s="32" t="n">
        <v>143.89</v>
      </c>
      <c r="J342" s="32" t="n">
        <v>1.75</v>
      </c>
      <c r="K342" s="32" t="n">
        <v>114563</v>
      </c>
      <c r="L342" s="31" t="n">
        <v>22</v>
      </c>
      <c r="M342" s="31" t="inlineStr">
        <is>
          <t>Underperforming</t>
        </is>
      </c>
      <c r="N342" s="32">
        <f>IF(M342="Underperforming",-5,IF(L342&gt;=95,15,IF(L342&gt;=90,10,IF(L342&gt;=80,5,0))))</f>
        <v/>
      </c>
      <c r="O342" s="32" t="n">
        <v>56.14</v>
      </c>
      <c r="P342" s="32" t="n">
        <v>41.68</v>
      </c>
      <c r="Q342" s="32" t="inlineStr"/>
      <c r="R342" s="31" t="inlineStr">
        <is>
          <t>Earnings / Momentum Support</t>
        </is>
      </c>
      <c r="S342" s="31" t="inlineStr">
        <is>
          <t>Nifty Metal</t>
        </is>
      </c>
      <c r="T342" s="32" t="n">
        <v>31.49</v>
      </c>
      <c r="U342" s="32" t="n">
        <v>6.58</v>
      </c>
      <c r="V342" s="32" t="n">
        <v>-18.95</v>
      </c>
      <c r="W342" s="32" t="n">
        <v>2.78</v>
      </c>
      <c r="X342" s="31" t="inlineStr">
        <is>
          <t>Cyclical in an Upturn</t>
        </is>
      </c>
      <c r="Y342" s="31">
        <f>IF(X342="Growing Industry",10,IF(X342="Cyclical in an Upturn",5,0))</f>
        <v/>
      </c>
      <c r="Z342" s="31" t="inlineStr">
        <is>
          <t>Too Many Players with High ROCE</t>
        </is>
      </c>
      <c r="AA342" s="31">
        <f>IF(Z342="Monopoly",10,IF(Z342="Oligopoly",5,IF(Z342="Duopoly that cooperate",10,IF(Z342="Duopoly that compete",5,IF(Z342="Too many players with High ROCE",5,0)))))</f>
        <v/>
      </c>
      <c r="AB342" s="31" t="inlineStr">
        <is>
          <t>No</t>
        </is>
      </c>
      <c r="AC342" s="31">
        <f>IF(AB342="No",5,0)</f>
        <v/>
      </c>
      <c r="AD342" s="31" t="inlineStr">
        <is>
          <t>Headwind</t>
        </is>
      </c>
      <c r="AE342" s="31">
        <f>IF(AD342="Tailwind",10,0)</f>
        <v/>
      </c>
      <c r="AF342" s="31" t="inlineStr">
        <is>
          <t>Cyclical</t>
        </is>
      </c>
      <c r="AG342" s="31">
        <f>IF(AF342="Structural (10 Years Consistency)",10,IF(AF342="Shallow Cyclical (2 to 3 years growth)",5,0))</f>
        <v/>
      </c>
      <c r="AH342" s="31" t="inlineStr">
        <is>
          <t>No</t>
        </is>
      </c>
      <c r="AI342" s="31">
        <f>IF(AH342="Yes due to Product Mix change or Operating Leverage",10,IF(AH342="Yes, these are peak margins",-5,IF(AH342="No",5,0)))</f>
        <v/>
      </c>
      <c r="AJ342" s="31" t="inlineStr">
        <is>
          <t>Volatile</t>
        </is>
      </c>
      <c r="AK342" s="31">
        <f>IF(AJ342="Stable",10,0)</f>
        <v/>
      </c>
      <c r="AL342" s="31" t="inlineStr">
        <is>
          <t>Yes</t>
        </is>
      </c>
      <c r="AM342" s="31">
        <f>IF(AL342="Yes",10,0)</f>
        <v/>
      </c>
      <c r="AN342" s="31" t="inlineStr">
        <is>
          <t>B2B</t>
        </is>
      </c>
      <c r="AO342" s="31">
        <f>IF(AN342="B2C",10,IF(AN342="B2B",5,0))</f>
        <v/>
      </c>
      <c r="AP342" s="31" t="inlineStr">
        <is>
          <t>No</t>
        </is>
      </c>
      <c r="AQ342" s="31">
        <f>IF(AP342="Yes",10,0)</f>
        <v/>
      </c>
      <c r="AR342" s="31" t="inlineStr">
        <is>
          <t>Higher One Time, Lower Annuity</t>
        </is>
      </c>
      <c r="AS342" s="31">
        <f>IF(AR342="Fully Annuity",10,IF(AR342="Higher Annuity, Lower One Time",5,IF(AR342="Higher One Time, Lower Annuity",3,0)))</f>
        <v/>
      </c>
      <c r="AT342" s="31" t="inlineStr">
        <is>
          <t>Good</t>
        </is>
      </c>
      <c r="AU342" s="31">
        <f>IF(AT342="Good",10,0)</f>
        <v/>
      </c>
      <c r="AV342" s="31" t="inlineStr">
        <is>
          <t>Yes for more than 2 years</t>
        </is>
      </c>
      <c r="AW342" s="31">
        <f>IF(AV342="Yes for more than 2 years",10,IF(AV342="Yes only for next 1 to 2 years",5,0))</f>
        <v/>
      </c>
      <c r="AX342" s="31" t="inlineStr">
        <is>
          <t>Above 40</t>
        </is>
      </c>
      <c r="AY342" s="31">
        <f>IF(AX342="Above 40",20,IF(AX342="20 to 40",10,IF(AX342="0 to 20",-5,0)))</f>
        <v/>
      </c>
      <c r="AZ342" s="31" t="inlineStr">
        <is>
          <t>Between 50 to 75</t>
        </is>
      </c>
      <c r="BA342" s="31">
        <f>IF(AZ342="Between 50 to 75",10,IF(AZ342="Above 75",0,0))</f>
        <v/>
      </c>
      <c r="BB342" s="31" t="inlineStr">
        <is>
          <t>Stage 3</t>
        </is>
      </c>
      <c r="BC342" s="31">
        <f>IF(BB342="Stage 2",20,IF(BB342="Stage 1",0,IF(BB342="Stage 3",5,IF(BB342="Stage 4",-5,0))))</f>
        <v/>
      </c>
      <c r="BD342" s="31" t="inlineStr">
        <is>
          <t>Negative Trend</t>
        </is>
      </c>
      <c r="BE342" s="31">
        <f>IF(BD342="Positive Trend",20,IF(BD342="Negative Trend",-10,0))</f>
        <v/>
      </c>
      <c r="BF342" s="31" t="inlineStr">
        <is>
          <t>Uptrend</t>
        </is>
      </c>
      <c r="BG342" s="31">
        <f>IF(BF342="Uptrend",10,IF(BF342="Sideways",5,0))</f>
        <v/>
      </c>
      <c r="BH342" s="31" t="inlineStr">
        <is>
          <t>Uptrend</t>
        </is>
      </c>
      <c r="BI342" s="31">
        <f>IF(BH342="Uptrend",10,IF(BH342="Sideways",5,0))</f>
        <v/>
      </c>
      <c r="BJ342" s="31" t="inlineStr">
        <is>
          <t>Close to 52 week high or retracement</t>
        </is>
      </c>
      <c r="BK342" s="31">
        <f>IF(BJ342="Overhead supply in last 2 years in last 2 years",-5,IF(BJ342="Close to 52 week high or retracement",5,IF(BJ342="Blue sky scenario",10,IF(BJ342="Long term Downtrend",-10,0))))</f>
        <v/>
      </c>
      <c r="BL342" s="31" t="inlineStr">
        <is>
          <t>Yes</t>
        </is>
      </c>
      <c r="BM342" s="31">
        <f>IF(BL342="Yes",10,0)</f>
        <v/>
      </c>
      <c r="BN342" s="31" t="inlineStr">
        <is>
          <t>More than 20%</t>
        </is>
      </c>
      <c r="BO342" s="31">
        <f>IF(BN342="More than 20%",10,IF(BN342="Between 12 to 20%",5,IF(BN342="Less than 12%",0,0)))</f>
        <v/>
      </c>
      <c r="BP342" s="31" t="inlineStr">
        <is>
          <t>No</t>
        </is>
      </c>
      <c r="BQ342" s="31">
        <f>IF(BP342="No",10,0)</f>
        <v/>
      </c>
      <c r="BR342" s="31" t="inlineStr">
        <is>
          <t>No</t>
        </is>
      </c>
      <c r="BS342" s="31">
        <f>IF(BR342="NO",5,0)</f>
        <v/>
      </c>
      <c r="BT342" s="31" t="inlineStr">
        <is>
          <t>Less than 1.5</t>
        </is>
      </c>
      <c r="BU342" s="31">
        <f>IF(BT342="Above 2",0,IF(BT342="Between 1.5 to 2",5,IF(BT342="Less than 1.5",10,0)))</f>
        <v/>
      </c>
      <c r="BV342" s="31" t="inlineStr">
        <is>
          <t>Negative</t>
        </is>
      </c>
      <c r="BW342" s="31">
        <f>IF(BV342="Above 70%",10,IF(BV342="Between 50% to 70%",5,IF(BV342="Less than 50%",0,IF(BV342="Negative",-10,IF(BV342="Less than 50% and Borrowings are increasing",-5,0)))))</f>
        <v/>
      </c>
      <c r="BX342" s="31" t="inlineStr">
        <is>
          <t>Between 0.7 to 1.2</t>
        </is>
      </c>
      <c r="BY342" s="31">
        <f>IF(BX342="More than 1.2",-10,IF(BX342="Between 0.7 to 1.2",0,IF(BX342="Less than 0.7",10,0)))</f>
        <v/>
      </c>
      <c r="BZ342" s="31" t="inlineStr">
        <is>
          <t>No</t>
        </is>
      </c>
      <c r="CA342" s="31">
        <f>IF(BZ342="Yes",-10,0)</f>
        <v/>
      </c>
      <c r="CB342" s="31" t="inlineStr">
        <is>
          <t>Less than 15%</t>
        </is>
      </c>
      <c r="CC342" s="31">
        <f>IF(CB342="More than 15%",-10,IF(CB342="Less than 15%",10,0))</f>
        <v/>
      </c>
      <c r="CD342" s="31" t="inlineStr">
        <is>
          <t>No</t>
        </is>
      </c>
      <c r="CE342" s="31">
        <f>IF(CD342="Yes, more than 10%",-10,IF(CD342="No",10,0))</f>
        <v/>
      </c>
    </row>
    <row r="343">
      <c r="A343" s="31">
        <f>IF(B343=0,"",RANK(B343,$B$2:$B$366,0))</f>
        <v/>
      </c>
      <c r="B343" s="32">
        <f>SUM(N343,Y343,AA343,AC343,AE343,AG343,AI343,AK343,AM343,AO343,AQ343,AS343,AU343,AW343,AY343,BA343,BC343,BE343,BG343,BI343,BK343,BM343,BO343,BQ343,BS343,BU343,BW343,BY343,CA343,CC343,CE343)</f>
        <v/>
      </c>
      <c r="C343" s="33" t="inlineStr">
        <is>
          <t>PETRONET</t>
        </is>
      </c>
      <c r="D343" s="33" t="inlineStr">
        <is>
          <t>Petronet Lng Limited</t>
        </is>
      </c>
      <c r="E343" s="31" t="inlineStr">
        <is>
          <t>energy</t>
        </is>
      </c>
      <c r="F343" s="31" t="inlineStr">
        <is>
          <t>miscellaneous</t>
        </is>
      </c>
      <c r="G343" s="31" t="inlineStr">
        <is>
          <t>largecap</t>
        </is>
      </c>
      <c r="H343" s="32" t="n">
        <v>42112.5</v>
      </c>
      <c r="I343" s="32" t="n">
        <v>284.85</v>
      </c>
      <c r="J343" s="32" t="n">
        <v>1.46</v>
      </c>
      <c r="K343" s="32" t="n">
        <v>4320782</v>
      </c>
      <c r="L343" s="31" t="n">
        <v>8</v>
      </c>
      <c r="M343" s="31" t="inlineStr">
        <is>
          <t>Underperforming</t>
        </is>
      </c>
      <c r="N343" s="32">
        <f>IF(M343="Underperforming",-5,IF(L343&gt;=95,15,IF(L343&gt;=90,10,IF(L343&gt;=80,5,0))))</f>
        <v/>
      </c>
      <c r="O343" s="32" t="n">
        <v>52.86</v>
      </c>
      <c r="P343" s="32" t="n">
        <v>4.99</v>
      </c>
      <c r="Q343" s="32" t="inlineStr"/>
      <c r="R343" s="31" t="inlineStr">
        <is>
          <t>Earnings / Momentum Support</t>
        </is>
      </c>
      <c r="S343" s="31" t="inlineStr">
        <is>
          <t>Nifty Energy</t>
        </is>
      </c>
      <c r="T343" s="32" t="n">
        <v>8.41</v>
      </c>
      <c r="U343" s="32" t="n">
        <v>-6.53</v>
      </c>
      <c r="V343" s="32" t="n">
        <v>-13.78</v>
      </c>
      <c r="W343" s="32" t="n">
        <v>-0.93</v>
      </c>
      <c r="X343" s="31" t="inlineStr">
        <is>
          <t>Cyclical in an Upturn</t>
        </is>
      </c>
      <c r="Y343" s="31">
        <f>IF(X343="Growing Industry",10,IF(X343="Cyclical in an Upturn",5,0))</f>
        <v/>
      </c>
      <c r="Z343" s="31" t="inlineStr">
        <is>
          <t>Oligopoly</t>
        </is>
      </c>
      <c r="AA343" s="31">
        <f>IF(Z343="Monopoly",10,IF(Z343="Oligopoly",5,IF(Z343="Duopoly that cooperate",10,IF(Z343="Duopoly that compete",5,IF(Z343="Too many players with High ROCE",5,0)))))</f>
        <v/>
      </c>
      <c r="AB343" s="31" t="inlineStr">
        <is>
          <t>Yes</t>
        </is>
      </c>
      <c r="AC343" s="31">
        <f>IF(AB343="No",5,0)</f>
        <v/>
      </c>
      <c r="AD343" s="31" t="inlineStr">
        <is>
          <t>Headwind</t>
        </is>
      </c>
      <c r="AE343" s="31">
        <f>IF(AD343="Tailwind",10,0)</f>
        <v/>
      </c>
      <c r="AF343" s="31" t="inlineStr">
        <is>
          <t>Cyclical</t>
        </is>
      </c>
      <c r="AG343" s="31">
        <f>IF(AF343="Structural (10 Years Consistency)",10,IF(AF343="Shallow Cyclical (2 to 3 years growth)",5,0))</f>
        <v/>
      </c>
      <c r="AH343" s="31" t="inlineStr">
        <is>
          <t>No</t>
        </is>
      </c>
      <c r="AI343" s="31">
        <f>IF(AH343="Yes due to Product Mix change or Operating Leverage",10,IF(AH343="Yes, these are peak margins",-5,IF(AH343="No",5,0)))</f>
        <v/>
      </c>
      <c r="AJ343" s="31" t="inlineStr">
        <is>
          <t>Volatile</t>
        </is>
      </c>
      <c r="AK343" s="31">
        <f>IF(AJ343="Stable",10,0)</f>
        <v/>
      </c>
      <c r="AL343" s="31" t="inlineStr">
        <is>
          <t>Yes</t>
        </is>
      </c>
      <c r="AM343" s="31">
        <f>IF(AL343="Yes",10,0)</f>
        <v/>
      </c>
      <c r="AN343" s="31" t="inlineStr">
        <is>
          <t>B2B</t>
        </is>
      </c>
      <c r="AO343" s="31">
        <f>IF(AN343="B2C",10,IF(AN343="B2B",5,0))</f>
        <v/>
      </c>
      <c r="AP343" s="31" t="inlineStr">
        <is>
          <t>No</t>
        </is>
      </c>
      <c r="AQ343" s="31">
        <f>IF(AP343="Yes",10,0)</f>
        <v/>
      </c>
      <c r="AR343" s="31" t="inlineStr">
        <is>
          <t>Higher One Time, Lower Annuity</t>
        </is>
      </c>
      <c r="AS343" s="31">
        <f>IF(AR343="Fully Annuity",10,IF(AR343="Higher Annuity, Lower One Time",5,IF(AR343="Higher One Time, Lower Annuity",3,0)))</f>
        <v/>
      </c>
      <c r="AT343" s="31" t="inlineStr">
        <is>
          <t>Good</t>
        </is>
      </c>
      <c r="AU343" s="31">
        <f>IF(AT343="Good",10,0)</f>
        <v/>
      </c>
      <c r="AV343" s="31" t="inlineStr">
        <is>
          <t>Yes for more than 2 years</t>
        </is>
      </c>
      <c r="AW343" s="31">
        <f>IF(AV343="Yes for more than 2 years",10,IF(AV343="Yes only for next 1 to 2 years",5,0))</f>
        <v/>
      </c>
      <c r="AX343" s="31" t="inlineStr">
        <is>
          <t>0 to 20</t>
        </is>
      </c>
      <c r="AY343" s="31">
        <f>IF(AX343="Above 40",20,IF(AX343="20 to 40",10,IF(AX343="0 to 20",-5,0)))</f>
        <v/>
      </c>
      <c r="AZ343" s="31" t="inlineStr">
        <is>
          <t>Between 50 to 75</t>
        </is>
      </c>
      <c r="BA343" s="31">
        <f>IF(AZ343="Between 50 to 75",10,IF(AZ343="Above 75",0,0))</f>
        <v/>
      </c>
      <c r="BB343" s="31" t="inlineStr">
        <is>
          <t>Stage 3</t>
        </is>
      </c>
      <c r="BC343" s="31">
        <f>IF(BB343="Stage 2",20,IF(BB343="Stage 1",0,IF(BB343="Stage 3",5,IF(BB343="Stage 4",-5,0))))</f>
        <v/>
      </c>
      <c r="BD343" s="31" t="inlineStr">
        <is>
          <t>Negative Trend</t>
        </is>
      </c>
      <c r="BE343" s="31">
        <f>IF(BD343="Positive Trend",20,IF(BD343="Negative Trend",-10,0))</f>
        <v/>
      </c>
      <c r="BF343" s="31" t="inlineStr">
        <is>
          <t>Uptrend</t>
        </is>
      </c>
      <c r="BG343" s="31">
        <f>IF(BF343="Uptrend",10,IF(BF343="Sideways",5,0))</f>
        <v/>
      </c>
      <c r="BH343" s="31" t="inlineStr">
        <is>
          <t>Uptrend</t>
        </is>
      </c>
      <c r="BI343" s="31">
        <f>IF(BH343="Uptrend",10,IF(BH343="Sideways",5,0))</f>
        <v/>
      </c>
      <c r="BJ343" s="31" t="inlineStr">
        <is>
          <t>Close to 52 week high or retracement</t>
        </is>
      </c>
      <c r="BK343" s="31">
        <f>IF(BJ343="Overhead supply in last 2 years in last 2 years",-5,IF(BJ343="Close to 52 week high or retracement",5,IF(BJ343="Blue sky scenario",10,IF(BJ343="Long term Downtrend",-10,0))))</f>
        <v/>
      </c>
      <c r="BL343" s="31" t="inlineStr">
        <is>
          <t>Yes</t>
        </is>
      </c>
      <c r="BM343" s="31">
        <f>IF(BL343="Yes",10,0)</f>
        <v/>
      </c>
      <c r="BN343" s="31" t="inlineStr">
        <is>
          <t>More than 20%</t>
        </is>
      </c>
      <c r="BO343" s="31">
        <f>IF(BN343="More than 20%",10,IF(BN343="Between 12 to 20%",5,IF(BN343="Less than 12%",0,0)))</f>
        <v/>
      </c>
      <c r="BP343" s="31" t="inlineStr">
        <is>
          <t>No</t>
        </is>
      </c>
      <c r="BQ343" s="31">
        <f>IF(BP343="No",10,0)</f>
        <v/>
      </c>
      <c r="BR343" s="31" t="inlineStr">
        <is>
          <t>No</t>
        </is>
      </c>
      <c r="BS343" s="31">
        <f>IF(BR343="NO",5,0)</f>
        <v/>
      </c>
      <c r="BT343" s="31" t="inlineStr">
        <is>
          <t>Less than 1.5</t>
        </is>
      </c>
      <c r="BU343" s="31">
        <f>IF(BT343="Above 2",0,IF(BT343="Between 1.5 to 2",5,IF(BT343="Less than 1.5",10,0)))</f>
        <v/>
      </c>
      <c r="BV343" s="31" t="inlineStr">
        <is>
          <t>Above 70%</t>
        </is>
      </c>
      <c r="BW343" s="31">
        <f>IF(BV343="Above 70%",10,IF(BV343="Between 50% to 70%",5,IF(BV343="Less than 50%",0,IF(BV343="Negative",-10,IF(BV343="Less than 50% and Borrowings are increasing",-5,0)))))</f>
        <v/>
      </c>
      <c r="BX343" s="31" t="inlineStr">
        <is>
          <t>Less than 0.7</t>
        </is>
      </c>
      <c r="BY343" s="31">
        <f>IF(BX343="More than 1.2",-10,IF(BX343="Between 0.7 to 1.2",0,IF(BX343="Less than 0.7",10,0)))</f>
        <v/>
      </c>
      <c r="BZ343" s="31" t="inlineStr">
        <is>
          <t>No</t>
        </is>
      </c>
      <c r="CA343" s="31">
        <f>IF(BZ343="Yes",-10,0)</f>
        <v/>
      </c>
      <c r="CB343" s="31" t="inlineStr">
        <is>
          <t>Less than 15%</t>
        </is>
      </c>
      <c r="CC343" s="31">
        <f>IF(CB343="More than 15%",-10,IF(CB343="Less than 15%",10,0))</f>
        <v/>
      </c>
      <c r="CD343" s="31" t="inlineStr">
        <is>
          <t>No</t>
        </is>
      </c>
      <c r="CE343" s="31">
        <f>IF(CD343="Yes, more than 10%",-10,IF(CD343="No",10,0))</f>
        <v/>
      </c>
    </row>
    <row r="344">
      <c r="A344" s="31">
        <f>IF(B344=0,"",RANK(B344,$B$2:$B$366,0))</f>
        <v/>
      </c>
      <c r="B344" s="32">
        <f>SUM(N344,Y344,AA344,AC344,AE344,AG344,AI344,AK344,AM344,AO344,AQ344,AS344,AU344,AW344,AY344,BA344,BC344,BE344,BG344,BI344,BK344,BM344,BO344,BQ344,BS344,BU344,BW344,BY344,CA344,CC344,CE344)</f>
        <v/>
      </c>
      <c r="C344" s="33" t="inlineStr">
        <is>
          <t>BALKRISIND</t>
        </is>
      </c>
      <c r="D344" s="33" t="inlineStr">
        <is>
          <t>Balkrishna Industries Limited</t>
        </is>
      </c>
      <c r="E344" s="31" t="inlineStr">
        <is>
          <t>auto</t>
        </is>
      </c>
      <c r="F344" s="31" t="inlineStr">
        <is>
          <t>tyres</t>
        </is>
      </c>
      <c r="G344" s="31" t="inlineStr">
        <is>
          <t>largecap</t>
        </is>
      </c>
      <c r="H344" s="32" t="n">
        <v>47817.01</v>
      </c>
      <c r="I344" s="32" t="n">
        <v>2492.2</v>
      </c>
      <c r="J344" s="32" t="n">
        <v>0.76</v>
      </c>
      <c r="K344" s="32" t="n">
        <v>541482</v>
      </c>
      <c r="L344" s="31" t="n">
        <v>1</v>
      </c>
      <c r="M344" s="31" t="inlineStr">
        <is>
          <t>Underperforming</t>
        </is>
      </c>
      <c r="N344" s="32">
        <f>IF(M344="Underperforming",-5,IF(L344&gt;=95,15,IF(L344&gt;=90,10,IF(L344&gt;=80,5,0))))</f>
        <v/>
      </c>
      <c r="O344" s="32" t="n">
        <v>58.03</v>
      </c>
      <c r="P344" s="32" t="n">
        <v>13.83</v>
      </c>
      <c r="Q344" s="32" t="inlineStr"/>
      <c r="R344" s="31" t="inlineStr">
        <is>
          <t>Earnings / Momentum Support</t>
        </is>
      </c>
      <c r="S344" s="31" t="inlineStr">
        <is>
          <t>Nifty Auto</t>
        </is>
      </c>
      <c r="T344" s="32" t="n">
        <v>13.41</v>
      </c>
      <c r="U344" s="32" t="n">
        <v>-24.26</v>
      </c>
      <c r="V344" s="32" t="n">
        <v>-33.22</v>
      </c>
      <c r="W344" s="32" t="n">
        <v>-7.24</v>
      </c>
      <c r="X344" s="31" t="inlineStr">
        <is>
          <t>Growing Industry</t>
        </is>
      </c>
      <c r="Y344" s="31">
        <f>IF(X344="Growing Industry",10,IF(X344="Cyclical in an Upturn",5,0))</f>
        <v/>
      </c>
      <c r="Z344" s="31" t="inlineStr">
        <is>
          <t>Too Many Players with High ROCE</t>
        </is>
      </c>
      <c r="AA344" s="31">
        <f>IF(Z344="Monopoly",10,IF(Z344="Oligopoly",5,IF(Z344="Duopoly that cooperate",10,IF(Z344="Duopoly that compete",5,IF(Z344="Too many players with High ROCE",5,0)))))</f>
        <v/>
      </c>
      <c r="AB344" s="31" t="inlineStr">
        <is>
          <t>No</t>
        </is>
      </c>
      <c r="AC344" s="31">
        <f>IF(AB344="No",5,0)</f>
        <v/>
      </c>
      <c r="AD344" s="31" t="inlineStr">
        <is>
          <t>Headwind</t>
        </is>
      </c>
      <c r="AE344" s="31">
        <f>IF(AD344="Tailwind",10,0)</f>
        <v/>
      </c>
      <c r="AF344" s="31" t="inlineStr">
        <is>
          <t>Structural (10 Years Consistency)</t>
        </is>
      </c>
      <c r="AG344" s="31">
        <f>IF(AF344="Structural (10 Years Consistency)",10,IF(AF344="Shallow Cyclical (2 to 3 years growth)",5,0))</f>
        <v/>
      </c>
      <c r="AH344" s="31" t="inlineStr">
        <is>
          <t>No</t>
        </is>
      </c>
      <c r="AI344" s="31">
        <f>IF(AH344="Yes due to Product Mix change or Operating Leverage",10,IF(AH344="Yes, these are peak margins",-5,IF(AH344="No",5,0)))</f>
        <v/>
      </c>
      <c r="AJ344" s="31" t="inlineStr">
        <is>
          <t>Stable</t>
        </is>
      </c>
      <c r="AK344" s="31">
        <f>IF(AJ344="Stable",10,0)</f>
        <v/>
      </c>
      <c r="AL344" s="31" t="inlineStr">
        <is>
          <t>Yes</t>
        </is>
      </c>
      <c r="AM344" s="31">
        <f>IF(AL344="Yes",10,0)</f>
        <v/>
      </c>
      <c r="AN344" s="31" t="inlineStr">
        <is>
          <t>B2B</t>
        </is>
      </c>
      <c r="AO344" s="31">
        <f>IF(AN344="B2C",10,IF(AN344="B2B",5,0))</f>
        <v/>
      </c>
      <c r="AP344" s="31" t="inlineStr">
        <is>
          <t>No</t>
        </is>
      </c>
      <c r="AQ344" s="31">
        <f>IF(AP344="Yes",10,0)</f>
        <v/>
      </c>
      <c r="AR344" s="31" t="inlineStr">
        <is>
          <t>Higher One Time, Lower Annuity</t>
        </is>
      </c>
      <c r="AS344" s="31">
        <f>IF(AR344="Fully Annuity",10,IF(AR344="Higher Annuity, Lower One Time",5,IF(AR344="Higher One Time, Lower Annuity",3,0)))</f>
        <v/>
      </c>
      <c r="AT344" s="31" t="inlineStr">
        <is>
          <t>Good</t>
        </is>
      </c>
      <c r="AU344" s="31">
        <f>IF(AT344="Good",10,0)</f>
        <v/>
      </c>
      <c r="AV344" s="31" t="inlineStr">
        <is>
          <t>Yes for more than 2 years</t>
        </is>
      </c>
      <c r="AW344" s="31">
        <f>IF(AV344="Yes for more than 2 years",10,IF(AV344="Yes only for next 1 to 2 years",5,0))</f>
        <v/>
      </c>
      <c r="AX344" s="31" t="inlineStr">
        <is>
          <t>0 to 20</t>
        </is>
      </c>
      <c r="AY344" s="31">
        <f>IF(AX344="Above 40",20,IF(AX344="20 to 40",10,IF(AX344="0 to 20",-5,0)))</f>
        <v/>
      </c>
      <c r="AZ344" s="31" t="inlineStr">
        <is>
          <t>Between 50 to 75</t>
        </is>
      </c>
      <c r="BA344" s="31">
        <f>IF(AZ344="Between 50 to 75",10,IF(AZ344="Above 75",0,0))</f>
        <v/>
      </c>
      <c r="BB344" s="31" t="inlineStr">
        <is>
          <t>Stage 4</t>
        </is>
      </c>
      <c r="BC344" s="31">
        <f>IF(BB344="Stage 2",20,IF(BB344="Stage 1",0,IF(BB344="Stage 3",5,IF(BB344="Stage 4",-5,0))))</f>
        <v/>
      </c>
      <c r="BD344" s="31" t="inlineStr">
        <is>
          <t>Negative Trend</t>
        </is>
      </c>
      <c r="BE344" s="31">
        <f>IF(BD344="Positive Trend",20,IF(BD344="Negative Trend",-10,0))</f>
        <v/>
      </c>
      <c r="BF344" s="31" t="inlineStr">
        <is>
          <t>Uptrend</t>
        </is>
      </c>
      <c r="BG344" s="31">
        <f>IF(BF344="Uptrend",10,IF(BF344="Sideways",5,0))</f>
        <v/>
      </c>
      <c r="BH344" s="31" t="inlineStr">
        <is>
          <t>Uptrend</t>
        </is>
      </c>
      <c r="BI344" s="31">
        <f>IF(BH344="Uptrend",10,IF(BH344="Sideways",5,0))</f>
        <v/>
      </c>
      <c r="BJ344" s="31" t="inlineStr">
        <is>
          <t>Close to 52 week high or retracement</t>
        </is>
      </c>
      <c r="BK344" s="31">
        <f>IF(BJ344="Overhead supply in last 2 years in last 2 years",-5,IF(BJ344="Close to 52 week high or retracement",5,IF(BJ344="Blue sky scenario",10,IF(BJ344="Long term Downtrend",-10,0))))</f>
        <v/>
      </c>
      <c r="BL344" s="31" t="inlineStr">
        <is>
          <t>Yes</t>
        </is>
      </c>
      <c r="BM344" s="31">
        <f>IF(BL344="Yes",10,0)</f>
        <v/>
      </c>
      <c r="BN344" s="31" t="inlineStr">
        <is>
          <t>Less than 12%</t>
        </is>
      </c>
      <c r="BO344" s="31">
        <f>IF(BN344="More than 20%",10,IF(BN344="Between 12 to 20%",5,IF(BN344="Less than 12%",0,0)))</f>
        <v/>
      </c>
      <c r="BP344" s="31" t="inlineStr">
        <is>
          <t>No</t>
        </is>
      </c>
      <c r="BQ344" s="31">
        <f>IF(BP344="No",10,0)</f>
        <v/>
      </c>
      <c r="BR344" s="31" t="inlineStr">
        <is>
          <t>No</t>
        </is>
      </c>
      <c r="BS344" s="31">
        <f>IF(BR344="NO",5,0)</f>
        <v/>
      </c>
      <c r="BT344" s="31" t="inlineStr">
        <is>
          <t>Above 2</t>
        </is>
      </c>
      <c r="BU344" s="31">
        <f>IF(BT344="Above 2",0,IF(BT344="Between 1.5 to 2",5,IF(BT344="Less than 1.5",10,0)))</f>
        <v/>
      </c>
      <c r="BV344" s="31" t="inlineStr">
        <is>
          <t>Above 70%</t>
        </is>
      </c>
      <c r="BW344" s="31">
        <f>IF(BV344="Above 70%",10,IF(BV344="Between 50% to 70%",5,IF(BV344="Less than 50%",0,IF(BV344="Negative",-10,IF(BV344="Less than 50% and Borrowings are increasing",-5,0)))))</f>
        <v/>
      </c>
      <c r="BX344" s="31" t="inlineStr">
        <is>
          <t>Less than 0.7</t>
        </is>
      </c>
      <c r="BY344" s="31">
        <f>IF(BX344="More than 1.2",-10,IF(BX344="Between 0.7 to 1.2",0,IF(BX344="Less than 0.7",10,0)))</f>
        <v/>
      </c>
      <c r="BZ344" s="31" t="inlineStr">
        <is>
          <t>No</t>
        </is>
      </c>
      <c r="CA344" s="31">
        <f>IF(BZ344="Yes",-10,0)</f>
        <v/>
      </c>
      <c r="CB344" s="31" t="inlineStr">
        <is>
          <t>Less than 15%</t>
        </is>
      </c>
      <c r="CC344" s="31">
        <f>IF(CB344="More than 15%",-10,IF(CB344="Less than 15%",10,0))</f>
        <v/>
      </c>
      <c r="CD344" s="31" t="inlineStr">
        <is>
          <t>No</t>
        </is>
      </c>
      <c r="CE344" s="31">
        <f>IF(CD344="Yes, more than 10%",-10,IF(CD344="No",10,0))</f>
        <v/>
      </c>
    </row>
    <row r="345">
      <c r="A345" s="31">
        <f>IF(B345=0,"",RANK(B345,$B$2:$B$366,0))</f>
        <v/>
      </c>
      <c r="B345" s="32">
        <f>SUM(N345,Y345,AA345,AC345,AE345,AG345,AI345,AK345,AM345,AO345,AQ345,AS345,AU345,AW345,AY345,BA345,BC345,BE345,BG345,BI345,BK345,BM345,BO345,BQ345,BS345,BU345,BW345,BY345,CA345,CC345,CE345)</f>
        <v/>
      </c>
      <c r="C345" s="33" t="inlineStr">
        <is>
          <t>OIL</t>
        </is>
      </c>
      <c r="D345" s="33" t="inlineStr">
        <is>
          <t>Oil India Limited</t>
        </is>
      </c>
      <c r="E345" s="31" t="inlineStr">
        <is>
          <t>energy</t>
        </is>
      </c>
      <c r="F345" s="31" t="inlineStr">
        <is>
          <t>oil drilling / allied services</t>
        </is>
      </c>
      <c r="G345" s="31" t="inlineStr">
        <is>
          <t>largecap</t>
        </is>
      </c>
      <c r="H345" s="32" t="n">
        <v>74596.23</v>
      </c>
      <c r="I345" s="32" t="n">
        <v>452</v>
      </c>
      <c r="J345" s="32" t="n">
        <v>-1.44</v>
      </c>
      <c r="K345" s="32" t="n">
        <v>11220822</v>
      </c>
      <c r="L345" s="31" t="n">
        <v>7</v>
      </c>
      <c r="M345" s="31" t="inlineStr">
        <is>
          <t>Underperforming</t>
        </is>
      </c>
      <c r="N345" s="32">
        <f>IF(M345="Underperforming",-5,IF(L345&gt;=95,15,IF(L345&gt;=90,10,IF(L345&gt;=80,5,0))))</f>
        <v/>
      </c>
      <c r="O345" s="32" t="n">
        <v>52.15</v>
      </c>
      <c r="P345" s="32" t="n">
        <v>16.61</v>
      </c>
      <c r="Q345" s="32" t="inlineStr"/>
      <c r="R345" s="31" t="inlineStr">
        <is>
          <t>Earnings / Momentum Support</t>
        </is>
      </c>
      <c r="S345" s="31" t="inlineStr">
        <is>
          <t>Nifty Energy</t>
        </is>
      </c>
      <c r="T345" s="32" t="n">
        <v>8.41</v>
      </c>
      <c r="U345" s="32" t="n">
        <v>-0.15</v>
      </c>
      <c r="V345" s="32" t="n">
        <v>-7.89</v>
      </c>
      <c r="W345" s="32" t="n">
        <v>-1.23</v>
      </c>
      <c r="X345" s="31" t="inlineStr">
        <is>
          <t>Cyclical in an Upturn</t>
        </is>
      </c>
      <c r="Y345" s="31">
        <f>IF(X345="Growing Industry",10,IF(X345="Cyclical in an Upturn",5,0))</f>
        <v/>
      </c>
      <c r="Z345" s="31" t="inlineStr">
        <is>
          <t>Oligopoly</t>
        </is>
      </c>
      <c r="AA345" s="31">
        <f>IF(Z345="Monopoly",10,IF(Z345="Oligopoly",5,IF(Z345="Duopoly that cooperate",10,IF(Z345="Duopoly that compete",5,IF(Z345="Too many players with High ROCE",5,0)))))</f>
        <v/>
      </c>
      <c r="AB345" s="31" t="inlineStr">
        <is>
          <t>Yes</t>
        </is>
      </c>
      <c r="AC345" s="31">
        <f>IF(AB345="No",5,0)</f>
        <v/>
      </c>
      <c r="AD345" s="31" t="inlineStr">
        <is>
          <t>Headwind</t>
        </is>
      </c>
      <c r="AE345" s="31">
        <f>IF(AD345="Tailwind",10,0)</f>
        <v/>
      </c>
      <c r="AF345" s="31" t="inlineStr">
        <is>
          <t>Cyclical</t>
        </is>
      </c>
      <c r="AG345" s="31">
        <f>IF(AF345="Structural (10 Years Consistency)",10,IF(AF345="Shallow Cyclical (2 to 3 years growth)",5,0))</f>
        <v/>
      </c>
      <c r="AH345" s="31" t="inlineStr">
        <is>
          <t>No</t>
        </is>
      </c>
      <c r="AI345" s="31">
        <f>IF(AH345="Yes due to Product Mix change or Operating Leverage",10,IF(AH345="Yes, these are peak margins",-5,IF(AH345="No",5,0)))</f>
        <v/>
      </c>
      <c r="AJ345" s="31" t="inlineStr">
        <is>
          <t>Volatile</t>
        </is>
      </c>
      <c r="AK345" s="31">
        <f>IF(AJ345="Stable",10,0)</f>
        <v/>
      </c>
      <c r="AL345" s="31" t="inlineStr">
        <is>
          <t>Yes</t>
        </is>
      </c>
      <c r="AM345" s="31">
        <f>IF(AL345="Yes",10,0)</f>
        <v/>
      </c>
      <c r="AN345" s="31" t="inlineStr">
        <is>
          <t>B2B</t>
        </is>
      </c>
      <c r="AO345" s="31">
        <f>IF(AN345="B2C",10,IF(AN345="B2B",5,0))</f>
        <v/>
      </c>
      <c r="AP345" s="31" t="inlineStr">
        <is>
          <t>No</t>
        </is>
      </c>
      <c r="AQ345" s="31">
        <f>IF(AP345="Yes",10,0)</f>
        <v/>
      </c>
      <c r="AR345" s="31" t="inlineStr">
        <is>
          <t>Higher One Time, Lower Annuity</t>
        </is>
      </c>
      <c r="AS345" s="31">
        <f>IF(AR345="Fully Annuity",10,IF(AR345="Higher Annuity, Lower One Time",5,IF(AR345="Higher One Time, Lower Annuity",3,0)))</f>
        <v/>
      </c>
      <c r="AT345" s="31" t="inlineStr">
        <is>
          <t>Good</t>
        </is>
      </c>
      <c r="AU345" s="31">
        <f>IF(AT345="Good",10,0)</f>
        <v/>
      </c>
      <c r="AV345" s="31" t="inlineStr">
        <is>
          <t>Yes for more than 2 years</t>
        </is>
      </c>
      <c r="AW345" s="31">
        <f>IF(AV345="Yes for more than 2 years",10,IF(AV345="Yes only for next 1 to 2 years",5,0))</f>
        <v/>
      </c>
      <c r="AX345" s="31" t="inlineStr">
        <is>
          <t>0 to 20</t>
        </is>
      </c>
      <c r="AY345" s="31">
        <f>IF(AX345="Above 40",20,IF(AX345="20 to 40",10,IF(AX345="0 to 20",-5,0)))</f>
        <v/>
      </c>
      <c r="AZ345" s="31" t="inlineStr">
        <is>
          <t>Between 50 to 75</t>
        </is>
      </c>
      <c r="BA345" s="31">
        <f>IF(AZ345="Between 50 to 75",10,IF(AZ345="Above 75",0,0))</f>
        <v/>
      </c>
      <c r="BB345" s="31" t="inlineStr">
        <is>
          <t>Stage 3</t>
        </is>
      </c>
      <c r="BC345" s="31">
        <f>IF(BB345="Stage 2",20,IF(BB345="Stage 1",0,IF(BB345="Stage 3",5,IF(BB345="Stage 4",-5,0))))</f>
        <v/>
      </c>
      <c r="BD345" s="31" t="inlineStr">
        <is>
          <t>Negative Trend</t>
        </is>
      </c>
      <c r="BE345" s="31">
        <f>IF(BD345="Positive Trend",20,IF(BD345="Negative Trend",-10,0))</f>
        <v/>
      </c>
      <c r="BF345" s="31" t="inlineStr">
        <is>
          <t>Uptrend</t>
        </is>
      </c>
      <c r="BG345" s="31">
        <f>IF(BF345="Uptrend",10,IF(BF345="Sideways",5,0))</f>
        <v/>
      </c>
      <c r="BH345" s="31" t="inlineStr">
        <is>
          <t>Uptrend</t>
        </is>
      </c>
      <c r="BI345" s="31">
        <f>IF(BH345="Uptrend",10,IF(BH345="Sideways",5,0))</f>
        <v/>
      </c>
      <c r="BJ345" s="31" t="inlineStr">
        <is>
          <t>Close to 52 week high or retracement</t>
        </is>
      </c>
      <c r="BK345" s="31">
        <f>IF(BJ345="Overhead supply in last 2 years in last 2 years",-5,IF(BJ345="Close to 52 week high or retracement",5,IF(BJ345="Blue sky scenario",10,IF(BJ345="Long term Downtrend",-10,0))))</f>
        <v/>
      </c>
      <c r="BL345" s="31" t="inlineStr">
        <is>
          <t>Yes</t>
        </is>
      </c>
      <c r="BM345" s="31">
        <f>IF(BL345="Yes",10,0)</f>
        <v/>
      </c>
      <c r="BN345" s="31" t="inlineStr">
        <is>
          <t>More than 20%</t>
        </is>
      </c>
      <c r="BO345" s="31">
        <f>IF(BN345="More than 20%",10,IF(BN345="Between 12 to 20%",5,IF(BN345="Less than 12%",0,0)))</f>
        <v/>
      </c>
      <c r="BP345" s="31" t="inlineStr">
        <is>
          <t>No</t>
        </is>
      </c>
      <c r="BQ345" s="31">
        <f>IF(BP345="No",10,0)</f>
        <v/>
      </c>
      <c r="BR345" s="31" t="inlineStr">
        <is>
          <t>No</t>
        </is>
      </c>
      <c r="BS345" s="31">
        <f>IF(BR345="NO",5,0)</f>
        <v/>
      </c>
      <c r="BT345" s="31" t="inlineStr">
        <is>
          <t>Less than 1.5</t>
        </is>
      </c>
      <c r="BU345" s="31">
        <f>IF(BT345="Above 2",0,IF(BT345="Between 1.5 to 2",5,IF(BT345="Less than 1.5",10,0)))</f>
        <v/>
      </c>
      <c r="BV345" s="31" t="inlineStr">
        <is>
          <t>Above 70%</t>
        </is>
      </c>
      <c r="BW345" s="31">
        <f>IF(BV345="Above 70%",10,IF(BV345="Between 50% to 70%",5,IF(BV345="Less than 50%",0,IF(BV345="Negative",-10,IF(BV345="Less than 50% and Borrowings are increasing",-5,0)))))</f>
        <v/>
      </c>
      <c r="BX345" s="31" t="inlineStr">
        <is>
          <t>Less than 0.7</t>
        </is>
      </c>
      <c r="BY345" s="31">
        <f>IF(BX345="More than 1.2",-10,IF(BX345="Between 0.7 to 1.2",0,IF(BX345="Less than 0.7",10,0)))</f>
        <v/>
      </c>
      <c r="BZ345" s="31" t="inlineStr">
        <is>
          <t>No</t>
        </is>
      </c>
      <c r="CA345" s="31">
        <f>IF(BZ345="Yes",-10,0)</f>
        <v/>
      </c>
      <c r="CB345" s="31" t="inlineStr">
        <is>
          <t>Less than 15%</t>
        </is>
      </c>
      <c r="CC345" s="31">
        <f>IF(CB345="More than 15%",-10,IF(CB345="Less than 15%",10,0))</f>
        <v/>
      </c>
      <c r="CD345" s="31" t="inlineStr">
        <is>
          <t>No</t>
        </is>
      </c>
      <c r="CE345" s="31">
        <f>IF(CD345="Yes, more than 10%",-10,IF(CD345="No",10,0))</f>
        <v/>
      </c>
    </row>
    <row r="346">
      <c r="A346" s="31">
        <f>IF(B346=0,"",RANK(B346,$B$2:$B$366,0))</f>
        <v/>
      </c>
      <c r="B346" s="32">
        <f>SUM(N346,Y346,AA346,AC346,AE346,AG346,AI346,AK346,AM346,AO346,AQ346,AS346,AU346,AW346,AY346,BA346,BC346,BE346,BG346,BI346,BK346,BM346,BO346,BQ346,BS346,BU346,BW346,BY346,CA346,CC346,CE346)</f>
        <v/>
      </c>
      <c r="C346" s="33" t="inlineStr">
        <is>
          <t>HCG</t>
        </is>
      </c>
      <c r="D346" s="33" t="inlineStr">
        <is>
          <t>Healthcare Global Enterprises Limited</t>
        </is>
      </c>
      <c r="E346" s="31" t="inlineStr">
        <is>
          <t>healthcare</t>
        </is>
      </c>
      <c r="F346" s="31" t="inlineStr">
        <is>
          <t>healthcare</t>
        </is>
      </c>
      <c r="G346" s="31" t="inlineStr">
        <is>
          <t>midcap</t>
        </is>
      </c>
      <c r="H346" s="32" t="n">
        <v>10021.16</v>
      </c>
      <c r="I346" s="32" t="n">
        <v>672.75</v>
      </c>
      <c r="J346" s="32" t="n">
        <v>0.23</v>
      </c>
      <c r="K346" s="32" t="n">
        <v>77148</v>
      </c>
      <c r="L346" s="31" t="n">
        <v>40</v>
      </c>
      <c r="M346" s="31" t="inlineStr">
        <is>
          <t>Underperforming</t>
        </is>
      </c>
      <c r="N346" s="32">
        <f>IF(M346="Underperforming",-5,IF(L346&gt;=95,15,IF(L346&gt;=90,10,IF(L346&gt;=80,5,0))))</f>
        <v/>
      </c>
      <c r="O346" s="32" t="n">
        <v>61.33</v>
      </c>
      <c r="P346" s="32" t="n">
        <v>25.84</v>
      </c>
      <c r="Q346" s="32" t="inlineStr"/>
      <c r="R346" s="31" t="inlineStr">
        <is>
          <t>Earnings / Momentum Support</t>
        </is>
      </c>
      <c r="S346" s="31" t="inlineStr">
        <is>
          <t>Nifty Pharma</t>
        </is>
      </c>
      <c r="T346" s="32" t="n">
        <v>20.55</v>
      </c>
      <c r="U346" s="32" t="n">
        <v>9.66</v>
      </c>
      <c r="V346" s="32" t="n">
        <v>-9.029999999999999</v>
      </c>
      <c r="W346" s="32" t="n">
        <v>6.49</v>
      </c>
      <c r="X346" s="31" t="inlineStr">
        <is>
          <t>Growing Industry</t>
        </is>
      </c>
      <c r="Y346" s="31">
        <f>IF(X346="Growing Industry",10,IF(X346="Cyclical in an Upturn",5,0))</f>
        <v/>
      </c>
      <c r="Z346" s="31" t="inlineStr">
        <is>
          <t>Too Many Players with High ROCE</t>
        </is>
      </c>
      <c r="AA346" s="31">
        <f>IF(Z346="Monopoly",10,IF(Z346="Oligopoly",5,IF(Z346="Duopoly that cooperate",10,IF(Z346="Duopoly that compete",5,IF(Z346="Too many players with High ROCE",5,0)))))</f>
        <v/>
      </c>
      <c r="AB346" s="31" t="inlineStr">
        <is>
          <t>Yes</t>
        </is>
      </c>
      <c r="AC346" s="31">
        <f>IF(AB346="No",5,0)</f>
        <v/>
      </c>
      <c r="AD346" s="31" t="inlineStr">
        <is>
          <t>Headwind</t>
        </is>
      </c>
      <c r="AE346" s="31">
        <f>IF(AD346="Tailwind",10,0)</f>
        <v/>
      </c>
      <c r="AF346" s="31" t="inlineStr">
        <is>
          <t>Structural (10 Years Consistency)</t>
        </is>
      </c>
      <c r="AG346" s="31">
        <f>IF(AF346="Structural (10 Years Consistency)",10,IF(AF346="Shallow Cyclical (2 to 3 years growth)",5,0))</f>
        <v/>
      </c>
      <c r="AH346" s="31" t="inlineStr">
        <is>
          <t>No</t>
        </is>
      </c>
      <c r="AI346" s="31">
        <f>IF(AH346="Yes due to Product Mix change or Operating Leverage",10,IF(AH346="Yes, these are peak margins",-5,IF(AH346="No",5,0)))</f>
        <v/>
      </c>
      <c r="AJ346" s="31" t="inlineStr">
        <is>
          <t>Stable</t>
        </is>
      </c>
      <c r="AK346" s="31">
        <f>IF(AJ346="Stable",10,0)</f>
        <v/>
      </c>
      <c r="AL346" s="31" t="inlineStr">
        <is>
          <t>Yes</t>
        </is>
      </c>
      <c r="AM346" s="31">
        <f>IF(AL346="Yes",10,0)</f>
        <v/>
      </c>
      <c r="AN346" s="31" t="inlineStr">
        <is>
          <t>B2B</t>
        </is>
      </c>
      <c r="AO346" s="31">
        <f>IF(AN346="B2C",10,IF(AN346="B2B",5,0))</f>
        <v/>
      </c>
      <c r="AP346" s="31" t="inlineStr">
        <is>
          <t>No</t>
        </is>
      </c>
      <c r="AQ346" s="31">
        <f>IF(AP346="Yes",10,0)</f>
        <v/>
      </c>
      <c r="AR346" s="31" t="inlineStr">
        <is>
          <t>Higher Annuity, Lower One Time</t>
        </is>
      </c>
      <c r="AS346" s="31">
        <f>IF(AR346="Fully Annuity",10,IF(AR346="Higher Annuity, Lower One Time",5,IF(AR346="Higher One Time, Lower Annuity",3,0)))</f>
        <v/>
      </c>
      <c r="AT346" s="31" t="inlineStr">
        <is>
          <t>Good</t>
        </is>
      </c>
      <c r="AU346" s="31">
        <f>IF(AT346="Good",10,0)</f>
        <v/>
      </c>
      <c r="AV346" s="31" t="inlineStr">
        <is>
          <t>Yes for more than 2 years</t>
        </is>
      </c>
      <c r="AW346" s="31">
        <f>IF(AV346="Yes for more than 2 years",10,IF(AV346="Yes only for next 1 to 2 years",5,0))</f>
        <v/>
      </c>
      <c r="AX346" s="31" t="inlineStr">
        <is>
          <t>20 to 40</t>
        </is>
      </c>
      <c r="AY346" s="31">
        <f>IF(AX346="Above 40",20,IF(AX346="20 to 40",10,IF(AX346="0 to 20",-5,0)))</f>
        <v/>
      </c>
      <c r="AZ346" s="31" t="inlineStr">
        <is>
          <t>Between 50 to 75</t>
        </is>
      </c>
      <c r="BA346" s="31">
        <f>IF(AZ346="Between 50 to 75",10,IF(AZ346="Above 75",0,0))</f>
        <v/>
      </c>
      <c r="BB346" s="31" t="inlineStr">
        <is>
          <t>Stage 3</t>
        </is>
      </c>
      <c r="BC346" s="31">
        <f>IF(BB346="Stage 2",20,IF(BB346="Stage 1",0,IF(BB346="Stage 3",5,IF(BB346="Stage 4",-5,0))))</f>
        <v/>
      </c>
      <c r="BD346" s="31" t="inlineStr">
        <is>
          <t>Negative Trend</t>
        </is>
      </c>
      <c r="BE346" s="31">
        <f>IF(BD346="Positive Trend",20,IF(BD346="Negative Trend",-10,0))</f>
        <v/>
      </c>
      <c r="BF346" s="31" t="inlineStr">
        <is>
          <t>Uptrend</t>
        </is>
      </c>
      <c r="BG346" s="31">
        <f>IF(BF346="Uptrend",10,IF(BF346="Sideways",5,0))</f>
        <v/>
      </c>
      <c r="BH346" s="31" t="inlineStr">
        <is>
          <t>Uptrend</t>
        </is>
      </c>
      <c r="BI346" s="31">
        <f>IF(BH346="Uptrend",10,IF(BH346="Sideways",5,0))</f>
        <v/>
      </c>
      <c r="BJ346" s="31" t="inlineStr">
        <is>
          <t>Close to 52 week high or retracement</t>
        </is>
      </c>
      <c r="BK346" s="31">
        <f>IF(BJ346="Overhead supply in last 2 years in last 2 years",-5,IF(BJ346="Close to 52 week high or retracement",5,IF(BJ346="Blue sky scenario",10,IF(BJ346="Long term Downtrend",-10,0))))</f>
        <v/>
      </c>
      <c r="BL346" s="31" t="inlineStr">
        <is>
          <t>Yes</t>
        </is>
      </c>
      <c r="BM346" s="31">
        <f>IF(BL346="Yes",10,0)</f>
        <v/>
      </c>
      <c r="BN346" s="31" t="inlineStr">
        <is>
          <t>Less than 12%</t>
        </is>
      </c>
      <c r="BO346" s="31">
        <f>IF(BN346="More than 20%",10,IF(BN346="Between 12 to 20%",5,IF(BN346="Less than 12%",0,0)))</f>
        <v/>
      </c>
      <c r="BP346" s="31" t="inlineStr">
        <is>
          <t>No</t>
        </is>
      </c>
      <c r="BQ346" s="31">
        <f>IF(BP346="No",10,0)</f>
        <v/>
      </c>
      <c r="BR346" s="31" t="inlineStr">
        <is>
          <t>Yes</t>
        </is>
      </c>
      <c r="BS346" s="31">
        <f>IF(BR346="NO",5,0)</f>
        <v/>
      </c>
      <c r="BT346" s="31" t="inlineStr">
        <is>
          <t>Above 2</t>
        </is>
      </c>
      <c r="BU346" s="31">
        <f>IF(BT346="Above 2",0,IF(BT346="Between 1.5 to 2",5,IF(BT346="Less than 1.5",10,0)))</f>
        <v/>
      </c>
      <c r="BV346" s="31" t="inlineStr">
        <is>
          <t>Above 70%</t>
        </is>
      </c>
      <c r="BW346" s="31">
        <f>IF(BV346="Above 70%",10,IF(BV346="Between 50% to 70%",5,IF(BV346="Less than 50%",0,IF(BV346="Negative",-10,IF(BV346="Less than 50% and Borrowings are increasing",-5,0)))))</f>
        <v/>
      </c>
      <c r="BX346" s="31" t="inlineStr">
        <is>
          <t>More than 1.2</t>
        </is>
      </c>
      <c r="BY346" s="31">
        <f>IF(BX346="More than 1.2",-10,IF(BX346="Between 0.7 to 1.2",0,IF(BX346="Less than 0.7",10,0)))</f>
        <v/>
      </c>
      <c r="BZ346" s="31" t="inlineStr">
        <is>
          <t>No</t>
        </is>
      </c>
      <c r="CA346" s="31">
        <f>IF(BZ346="Yes",-10,0)</f>
        <v/>
      </c>
      <c r="CB346" s="31" t="inlineStr">
        <is>
          <t>Less than 15%</t>
        </is>
      </c>
      <c r="CC346" s="31">
        <f>IF(CB346="More than 15%",-10,IF(CB346="Less than 15%",10,0))</f>
        <v/>
      </c>
      <c r="CD346" s="31" t="inlineStr">
        <is>
          <t>No</t>
        </is>
      </c>
      <c r="CE346" s="31">
        <f>IF(CD346="Yes, more than 10%",-10,IF(CD346="No",10,0))</f>
        <v/>
      </c>
    </row>
    <row r="347">
      <c r="A347" s="31">
        <f>IF(B347=0,"",RANK(B347,$B$2:$B$366,0))</f>
        <v/>
      </c>
      <c r="B347" s="32">
        <f>SUM(N347,Y347,AA347,AC347,AE347,AG347,AI347,AK347,AM347,AO347,AQ347,AS347,AU347,AW347,AY347,BA347,BC347,BE347,BG347,BI347,BK347,BM347,BO347,BQ347,BS347,BU347,BW347,BY347,CA347,CC347,CE347)</f>
        <v/>
      </c>
      <c r="C347" s="31" t="inlineStr">
        <is>
          <t>KAPSTON</t>
        </is>
      </c>
      <c r="D347" s="31" t="inlineStr">
        <is>
          <t>Kapston Services Ltd</t>
        </is>
      </c>
      <c r="E347" s="31" t="inlineStr">
        <is>
          <t>miscellaneous</t>
        </is>
      </c>
      <c r="F347" s="31" t="inlineStr">
        <is>
          <t>miscellaneous</t>
        </is>
      </c>
      <c r="G347" s="31" t="inlineStr">
        <is>
          <t>smallcap</t>
        </is>
      </c>
      <c r="H347" s="32" t="n">
        <v>1445.22</v>
      </c>
      <c r="I347" s="32" t="n">
        <v>525.9</v>
      </c>
      <c r="J347" s="32" t="n">
        <v>10.74</v>
      </c>
      <c r="K347" s="32" t="n">
        <v>302591</v>
      </c>
      <c r="L347" s="31" t="n">
        <v>85</v>
      </c>
      <c r="M347" s="31" t="inlineStr">
        <is>
          <t>Outperforming</t>
        </is>
      </c>
      <c r="N347" s="32">
        <f>IF(M347="Underperforming",-5,IF(L347&gt;=95,15,IF(L347&gt;=90,10,IF(L347&gt;=80,5,0))))</f>
        <v/>
      </c>
      <c r="O347" s="32" t="n">
        <v>75.90000000000001</v>
      </c>
      <c r="P347" s="32" t="n">
        <v>26.01</v>
      </c>
      <c r="Q347" s="32" t="inlineStr"/>
      <c r="R347" s="31" t="inlineStr">
        <is>
          <t>Earnings / Momentum Support</t>
        </is>
      </c>
      <c r="S347" s="31" t="inlineStr">
        <is>
          <t>Nifty 50</t>
        </is>
      </c>
      <c r="T347" s="32" t="n">
        <v>-0.74</v>
      </c>
      <c r="U347" s="32" t="n">
        <v>83.7</v>
      </c>
      <c r="V347" s="32" t="n">
        <v>85.06999999999999</v>
      </c>
      <c r="W347" s="32" t="n">
        <v>22.23</v>
      </c>
      <c r="X347" s="31" t="inlineStr">
        <is>
          <t>Growing Industry</t>
        </is>
      </c>
      <c r="Y347" s="31">
        <f>IF(X347="Growing Industry",10,IF(X347="Cyclical in an Upturn",5,0))</f>
        <v/>
      </c>
      <c r="Z347" s="31" t="inlineStr">
        <is>
          <t>Too Many Players with High ROCE</t>
        </is>
      </c>
      <c r="AA347" s="31">
        <f>IF(Z347="Monopoly",10,IF(Z347="Oligopoly",5,IF(Z347="Duopoly that cooperate",10,IF(Z347="Duopoly that compete",5,IF(Z347="Too many players with High ROCE",5,0)))))</f>
        <v/>
      </c>
      <c r="AB347" s="31" t="inlineStr">
        <is>
          <t>No</t>
        </is>
      </c>
      <c r="AC347" s="31">
        <f>IF(AB347="No",5,0)</f>
        <v/>
      </c>
      <c r="AD347" s="31" t="inlineStr">
        <is>
          <t>Headwind</t>
        </is>
      </c>
      <c r="AE347" s="31">
        <f>IF(AD347="Tailwind",10,0)</f>
        <v/>
      </c>
      <c r="AF347" s="31" t="inlineStr">
        <is>
          <t>Structural (10 Years Consistency)</t>
        </is>
      </c>
      <c r="AG347" s="31">
        <f>IF(AF347="Structural (10 Years Consistency)",10,IF(AF347="Shallow Cyclical (2 to 3 years growth)",5,0))</f>
        <v/>
      </c>
      <c r="AH347" s="31" t="inlineStr">
        <is>
          <t>No</t>
        </is>
      </c>
      <c r="AI347" s="31">
        <f>IF(AH347="Yes due to Product Mix change or Operating Leverage",10,IF(AH347="Yes, these are peak margins",-5,IF(AH347="No",5,0)))</f>
        <v/>
      </c>
      <c r="AJ347" s="31" t="inlineStr">
        <is>
          <t>Stable</t>
        </is>
      </c>
      <c r="AK347" s="31">
        <f>IF(AJ347="Stable",10,0)</f>
        <v/>
      </c>
      <c r="AL347" s="31" t="inlineStr">
        <is>
          <t>Yes</t>
        </is>
      </c>
      <c r="AM347" s="31">
        <f>IF(AL347="Yes",10,0)</f>
        <v/>
      </c>
      <c r="AN347" s="31" t="inlineStr">
        <is>
          <t>B2B</t>
        </is>
      </c>
      <c r="AO347" s="31">
        <f>IF(AN347="B2C",10,IF(AN347="B2B",5,0))</f>
        <v/>
      </c>
      <c r="AP347" s="31" t="inlineStr">
        <is>
          <t>No</t>
        </is>
      </c>
      <c r="AQ347" s="31">
        <f>IF(AP347="Yes",10,0)</f>
        <v/>
      </c>
      <c r="AR347" s="31" t="inlineStr">
        <is>
          <t>Higher One Time, Lower Annuity</t>
        </is>
      </c>
      <c r="AS347" s="31">
        <f>IF(AR347="Fully Annuity",10,IF(AR347="Higher Annuity, Lower One Time",5,IF(AR347="Higher One Time, Lower Annuity",3,0)))</f>
        <v/>
      </c>
      <c r="AT347" s="31" t="inlineStr">
        <is>
          <t>Good</t>
        </is>
      </c>
      <c r="AU347" s="31">
        <f>IF(AT347="Good",10,0)</f>
        <v/>
      </c>
      <c r="AV347" s="31" t="inlineStr">
        <is>
          <t>Yes for more than 2 years</t>
        </is>
      </c>
      <c r="AW347" s="31">
        <f>IF(AV347="Yes for more than 2 years",10,IF(AV347="Yes only for next 1 to 2 years",5,0))</f>
        <v/>
      </c>
      <c r="AX347" s="31" t="inlineStr">
        <is>
          <t>20 to 40</t>
        </is>
      </c>
      <c r="AY347" s="31">
        <f>IF(AX347="Above 40",20,IF(AX347="20 to 40",10,IF(AX347="0 to 20",-5,0)))</f>
        <v/>
      </c>
      <c r="AZ347" s="31" t="inlineStr">
        <is>
          <t>Above 75</t>
        </is>
      </c>
      <c r="BA347" s="31">
        <f>IF(AZ347="Between 50 to 75",10,IF(AZ347="Above 75",0,0))</f>
        <v/>
      </c>
      <c r="BB347" s="31" t="inlineStr">
        <is>
          <t>Stage 3</t>
        </is>
      </c>
      <c r="BC347" s="31">
        <f>IF(BB347="Stage 2",20,IF(BB347="Stage 1",0,IF(BB347="Stage 3",5,IF(BB347="Stage 4",-5,0))))</f>
        <v/>
      </c>
      <c r="BD347" s="31" t="inlineStr">
        <is>
          <t>Negative Trend</t>
        </is>
      </c>
      <c r="BE347" s="31">
        <f>IF(BD347="Positive Trend",20,IF(BD347="Negative Trend",-10,0))</f>
        <v/>
      </c>
      <c r="BF347" s="31" t="inlineStr">
        <is>
          <t>Uptrend</t>
        </is>
      </c>
      <c r="BG347" s="31">
        <f>IF(BF347="Uptrend",10,IF(BF347="Sideways",5,0))</f>
        <v/>
      </c>
      <c r="BH347" s="31" t="inlineStr">
        <is>
          <t>Uptrend</t>
        </is>
      </c>
      <c r="BI347" s="31">
        <f>IF(BH347="Uptrend",10,IF(BH347="Sideways",5,0))</f>
        <v/>
      </c>
      <c r="BJ347" s="31" t="inlineStr">
        <is>
          <t>Close to 52 week high or retracement</t>
        </is>
      </c>
      <c r="BK347" s="31">
        <f>IF(BJ347="Overhead supply in last 2 years in last 2 years",-5,IF(BJ347="Close to 52 week high or retracement",5,IF(BJ347="Blue sky scenario",10,IF(BJ347="Long term Downtrend",-10,0))))</f>
        <v/>
      </c>
      <c r="BL347" s="31" t="inlineStr">
        <is>
          <t>Yes</t>
        </is>
      </c>
      <c r="BM347" s="31">
        <f>IF(BL347="Yes",10,0)</f>
        <v/>
      </c>
      <c r="BN347" s="31" t="inlineStr">
        <is>
          <t>More than 20%</t>
        </is>
      </c>
      <c r="BO347" s="31">
        <f>IF(BN347="More than 20%",10,IF(BN347="Between 12 to 20%",5,IF(BN347="Less than 12%",0,0)))</f>
        <v/>
      </c>
      <c r="BP347" s="31" t="inlineStr">
        <is>
          <t>No</t>
        </is>
      </c>
      <c r="BQ347" s="31">
        <f>IF(BP347="No",10,0)</f>
        <v/>
      </c>
      <c r="BR347" s="31" t="inlineStr">
        <is>
          <t>Yes</t>
        </is>
      </c>
      <c r="BS347" s="31">
        <f>IF(BR347="NO",5,0)</f>
        <v/>
      </c>
      <c r="BT347" s="31" t="inlineStr">
        <is>
          <t>Above 2</t>
        </is>
      </c>
      <c r="BU347" s="31">
        <f>IF(BT347="Above 2",0,IF(BT347="Between 1.5 to 2",5,IF(BT347="Less than 1.5",10,0)))</f>
        <v/>
      </c>
      <c r="BV347" s="31" t="inlineStr">
        <is>
          <t>Less than 50% and Borrowings are increasing</t>
        </is>
      </c>
      <c r="BW347" s="31">
        <f>IF(BV347="Above 70%",10,IF(BV347="Between 50% to 70%",5,IF(BV347="Less than 50%",0,IF(BV347="Negative",-10,IF(BV347="Less than 50% and Borrowings are increasing",-5,0)))))</f>
        <v/>
      </c>
      <c r="BX347" s="31" t="inlineStr">
        <is>
          <t>More than 1.2</t>
        </is>
      </c>
      <c r="BY347" s="31">
        <f>IF(BX347="More than 1.2",-10,IF(BX347="Between 0.7 to 1.2",0,IF(BX347="Less than 0.7",10,0)))</f>
        <v/>
      </c>
      <c r="BZ347" s="31" t="inlineStr">
        <is>
          <t>No</t>
        </is>
      </c>
      <c r="CA347" s="31">
        <f>IF(BZ347="Yes",-10,0)</f>
        <v/>
      </c>
      <c r="CB347" s="31" t="inlineStr">
        <is>
          <t>Less than 15%</t>
        </is>
      </c>
      <c r="CC347" s="31">
        <f>IF(CB347="More than 15%",-10,IF(CB347="Less than 15%",10,0))</f>
        <v/>
      </c>
      <c r="CD347" s="31" t="inlineStr">
        <is>
          <t>No</t>
        </is>
      </c>
      <c r="CE347" s="31">
        <f>IF(CD347="Yes, more than 10%",-10,IF(CD347="No",10,0))</f>
        <v/>
      </c>
    </row>
    <row r="348">
      <c r="A348" s="31">
        <f>IF(B348=0,"",RANK(B348,$B$2:$B$366,0))</f>
        <v/>
      </c>
      <c r="B348" s="32">
        <f>SUM(N348,Y348,AA348,AC348,AE348,AG348,AI348,AK348,AM348,AO348,AQ348,AS348,AU348,AW348,AY348,BA348,BC348,BE348,BG348,BI348,BK348,BM348,BO348,BQ348,BS348,BU348,BW348,BY348,CA348,CC348,CE348)</f>
        <v/>
      </c>
      <c r="C348" s="31" t="inlineStr">
        <is>
          <t>ASHOKLEY</t>
        </is>
      </c>
      <c r="D348" s="31" t="inlineStr">
        <is>
          <t>Ashok Leyland Limited</t>
        </is>
      </c>
      <c r="E348" s="31" t="inlineStr">
        <is>
          <t>auto</t>
        </is>
      </c>
      <c r="F348" s="31" t="inlineStr">
        <is>
          <t>automobiles - lcvs / hcvs</t>
        </is>
      </c>
      <c r="G348" s="31" t="inlineStr">
        <is>
          <t>largecap</t>
        </is>
      </c>
      <c r="H348" s="32" t="n">
        <v>97611.71000000001</v>
      </c>
      <c r="I348" s="32" t="n">
        <v>174.55</v>
      </c>
      <c r="J348" s="32" t="n">
        <v>5.04</v>
      </c>
      <c r="K348" s="32" t="n">
        <v>142813894</v>
      </c>
      <c r="L348" s="31" t="n">
        <v>31</v>
      </c>
      <c r="M348" s="31" t="inlineStr">
        <is>
          <t>Outperforming</t>
        </is>
      </c>
      <c r="N348" s="32">
        <f>IF(M348="Underperforming",-5,IF(L348&gt;=95,15,IF(L348&gt;=90,10,IF(L348&gt;=80,5,0))))</f>
        <v/>
      </c>
      <c r="O348" s="32" t="n">
        <v>53.11</v>
      </c>
      <c r="P348" s="32" t="n">
        <v>14.49</v>
      </c>
      <c r="Q348" s="32" t="inlineStr"/>
      <c r="R348" s="31" t="inlineStr">
        <is>
          <t>Earnings / Momentum Support</t>
        </is>
      </c>
      <c r="S348" s="31" t="inlineStr">
        <is>
          <t>Nifty Auto</t>
        </is>
      </c>
      <c r="T348" s="32" t="n">
        <v>13.41</v>
      </c>
      <c r="U348" s="32" t="n">
        <v>30.02</v>
      </c>
      <c r="V348" s="32" t="n">
        <v>14.64</v>
      </c>
      <c r="W348" s="32" t="n">
        <v>4.69</v>
      </c>
      <c r="X348" s="31" t="inlineStr">
        <is>
          <t>Growing Industry</t>
        </is>
      </c>
      <c r="Y348" s="31">
        <f>IF(X348="Growing Industry",10,IF(X348="Cyclical in an Upturn",5,0))</f>
        <v/>
      </c>
      <c r="Z348" s="31" t="inlineStr">
        <is>
          <t>Too Many Players with High ROCE</t>
        </is>
      </c>
      <c r="AA348" s="31">
        <f>IF(Z348="Monopoly",10,IF(Z348="Oligopoly",5,IF(Z348="Duopoly that cooperate",10,IF(Z348="Duopoly that compete",5,IF(Z348="Too many players with High ROCE",5,0)))))</f>
        <v/>
      </c>
      <c r="AB348" s="31" t="inlineStr">
        <is>
          <t>No</t>
        </is>
      </c>
      <c r="AC348" s="31">
        <f>IF(AB348="No",5,0)</f>
        <v/>
      </c>
      <c r="AD348" s="31" t="inlineStr">
        <is>
          <t>Headwind</t>
        </is>
      </c>
      <c r="AE348" s="31">
        <f>IF(AD348="Tailwind",10,0)</f>
        <v/>
      </c>
      <c r="AF348" s="31" t="inlineStr">
        <is>
          <t>Structural (10 Years Consistency)</t>
        </is>
      </c>
      <c r="AG348" s="31">
        <f>IF(AF348="Structural (10 Years Consistency)",10,IF(AF348="Shallow Cyclical (2 to 3 years growth)",5,0))</f>
        <v/>
      </c>
      <c r="AH348" s="31" t="inlineStr">
        <is>
          <t>No</t>
        </is>
      </c>
      <c r="AI348" s="31">
        <f>IF(AH348="Yes due to Product Mix change or Operating Leverage",10,IF(AH348="Yes, these are peak margins",-5,IF(AH348="No",5,0)))</f>
        <v/>
      </c>
      <c r="AJ348" s="31" t="inlineStr">
        <is>
          <t>Stable</t>
        </is>
      </c>
      <c r="AK348" s="31">
        <f>IF(AJ348="Stable",10,0)</f>
        <v/>
      </c>
      <c r="AL348" s="31" t="inlineStr">
        <is>
          <t>Yes</t>
        </is>
      </c>
      <c r="AM348" s="31">
        <f>IF(AL348="Yes",10,0)</f>
        <v/>
      </c>
      <c r="AN348" s="31" t="inlineStr">
        <is>
          <t>B2B</t>
        </is>
      </c>
      <c r="AO348" s="31">
        <f>IF(AN348="B2C",10,IF(AN348="B2B",5,0))</f>
        <v/>
      </c>
      <c r="AP348" s="31" t="inlineStr">
        <is>
          <t>No</t>
        </is>
      </c>
      <c r="AQ348" s="31">
        <f>IF(AP348="Yes",10,0)</f>
        <v/>
      </c>
      <c r="AR348" s="31" t="inlineStr">
        <is>
          <t>Higher One Time, Lower Annuity</t>
        </is>
      </c>
      <c r="AS348" s="31">
        <f>IF(AR348="Fully Annuity",10,IF(AR348="Higher Annuity, Lower One Time",5,IF(AR348="Higher One Time, Lower Annuity",3,0)))</f>
        <v/>
      </c>
      <c r="AT348" s="31" t="inlineStr">
        <is>
          <t>Good</t>
        </is>
      </c>
      <c r="AU348" s="31">
        <f>IF(AT348="Good",10,0)</f>
        <v/>
      </c>
      <c r="AV348" s="31" t="inlineStr">
        <is>
          <t>Yes for more than 2 years</t>
        </is>
      </c>
      <c r="AW348" s="31">
        <f>IF(AV348="Yes for more than 2 years",10,IF(AV348="Yes only for next 1 to 2 years",5,0))</f>
        <v/>
      </c>
      <c r="AX348" s="31" t="inlineStr">
        <is>
          <t>0 to 20</t>
        </is>
      </c>
      <c r="AY348" s="31">
        <f>IF(AX348="Above 40",20,IF(AX348="20 to 40",10,IF(AX348="0 to 20",-5,0)))</f>
        <v/>
      </c>
      <c r="AZ348" s="31" t="inlineStr">
        <is>
          <t>Between 50 to 75</t>
        </is>
      </c>
      <c r="BA348" s="31">
        <f>IF(AZ348="Between 50 to 75",10,IF(AZ348="Above 75",0,0))</f>
        <v/>
      </c>
      <c r="BB348" s="31" t="inlineStr">
        <is>
          <t>Stage 3</t>
        </is>
      </c>
      <c r="BC348" s="31">
        <f>IF(BB348="Stage 2",20,IF(BB348="Stage 1",0,IF(BB348="Stage 3",5,IF(BB348="Stage 4",-5,0))))</f>
        <v/>
      </c>
      <c r="BD348" s="31" t="inlineStr">
        <is>
          <t>Negative Trend</t>
        </is>
      </c>
      <c r="BE348" s="31">
        <f>IF(BD348="Positive Trend",20,IF(BD348="Negative Trend",-10,0))</f>
        <v/>
      </c>
      <c r="BF348" s="31" t="inlineStr">
        <is>
          <t>Uptrend</t>
        </is>
      </c>
      <c r="BG348" s="31">
        <f>IF(BF348="Uptrend",10,IF(BF348="Sideways",5,0))</f>
        <v/>
      </c>
      <c r="BH348" s="31" t="inlineStr">
        <is>
          <t>Uptrend</t>
        </is>
      </c>
      <c r="BI348" s="31">
        <f>IF(BH348="Uptrend",10,IF(BH348="Sideways",5,0))</f>
        <v/>
      </c>
      <c r="BJ348" s="31" t="inlineStr">
        <is>
          <t>Close to 52 week high or retracement</t>
        </is>
      </c>
      <c r="BK348" s="31">
        <f>IF(BJ348="Overhead supply in last 2 years in last 2 years",-5,IF(BJ348="Close to 52 week high or retracement",5,IF(BJ348="Blue sky scenario",10,IF(BJ348="Long term Downtrend",-10,0))))</f>
        <v/>
      </c>
      <c r="BL348" s="31" t="inlineStr">
        <is>
          <t>Yes</t>
        </is>
      </c>
      <c r="BM348" s="31">
        <f>IF(BL348="Yes",10,0)</f>
        <v/>
      </c>
      <c r="BN348" s="31" t="inlineStr">
        <is>
          <t>More than 20%</t>
        </is>
      </c>
      <c r="BO348" s="31">
        <f>IF(BN348="More than 20%",10,IF(BN348="Between 12 to 20%",5,IF(BN348="Less than 12%",0,0)))</f>
        <v/>
      </c>
      <c r="BP348" s="31" t="inlineStr">
        <is>
          <t>No</t>
        </is>
      </c>
      <c r="BQ348" s="31">
        <f>IF(BP348="No",10,0)</f>
        <v/>
      </c>
      <c r="BR348" s="31" t="inlineStr">
        <is>
          <t>No</t>
        </is>
      </c>
      <c r="BS348" s="31">
        <f>IF(BR348="NO",5,0)</f>
        <v/>
      </c>
      <c r="BT348" s="31" t="inlineStr">
        <is>
          <t>Less than 1.5</t>
        </is>
      </c>
      <c r="BU348" s="31">
        <f>IF(BT348="Above 2",0,IF(BT348="Between 1.5 to 2",5,IF(BT348="Less than 1.5",10,0)))</f>
        <v/>
      </c>
      <c r="BV348" s="31" t="inlineStr">
        <is>
          <t>Negative</t>
        </is>
      </c>
      <c r="BW348" s="31">
        <f>IF(BV348="Above 70%",10,IF(BV348="Between 50% to 70%",5,IF(BV348="Less than 50%",0,IF(BV348="Negative",-10,IF(BV348="Less than 50% and Borrowings are increasing",-5,0)))))</f>
        <v/>
      </c>
      <c r="BX348" s="31" t="inlineStr">
        <is>
          <t>More than 1.2</t>
        </is>
      </c>
      <c r="BY348" s="31">
        <f>IF(BX348="More than 1.2",-10,IF(BX348="Between 0.7 to 1.2",0,IF(BX348="Less than 0.7",10,0)))</f>
        <v/>
      </c>
      <c r="BZ348" s="31" t="inlineStr">
        <is>
          <t>No</t>
        </is>
      </c>
      <c r="CA348" s="31">
        <f>IF(BZ348="Yes",-10,0)</f>
        <v/>
      </c>
      <c r="CB348" s="31" t="inlineStr">
        <is>
          <t>Less than 15%</t>
        </is>
      </c>
      <c r="CC348" s="31">
        <f>IF(CB348="More than 15%",-10,IF(CB348="Less than 15%",10,0))</f>
        <v/>
      </c>
      <c r="CD348" s="31" t="inlineStr">
        <is>
          <t>No</t>
        </is>
      </c>
      <c r="CE348" s="31">
        <f>IF(CD348="Yes, more than 10%",-10,IF(CD348="No",10,0))</f>
        <v/>
      </c>
    </row>
    <row r="349">
      <c r="A349" s="31">
        <f>IF(B349=0,"",RANK(B349,$B$2:$B$366,0))</f>
        <v/>
      </c>
      <c r="B349" s="32">
        <f>SUM(N349,Y349,AA349,AC349,AE349,AG349,AI349,AK349,AM349,AO349,AQ349,AS349,AU349,AW349,AY349,BA349,BC349,BE349,BG349,BI349,BK349,BM349,BO349,BQ349,BS349,BU349,BW349,BY349,CA349,CC349,CE349)</f>
        <v/>
      </c>
      <c r="C349" s="33" t="inlineStr">
        <is>
          <t>DOLPHIN</t>
        </is>
      </c>
      <c r="D349" s="33" t="inlineStr">
        <is>
          <t>Dolphin Offshore Enterprises (India) Ltd</t>
        </is>
      </c>
      <c r="E349" s="31" t="inlineStr">
        <is>
          <t>energy</t>
        </is>
      </c>
      <c r="F349" s="31" t="inlineStr">
        <is>
          <t>oil drilling / allied services</t>
        </is>
      </c>
      <c r="G349" s="31" t="inlineStr">
        <is>
          <t>smallcap</t>
        </is>
      </c>
      <c r="H349" s="32" t="n">
        <v>1575.38</v>
      </c>
      <c r="I349" s="32" t="n">
        <v>408</v>
      </c>
      <c r="J349" s="32" t="n">
        <v>3.61</v>
      </c>
      <c r="K349" s="32" t="n">
        <v>69378</v>
      </c>
      <c r="L349" s="31" t="n">
        <v>3</v>
      </c>
      <c r="M349" s="31" t="inlineStr">
        <is>
          <t>Underperforming</t>
        </is>
      </c>
      <c r="N349" s="32">
        <f>IF(M349="Underperforming",-5,IF(L349&gt;=95,15,IF(L349&gt;=90,10,IF(L349&gt;=80,5,0))))</f>
        <v/>
      </c>
      <c r="O349" s="32" t="n">
        <v>48.86</v>
      </c>
      <c r="P349" s="32" t="n">
        <v>25.21</v>
      </c>
      <c r="Q349" s="32" t="inlineStr"/>
      <c r="R349" s="31" t="inlineStr">
        <is>
          <t>Earnings / Momentum Support</t>
        </is>
      </c>
      <c r="S349" s="31" t="inlineStr">
        <is>
          <t>Nifty Energy</t>
        </is>
      </c>
      <c r="T349" s="32" t="n">
        <v>8.41</v>
      </c>
      <c r="U349" s="32" t="n">
        <v>-16.64</v>
      </c>
      <c r="V349" s="32" t="n">
        <v>-23.1</v>
      </c>
      <c r="W349" s="32" t="n">
        <v>-3.81</v>
      </c>
      <c r="X349" s="31" t="inlineStr">
        <is>
          <t>Cyclical in an Upturn</t>
        </is>
      </c>
      <c r="Y349" s="31">
        <f>IF(X349="Growing Industry",10,IF(X349="Cyclical in an Upturn",5,0))</f>
        <v/>
      </c>
      <c r="Z349" s="31" t="inlineStr">
        <is>
          <t>Oligopoly</t>
        </is>
      </c>
      <c r="AA349" s="31">
        <f>IF(Z349="Monopoly",10,IF(Z349="Oligopoly",5,IF(Z349="Duopoly that cooperate",10,IF(Z349="Duopoly that compete",5,IF(Z349="Too many players with High ROCE",5,0)))))</f>
        <v/>
      </c>
      <c r="AB349" s="31" t="inlineStr">
        <is>
          <t>Yes</t>
        </is>
      </c>
      <c r="AC349" s="31">
        <f>IF(AB349="No",5,0)</f>
        <v/>
      </c>
      <c r="AD349" s="31" t="inlineStr">
        <is>
          <t>Headwind</t>
        </is>
      </c>
      <c r="AE349" s="31">
        <f>IF(AD349="Tailwind",10,0)</f>
        <v/>
      </c>
      <c r="AF349" s="31" t="inlineStr">
        <is>
          <t>Cyclical</t>
        </is>
      </c>
      <c r="AG349" s="31">
        <f>IF(AF349="Structural (10 Years Consistency)",10,IF(AF349="Shallow Cyclical (2 to 3 years growth)",5,0))</f>
        <v/>
      </c>
      <c r="AH349" s="31" t="inlineStr">
        <is>
          <t>No</t>
        </is>
      </c>
      <c r="AI349" s="31">
        <f>IF(AH349="Yes due to Product Mix change or Operating Leverage",10,IF(AH349="Yes, these are peak margins",-5,IF(AH349="No",5,0)))</f>
        <v/>
      </c>
      <c r="AJ349" s="31" t="inlineStr">
        <is>
          <t>Volatile</t>
        </is>
      </c>
      <c r="AK349" s="31">
        <f>IF(AJ349="Stable",10,0)</f>
        <v/>
      </c>
      <c r="AL349" s="31" t="inlineStr">
        <is>
          <t>Yes</t>
        </is>
      </c>
      <c r="AM349" s="31">
        <f>IF(AL349="Yes",10,0)</f>
        <v/>
      </c>
      <c r="AN349" s="31" t="inlineStr">
        <is>
          <t>B2B</t>
        </is>
      </c>
      <c r="AO349" s="31">
        <f>IF(AN349="B2C",10,IF(AN349="B2B",5,0))</f>
        <v/>
      </c>
      <c r="AP349" s="31" t="inlineStr">
        <is>
          <t>No</t>
        </is>
      </c>
      <c r="AQ349" s="31">
        <f>IF(AP349="Yes",10,0)</f>
        <v/>
      </c>
      <c r="AR349" s="31" t="inlineStr">
        <is>
          <t>Higher One Time, Lower Annuity</t>
        </is>
      </c>
      <c r="AS349" s="31">
        <f>IF(AR349="Fully Annuity",10,IF(AR349="Higher Annuity, Lower One Time",5,IF(AR349="Higher One Time, Lower Annuity",3,0)))</f>
        <v/>
      </c>
      <c r="AT349" s="31" t="inlineStr">
        <is>
          <t>Good</t>
        </is>
      </c>
      <c r="AU349" s="31">
        <f>IF(AT349="Good",10,0)</f>
        <v/>
      </c>
      <c r="AV349" s="31" t="inlineStr">
        <is>
          <t>Yes for more than 2 years</t>
        </is>
      </c>
      <c r="AW349" s="31">
        <f>IF(AV349="Yes for more than 2 years",10,IF(AV349="Yes only for next 1 to 2 years",5,0))</f>
        <v/>
      </c>
      <c r="AX349" s="31" t="inlineStr">
        <is>
          <t>20 to 40</t>
        </is>
      </c>
      <c r="AY349" s="31">
        <f>IF(AX349="Above 40",20,IF(AX349="20 to 40",10,IF(AX349="0 to 20",-5,0)))</f>
        <v/>
      </c>
      <c r="AZ349" s="31" t="inlineStr">
        <is>
          <t>Below 45</t>
        </is>
      </c>
      <c r="BA349" s="31">
        <f>IF(AZ349="Between 50 to 75",10,IF(AZ349="Above 75",0,0))</f>
        <v/>
      </c>
      <c r="BB349" s="31" t="inlineStr">
        <is>
          <t>Stage 4</t>
        </is>
      </c>
      <c r="BC349" s="31">
        <f>IF(BB349="Stage 2",20,IF(BB349="Stage 1",0,IF(BB349="Stage 3",5,IF(BB349="Stage 4",-5,0))))</f>
        <v/>
      </c>
      <c r="BD349" s="31" t="inlineStr">
        <is>
          <t>Negative Trend</t>
        </is>
      </c>
      <c r="BE349" s="31">
        <f>IF(BD349="Positive Trend",20,IF(BD349="Negative Trend",-10,0))</f>
        <v/>
      </c>
      <c r="BF349" s="31" t="inlineStr">
        <is>
          <t>Uptrend</t>
        </is>
      </c>
      <c r="BG349" s="31">
        <f>IF(BF349="Uptrend",10,IF(BF349="Sideways",5,0))</f>
        <v/>
      </c>
      <c r="BH349" s="31" t="inlineStr">
        <is>
          <t>Uptrend</t>
        </is>
      </c>
      <c r="BI349" s="31">
        <f>IF(BH349="Uptrend",10,IF(BH349="Sideways",5,0))</f>
        <v/>
      </c>
      <c r="BJ349" s="31" t="inlineStr">
        <is>
          <t>Close to 52 week high or retracement</t>
        </is>
      </c>
      <c r="BK349" s="31">
        <f>IF(BJ349="Overhead supply in last 2 years in last 2 years",-5,IF(BJ349="Close to 52 week high or retracement",5,IF(BJ349="Blue sky scenario",10,IF(BJ349="Long term Downtrend",-10,0))))</f>
        <v/>
      </c>
      <c r="BL349" s="31" t="inlineStr">
        <is>
          <t>Yes</t>
        </is>
      </c>
      <c r="BM349" s="31">
        <f>IF(BL349="Yes",10,0)</f>
        <v/>
      </c>
      <c r="BN349" s="31" t="inlineStr">
        <is>
          <t>More than 20%</t>
        </is>
      </c>
      <c r="BO349" s="31">
        <f>IF(BN349="More than 20%",10,IF(BN349="Between 12 to 20%",5,IF(BN349="Less than 12%",0,0)))</f>
        <v/>
      </c>
      <c r="BP349" s="31" t="inlineStr">
        <is>
          <t>No</t>
        </is>
      </c>
      <c r="BQ349" s="31">
        <f>IF(BP349="No",10,0)</f>
        <v/>
      </c>
      <c r="BR349" s="31" t="inlineStr">
        <is>
          <t>No</t>
        </is>
      </c>
      <c r="BS349" s="31">
        <f>IF(BR349="NO",5,0)</f>
        <v/>
      </c>
      <c r="BT349" s="31" t="inlineStr">
        <is>
          <t>Less than 1.5</t>
        </is>
      </c>
      <c r="BU349" s="31">
        <f>IF(BT349="Above 2",0,IF(BT349="Between 1.5 to 2",5,IF(BT349="Less than 1.5",10,0)))</f>
        <v/>
      </c>
      <c r="BV349" s="31" t="inlineStr">
        <is>
          <t>Above 70%</t>
        </is>
      </c>
      <c r="BW349" s="31">
        <f>IF(BV349="Above 70%",10,IF(BV349="Between 50% to 70%",5,IF(BV349="Less than 50%",0,IF(BV349="Negative",-10,IF(BV349="Less than 50% and Borrowings are increasing",-5,0)))))</f>
        <v/>
      </c>
      <c r="BX349" s="31" t="inlineStr">
        <is>
          <t>Less than 0.7</t>
        </is>
      </c>
      <c r="BY349" s="31">
        <f>IF(BX349="More than 1.2",-10,IF(BX349="Between 0.7 to 1.2",0,IF(BX349="Less than 0.7",10,0)))</f>
        <v/>
      </c>
      <c r="BZ349" s="31" t="inlineStr">
        <is>
          <t>No</t>
        </is>
      </c>
      <c r="CA349" s="31">
        <f>IF(BZ349="Yes",-10,0)</f>
        <v/>
      </c>
      <c r="CB349" s="31" t="inlineStr">
        <is>
          <t>Less than 15%</t>
        </is>
      </c>
      <c r="CC349" s="31">
        <f>IF(CB349="More than 15%",-10,IF(CB349="Less than 15%",10,0))</f>
        <v/>
      </c>
      <c r="CD349" s="31" t="inlineStr">
        <is>
          <t>No</t>
        </is>
      </c>
      <c r="CE349" s="31">
        <f>IF(CD349="Yes, more than 10%",-10,IF(CD349="No",10,0))</f>
        <v/>
      </c>
    </row>
    <row r="350">
      <c r="A350" s="31">
        <f>IF(B350=0,"",RANK(B350,$B$2:$B$366,0))</f>
        <v/>
      </c>
      <c r="B350" s="32">
        <f>SUM(N350,Y350,AA350,AC350,AE350,AG350,AI350,AK350,AM350,AO350,AQ350,AS350,AU350,AW350,AY350,BA350,BC350,BE350,BG350,BI350,BK350,BM350,BO350,BQ350,BS350,BU350,BW350,BY350,CA350,CC350,CE350)</f>
        <v/>
      </c>
      <c r="C350" s="31" t="inlineStr">
        <is>
          <t>IMFA</t>
        </is>
      </c>
      <c r="D350" s="31" t="inlineStr">
        <is>
          <t>Indian Metals &amp; Ferro Alloys Limited</t>
        </is>
      </c>
      <c r="E350" s="31" t="inlineStr">
        <is>
          <t>metals &amp; mining</t>
        </is>
      </c>
      <c r="F350" s="31" t="inlineStr">
        <is>
          <t>mining / minerals / metals</t>
        </is>
      </c>
      <c r="G350" s="31" t="inlineStr">
        <is>
          <t>midcap</t>
        </is>
      </c>
      <c r="H350" s="32" t="n">
        <v>7815.79</v>
      </c>
      <c r="I350" s="32" t="n">
        <v>1492</v>
      </c>
      <c r="J350" s="32" t="n">
        <v>3</v>
      </c>
      <c r="K350" s="32" t="n">
        <v>229842</v>
      </c>
      <c r="L350" s="31" t="n">
        <v>61</v>
      </c>
      <c r="M350" s="31" t="inlineStr">
        <is>
          <t>Outperforming</t>
        </is>
      </c>
      <c r="N350" s="32">
        <f>IF(M350="Underperforming",-5,IF(L350&gt;=95,15,IF(L350&gt;=90,10,IF(L350&gt;=80,5,0))))</f>
        <v/>
      </c>
      <c r="O350" s="32" t="n">
        <v>56.05</v>
      </c>
      <c r="P350" s="32" t="n">
        <v>14.36</v>
      </c>
      <c r="Q350" s="32" t="inlineStr"/>
      <c r="R350" s="31" t="inlineStr">
        <is>
          <t>Earnings / Momentum Support</t>
        </is>
      </c>
      <c r="S350" s="31" t="inlineStr">
        <is>
          <t>Nifty Metal</t>
        </is>
      </c>
      <c r="T350" s="32" t="n">
        <v>31.49</v>
      </c>
      <c r="U350" s="32" t="n">
        <v>80.06</v>
      </c>
      <c r="V350" s="32" t="n">
        <v>36.93</v>
      </c>
      <c r="W350" s="32" t="n">
        <v>11.83</v>
      </c>
      <c r="X350" s="31" t="inlineStr">
        <is>
          <t>Cyclical in an Upturn</t>
        </is>
      </c>
      <c r="Y350" s="31">
        <f>IF(X350="Growing Industry",10,IF(X350="Cyclical in an Upturn",5,0))</f>
        <v/>
      </c>
      <c r="Z350" s="31" t="inlineStr">
        <is>
          <t>Too Many Players with High ROCE</t>
        </is>
      </c>
      <c r="AA350" s="31">
        <f>IF(Z350="Monopoly",10,IF(Z350="Oligopoly",5,IF(Z350="Duopoly that cooperate",10,IF(Z350="Duopoly that compete",5,IF(Z350="Too many players with High ROCE",5,0)))))</f>
        <v/>
      </c>
      <c r="AB350" s="31" t="inlineStr">
        <is>
          <t>No</t>
        </is>
      </c>
      <c r="AC350" s="31">
        <f>IF(AB350="No",5,0)</f>
        <v/>
      </c>
      <c r="AD350" s="31" t="inlineStr">
        <is>
          <t>Headwind</t>
        </is>
      </c>
      <c r="AE350" s="31">
        <f>IF(AD350="Tailwind",10,0)</f>
        <v/>
      </c>
      <c r="AF350" s="31" t="inlineStr">
        <is>
          <t>Cyclical</t>
        </is>
      </c>
      <c r="AG350" s="31">
        <f>IF(AF350="Structural (10 Years Consistency)",10,IF(AF350="Shallow Cyclical (2 to 3 years growth)",5,0))</f>
        <v/>
      </c>
      <c r="AH350" s="31" t="inlineStr">
        <is>
          <t>No</t>
        </is>
      </c>
      <c r="AI350" s="31">
        <f>IF(AH350="Yes due to Product Mix change or Operating Leverage",10,IF(AH350="Yes, these are peak margins",-5,IF(AH350="No",5,0)))</f>
        <v/>
      </c>
      <c r="AJ350" s="31" t="inlineStr">
        <is>
          <t>Volatile</t>
        </is>
      </c>
      <c r="AK350" s="31">
        <f>IF(AJ350="Stable",10,0)</f>
        <v/>
      </c>
      <c r="AL350" s="31" t="inlineStr">
        <is>
          <t>Yes</t>
        </is>
      </c>
      <c r="AM350" s="31">
        <f>IF(AL350="Yes",10,0)</f>
        <v/>
      </c>
      <c r="AN350" s="31" t="inlineStr">
        <is>
          <t>B2B</t>
        </is>
      </c>
      <c r="AO350" s="31">
        <f>IF(AN350="B2C",10,IF(AN350="B2B",5,0))</f>
        <v/>
      </c>
      <c r="AP350" s="31" t="inlineStr">
        <is>
          <t>No</t>
        </is>
      </c>
      <c r="AQ350" s="31">
        <f>IF(AP350="Yes",10,0)</f>
        <v/>
      </c>
      <c r="AR350" s="31" t="inlineStr">
        <is>
          <t>Higher One Time, Lower Annuity</t>
        </is>
      </c>
      <c r="AS350" s="31">
        <f>IF(AR350="Fully Annuity",10,IF(AR350="Higher Annuity, Lower One Time",5,IF(AR350="Higher One Time, Lower Annuity",3,0)))</f>
        <v/>
      </c>
      <c r="AT350" s="31" t="inlineStr">
        <is>
          <t>Good</t>
        </is>
      </c>
      <c r="AU350" s="31">
        <f>IF(AT350="Good",10,0)</f>
        <v/>
      </c>
      <c r="AV350" s="31" t="inlineStr">
        <is>
          <t>Yes for more than 2 years</t>
        </is>
      </c>
      <c r="AW350" s="31">
        <f>IF(AV350="Yes for more than 2 years",10,IF(AV350="Yes only for next 1 to 2 years",5,0))</f>
        <v/>
      </c>
      <c r="AX350" s="31" t="inlineStr">
        <is>
          <t>0 to 20</t>
        </is>
      </c>
      <c r="AY350" s="31">
        <f>IF(AX350="Above 40",20,IF(AX350="20 to 40",10,IF(AX350="0 to 20",-5,0)))</f>
        <v/>
      </c>
      <c r="AZ350" s="31" t="inlineStr">
        <is>
          <t>Between 50 to 75</t>
        </is>
      </c>
      <c r="BA350" s="31">
        <f>IF(AZ350="Between 50 to 75",10,IF(AZ350="Above 75",0,0))</f>
        <v/>
      </c>
      <c r="BB350" s="31" t="inlineStr">
        <is>
          <t>Stage 3</t>
        </is>
      </c>
      <c r="BC350" s="31">
        <f>IF(BB350="Stage 2",20,IF(BB350="Stage 1",0,IF(BB350="Stage 3",5,IF(BB350="Stage 4",-5,0))))</f>
        <v/>
      </c>
      <c r="BD350" s="31" t="inlineStr">
        <is>
          <t>Negative Trend</t>
        </is>
      </c>
      <c r="BE350" s="31">
        <f>IF(BD350="Positive Trend",20,IF(BD350="Negative Trend",-10,0))</f>
        <v/>
      </c>
      <c r="BF350" s="31" t="inlineStr">
        <is>
          <t>Uptrend</t>
        </is>
      </c>
      <c r="BG350" s="31">
        <f>IF(BF350="Uptrend",10,IF(BF350="Sideways",5,0))</f>
        <v/>
      </c>
      <c r="BH350" s="31" t="inlineStr">
        <is>
          <t>Uptrend</t>
        </is>
      </c>
      <c r="BI350" s="31">
        <f>IF(BH350="Uptrend",10,IF(BH350="Sideways",5,0))</f>
        <v/>
      </c>
      <c r="BJ350" s="31" t="inlineStr">
        <is>
          <t>Close to 52 week high or retracement</t>
        </is>
      </c>
      <c r="BK350" s="31">
        <f>IF(BJ350="Overhead supply in last 2 years in last 2 years",-5,IF(BJ350="Close to 52 week high or retracement",5,IF(BJ350="Blue sky scenario",10,IF(BJ350="Long term Downtrend",-10,0))))</f>
        <v/>
      </c>
      <c r="BL350" s="31" t="inlineStr">
        <is>
          <t>Yes</t>
        </is>
      </c>
      <c r="BM350" s="31">
        <f>IF(BL350="Yes",10,0)</f>
        <v/>
      </c>
      <c r="BN350" s="31" t="inlineStr">
        <is>
          <t>More than 20%</t>
        </is>
      </c>
      <c r="BO350" s="31">
        <f>IF(BN350="More than 20%",10,IF(BN350="Between 12 to 20%",5,IF(BN350="Less than 12%",0,0)))</f>
        <v/>
      </c>
      <c r="BP350" s="31" t="inlineStr">
        <is>
          <t>No</t>
        </is>
      </c>
      <c r="BQ350" s="31">
        <f>IF(BP350="No",10,0)</f>
        <v/>
      </c>
      <c r="BR350" s="31" t="inlineStr">
        <is>
          <t>No</t>
        </is>
      </c>
      <c r="BS350" s="31">
        <f>IF(BR350="NO",5,0)</f>
        <v/>
      </c>
      <c r="BT350" s="31" t="inlineStr">
        <is>
          <t>Above 2</t>
        </is>
      </c>
      <c r="BU350" s="31">
        <f>IF(BT350="Above 2",0,IF(BT350="Between 1.5 to 2",5,IF(BT350="Less than 1.5",10,0)))</f>
        <v/>
      </c>
      <c r="BV350" s="31" t="inlineStr">
        <is>
          <t>Between 50% to 70%</t>
        </is>
      </c>
      <c r="BW350" s="31">
        <f>IF(BV350="Above 70%",10,IF(BV350="Between 50% to 70%",5,IF(BV350="Less than 50%",0,IF(BV350="Negative",-10,IF(BV350="Less than 50% and Borrowings are increasing",-5,0)))))</f>
        <v/>
      </c>
      <c r="BX350" s="31" t="inlineStr">
        <is>
          <t>Less than 0.7</t>
        </is>
      </c>
      <c r="BY350" s="31">
        <f>IF(BX350="More than 1.2",-10,IF(BX350="Between 0.7 to 1.2",0,IF(BX350="Less than 0.7",10,0)))</f>
        <v/>
      </c>
      <c r="BZ350" s="31" t="inlineStr">
        <is>
          <t>No</t>
        </is>
      </c>
      <c r="CA350" s="31">
        <f>IF(BZ350="Yes",-10,0)</f>
        <v/>
      </c>
      <c r="CB350" s="31" t="inlineStr">
        <is>
          <t>Less than 15%</t>
        </is>
      </c>
      <c r="CC350" s="31">
        <f>IF(CB350="More than 15%",-10,IF(CB350="Less than 15%",10,0))</f>
        <v/>
      </c>
      <c r="CD350" s="31" t="inlineStr">
        <is>
          <t>No</t>
        </is>
      </c>
      <c r="CE350" s="31">
        <f>IF(CD350="Yes, more than 10%",-10,IF(CD350="No",10,0))</f>
        <v/>
      </c>
    </row>
    <row r="351">
      <c r="A351" s="31">
        <f>IF(B351=0,"",RANK(B351,$B$2:$B$366,0))</f>
        <v/>
      </c>
      <c r="B351" s="32">
        <f>SUM(N351,Y351,AA351,AC351,AE351,AG351,AI351,AK351,AM351,AO351,AQ351,AS351,AU351,AW351,AY351,BA351,BC351,BE351,BG351,BI351,BK351,BM351,BO351,BQ351,BS351,BU351,BW351,BY351,CA351,CC351,CE351)</f>
        <v/>
      </c>
      <c r="C351" s="33" t="inlineStr">
        <is>
          <t>SANATHAN</t>
        </is>
      </c>
      <c r="D351" s="33" t="inlineStr">
        <is>
          <t>Sanathan Textiles Ltd</t>
        </is>
      </c>
      <c r="E351" s="31" t="inlineStr">
        <is>
          <t>textiles</t>
        </is>
      </c>
      <c r="F351" s="31" t="inlineStr">
        <is>
          <t>textiles - cotton/blended</t>
        </is>
      </c>
      <c r="G351" s="31" t="inlineStr">
        <is>
          <t>smallcap</t>
        </is>
      </c>
      <c r="H351" s="32" t="n">
        <v>4008.77</v>
      </c>
      <c r="I351" s="32" t="n">
        <v>489</v>
      </c>
      <c r="J351" s="32" t="n">
        <v>2.96</v>
      </c>
      <c r="K351" s="32" t="n">
        <v>74545</v>
      </c>
      <c r="L351" s="31" t="n">
        <v>11</v>
      </c>
      <c r="M351" s="31" t="inlineStr">
        <is>
          <t>Underperforming</t>
        </is>
      </c>
      <c r="N351" s="32">
        <f>IF(M351="Underperforming",-5,IF(L351&gt;=95,15,IF(L351&gt;=90,10,IF(L351&gt;=80,5,0))))</f>
        <v/>
      </c>
      <c r="O351" s="32" t="n">
        <v>61.65</v>
      </c>
      <c r="P351" s="32" t="n">
        <v>14.65</v>
      </c>
      <c r="Q351" s="32" t="inlineStr"/>
      <c r="R351" s="31" t="inlineStr">
        <is>
          <t>Earnings / Momentum Support</t>
        </is>
      </c>
      <c r="S351" s="31" t="inlineStr">
        <is>
          <t>Nifty 50</t>
        </is>
      </c>
      <c r="T351" s="32" t="n">
        <v>-0.74</v>
      </c>
      <c r="U351" s="32" t="n">
        <v>-5.88</v>
      </c>
      <c r="V351" s="32" t="n">
        <v>-5.17</v>
      </c>
      <c r="W351" s="32" t="n">
        <v>0.08</v>
      </c>
      <c r="X351" s="31" t="inlineStr">
        <is>
          <t>Growing Industry</t>
        </is>
      </c>
      <c r="Y351" s="31">
        <f>IF(X351="Growing Industry",10,IF(X351="Cyclical in an Upturn",5,0))</f>
        <v/>
      </c>
      <c r="Z351" s="31" t="inlineStr">
        <is>
          <t>Too Many Players with High ROCE</t>
        </is>
      </c>
      <c r="AA351" s="31">
        <f>IF(Z351="Monopoly",10,IF(Z351="Oligopoly",5,IF(Z351="Duopoly that cooperate",10,IF(Z351="Duopoly that compete",5,IF(Z351="Too many players with High ROCE",5,0)))))</f>
        <v/>
      </c>
      <c r="AB351" s="31" t="inlineStr">
        <is>
          <t>No</t>
        </is>
      </c>
      <c r="AC351" s="31">
        <f>IF(AB351="No",5,0)</f>
        <v/>
      </c>
      <c r="AD351" s="31" t="inlineStr">
        <is>
          <t>Headwind</t>
        </is>
      </c>
      <c r="AE351" s="31">
        <f>IF(AD351="Tailwind",10,0)</f>
        <v/>
      </c>
      <c r="AF351" s="31" t="inlineStr">
        <is>
          <t>Structural (10 Years Consistency)</t>
        </is>
      </c>
      <c r="AG351" s="31">
        <f>IF(AF351="Structural (10 Years Consistency)",10,IF(AF351="Shallow Cyclical (2 to 3 years growth)",5,0))</f>
        <v/>
      </c>
      <c r="AH351" s="31" t="inlineStr">
        <is>
          <t>No</t>
        </is>
      </c>
      <c r="AI351" s="31">
        <f>IF(AH351="Yes due to Product Mix change or Operating Leverage",10,IF(AH351="Yes, these are peak margins",-5,IF(AH351="No",5,0)))</f>
        <v/>
      </c>
      <c r="AJ351" s="31" t="inlineStr">
        <is>
          <t>Stable</t>
        </is>
      </c>
      <c r="AK351" s="31">
        <f>IF(AJ351="Stable",10,0)</f>
        <v/>
      </c>
      <c r="AL351" s="31" t="inlineStr">
        <is>
          <t>Yes</t>
        </is>
      </c>
      <c r="AM351" s="31">
        <f>IF(AL351="Yes",10,0)</f>
        <v/>
      </c>
      <c r="AN351" s="31" t="inlineStr">
        <is>
          <t>B2B</t>
        </is>
      </c>
      <c r="AO351" s="31">
        <f>IF(AN351="B2C",10,IF(AN351="B2B",5,0))</f>
        <v/>
      </c>
      <c r="AP351" s="31" t="inlineStr">
        <is>
          <t>No</t>
        </is>
      </c>
      <c r="AQ351" s="31">
        <f>IF(AP351="Yes",10,0)</f>
        <v/>
      </c>
      <c r="AR351" s="31" t="inlineStr">
        <is>
          <t>Higher One Time, Lower Annuity</t>
        </is>
      </c>
      <c r="AS351" s="31">
        <f>IF(AR351="Fully Annuity",10,IF(AR351="Higher Annuity, Lower One Time",5,IF(AR351="Higher One Time, Lower Annuity",3,0)))</f>
        <v/>
      </c>
      <c r="AT351" s="31" t="inlineStr">
        <is>
          <t>Good</t>
        </is>
      </c>
      <c r="AU351" s="31">
        <f>IF(AT351="Good",10,0)</f>
        <v/>
      </c>
      <c r="AV351" s="31" t="inlineStr">
        <is>
          <t>Yes for more than 2 years</t>
        </is>
      </c>
      <c r="AW351" s="31">
        <f>IF(AV351="Yes for more than 2 years",10,IF(AV351="Yes only for next 1 to 2 years",5,0))</f>
        <v/>
      </c>
      <c r="AX351" s="31" t="inlineStr">
        <is>
          <t>0 to 20</t>
        </is>
      </c>
      <c r="AY351" s="31">
        <f>IF(AX351="Above 40",20,IF(AX351="20 to 40",10,IF(AX351="0 to 20",-5,0)))</f>
        <v/>
      </c>
      <c r="AZ351" s="31" t="inlineStr">
        <is>
          <t>Between 50 to 75</t>
        </is>
      </c>
      <c r="BA351" s="31">
        <f>IF(AZ351="Between 50 to 75",10,IF(AZ351="Above 75",0,0))</f>
        <v/>
      </c>
      <c r="BB351" s="31" t="inlineStr">
        <is>
          <t>Stage 3</t>
        </is>
      </c>
      <c r="BC351" s="31">
        <f>IF(BB351="Stage 2",20,IF(BB351="Stage 1",0,IF(BB351="Stage 3",5,IF(BB351="Stage 4",-5,0))))</f>
        <v/>
      </c>
      <c r="BD351" s="31" t="inlineStr">
        <is>
          <t>Negative Trend</t>
        </is>
      </c>
      <c r="BE351" s="31">
        <f>IF(BD351="Positive Trend",20,IF(BD351="Negative Trend",-10,0))</f>
        <v/>
      </c>
      <c r="BF351" s="31" t="inlineStr">
        <is>
          <t>Uptrend</t>
        </is>
      </c>
      <c r="BG351" s="31">
        <f>IF(BF351="Uptrend",10,IF(BF351="Sideways",5,0))</f>
        <v/>
      </c>
      <c r="BH351" s="31" t="inlineStr">
        <is>
          <t>Uptrend</t>
        </is>
      </c>
      <c r="BI351" s="31">
        <f>IF(BH351="Uptrend",10,IF(BH351="Sideways",5,0))</f>
        <v/>
      </c>
      <c r="BJ351" s="31" t="inlineStr">
        <is>
          <t>Close to 52 week high or retracement</t>
        </is>
      </c>
      <c r="BK351" s="31">
        <f>IF(BJ351="Overhead supply in last 2 years in last 2 years",-5,IF(BJ351="Close to 52 week high or retracement",5,IF(BJ351="Blue sky scenario",10,IF(BJ351="Long term Downtrend",-10,0))))</f>
        <v/>
      </c>
      <c r="BL351" s="31" t="inlineStr">
        <is>
          <t>Yes</t>
        </is>
      </c>
      <c r="BM351" s="31">
        <f>IF(BL351="Yes",10,0)</f>
        <v/>
      </c>
      <c r="BN351" s="31" t="inlineStr">
        <is>
          <t>Less than 12%</t>
        </is>
      </c>
      <c r="BO351" s="31">
        <f>IF(BN351="More than 20%",10,IF(BN351="Between 12 to 20%",5,IF(BN351="Less than 12%",0,0)))</f>
        <v/>
      </c>
      <c r="BP351" s="31" t="inlineStr">
        <is>
          <t>No</t>
        </is>
      </c>
      <c r="BQ351" s="31">
        <f>IF(BP351="No",10,0)</f>
        <v/>
      </c>
      <c r="BR351" s="31" t="inlineStr">
        <is>
          <t>Yes</t>
        </is>
      </c>
      <c r="BS351" s="31">
        <f>IF(BR351="NO",5,0)</f>
        <v/>
      </c>
      <c r="BT351" s="31" t="inlineStr">
        <is>
          <t>Above 2</t>
        </is>
      </c>
      <c r="BU351" s="31">
        <f>IF(BT351="Above 2",0,IF(BT351="Between 1.5 to 2",5,IF(BT351="Less than 1.5",10,0)))</f>
        <v/>
      </c>
      <c r="BV351" s="31" t="inlineStr">
        <is>
          <t>Above 70%</t>
        </is>
      </c>
      <c r="BW351" s="31">
        <f>IF(BV351="Above 70%",10,IF(BV351="Between 50% to 70%",5,IF(BV351="Less than 50%",0,IF(BV351="Negative",-10,IF(BV351="Less than 50% and Borrowings are increasing",-5,0)))))</f>
        <v/>
      </c>
      <c r="BX351" s="31" t="inlineStr">
        <is>
          <t>Between 0.7 to 1.2</t>
        </is>
      </c>
      <c r="BY351" s="31">
        <f>IF(BX351="More than 1.2",-10,IF(BX351="Between 0.7 to 1.2",0,IF(BX351="Less than 0.7",10,0)))</f>
        <v/>
      </c>
      <c r="BZ351" s="31" t="inlineStr">
        <is>
          <t>No</t>
        </is>
      </c>
      <c r="CA351" s="31">
        <f>IF(BZ351="Yes",-10,0)</f>
        <v/>
      </c>
      <c r="CB351" s="31" t="inlineStr">
        <is>
          <t>Less than 15%</t>
        </is>
      </c>
      <c r="CC351" s="31">
        <f>IF(CB351="More than 15%",-10,IF(CB351="Less than 15%",10,0))</f>
        <v/>
      </c>
      <c r="CD351" s="31" t="inlineStr">
        <is>
          <t>No</t>
        </is>
      </c>
      <c r="CE351" s="31">
        <f>IF(CD351="Yes, more than 10%",-10,IF(CD351="No",10,0))</f>
        <v/>
      </c>
    </row>
    <row r="352">
      <c r="A352" s="31">
        <f>IF(B352=0,"",RANK(B352,$B$2:$B$366,0))</f>
        <v/>
      </c>
      <c r="B352" s="32">
        <f>SUM(N352,Y352,AA352,AC352,AE352,AG352,AI352,AK352,AM352,AO352,AQ352,AS352,AU352,AW352,AY352,BA352,BC352,BE352,BG352,BI352,BK352,BM352,BO352,BQ352,BS352,BU352,BW352,BY352,CA352,CC352,CE352)</f>
        <v/>
      </c>
      <c r="C352" s="31" t="inlineStr">
        <is>
          <t>MAHASTEEL</t>
        </is>
      </c>
      <c r="D352" s="31" t="inlineStr">
        <is>
          <t>Mahamaya Steel Industries Limited</t>
        </is>
      </c>
      <c r="E352" s="31" t="inlineStr">
        <is>
          <t>metals &amp; mining</t>
        </is>
      </c>
      <c r="F352" s="31" t="inlineStr">
        <is>
          <t>steel - medium / small</t>
        </is>
      </c>
      <c r="G352" s="31" t="inlineStr">
        <is>
          <t>smallcap</t>
        </is>
      </c>
      <c r="H352" s="32" t="n">
        <v>1645.49</v>
      </c>
      <c r="I352" s="32" t="n">
        <v>1018.9</v>
      </c>
      <c r="J352" s="32" t="n">
        <v>1.76</v>
      </c>
      <c r="K352" s="32" t="n">
        <v>29414</v>
      </c>
      <c r="L352" s="31" t="n">
        <v>78</v>
      </c>
      <c r="M352" s="31" t="inlineStr">
        <is>
          <t>Outperforming</t>
        </is>
      </c>
      <c r="N352" s="32">
        <f>IF(M352="Underperforming",-5,IF(L352&gt;=95,15,IF(L352&gt;=90,10,IF(L352&gt;=80,5,0))))</f>
        <v/>
      </c>
      <c r="O352" s="32" t="n">
        <v>61.58</v>
      </c>
      <c r="P352" s="32" t="n">
        <v>17.11</v>
      </c>
      <c r="Q352" s="32" t="inlineStr"/>
      <c r="R352" s="31" t="inlineStr">
        <is>
          <t>Earnings / Momentum Support</t>
        </is>
      </c>
      <c r="S352" s="31" t="inlineStr">
        <is>
          <t>Nifty Metal</t>
        </is>
      </c>
      <c r="T352" s="32" t="n">
        <v>31.49</v>
      </c>
      <c r="U352" s="32" t="n">
        <v>122.02</v>
      </c>
      <c r="V352" s="32" t="n">
        <v>68.84999999999999</v>
      </c>
      <c r="W352" s="32" t="n">
        <v>17.89</v>
      </c>
      <c r="X352" s="31" t="inlineStr">
        <is>
          <t>Cyclical in an Upturn</t>
        </is>
      </c>
      <c r="Y352" s="31">
        <f>IF(X352="Growing Industry",10,IF(X352="Cyclical in an Upturn",5,0))</f>
        <v/>
      </c>
      <c r="Z352" s="31" t="inlineStr">
        <is>
          <t>Too Many Players with High ROCE</t>
        </is>
      </c>
      <c r="AA352" s="31">
        <f>IF(Z352="Monopoly",10,IF(Z352="Oligopoly",5,IF(Z352="Duopoly that cooperate",10,IF(Z352="Duopoly that compete",5,IF(Z352="Too many players with High ROCE",5,0)))))</f>
        <v/>
      </c>
      <c r="AB352" s="31" t="inlineStr">
        <is>
          <t>No</t>
        </is>
      </c>
      <c r="AC352" s="31">
        <f>IF(AB352="No",5,0)</f>
        <v/>
      </c>
      <c r="AD352" s="31" t="inlineStr">
        <is>
          <t>Headwind</t>
        </is>
      </c>
      <c r="AE352" s="31">
        <f>IF(AD352="Tailwind",10,0)</f>
        <v/>
      </c>
      <c r="AF352" s="31" t="inlineStr">
        <is>
          <t>Cyclical</t>
        </is>
      </c>
      <c r="AG352" s="31">
        <f>IF(AF352="Structural (10 Years Consistency)",10,IF(AF352="Shallow Cyclical (2 to 3 years growth)",5,0))</f>
        <v/>
      </c>
      <c r="AH352" s="31" t="inlineStr">
        <is>
          <t>No</t>
        </is>
      </c>
      <c r="AI352" s="31">
        <f>IF(AH352="Yes due to Product Mix change or Operating Leverage",10,IF(AH352="Yes, these are peak margins",-5,IF(AH352="No",5,0)))</f>
        <v/>
      </c>
      <c r="AJ352" s="31" t="inlineStr">
        <is>
          <t>Volatile</t>
        </is>
      </c>
      <c r="AK352" s="31">
        <f>IF(AJ352="Stable",10,0)</f>
        <v/>
      </c>
      <c r="AL352" s="31" t="inlineStr">
        <is>
          <t>Yes</t>
        </is>
      </c>
      <c r="AM352" s="31">
        <f>IF(AL352="Yes",10,0)</f>
        <v/>
      </c>
      <c r="AN352" s="31" t="inlineStr">
        <is>
          <t>B2B</t>
        </is>
      </c>
      <c r="AO352" s="31">
        <f>IF(AN352="B2C",10,IF(AN352="B2B",5,0))</f>
        <v/>
      </c>
      <c r="AP352" s="31" t="inlineStr">
        <is>
          <t>No</t>
        </is>
      </c>
      <c r="AQ352" s="31">
        <f>IF(AP352="Yes",10,0)</f>
        <v/>
      </c>
      <c r="AR352" s="31" t="inlineStr">
        <is>
          <t>Higher One Time, Lower Annuity</t>
        </is>
      </c>
      <c r="AS352" s="31">
        <f>IF(AR352="Fully Annuity",10,IF(AR352="Higher Annuity, Lower One Time",5,IF(AR352="Higher One Time, Lower Annuity",3,0)))</f>
        <v/>
      </c>
      <c r="AT352" s="31" t="inlineStr">
        <is>
          <t>Good</t>
        </is>
      </c>
      <c r="AU352" s="31">
        <f>IF(AT352="Good",10,0)</f>
        <v/>
      </c>
      <c r="AV352" s="31" t="inlineStr">
        <is>
          <t>Yes for more than 2 years</t>
        </is>
      </c>
      <c r="AW352" s="31">
        <f>IF(AV352="Yes for more than 2 years",10,IF(AV352="Yes only for next 1 to 2 years",5,0))</f>
        <v/>
      </c>
      <c r="AX352" s="31" t="inlineStr">
        <is>
          <t>0 to 20</t>
        </is>
      </c>
      <c r="AY352" s="31">
        <f>IF(AX352="Above 40",20,IF(AX352="20 to 40",10,IF(AX352="0 to 20",-5,0)))</f>
        <v/>
      </c>
      <c r="AZ352" s="31" t="inlineStr">
        <is>
          <t>Between 50 to 75</t>
        </is>
      </c>
      <c r="BA352" s="31">
        <f>IF(AZ352="Between 50 to 75",10,IF(AZ352="Above 75",0,0))</f>
        <v/>
      </c>
      <c r="BB352" s="31" t="inlineStr">
        <is>
          <t>Stage 3</t>
        </is>
      </c>
      <c r="BC352" s="31">
        <f>IF(BB352="Stage 2",20,IF(BB352="Stage 1",0,IF(BB352="Stage 3",5,IF(BB352="Stage 4",-5,0))))</f>
        <v/>
      </c>
      <c r="BD352" s="31" t="inlineStr">
        <is>
          <t>Negative Trend</t>
        </is>
      </c>
      <c r="BE352" s="31">
        <f>IF(BD352="Positive Trend",20,IF(BD352="Negative Trend",-10,0))</f>
        <v/>
      </c>
      <c r="BF352" s="31" t="inlineStr">
        <is>
          <t>Uptrend</t>
        </is>
      </c>
      <c r="BG352" s="31">
        <f>IF(BF352="Uptrend",10,IF(BF352="Sideways",5,0))</f>
        <v/>
      </c>
      <c r="BH352" s="31" t="inlineStr">
        <is>
          <t>Uptrend</t>
        </is>
      </c>
      <c r="BI352" s="31">
        <f>IF(BH352="Uptrend",10,IF(BH352="Sideways",5,0))</f>
        <v/>
      </c>
      <c r="BJ352" s="31" t="inlineStr">
        <is>
          <t>Close to 52 week high or retracement</t>
        </is>
      </c>
      <c r="BK352" s="31">
        <f>IF(BJ352="Overhead supply in last 2 years in last 2 years",-5,IF(BJ352="Close to 52 week high or retracement",5,IF(BJ352="Blue sky scenario",10,IF(BJ352="Long term Downtrend",-10,0))))</f>
        <v/>
      </c>
      <c r="BL352" s="31" t="inlineStr">
        <is>
          <t>Yes</t>
        </is>
      </c>
      <c r="BM352" s="31">
        <f>IF(BL352="Yes",10,0)</f>
        <v/>
      </c>
      <c r="BN352" s="31" t="inlineStr">
        <is>
          <t>More than 20%</t>
        </is>
      </c>
      <c r="BO352" s="31">
        <f>IF(BN352="More than 20%",10,IF(BN352="Between 12 to 20%",5,IF(BN352="Less than 12%",0,0)))</f>
        <v/>
      </c>
      <c r="BP352" s="31" t="inlineStr">
        <is>
          <t>No</t>
        </is>
      </c>
      <c r="BQ352" s="31">
        <f>IF(BP352="No",10,0)</f>
        <v/>
      </c>
      <c r="BR352" s="31" t="inlineStr">
        <is>
          <t>Yes</t>
        </is>
      </c>
      <c r="BS352" s="31">
        <f>IF(BR352="NO",5,0)</f>
        <v/>
      </c>
      <c r="BT352" s="31" t="inlineStr">
        <is>
          <t>Above 2</t>
        </is>
      </c>
      <c r="BU352" s="31">
        <f>IF(BT352="Above 2",0,IF(BT352="Between 1.5 to 2",5,IF(BT352="Less than 1.5",10,0)))</f>
        <v/>
      </c>
      <c r="BV352" s="31" t="inlineStr">
        <is>
          <t>Above 70%</t>
        </is>
      </c>
      <c r="BW352" s="31">
        <f>IF(BV352="Above 70%",10,IF(BV352="Between 50% to 70%",5,IF(BV352="Less than 50%",0,IF(BV352="Negative",-10,IF(BV352="Less than 50% and Borrowings are increasing",-5,0)))))</f>
        <v/>
      </c>
      <c r="BX352" s="31" t="inlineStr">
        <is>
          <t>Less than 0.7</t>
        </is>
      </c>
      <c r="BY352" s="31">
        <f>IF(BX352="More than 1.2",-10,IF(BX352="Between 0.7 to 1.2",0,IF(BX352="Less than 0.7",10,0)))</f>
        <v/>
      </c>
      <c r="BZ352" s="31" t="inlineStr">
        <is>
          <t>No</t>
        </is>
      </c>
      <c r="CA352" s="31">
        <f>IF(BZ352="Yes",-10,0)</f>
        <v/>
      </c>
      <c r="CB352" s="31" t="inlineStr">
        <is>
          <t>Less than 15%</t>
        </is>
      </c>
      <c r="CC352" s="31">
        <f>IF(CB352="More than 15%",-10,IF(CB352="Less than 15%",10,0))</f>
        <v/>
      </c>
      <c r="CD352" s="31" t="inlineStr">
        <is>
          <t>No</t>
        </is>
      </c>
      <c r="CE352" s="31">
        <f>IF(CD352="Yes, more than 10%",-10,IF(CD352="No",10,0))</f>
        <v/>
      </c>
    </row>
    <row r="353">
      <c r="A353" s="31">
        <f>IF(B353=0,"",RANK(B353,$B$2:$B$366,0))</f>
        <v/>
      </c>
      <c r="B353" s="32">
        <f>SUM(N353,Y353,AA353,AC353,AE353,AG353,AI353,AK353,AM353,AO353,AQ353,AS353,AU353,AW353,AY353,BA353,BC353,BE353,BG353,BI353,BK353,BM353,BO353,BQ353,BS353,BU353,BW353,BY353,CA353,CC353,CE353)</f>
        <v/>
      </c>
      <c r="C353" s="33" t="inlineStr">
        <is>
          <t>TRENT</t>
        </is>
      </c>
      <c r="D353" s="33" t="inlineStr">
        <is>
          <t>Trent Limited</t>
        </is>
      </c>
      <c r="E353" s="31" t="inlineStr">
        <is>
          <t>consumer discretionary</t>
        </is>
      </c>
      <c r="F353" s="31" t="inlineStr">
        <is>
          <t>trading</t>
        </is>
      </c>
      <c r="G353" s="31" t="inlineStr">
        <is>
          <t>largecap</t>
        </is>
      </c>
      <c r="H353" s="32" t="n">
        <v>160284.3</v>
      </c>
      <c r="I353" s="32" t="n">
        <v>3050</v>
      </c>
      <c r="J353" s="32" t="n">
        <v>1.47</v>
      </c>
      <c r="K353" s="32" t="n">
        <v>2581844</v>
      </c>
      <c r="L353" s="31" t="n">
        <v>2</v>
      </c>
      <c r="M353" s="31" t="inlineStr">
        <is>
          <t>Underperforming</t>
        </is>
      </c>
      <c r="N353" s="32">
        <f>IF(M353="Underperforming",-5,IF(L353&gt;=95,15,IF(L353&gt;=90,10,IF(L353&gt;=80,5,0))))</f>
        <v/>
      </c>
      <c r="O353" s="32" t="n">
        <v>49.21</v>
      </c>
      <c r="P353" s="32" t="n">
        <v>11.52</v>
      </c>
      <c r="Q353" s="32" t="inlineStr"/>
      <c r="R353" s="31" t="inlineStr">
        <is>
          <t>Earnings / Momentum Support</t>
        </is>
      </c>
      <c r="S353" s="31" t="inlineStr">
        <is>
          <t>Nifty 50</t>
        </is>
      </c>
      <c r="T353" s="32" t="n">
        <v>-0.74</v>
      </c>
      <c r="U353" s="32" t="n">
        <v>-41.89</v>
      </c>
      <c r="V353" s="32" t="n">
        <v>-41.45</v>
      </c>
      <c r="W353" s="32" t="n">
        <v>-5.47</v>
      </c>
      <c r="X353" s="31" t="inlineStr">
        <is>
          <t>Growing Industry</t>
        </is>
      </c>
      <c r="Y353" s="31">
        <f>IF(X353="Growing Industry",10,IF(X353="Cyclical in an Upturn",5,0))</f>
        <v/>
      </c>
      <c r="Z353" s="31" t="inlineStr">
        <is>
          <t>Too Many Players with High ROCE</t>
        </is>
      </c>
      <c r="AA353" s="31">
        <f>IF(Z353="Monopoly",10,IF(Z353="Oligopoly",5,IF(Z353="Duopoly that cooperate",10,IF(Z353="Duopoly that compete",5,IF(Z353="Too many players with High ROCE",5,0)))))</f>
        <v/>
      </c>
      <c r="AB353" s="31" t="inlineStr">
        <is>
          <t>No</t>
        </is>
      </c>
      <c r="AC353" s="31">
        <f>IF(AB353="No",5,0)</f>
        <v/>
      </c>
      <c r="AD353" s="31" t="inlineStr">
        <is>
          <t>Headwind</t>
        </is>
      </c>
      <c r="AE353" s="31">
        <f>IF(AD353="Tailwind",10,0)</f>
        <v/>
      </c>
      <c r="AF353" s="31" t="inlineStr">
        <is>
          <t>Structural (10 Years Consistency)</t>
        </is>
      </c>
      <c r="AG353" s="31">
        <f>IF(AF353="Structural (10 Years Consistency)",10,IF(AF353="Shallow Cyclical (2 to 3 years growth)",5,0))</f>
        <v/>
      </c>
      <c r="AH353" s="31" t="inlineStr">
        <is>
          <t>No</t>
        </is>
      </c>
      <c r="AI353" s="31">
        <f>IF(AH353="Yes due to Product Mix change or Operating Leverage",10,IF(AH353="Yes, these are peak margins",-5,IF(AH353="No",5,0)))</f>
        <v/>
      </c>
      <c r="AJ353" s="31" t="inlineStr">
        <is>
          <t>Stable</t>
        </is>
      </c>
      <c r="AK353" s="31">
        <f>IF(AJ353="Stable",10,0)</f>
        <v/>
      </c>
      <c r="AL353" s="31" t="inlineStr">
        <is>
          <t>Yes</t>
        </is>
      </c>
      <c r="AM353" s="31">
        <f>IF(AL353="Yes",10,0)</f>
        <v/>
      </c>
      <c r="AN353" s="31" t="inlineStr">
        <is>
          <t>B2B</t>
        </is>
      </c>
      <c r="AO353" s="31">
        <f>IF(AN353="B2C",10,IF(AN353="B2B",5,0))</f>
        <v/>
      </c>
      <c r="AP353" s="31" t="inlineStr">
        <is>
          <t>No</t>
        </is>
      </c>
      <c r="AQ353" s="31">
        <f>IF(AP353="Yes",10,0)</f>
        <v/>
      </c>
      <c r="AR353" s="31" t="inlineStr">
        <is>
          <t>Higher One Time, Lower Annuity</t>
        </is>
      </c>
      <c r="AS353" s="31">
        <f>IF(AR353="Fully Annuity",10,IF(AR353="Higher Annuity, Lower One Time",5,IF(AR353="Higher One Time, Lower Annuity",3,0)))</f>
        <v/>
      </c>
      <c r="AT353" s="31" t="inlineStr">
        <is>
          <t>Good</t>
        </is>
      </c>
      <c r="AU353" s="31">
        <f>IF(AT353="Good",10,0)</f>
        <v/>
      </c>
      <c r="AV353" s="31" t="inlineStr">
        <is>
          <t>Yes for more than 2 years</t>
        </is>
      </c>
      <c r="AW353" s="31">
        <f>IF(AV353="Yes for more than 2 years",10,IF(AV353="Yes only for next 1 to 2 years",5,0))</f>
        <v/>
      </c>
      <c r="AX353" s="31" t="inlineStr">
        <is>
          <t>0 to 20</t>
        </is>
      </c>
      <c r="AY353" s="31">
        <f>IF(AX353="Above 40",20,IF(AX353="20 to 40",10,IF(AX353="0 to 20",-5,0)))</f>
        <v/>
      </c>
      <c r="AZ353" s="31" t="inlineStr">
        <is>
          <t>Below 45</t>
        </is>
      </c>
      <c r="BA353" s="31">
        <f>IF(AZ353="Between 50 to 75",10,IF(AZ353="Above 75",0,0))</f>
        <v/>
      </c>
      <c r="BB353" s="31" t="inlineStr">
        <is>
          <t>Stage 4</t>
        </is>
      </c>
      <c r="BC353" s="31">
        <f>IF(BB353="Stage 2",20,IF(BB353="Stage 1",0,IF(BB353="Stage 3",5,IF(BB353="Stage 4",-5,0))))</f>
        <v/>
      </c>
      <c r="BD353" s="31" t="inlineStr">
        <is>
          <t>Negative Trend</t>
        </is>
      </c>
      <c r="BE353" s="31">
        <f>IF(BD353="Positive Trend",20,IF(BD353="Negative Trend",-10,0))</f>
        <v/>
      </c>
      <c r="BF353" s="31" t="inlineStr">
        <is>
          <t>Uptrend</t>
        </is>
      </c>
      <c r="BG353" s="31">
        <f>IF(BF353="Uptrend",10,IF(BF353="Sideways",5,0))</f>
        <v/>
      </c>
      <c r="BH353" s="31" t="inlineStr">
        <is>
          <t>Uptrend</t>
        </is>
      </c>
      <c r="BI353" s="31">
        <f>IF(BH353="Uptrend",10,IF(BH353="Sideways",5,0))</f>
        <v/>
      </c>
      <c r="BJ353" s="31" t="inlineStr">
        <is>
          <t>Close to 52 week high or retracement</t>
        </is>
      </c>
      <c r="BK353" s="31">
        <f>IF(BJ353="Overhead supply in last 2 years in last 2 years",-5,IF(BJ353="Close to 52 week high or retracement",5,IF(BJ353="Blue sky scenario",10,IF(BJ353="Long term Downtrend",-10,0))))</f>
        <v/>
      </c>
      <c r="BL353" s="31" t="inlineStr">
        <is>
          <t>Yes</t>
        </is>
      </c>
      <c r="BM353" s="31">
        <f>IF(BL353="Yes",10,0)</f>
        <v/>
      </c>
      <c r="BN353" s="31" t="inlineStr">
        <is>
          <t>More than 20%</t>
        </is>
      </c>
      <c r="BO353" s="31">
        <f>IF(BN353="More than 20%",10,IF(BN353="Between 12 to 20%",5,IF(BN353="Less than 12%",0,0)))</f>
        <v/>
      </c>
      <c r="BP353" s="31" t="inlineStr">
        <is>
          <t>No</t>
        </is>
      </c>
      <c r="BQ353" s="31">
        <f>IF(BP353="No",10,0)</f>
        <v/>
      </c>
      <c r="BR353" s="31" t="inlineStr">
        <is>
          <t>Yes</t>
        </is>
      </c>
      <c r="BS353" s="31">
        <f>IF(BR353="NO",5,0)</f>
        <v/>
      </c>
      <c r="BT353" s="31" t="inlineStr">
        <is>
          <t>Above 2</t>
        </is>
      </c>
      <c r="BU353" s="31">
        <f>IF(BT353="Above 2",0,IF(BT353="Between 1.5 to 2",5,IF(BT353="Less than 1.5",10,0)))</f>
        <v/>
      </c>
      <c r="BV353" s="31" t="inlineStr">
        <is>
          <t>Above 70%</t>
        </is>
      </c>
      <c r="BW353" s="31">
        <f>IF(BV353="Above 70%",10,IF(BV353="Between 50% to 70%",5,IF(BV353="Less than 50%",0,IF(BV353="Negative",-10,IF(BV353="Less than 50% and Borrowings are increasing",-5,0)))))</f>
        <v/>
      </c>
      <c r="BX353" s="31" t="inlineStr">
        <is>
          <t>Less than 0.7</t>
        </is>
      </c>
      <c r="BY353" s="31">
        <f>IF(BX353="More than 1.2",-10,IF(BX353="Between 0.7 to 1.2",0,IF(BX353="Less than 0.7",10,0)))</f>
        <v/>
      </c>
      <c r="BZ353" s="31" t="inlineStr">
        <is>
          <t>No</t>
        </is>
      </c>
      <c r="CA353" s="31">
        <f>IF(BZ353="Yes",-10,0)</f>
        <v/>
      </c>
      <c r="CB353" s="31" t="inlineStr">
        <is>
          <t>Less than 15%</t>
        </is>
      </c>
      <c r="CC353" s="31">
        <f>IF(CB353="More than 15%",-10,IF(CB353="Less than 15%",10,0))</f>
        <v/>
      </c>
      <c r="CD353" s="31" t="inlineStr">
        <is>
          <t>No</t>
        </is>
      </c>
      <c r="CE353" s="31">
        <f>IF(CD353="Yes, more than 10%",-10,IF(CD353="No",10,0))</f>
        <v/>
      </c>
    </row>
    <row r="354">
      <c r="A354" s="31">
        <f>IF(B354=0,"",RANK(B354,$B$2:$B$366,0))</f>
        <v/>
      </c>
      <c r="B354" s="32">
        <f>SUM(N354,Y354,AA354,AC354,AE354,AG354,AI354,AK354,AM354,AO354,AQ354,AS354,AU354,AW354,AY354,BA354,BC354,BE354,BG354,BI354,BK354,BM354,BO354,BQ354,BS354,BU354,BW354,BY354,CA354,CC354,CE354)</f>
        <v/>
      </c>
      <c r="C354" s="31" t="inlineStr">
        <is>
          <t>PTCIL</t>
        </is>
      </c>
      <c r="D354" s="31" t="inlineStr">
        <is>
          <t>PTC Industries Ltd</t>
        </is>
      </c>
      <c r="E354" s="31" t="inlineStr">
        <is>
          <t>industrials</t>
        </is>
      </c>
      <c r="F354" s="31" t="inlineStr">
        <is>
          <t>castings &amp; forgings</t>
        </is>
      </c>
      <c r="G354" s="31" t="inlineStr">
        <is>
          <t>largecap</t>
        </is>
      </c>
      <c r="H354" s="32" t="n">
        <v>26592.28</v>
      </c>
      <c r="I354" s="32" t="n">
        <v>17981</v>
      </c>
      <c r="J354" s="32" t="n">
        <v>1.38</v>
      </c>
      <c r="K354" s="32" t="n">
        <v>8055</v>
      </c>
      <c r="L354" s="31" t="n">
        <v>39</v>
      </c>
      <c r="M354" s="31" t="inlineStr">
        <is>
          <t>Outperforming</t>
        </is>
      </c>
      <c r="N354" s="32">
        <f>IF(M354="Underperforming",-5,IF(L354&gt;=95,15,IF(L354&gt;=90,10,IF(L354&gt;=80,5,0))))</f>
        <v/>
      </c>
      <c r="O354" s="32" t="n">
        <v>54.03</v>
      </c>
      <c r="P354" s="32" t="n">
        <v>16.67</v>
      </c>
      <c r="Q354" s="32" t="inlineStr"/>
      <c r="R354" s="31" t="inlineStr">
        <is>
          <t>Earnings / Momentum Support</t>
        </is>
      </c>
      <c r="S354" s="31" t="inlineStr">
        <is>
          <t>Nifty 50</t>
        </is>
      </c>
      <c r="T354" s="32" t="n">
        <v>-0.74</v>
      </c>
      <c r="U354" s="32" t="n">
        <v>19.84</v>
      </c>
      <c r="V354" s="32" t="n">
        <v>20.73</v>
      </c>
      <c r="W354" s="32" t="n">
        <v>6.2</v>
      </c>
      <c r="X354" s="31" t="inlineStr">
        <is>
          <t>Cyclical in an Upturn</t>
        </is>
      </c>
      <c r="Y354" s="31">
        <f>IF(X354="Growing Industry",10,IF(X354="Cyclical in an Upturn",5,0))</f>
        <v/>
      </c>
      <c r="Z354" s="31" t="inlineStr">
        <is>
          <t>Too Many Players with High ROCE</t>
        </is>
      </c>
      <c r="AA354" s="31">
        <f>IF(Z354="Monopoly",10,IF(Z354="Oligopoly",5,IF(Z354="Duopoly that cooperate",10,IF(Z354="Duopoly that compete",5,IF(Z354="Too many players with High ROCE",5,0)))))</f>
        <v/>
      </c>
      <c r="AB354" s="31" t="inlineStr">
        <is>
          <t>No</t>
        </is>
      </c>
      <c r="AC354" s="31">
        <f>IF(AB354="No",5,0)</f>
        <v/>
      </c>
      <c r="AD354" s="31" t="inlineStr">
        <is>
          <t>Headwind</t>
        </is>
      </c>
      <c r="AE354" s="31">
        <f>IF(AD354="Tailwind",10,0)</f>
        <v/>
      </c>
      <c r="AF354" s="31" t="inlineStr">
        <is>
          <t>Structural (10 Years Consistency)</t>
        </is>
      </c>
      <c r="AG354" s="31">
        <f>IF(AF354="Structural (10 Years Consistency)",10,IF(AF354="Shallow Cyclical (2 to 3 years growth)",5,0))</f>
        <v/>
      </c>
      <c r="AH354" s="31" t="inlineStr">
        <is>
          <t>No</t>
        </is>
      </c>
      <c r="AI354" s="31">
        <f>IF(AH354="Yes due to Product Mix change or Operating Leverage",10,IF(AH354="Yes, these are peak margins",-5,IF(AH354="No",5,0)))</f>
        <v/>
      </c>
      <c r="AJ354" s="31" t="inlineStr">
        <is>
          <t>Stable</t>
        </is>
      </c>
      <c r="AK354" s="31">
        <f>IF(AJ354="Stable",10,0)</f>
        <v/>
      </c>
      <c r="AL354" s="31" t="inlineStr">
        <is>
          <t>Yes</t>
        </is>
      </c>
      <c r="AM354" s="31">
        <f>IF(AL354="Yes",10,0)</f>
        <v/>
      </c>
      <c r="AN354" s="31" t="inlineStr">
        <is>
          <t>B2B</t>
        </is>
      </c>
      <c r="AO354" s="31">
        <f>IF(AN354="B2C",10,IF(AN354="B2B",5,0))</f>
        <v/>
      </c>
      <c r="AP354" s="31" t="inlineStr">
        <is>
          <t>No</t>
        </is>
      </c>
      <c r="AQ354" s="31">
        <f>IF(AP354="Yes",10,0)</f>
        <v/>
      </c>
      <c r="AR354" s="31" t="inlineStr">
        <is>
          <t>Higher One Time, Lower Annuity</t>
        </is>
      </c>
      <c r="AS354" s="31">
        <f>IF(AR354="Fully Annuity",10,IF(AR354="Higher Annuity, Lower One Time",5,IF(AR354="Higher One Time, Lower Annuity",3,0)))</f>
        <v/>
      </c>
      <c r="AT354" s="31" t="inlineStr">
        <is>
          <t>Good</t>
        </is>
      </c>
      <c r="AU354" s="31">
        <f>IF(AT354="Good",10,0)</f>
        <v/>
      </c>
      <c r="AV354" s="31" t="inlineStr">
        <is>
          <t>Yes for more than 2 years</t>
        </is>
      </c>
      <c r="AW354" s="31">
        <f>IF(AV354="Yes for more than 2 years",10,IF(AV354="Yes only for next 1 to 2 years",5,0))</f>
        <v/>
      </c>
      <c r="AX354" s="31" t="inlineStr">
        <is>
          <t>0 to 20</t>
        </is>
      </c>
      <c r="AY354" s="31">
        <f>IF(AX354="Above 40",20,IF(AX354="20 to 40",10,IF(AX354="0 to 20",-5,0)))</f>
        <v/>
      </c>
      <c r="AZ354" s="31" t="inlineStr">
        <is>
          <t>Between 50 to 75</t>
        </is>
      </c>
      <c r="BA354" s="31">
        <f>IF(AZ354="Between 50 to 75",10,IF(AZ354="Above 75",0,0))</f>
        <v/>
      </c>
      <c r="BB354" s="31" t="inlineStr">
        <is>
          <t>Stage 3</t>
        </is>
      </c>
      <c r="BC354" s="31">
        <f>IF(BB354="Stage 2",20,IF(BB354="Stage 1",0,IF(BB354="Stage 3",5,IF(BB354="Stage 4",-5,0))))</f>
        <v/>
      </c>
      <c r="BD354" s="31" t="inlineStr">
        <is>
          <t>Negative Trend</t>
        </is>
      </c>
      <c r="BE354" s="31">
        <f>IF(BD354="Positive Trend",20,IF(BD354="Negative Trend",-10,0))</f>
        <v/>
      </c>
      <c r="BF354" s="31" t="inlineStr">
        <is>
          <t>Uptrend</t>
        </is>
      </c>
      <c r="BG354" s="31">
        <f>IF(BF354="Uptrend",10,IF(BF354="Sideways",5,0))</f>
        <v/>
      </c>
      <c r="BH354" s="31" t="inlineStr">
        <is>
          <t>Uptrend</t>
        </is>
      </c>
      <c r="BI354" s="31">
        <f>IF(BH354="Uptrend",10,IF(BH354="Sideways",5,0))</f>
        <v/>
      </c>
      <c r="BJ354" s="31" t="inlineStr">
        <is>
          <t>Close to 52 week high or retracement</t>
        </is>
      </c>
      <c r="BK354" s="31">
        <f>IF(BJ354="Overhead supply in last 2 years in last 2 years",-5,IF(BJ354="Close to 52 week high or retracement",5,IF(BJ354="Blue sky scenario",10,IF(BJ354="Long term Downtrend",-10,0))))</f>
        <v/>
      </c>
      <c r="BL354" s="31" t="inlineStr">
        <is>
          <t>Yes</t>
        </is>
      </c>
      <c r="BM354" s="31">
        <f>IF(BL354="Yes",10,0)</f>
        <v/>
      </c>
      <c r="BN354" s="31" t="inlineStr">
        <is>
          <t>More than 20%</t>
        </is>
      </c>
      <c r="BO354" s="31">
        <f>IF(BN354="More than 20%",10,IF(BN354="Between 12 to 20%",5,IF(BN354="Less than 12%",0,0)))</f>
        <v/>
      </c>
      <c r="BP354" s="31" t="inlineStr">
        <is>
          <t>No</t>
        </is>
      </c>
      <c r="BQ354" s="31">
        <f>IF(BP354="No",10,0)</f>
        <v/>
      </c>
      <c r="BR354" s="31" t="inlineStr">
        <is>
          <t>Yes</t>
        </is>
      </c>
      <c r="BS354" s="31">
        <f>IF(BR354="NO",5,0)</f>
        <v/>
      </c>
      <c r="BT354" s="31" t="inlineStr">
        <is>
          <t>Above 2</t>
        </is>
      </c>
      <c r="BU354" s="31">
        <f>IF(BT354="Above 2",0,IF(BT354="Between 1.5 to 2",5,IF(BT354="Less than 1.5",10,0)))</f>
        <v/>
      </c>
      <c r="BV354" s="31" t="inlineStr">
        <is>
          <t>Negative</t>
        </is>
      </c>
      <c r="BW354" s="31">
        <f>IF(BV354="Above 70%",10,IF(BV354="Between 50% to 70%",5,IF(BV354="Less than 50%",0,IF(BV354="Negative",-10,IF(BV354="Less than 50% and Borrowings are increasing",-5,0)))))</f>
        <v/>
      </c>
      <c r="BX354" s="31" t="inlineStr">
        <is>
          <t>Less than 0.7</t>
        </is>
      </c>
      <c r="BY354" s="31">
        <f>IF(BX354="More than 1.2",-10,IF(BX354="Between 0.7 to 1.2",0,IF(BX354="Less than 0.7",10,0)))</f>
        <v/>
      </c>
      <c r="BZ354" s="31" t="inlineStr">
        <is>
          <t>No</t>
        </is>
      </c>
      <c r="CA354" s="31">
        <f>IF(BZ354="Yes",-10,0)</f>
        <v/>
      </c>
      <c r="CB354" s="31" t="inlineStr">
        <is>
          <t>Less than 15%</t>
        </is>
      </c>
      <c r="CC354" s="31">
        <f>IF(CB354="More than 15%",-10,IF(CB354="Less than 15%",10,0))</f>
        <v/>
      </c>
      <c r="CD354" s="31" t="inlineStr">
        <is>
          <t>No</t>
        </is>
      </c>
      <c r="CE354" s="31">
        <f>IF(CD354="Yes, more than 10%",-10,IF(CD354="No",10,0))</f>
        <v/>
      </c>
    </row>
    <row r="355">
      <c r="A355" s="31">
        <f>IF(B355=0,"",RANK(B355,$B$2:$B$366,0))</f>
        <v/>
      </c>
      <c r="B355" s="32">
        <f>SUM(N355,Y355,AA355,AC355,AE355,AG355,AI355,AK355,AM355,AO355,AQ355,AS355,AU355,AW355,AY355,BA355,BC355,BE355,BG355,BI355,BK355,BM355,BO355,BQ355,BS355,BU355,BW355,BY355,CA355,CC355,CE355)</f>
        <v/>
      </c>
      <c r="C355" s="31" t="inlineStr">
        <is>
          <t>BHARTIARTL</t>
        </is>
      </c>
      <c r="D355" s="31" t="inlineStr">
        <is>
          <t>Bharti Airtel Limited</t>
        </is>
      </c>
      <c r="E355" s="31" t="inlineStr">
        <is>
          <t>telecom-service</t>
        </is>
      </c>
      <c r="F355" s="31" t="inlineStr">
        <is>
          <t>telecommunications - service provider</t>
        </is>
      </c>
      <c r="G355" s="31" t="inlineStr">
        <is>
          <t>largecap</t>
        </is>
      </c>
      <c r="H355" s="32" t="n">
        <v>1230755.63</v>
      </c>
      <c r="I355" s="32" t="n">
        <v>1970.5</v>
      </c>
      <c r="J355" s="32" t="n">
        <v>-0.08</v>
      </c>
      <c r="K355" s="32" t="n">
        <v>12473984</v>
      </c>
      <c r="L355" s="31" t="n">
        <v>20</v>
      </c>
      <c r="M355" s="31" t="inlineStr">
        <is>
          <t>Outperforming</t>
        </is>
      </c>
      <c r="N355" s="32">
        <f>IF(M355="Underperforming",-5,IF(L355&gt;=95,15,IF(L355&gt;=90,10,IF(L355&gt;=80,5,0))))</f>
        <v/>
      </c>
      <c r="O355" s="32" t="n">
        <v>58.44</v>
      </c>
      <c r="P355" s="32" t="n">
        <v>16.54</v>
      </c>
      <c r="Q355" s="32" t="inlineStr"/>
      <c r="R355" s="31" t="inlineStr">
        <is>
          <t>Earnings / Momentum Support</t>
        </is>
      </c>
      <c r="S355" s="31" t="inlineStr">
        <is>
          <t>Nifty 50</t>
        </is>
      </c>
      <c r="T355" s="32" t="n">
        <v>-0.74</v>
      </c>
      <c r="U355" s="32" t="n">
        <v>5.97</v>
      </c>
      <c r="V355" s="32" t="n">
        <v>6.76</v>
      </c>
      <c r="W355" s="32" t="n">
        <v>2.47</v>
      </c>
      <c r="X355" s="31" t="inlineStr">
        <is>
          <t>Growing Industry</t>
        </is>
      </c>
      <c r="Y355" s="31">
        <f>IF(X355="Growing Industry",10,IF(X355="Cyclical in an Upturn",5,0))</f>
        <v/>
      </c>
      <c r="Z355" s="31" t="inlineStr">
        <is>
          <t>Oligopoly</t>
        </is>
      </c>
      <c r="AA355" s="31">
        <f>IF(Z355="Monopoly",10,IF(Z355="Oligopoly",5,IF(Z355="Duopoly that cooperate",10,IF(Z355="Duopoly that compete",5,IF(Z355="Too many players with High ROCE",5,0)))))</f>
        <v/>
      </c>
      <c r="AB355" s="31" t="inlineStr">
        <is>
          <t>Yes</t>
        </is>
      </c>
      <c r="AC355" s="31">
        <f>IF(AB355="No",5,0)</f>
        <v/>
      </c>
      <c r="AD355" s="31" t="inlineStr">
        <is>
          <t>Headwind</t>
        </is>
      </c>
      <c r="AE355" s="31">
        <f>IF(AD355="Tailwind",10,0)</f>
        <v/>
      </c>
      <c r="AF355" s="31" t="inlineStr">
        <is>
          <t>Structural (10 Years Consistency)</t>
        </is>
      </c>
      <c r="AG355" s="31">
        <f>IF(AF355="Structural (10 Years Consistency)",10,IF(AF355="Shallow Cyclical (2 to 3 years growth)",5,0))</f>
        <v/>
      </c>
      <c r="AH355" s="31" t="inlineStr">
        <is>
          <t>No</t>
        </is>
      </c>
      <c r="AI355" s="31">
        <f>IF(AH355="Yes due to Product Mix change or Operating Leverage",10,IF(AH355="Yes, these are peak margins",-5,IF(AH355="No",5,0)))</f>
        <v/>
      </c>
      <c r="AJ355" s="31" t="inlineStr">
        <is>
          <t>Stable</t>
        </is>
      </c>
      <c r="AK355" s="31">
        <f>IF(AJ355="Stable",10,0)</f>
        <v/>
      </c>
      <c r="AL355" s="31" t="inlineStr">
        <is>
          <t>Yes</t>
        </is>
      </c>
      <c r="AM355" s="31">
        <f>IF(AL355="Yes",10,0)</f>
        <v/>
      </c>
      <c r="AN355" s="31" t="inlineStr">
        <is>
          <t>B2B</t>
        </is>
      </c>
      <c r="AO355" s="31">
        <f>IF(AN355="B2C",10,IF(AN355="B2B",5,0))</f>
        <v/>
      </c>
      <c r="AP355" s="31" t="inlineStr">
        <is>
          <t>No</t>
        </is>
      </c>
      <c r="AQ355" s="31">
        <f>IF(AP355="Yes",10,0)</f>
        <v/>
      </c>
      <c r="AR355" s="31" t="inlineStr">
        <is>
          <t>Higher One Time, Lower Annuity</t>
        </is>
      </c>
      <c r="AS355" s="31">
        <f>IF(AR355="Fully Annuity",10,IF(AR355="Higher Annuity, Lower One Time",5,IF(AR355="Higher One Time, Lower Annuity",3,0)))</f>
        <v/>
      </c>
      <c r="AT355" s="31" t="inlineStr">
        <is>
          <t>Good</t>
        </is>
      </c>
      <c r="AU355" s="31">
        <f>IF(AT355="Good",10,0)</f>
        <v/>
      </c>
      <c r="AV355" s="31" t="inlineStr">
        <is>
          <t>Yes for more than 2 years</t>
        </is>
      </c>
      <c r="AW355" s="31">
        <f>IF(AV355="Yes for more than 2 years",10,IF(AV355="Yes only for next 1 to 2 years",5,0))</f>
        <v/>
      </c>
      <c r="AX355" s="31" t="inlineStr">
        <is>
          <t>0 to 20</t>
        </is>
      </c>
      <c r="AY355" s="31">
        <f>IF(AX355="Above 40",20,IF(AX355="20 to 40",10,IF(AX355="0 to 20",-5,0)))</f>
        <v/>
      </c>
      <c r="AZ355" s="31" t="inlineStr">
        <is>
          <t>Between 50 to 75</t>
        </is>
      </c>
      <c r="BA355" s="31">
        <f>IF(AZ355="Between 50 to 75",10,IF(AZ355="Above 75",0,0))</f>
        <v/>
      </c>
      <c r="BB355" s="31" t="inlineStr">
        <is>
          <t>Stage 3</t>
        </is>
      </c>
      <c r="BC355" s="31">
        <f>IF(BB355="Stage 2",20,IF(BB355="Stage 1",0,IF(BB355="Stage 3",5,IF(BB355="Stage 4",-5,0))))</f>
        <v/>
      </c>
      <c r="BD355" s="31" t="inlineStr">
        <is>
          <t>Negative Trend</t>
        </is>
      </c>
      <c r="BE355" s="31">
        <f>IF(BD355="Positive Trend",20,IF(BD355="Negative Trend",-10,0))</f>
        <v/>
      </c>
      <c r="BF355" s="31" t="inlineStr">
        <is>
          <t>Uptrend</t>
        </is>
      </c>
      <c r="BG355" s="31">
        <f>IF(BF355="Uptrend",10,IF(BF355="Sideways",5,0))</f>
        <v/>
      </c>
      <c r="BH355" s="31" t="inlineStr">
        <is>
          <t>Uptrend</t>
        </is>
      </c>
      <c r="BI355" s="31">
        <f>IF(BH355="Uptrend",10,IF(BH355="Sideways",5,0))</f>
        <v/>
      </c>
      <c r="BJ355" s="31" t="inlineStr">
        <is>
          <t>Close to 52 week high or retracement</t>
        </is>
      </c>
      <c r="BK355" s="31">
        <f>IF(BJ355="Overhead supply in last 2 years in last 2 years",-5,IF(BJ355="Close to 52 week high or retracement",5,IF(BJ355="Blue sky scenario",10,IF(BJ355="Long term Downtrend",-10,0))))</f>
        <v/>
      </c>
      <c r="BL355" s="31" t="inlineStr">
        <is>
          <t>Yes</t>
        </is>
      </c>
      <c r="BM355" s="31">
        <f>IF(BL355="Yes",10,0)</f>
        <v/>
      </c>
      <c r="BN355" s="31" t="inlineStr">
        <is>
          <t>Less than 12%</t>
        </is>
      </c>
      <c r="BO355" s="31">
        <f>IF(BN355="More than 20%",10,IF(BN355="Between 12 to 20%",5,IF(BN355="Less than 12%",0,0)))</f>
        <v/>
      </c>
      <c r="BP355" s="31" t="inlineStr">
        <is>
          <t>No</t>
        </is>
      </c>
      <c r="BQ355" s="31">
        <f>IF(BP355="No",10,0)</f>
        <v/>
      </c>
      <c r="BR355" s="31" t="inlineStr">
        <is>
          <t>Yes</t>
        </is>
      </c>
      <c r="BS355" s="31">
        <f>IF(BR355="NO",5,0)</f>
        <v/>
      </c>
      <c r="BT355" s="31" t="inlineStr">
        <is>
          <t>Above 2</t>
        </is>
      </c>
      <c r="BU355" s="31">
        <f>IF(BT355="Above 2",0,IF(BT355="Between 1.5 to 2",5,IF(BT355="Less than 1.5",10,0)))</f>
        <v/>
      </c>
      <c r="BV355" s="31" t="inlineStr">
        <is>
          <t>Above 70%</t>
        </is>
      </c>
      <c r="BW355" s="31">
        <f>IF(BV355="Above 70%",10,IF(BV355="Between 50% to 70%",5,IF(BV355="Less than 50%",0,IF(BV355="Negative",-10,IF(BV355="Less than 50% and Borrowings are increasing",-5,0)))))</f>
        <v/>
      </c>
      <c r="BX355" s="31" t="inlineStr">
        <is>
          <t>Between 0.7 to 1.2</t>
        </is>
      </c>
      <c r="BY355" s="31">
        <f>IF(BX355="More than 1.2",-10,IF(BX355="Between 0.7 to 1.2",0,IF(BX355="Less than 0.7",10,0)))</f>
        <v/>
      </c>
      <c r="BZ355" s="31" t="inlineStr">
        <is>
          <t>No</t>
        </is>
      </c>
      <c r="CA355" s="31">
        <f>IF(BZ355="Yes",-10,0)</f>
        <v/>
      </c>
      <c r="CB355" s="31" t="inlineStr">
        <is>
          <t>Less than 15%</t>
        </is>
      </c>
      <c r="CC355" s="31">
        <f>IF(CB355="More than 15%",-10,IF(CB355="Less than 15%",10,0))</f>
        <v/>
      </c>
      <c r="CD355" s="31" t="inlineStr">
        <is>
          <t>No</t>
        </is>
      </c>
      <c r="CE355" s="31">
        <f>IF(CD355="Yes, more than 10%",-10,IF(CD355="No",10,0))</f>
        <v/>
      </c>
    </row>
    <row r="356">
      <c r="A356" s="31">
        <f>IF(B356=0,"",RANK(B356,$B$2:$B$366,0))</f>
        <v/>
      </c>
      <c r="B356" s="32">
        <f>SUM(N356,Y356,AA356,AC356,AE356,AG356,AI356,AK356,AM356,AO356,AQ356,AS356,AU356,AW356,AY356,BA356,BC356,BE356,BG356,BI356,BK356,BM356,BO356,BQ356,BS356,BU356,BW356,BY356,CA356,CC356,CE356)</f>
        <v/>
      </c>
      <c r="C356" s="33" t="inlineStr">
        <is>
          <t>INDIGO</t>
        </is>
      </c>
      <c r="D356" s="33" t="inlineStr">
        <is>
          <t>Interglobe Aviation Limited</t>
        </is>
      </c>
      <c r="E356" s="31" t="inlineStr">
        <is>
          <t>transportation</t>
        </is>
      </c>
      <c r="F356" s="31" t="inlineStr">
        <is>
          <t>transport - airlines</t>
        </is>
      </c>
      <c r="G356" s="31" t="inlineStr">
        <is>
          <t>largecap</t>
        </is>
      </c>
      <c r="H356" s="32" t="n">
        <v>199940.59</v>
      </c>
      <c r="I356" s="32" t="n">
        <v>5400</v>
      </c>
      <c r="J356" s="32" t="n">
        <v>4.43</v>
      </c>
      <c r="K356" s="32" t="n">
        <v>2949147</v>
      </c>
      <c r="L356" s="31" t="n">
        <v>21</v>
      </c>
      <c r="M356" s="31" t="inlineStr">
        <is>
          <t>Underperforming</t>
        </is>
      </c>
      <c r="N356" s="32">
        <f>IF(M356="Underperforming",-5,IF(L356&gt;=95,15,IF(L356&gt;=90,10,IF(L356&gt;=80,5,0))))</f>
        <v/>
      </c>
      <c r="O356" s="32" t="n">
        <v>56.27</v>
      </c>
      <c r="P356" s="32" t="n">
        <v>17.95</v>
      </c>
      <c r="Q356" s="32" t="inlineStr"/>
      <c r="R356" s="31" t="inlineStr">
        <is>
          <t>Earnings / Momentum Support</t>
        </is>
      </c>
      <c r="S356" s="31" t="inlineStr">
        <is>
          <t>Nifty 50</t>
        </is>
      </c>
      <c r="T356" s="32" t="n">
        <v>-0.74</v>
      </c>
      <c r="U356" s="32" t="n">
        <v>-10.52</v>
      </c>
      <c r="V356" s="32" t="n">
        <v>-9.85</v>
      </c>
      <c r="W356" s="32" t="n">
        <v>2.66</v>
      </c>
      <c r="X356" s="31" t="inlineStr">
        <is>
          <t>Growing Industry</t>
        </is>
      </c>
      <c r="Y356" s="31">
        <f>IF(X356="Growing Industry",10,IF(X356="Cyclical in an Upturn",5,0))</f>
        <v/>
      </c>
      <c r="Z356" s="31" t="inlineStr">
        <is>
          <t>Too Many Players with High ROCE</t>
        </is>
      </c>
      <c r="AA356" s="31">
        <f>IF(Z356="Monopoly",10,IF(Z356="Oligopoly",5,IF(Z356="Duopoly that cooperate",10,IF(Z356="Duopoly that compete",5,IF(Z356="Too many players with High ROCE",5,0)))))</f>
        <v/>
      </c>
      <c r="AB356" s="31" t="inlineStr">
        <is>
          <t>No</t>
        </is>
      </c>
      <c r="AC356" s="31">
        <f>IF(AB356="No",5,0)</f>
        <v/>
      </c>
      <c r="AD356" s="31" t="inlineStr">
        <is>
          <t>Headwind</t>
        </is>
      </c>
      <c r="AE356" s="31">
        <f>IF(AD356="Tailwind",10,0)</f>
        <v/>
      </c>
      <c r="AF356" s="31" t="inlineStr">
        <is>
          <t>Structural (10 Years Consistency)</t>
        </is>
      </c>
      <c r="AG356" s="31">
        <f>IF(AF356="Structural (10 Years Consistency)",10,IF(AF356="Shallow Cyclical (2 to 3 years growth)",5,0))</f>
        <v/>
      </c>
      <c r="AH356" s="31" t="inlineStr">
        <is>
          <t>No</t>
        </is>
      </c>
      <c r="AI356" s="31">
        <f>IF(AH356="Yes due to Product Mix change or Operating Leverage",10,IF(AH356="Yes, these are peak margins",-5,IF(AH356="No",5,0)))</f>
        <v/>
      </c>
      <c r="AJ356" s="31" t="inlineStr">
        <is>
          <t>Stable</t>
        </is>
      </c>
      <c r="AK356" s="31">
        <f>IF(AJ356="Stable",10,0)</f>
        <v/>
      </c>
      <c r="AL356" s="31" t="inlineStr">
        <is>
          <t>Yes</t>
        </is>
      </c>
      <c r="AM356" s="31">
        <f>IF(AL356="Yes",10,0)</f>
        <v/>
      </c>
      <c r="AN356" s="31" t="inlineStr">
        <is>
          <t>B2B</t>
        </is>
      </c>
      <c r="AO356" s="31">
        <f>IF(AN356="B2C",10,IF(AN356="B2B",5,0))</f>
        <v/>
      </c>
      <c r="AP356" s="31" t="inlineStr">
        <is>
          <t>No</t>
        </is>
      </c>
      <c r="AQ356" s="31">
        <f>IF(AP356="Yes",10,0)</f>
        <v/>
      </c>
      <c r="AR356" s="31" t="inlineStr">
        <is>
          <t>Higher One Time, Lower Annuity</t>
        </is>
      </c>
      <c r="AS356" s="31">
        <f>IF(AR356="Fully Annuity",10,IF(AR356="Higher Annuity, Lower One Time",5,IF(AR356="Higher One Time, Lower Annuity",3,0)))</f>
        <v/>
      </c>
      <c r="AT356" s="31" t="inlineStr">
        <is>
          <t>Good</t>
        </is>
      </c>
      <c r="AU356" s="31">
        <f>IF(AT356="Good",10,0)</f>
        <v/>
      </c>
      <c r="AV356" s="31" t="inlineStr">
        <is>
          <t>Yes for more than 2 years</t>
        </is>
      </c>
      <c r="AW356" s="31">
        <f>IF(AV356="Yes for more than 2 years",10,IF(AV356="Yes only for next 1 to 2 years",5,0))</f>
        <v/>
      </c>
      <c r="AX356" s="31" t="inlineStr">
        <is>
          <t>0 to 20</t>
        </is>
      </c>
      <c r="AY356" s="31">
        <f>IF(AX356="Above 40",20,IF(AX356="20 to 40",10,IF(AX356="0 to 20",-5,0)))</f>
        <v/>
      </c>
      <c r="AZ356" s="31" t="inlineStr">
        <is>
          <t>Between 50 to 75</t>
        </is>
      </c>
      <c r="BA356" s="31">
        <f>IF(AZ356="Between 50 to 75",10,IF(AZ356="Above 75",0,0))</f>
        <v/>
      </c>
      <c r="BB356" s="31" t="inlineStr">
        <is>
          <t>Stage 3</t>
        </is>
      </c>
      <c r="BC356" s="31">
        <f>IF(BB356="Stage 2",20,IF(BB356="Stage 1",0,IF(BB356="Stage 3",5,IF(BB356="Stage 4",-5,0))))</f>
        <v/>
      </c>
      <c r="BD356" s="31" t="inlineStr">
        <is>
          <t>Negative Trend</t>
        </is>
      </c>
      <c r="BE356" s="31">
        <f>IF(BD356="Positive Trend",20,IF(BD356="Negative Trend",-10,0))</f>
        <v/>
      </c>
      <c r="BF356" s="31" t="inlineStr">
        <is>
          <t>Uptrend</t>
        </is>
      </c>
      <c r="BG356" s="31">
        <f>IF(BF356="Uptrend",10,IF(BF356="Sideways",5,0))</f>
        <v/>
      </c>
      <c r="BH356" s="31" t="inlineStr">
        <is>
          <t>Uptrend</t>
        </is>
      </c>
      <c r="BI356" s="31">
        <f>IF(BH356="Uptrend",10,IF(BH356="Sideways",5,0))</f>
        <v/>
      </c>
      <c r="BJ356" s="31" t="inlineStr">
        <is>
          <t>Close to 52 week high or retracement</t>
        </is>
      </c>
      <c r="BK356" s="31">
        <f>IF(BJ356="Overhead supply in last 2 years in last 2 years",-5,IF(BJ356="Close to 52 week high or retracement",5,IF(BJ356="Blue sky scenario",10,IF(BJ356="Long term Downtrend",-10,0))))</f>
        <v/>
      </c>
      <c r="BL356" s="31" t="inlineStr">
        <is>
          <t>Yes</t>
        </is>
      </c>
      <c r="BM356" s="31">
        <f>IF(BL356="Yes",10,0)</f>
        <v/>
      </c>
      <c r="BN356" s="31" t="inlineStr">
        <is>
          <t>Less than 12%</t>
        </is>
      </c>
      <c r="BO356" s="31">
        <f>IF(BN356="More than 20%",10,IF(BN356="Between 12 to 20%",5,IF(BN356="Less than 12%",0,0)))</f>
        <v/>
      </c>
      <c r="BP356" s="31" t="inlineStr">
        <is>
          <t>No</t>
        </is>
      </c>
      <c r="BQ356" s="31">
        <f>IF(BP356="No",10,0)</f>
        <v/>
      </c>
      <c r="BR356" s="31" t="inlineStr">
        <is>
          <t>No</t>
        </is>
      </c>
      <c r="BS356" s="31">
        <f>IF(BR356="NO",5,0)</f>
        <v/>
      </c>
      <c r="BT356" s="31" t="inlineStr">
        <is>
          <t>Above 2</t>
        </is>
      </c>
      <c r="BU356" s="31">
        <f>IF(BT356="Above 2",0,IF(BT356="Between 1.5 to 2",5,IF(BT356="Less than 1.5",10,0)))</f>
        <v/>
      </c>
      <c r="BV356" s="31" t="inlineStr">
        <is>
          <t>Above 70%</t>
        </is>
      </c>
      <c r="BW356" s="31">
        <f>IF(BV356="Above 70%",10,IF(BV356="Between 50% to 70%",5,IF(BV356="Less than 50%",0,IF(BV356="Negative",-10,IF(BV356="Less than 50% and Borrowings are increasing",-5,0)))))</f>
        <v/>
      </c>
      <c r="BX356" s="31" t="inlineStr">
        <is>
          <t>More than 1.2</t>
        </is>
      </c>
      <c r="BY356" s="31">
        <f>IF(BX356="More than 1.2",-10,IF(BX356="Between 0.7 to 1.2",0,IF(BX356="Less than 0.7",10,0)))</f>
        <v/>
      </c>
      <c r="BZ356" s="31" t="inlineStr">
        <is>
          <t>No</t>
        </is>
      </c>
      <c r="CA356" s="31">
        <f>IF(BZ356="Yes",-10,0)</f>
        <v/>
      </c>
      <c r="CB356" s="31" t="inlineStr">
        <is>
          <t>Less than 15%</t>
        </is>
      </c>
      <c r="CC356" s="31">
        <f>IF(CB356="More than 15%",-10,IF(CB356="Less than 15%",10,0))</f>
        <v/>
      </c>
      <c r="CD356" s="31" t="inlineStr">
        <is>
          <t>No</t>
        </is>
      </c>
      <c r="CE356" s="31">
        <f>IF(CD356="Yes, more than 10%",-10,IF(CD356="No",10,0))</f>
        <v/>
      </c>
    </row>
    <row r="357">
      <c r="A357" s="31">
        <f>IF(B357=0,"",RANK(B357,$B$2:$B$366,0))</f>
        <v/>
      </c>
      <c r="B357" s="32">
        <f>SUM(N357,Y357,AA357,AC357,AE357,AG357,AI357,AK357,AM357,AO357,AQ357,AS357,AU357,AW357,AY357,BA357,BC357,BE357,BG357,BI357,BK357,BM357,BO357,BQ357,BS357,BU357,BW357,BY357,CA357,CC357,CE357)</f>
        <v/>
      </c>
      <c r="C357" s="31" t="inlineStr">
        <is>
          <t>RITCO</t>
        </is>
      </c>
      <c r="D357" s="31" t="inlineStr">
        <is>
          <t>Ritco Logistics Ltd</t>
        </is>
      </c>
      <c r="E357" s="31" t="inlineStr">
        <is>
          <t>transportation</t>
        </is>
      </c>
      <c r="F357" s="31" t="inlineStr">
        <is>
          <t>miscellaneous</t>
        </is>
      </c>
      <c r="G357" s="31" t="inlineStr">
        <is>
          <t>smallcap</t>
        </is>
      </c>
      <c r="H357" s="32" t="n">
        <v>834.9299999999999</v>
      </c>
      <c r="I357" s="32" t="n">
        <v>301.25</v>
      </c>
      <c r="J357" s="32" t="n">
        <v>3.27</v>
      </c>
      <c r="K357" s="32" t="n">
        <v>268515</v>
      </c>
      <c r="L357" s="31" t="n">
        <v>52</v>
      </c>
      <c r="M357" s="31" t="inlineStr">
        <is>
          <t>Outperforming</t>
        </is>
      </c>
      <c r="N357" s="32">
        <f>IF(M357="Underperforming",-5,IF(L357&gt;=95,15,IF(L357&gt;=90,10,IF(L357&gt;=80,5,0))))</f>
        <v/>
      </c>
      <c r="O357" s="32" t="n">
        <v>62.09</v>
      </c>
      <c r="P357" s="32" t="n">
        <v>34.86</v>
      </c>
      <c r="Q357" s="32" t="inlineStr"/>
      <c r="R357" s="31" t="inlineStr">
        <is>
          <t>Earnings / Momentum Support</t>
        </is>
      </c>
      <c r="S357" s="31" t="inlineStr">
        <is>
          <t>Nifty 50</t>
        </is>
      </c>
      <c r="T357" s="32" t="n">
        <v>-0.74</v>
      </c>
      <c r="U357" s="32" t="n">
        <v>5.67</v>
      </c>
      <c r="V357" s="32" t="n">
        <v>6.46</v>
      </c>
      <c r="W357" s="32" t="n">
        <v>8.970000000000001</v>
      </c>
      <c r="X357" s="31" t="inlineStr">
        <is>
          <t>Growing Industry</t>
        </is>
      </c>
      <c r="Y357" s="31">
        <f>IF(X357="Growing Industry",10,IF(X357="Cyclical in an Upturn",5,0))</f>
        <v/>
      </c>
      <c r="Z357" s="31" t="inlineStr">
        <is>
          <t>Too Many Players with High ROCE</t>
        </is>
      </c>
      <c r="AA357" s="31">
        <f>IF(Z357="Monopoly",10,IF(Z357="Oligopoly",5,IF(Z357="Duopoly that cooperate",10,IF(Z357="Duopoly that compete",5,IF(Z357="Too many players with High ROCE",5,0)))))</f>
        <v/>
      </c>
      <c r="AB357" s="31" t="inlineStr">
        <is>
          <t>No</t>
        </is>
      </c>
      <c r="AC357" s="31">
        <f>IF(AB357="No",5,0)</f>
        <v/>
      </c>
      <c r="AD357" s="31" t="inlineStr">
        <is>
          <t>Headwind</t>
        </is>
      </c>
      <c r="AE357" s="31">
        <f>IF(AD357="Tailwind",10,0)</f>
        <v/>
      </c>
      <c r="AF357" s="31" t="inlineStr">
        <is>
          <t>Structural (10 Years Consistency)</t>
        </is>
      </c>
      <c r="AG357" s="31">
        <f>IF(AF357="Structural (10 Years Consistency)",10,IF(AF357="Shallow Cyclical (2 to 3 years growth)",5,0))</f>
        <v/>
      </c>
      <c r="AH357" s="31" t="inlineStr">
        <is>
          <t>No</t>
        </is>
      </c>
      <c r="AI357" s="31">
        <f>IF(AH357="Yes due to Product Mix change or Operating Leverage",10,IF(AH357="Yes, these are peak margins",-5,IF(AH357="No",5,0)))</f>
        <v/>
      </c>
      <c r="AJ357" s="31" t="inlineStr">
        <is>
          <t>Stable</t>
        </is>
      </c>
      <c r="AK357" s="31">
        <f>IF(AJ357="Stable",10,0)</f>
        <v/>
      </c>
      <c r="AL357" s="31" t="inlineStr">
        <is>
          <t>Yes</t>
        </is>
      </c>
      <c r="AM357" s="31">
        <f>IF(AL357="Yes",10,0)</f>
        <v/>
      </c>
      <c r="AN357" s="31" t="inlineStr">
        <is>
          <t>B2B</t>
        </is>
      </c>
      <c r="AO357" s="31">
        <f>IF(AN357="B2C",10,IF(AN357="B2B",5,0))</f>
        <v/>
      </c>
      <c r="AP357" s="31" t="inlineStr">
        <is>
          <t>No</t>
        </is>
      </c>
      <c r="AQ357" s="31">
        <f>IF(AP357="Yes",10,0)</f>
        <v/>
      </c>
      <c r="AR357" s="31" t="inlineStr">
        <is>
          <t>Higher One Time, Lower Annuity</t>
        </is>
      </c>
      <c r="AS357" s="31">
        <f>IF(AR357="Fully Annuity",10,IF(AR357="Higher Annuity, Lower One Time",5,IF(AR357="Higher One Time, Lower Annuity",3,0)))</f>
        <v/>
      </c>
      <c r="AT357" s="31" t="inlineStr">
        <is>
          <t>Good</t>
        </is>
      </c>
      <c r="AU357" s="31">
        <f>IF(AT357="Good",10,0)</f>
        <v/>
      </c>
      <c r="AV357" s="31" t="inlineStr">
        <is>
          <t>Yes for more than 2 years</t>
        </is>
      </c>
      <c r="AW357" s="31">
        <f>IF(AV357="Yes for more than 2 years",10,IF(AV357="Yes only for next 1 to 2 years",5,0))</f>
        <v/>
      </c>
      <c r="AX357" s="31" t="inlineStr">
        <is>
          <t>20 to 40</t>
        </is>
      </c>
      <c r="AY357" s="31">
        <f>IF(AX357="Above 40",20,IF(AX357="20 to 40",10,IF(AX357="0 to 20",-5,0)))</f>
        <v/>
      </c>
      <c r="AZ357" s="31" t="inlineStr">
        <is>
          <t>Between 50 to 75</t>
        </is>
      </c>
      <c r="BA357" s="31">
        <f>IF(AZ357="Between 50 to 75",10,IF(AZ357="Above 75",0,0))</f>
        <v/>
      </c>
      <c r="BB357" s="31" t="inlineStr">
        <is>
          <t>Stage 3</t>
        </is>
      </c>
      <c r="BC357" s="31">
        <f>IF(BB357="Stage 2",20,IF(BB357="Stage 1",0,IF(BB357="Stage 3",5,IF(BB357="Stage 4",-5,0))))</f>
        <v/>
      </c>
      <c r="BD357" s="31" t="inlineStr">
        <is>
          <t>Negative Trend</t>
        </is>
      </c>
      <c r="BE357" s="31">
        <f>IF(BD357="Positive Trend",20,IF(BD357="Negative Trend",-10,0))</f>
        <v/>
      </c>
      <c r="BF357" s="31" t="inlineStr">
        <is>
          <t>Uptrend</t>
        </is>
      </c>
      <c r="BG357" s="31">
        <f>IF(BF357="Uptrend",10,IF(BF357="Sideways",5,0))</f>
        <v/>
      </c>
      <c r="BH357" s="31" t="inlineStr">
        <is>
          <t>Uptrend</t>
        </is>
      </c>
      <c r="BI357" s="31">
        <f>IF(BH357="Uptrend",10,IF(BH357="Sideways",5,0))</f>
        <v/>
      </c>
      <c r="BJ357" s="31" t="inlineStr">
        <is>
          <t>Close to 52 week high or retracement</t>
        </is>
      </c>
      <c r="BK357" s="31">
        <f>IF(BJ357="Overhead supply in last 2 years in last 2 years",-5,IF(BJ357="Close to 52 week high or retracement",5,IF(BJ357="Blue sky scenario",10,IF(BJ357="Long term Downtrend",-10,0))))</f>
        <v/>
      </c>
      <c r="BL357" s="31" t="inlineStr">
        <is>
          <t>Yes</t>
        </is>
      </c>
      <c r="BM357" s="31">
        <f>IF(BL357="Yes",10,0)</f>
        <v/>
      </c>
      <c r="BN357" s="31" t="inlineStr">
        <is>
          <t>Less than 12%</t>
        </is>
      </c>
      <c r="BO357" s="31">
        <f>IF(BN357="More than 20%",10,IF(BN357="Between 12 to 20%",5,IF(BN357="Less than 12%",0,0)))</f>
        <v/>
      </c>
      <c r="BP357" s="31" t="inlineStr">
        <is>
          <t>No</t>
        </is>
      </c>
      <c r="BQ357" s="31">
        <f>IF(BP357="No",10,0)</f>
        <v/>
      </c>
      <c r="BR357" s="31" t="inlineStr">
        <is>
          <t>No</t>
        </is>
      </c>
      <c r="BS357" s="31">
        <f>IF(BR357="NO",5,0)</f>
        <v/>
      </c>
      <c r="BT357" s="31" t="inlineStr">
        <is>
          <t>Above 2</t>
        </is>
      </c>
      <c r="BU357" s="31">
        <f>IF(BT357="Above 2",0,IF(BT357="Between 1.5 to 2",5,IF(BT357="Less than 1.5",10,0)))</f>
        <v/>
      </c>
      <c r="BV357" s="31" t="inlineStr">
        <is>
          <t>Negative</t>
        </is>
      </c>
      <c r="BW357" s="31">
        <f>IF(BV357="Above 70%",10,IF(BV357="Between 50% to 70%",5,IF(BV357="Less than 50%",0,IF(BV357="Negative",-10,IF(BV357="Less than 50% and Borrowings are increasing",-5,0)))))</f>
        <v/>
      </c>
      <c r="BX357" s="31" t="inlineStr">
        <is>
          <t>More than 1.2</t>
        </is>
      </c>
      <c r="BY357" s="31">
        <f>IF(BX357="More than 1.2",-10,IF(BX357="Between 0.7 to 1.2",0,IF(BX357="Less than 0.7",10,0)))</f>
        <v/>
      </c>
      <c r="BZ357" s="31" t="inlineStr">
        <is>
          <t>No</t>
        </is>
      </c>
      <c r="CA357" s="31">
        <f>IF(BZ357="Yes",-10,0)</f>
        <v/>
      </c>
      <c r="CB357" s="31" t="inlineStr">
        <is>
          <t>Less than 15%</t>
        </is>
      </c>
      <c r="CC357" s="31">
        <f>IF(CB357="More than 15%",-10,IF(CB357="Less than 15%",10,0))</f>
        <v/>
      </c>
      <c r="CD357" s="31" t="inlineStr">
        <is>
          <t>No</t>
        </is>
      </c>
      <c r="CE357" s="31">
        <f>IF(CD357="Yes, more than 10%",-10,IF(CD357="No",10,0))</f>
        <v/>
      </c>
    </row>
    <row r="358">
      <c r="A358" s="31">
        <f>IF(B358=0,"",RANK(B358,$B$2:$B$366,0))</f>
        <v/>
      </c>
      <c r="B358" s="32">
        <f>SUM(N358,Y358,AA358,AC358,AE358,AG358,AI358,AK358,AM358,AO358,AQ358,AS358,AU358,AW358,AY358,BA358,BC358,BE358,BG358,BI358,BK358,BM358,BO358,BQ358,BS358,BU358,BW358,BY358,CA358,CC358,CE358)</f>
        <v/>
      </c>
      <c r="C358" s="31" t="inlineStr">
        <is>
          <t>JSWENERGY</t>
        </is>
      </c>
      <c r="D358" s="31" t="inlineStr">
        <is>
          <t>Jsw Energy Limited</t>
        </is>
      </c>
      <c r="E358" s="31" t="inlineStr">
        <is>
          <t>power &amp; utilities</t>
        </is>
      </c>
      <c r="F358" s="31" t="inlineStr">
        <is>
          <t>power generation and supply</t>
        </is>
      </c>
      <c r="G358" s="31" t="inlineStr">
        <is>
          <t>largecap</t>
        </is>
      </c>
      <c r="H358" s="32" t="n">
        <v>101694.12</v>
      </c>
      <c r="I358" s="32" t="n">
        <v>569</v>
      </c>
      <c r="J358" s="32" t="n">
        <v>2.59</v>
      </c>
      <c r="K358" s="32" t="n">
        <v>8396583</v>
      </c>
      <c r="L358" s="31" t="n">
        <v>20</v>
      </c>
      <c r="M358" s="31" t="inlineStr">
        <is>
          <t>Outperforming</t>
        </is>
      </c>
      <c r="N358" s="32">
        <f>IF(M358="Underperforming",-5,IF(L358&gt;=95,15,IF(L358&gt;=90,10,IF(L358&gt;=80,5,0))))</f>
        <v/>
      </c>
      <c r="O358" s="32" t="n">
        <v>54.03</v>
      </c>
      <c r="P358" s="32" t="n">
        <v>10.01</v>
      </c>
      <c r="Q358" s="32" t="inlineStr"/>
      <c r="R358" s="31" t="inlineStr">
        <is>
          <t>Earnings / Momentum Support</t>
        </is>
      </c>
      <c r="S358" s="31" t="inlineStr">
        <is>
          <t>Nifty IT</t>
        </is>
      </c>
      <c r="T358" s="32" t="n">
        <v>-11.37</v>
      </c>
      <c r="U358" s="32" t="n">
        <v>8.77</v>
      </c>
      <c r="V358" s="32" t="n">
        <v>22.73</v>
      </c>
      <c r="W358" s="32" t="n">
        <v>2.46</v>
      </c>
      <c r="X358" s="31" t="inlineStr">
        <is>
          <t>Growing Industry</t>
        </is>
      </c>
      <c r="Y358" s="31">
        <f>IF(X358="Growing Industry",10,IF(X358="Cyclical in an Upturn",5,0))</f>
        <v/>
      </c>
      <c r="Z358" s="31" t="inlineStr">
        <is>
          <t>Too Many Players with High ROCE</t>
        </is>
      </c>
      <c r="AA358" s="31">
        <f>IF(Z358="Monopoly",10,IF(Z358="Oligopoly",5,IF(Z358="Duopoly that cooperate",10,IF(Z358="Duopoly that compete",5,IF(Z358="Too many players with High ROCE",5,0)))))</f>
        <v/>
      </c>
      <c r="AB358" s="31" t="inlineStr">
        <is>
          <t>No</t>
        </is>
      </c>
      <c r="AC358" s="31">
        <f>IF(AB358="No",5,0)</f>
        <v/>
      </c>
      <c r="AD358" s="31" t="inlineStr">
        <is>
          <t>Headwind</t>
        </is>
      </c>
      <c r="AE358" s="31">
        <f>IF(AD358="Tailwind",10,0)</f>
        <v/>
      </c>
      <c r="AF358" s="31" t="inlineStr">
        <is>
          <t>Structural (10 Years Consistency)</t>
        </is>
      </c>
      <c r="AG358" s="31">
        <f>IF(AF358="Structural (10 Years Consistency)",10,IF(AF358="Shallow Cyclical (2 to 3 years growth)",5,0))</f>
        <v/>
      </c>
      <c r="AH358" s="31" t="inlineStr">
        <is>
          <t>No</t>
        </is>
      </c>
      <c r="AI358" s="31">
        <f>IF(AH358="Yes due to Product Mix change or Operating Leverage",10,IF(AH358="Yes, these are peak margins",-5,IF(AH358="No",5,0)))</f>
        <v/>
      </c>
      <c r="AJ358" s="31" t="inlineStr">
        <is>
          <t>Stable</t>
        </is>
      </c>
      <c r="AK358" s="31">
        <f>IF(AJ358="Stable",10,0)</f>
        <v/>
      </c>
      <c r="AL358" s="31" t="inlineStr">
        <is>
          <t>Yes</t>
        </is>
      </c>
      <c r="AM358" s="31">
        <f>IF(AL358="Yes",10,0)</f>
        <v/>
      </c>
      <c r="AN358" s="31" t="inlineStr">
        <is>
          <t>B2B</t>
        </is>
      </c>
      <c r="AO358" s="31">
        <f>IF(AN358="B2C",10,IF(AN358="B2B",5,0))</f>
        <v/>
      </c>
      <c r="AP358" s="31" t="inlineStr">
        <is>
          <t>No</t>
        </is>
      </c>
      <c r="AQ358" s="31">
        <f>IF(AP358="Yes",10,0)</f>
        <v/>
      </c>
      <c r="AR358" s="31" t="inlineStr">
        <is>
          <t>Higher One Time, Lower Annuity</t>
        </is>
      </c>
      <c r="AS358" s="31">
        <f>IF(AR358="Fully Annuity",10,IF(AR358="Higher Annuity, Lower One Time",5,IF(AR358="Higher One Time, Lower Annuity",3,0)))</f>
        <v/>
      </c>
      <c r="AT358" s="31" t="inlineStr">
        <is>
          <t>Good</t>
        </is>
      </c>
      <c r="AU358" s="31">
        <f>IF(AT358="Good",10,0)</f>
        <v/>
      </c>
      <c r="AV358" s="31" t="inlineStr">
        <is>
          <t>Yes for more than 2 years</t>
        </is>
      </c>
      <c r="AW358" s="31">
        <f>IF(AV358="Yes for more than 2 years",10,IF(AV358="Yes only for next 1 to 2 years",5,0))</f>
        <v/>
      </c>
      <c r="AX358" s="31" t="inlineStr">
        <is>
          <t>0 to 20</t>
        </is>
      </c>
      <c r="AY358" s="31">
        <f>IF(AX358="Above 40",20,IF(AX358="20 to 40",10,IF(AX358="0 to 20",-5,0)))</f>
        <v/>
      </c>
      <c r="AZ358" s="31" t="inlineStr">
        <is>
          <t>Between 50 to 75</t>
        </is>
      </c>
      <c r="BA358" s="31">
        <f>IF(AZ358="Between 50 to 75",10,IF(AZ358="Above 75",0,0))</f>
        <v/>
      </c>
      <c r="BB358" s="31" t="inlineStr">
        <is>
          <t>Stage 3</t>
        </is>
      </c>
      <c r="BC358" s="31">
        <f>IF(BB358="Stage 2",20,IF(BB358="Stage 1",0,IF(BB358="Stage 3",5,IF(BB358="Stage 4",-5,0))))</f>
        <v/>
      </c>
      <c r="BD358" s="31" t="inlineStr">
        <is>
          <t>Negative Trend</t>
        </is>
      </c>
      <c r="BE358" s="31">
        <f>IF(BD358="Positive Trend",20,IF(BD358="Negative Trend",-10,0))</f>
        <v/>
      </c>
      <c r="BF358" s="31" t="inlineStr">
        <is>
          <t>Uptrend</t>
        </is>
      </c>
      <c r="BG358" s="31">
        <f>IF(BF358="Uptrend",10,IF(BF358="Sideways",5,0))</f>
        <v/>
      </c>
      <c r="BH358" s="31" t="inlineStr">
        <is>
          <t>Uptrend</t>
        </is>
      </c>
      <c r="BI358" s="31">
        <f>IF(BH358="Uptrend",10,IF(BH358="Sideways",5,0))</f>
        <v/>
      </c>
      <c r="BJ358" s="31" t="inlineStr">
        <is>
          <t>Close to 52 week high or retracement</t>
        </is>
      </c>
      <c r="BK358" s="31">
        <f>IF(BJ358="Overhead supply in last 2 years in last 2 years",-5,IF(BJ358="Close to 52 week high or retracement",5,IF(BJ358="Blue sky scenario",10,IF(BJ358="Long term Downtrend",-10,0))))</f>
        <v/>
      </c>
      <c r="BL358" s="31" t="inlineStr">
        <is>
          <t>Yes</t>
        </is>
      </c>
      <c r="BM358" s="31">
        <f>IF(BL358="Yes",10,0)</f>
        <v/>
      </c>
      <c r="BN358" s="31" t="inlineStr">
        <is>
          <t>Less than 12%</t>
        </is>
      </c>
      <c r="BO358" s="31">
        <f>IF(BN358="More than 20%",10,IF(BN358="Between 12 to 20%",5,IF(BN358="Less than 12%",0,0)))</f>
        <v/>
      </c>
      <c r="BP358" s="31" t="inlineStr">
        <is>
          <t>No</t>
        </is>
      </c>
      <c r="BQ358" s="31">
        <f>IF(BP358="No",10,0)</f>
        <v/>
      </c>
      <c r="BR358" s="31" t="inlineStr">
        <is>
          <t>Yes</t>
        </is>
      </c>
      <c r="BS358" s="31">
        <f>IF(BR358="NO",5,0)</f>
        <v/>
      </c>
      <c r="BT358" s="31" t="inlineStr">
        <is>
          <t>Above 2</t>
        </is>
      </c>
      <c r="BU358" s="31">
        <f>IF(BT358="Above 2",0,IF(BT358="Between 1.5 to 2",5,IF(BT358="Less than 1.5",10,0)))</f>
        <v/>
      </c>
      <c r="BV358" s="31" t="inlineStr">
        <is>
          <t>Above 70%</t>
        </is>
      </c>
      <c r="BW358" s="31">
        <f>IF(BV358="Above 70%",10,IF(BV358="Between 50% to 70%",5,IF(BV358="Less than 50%",0,IF(BV358="Negative",-10,IF(BV358="Less than 50% and Borrowings are increasing",-5,0)))))</f>
        <v/>
      </c>
      <c r="BX358" s="31" t="inlineStr">
        <is>
          <t>More than 1.2</t>
        </is>
      </c>
      <c r="BY358" s="31">
        <f>IF(BX358="More than 1.2",-10,IF(BX358="Between 0.7 to 1.2",0,IF(BX358="Less than 0.7",10,0)))</f>
        <v/>
      </c>
      <c r="BZ358" s="31" t="inlineStr">
        <is>
          <t>No</t>
        </is>
      </c>
      <c r="CA358" s="31">
        <f>IF(BZ358="Yes",-10,0)</f>
        <v/>
      </c>
      <c r="CB358" s="31" t="inlineStr">
        <is>
          <t>Less than 15%</t>
        </is>
      </c>
      <c r="CC358" s="31">
        <f>IF(CB358="More than 15%",-10,IF(CB358="Less than 15%",10,0))</f>
        <v/>
      </c>
      <c r="CD358" s="31" t="inlineStr">
        <is>
          <t>No</t>
        </is>
      </c>
      <c r="CE358" s="31">
        <f>IF(CD358="Yes, more than 10%",-10,IF(CD358="No",10,0))</f>
        <v/>
      </c>
    </row>
    <row r="359">
      <c r="A359" s="31">
        <f>IF(B359=0,"",RANK(B359,$B$2:$B$366,0))</f>
        <v/>
      </c>
      <c r="B359" s="32">
        <f>SUM(N359,Y359,AA359,AC359,AE359,AG359,AI359,AK359,AM359,AO359,AQ359,AS359,AU359,AW359,AY359,BA359,BC359,BE359,BG359,BI359,BK359,BM359,BO359,BQ359,BS359,BU359,BW359,BY359,CA359,CC359,CE359)</f>
        <v/>
      </c>
      <c r="C359" s="33" t="inlineStr">
        <is>
          <t>UTTAMSUGAR</t>
        </is>
      </c>
      <c r="D359" s="33" t="inlineStr">
        <is>
          <t>Uttam Sugar Mills Limited</t>
        </is>
      </c>
      <c r="E359" s="31" t="inlineStr">
        <is>
          <t>fmcg</t>
        </is>
      </c>
      <c r="F359" s="31" t="inlineStr">
        <is>
          <t>sugar</t>
        </is>
      </c>
      <c r="G359" s="31" t="inlineStr">
        <is>
          <t>smallcap</t>
        </is>
      </c>
      <c r="H359" s="32" t="n">
        <v>847.92</v>
      </c>
      <c r="I359" s="32" t="n">
        <v>240.45</v>
      </c>
      <c r="J359" s="32" t="n">
        <v>8.15</v>
      </c>
      <c r="K359" s="32" t="n">
        <v>459755</v>
      </c>
      <c r="L359" s="31" t="n">
        <v>2</v>
      </c>
      <c r="M359" s="31" t="inlineStr">
        <is>
          <t>Underperforming</t>
        </is>
      </c>
      <c r="N359" s="32">
        <f>IF(M359="Underperforming",-5,IF(L359&gt;=95,15,IF(L359&gt;=90,10,IF(L359&gt;=80,5,0))))</f>
        <v/>
      </c>
      <c r="O359" s="32" t="n">
        <v>43.96</v>
      </c>
      <c r="P359" s="32" t="n">
        <v>10.6</v>
      </c>
      <c r="Q359" s="32" t="inlineStr"/>
      <c r="R359" s="31" t="inlineStr">
        <is>
          <t>Earnings / Momentum Support</t>
        </is>
      </c>
      <c r="S359" s="31" t="inlineStr">
        <is>
          <t>Nifty FMCG</t>
        </is>
      </c>
      <c r="T359" s="32" t="n">
        <v>-13.73</v>
      </c>
      <c r="U359" s="32" t="n">
        <v>-16.3</v>
      </c>
      <c r="V359" s="32" t="n">
        <v>-2.98</v>
      </c>
      <c r="W359" s="32" t="n">
        <v>-4.07</v>
      </c>
      <c r="X359" s="31" t="inlineStr">
        <is>
          <t>Growing Industry</t>
        </is>
      </c>
      <c r="Y359" s="31">
        <f>IF(X359="Growing Industry",10,IF(X359="Cyclical in an Upturn",5,0))</f>
        <v/>
      </c>
      <c r="Z359" s="31" t="inlineStr">
        <is>
          <t>Too Many Players with High ROCE</t>
        </is>
      </c>
      <c r="AA359" s="31">
        <f>IF(Z359="Monopoly",10,IF(Z359="Oligopoly",5,IF(Z359="Duopoly that cooperate",10,IF(Z359="Duopoly that compete",5,IF(Z359="Too many players with High ROCE",5,0)))))</f>
        <v/>
      </c>
      <c r="AB359" s="31" t="inlineStr">
        <is>
          <t>No</t>
        </is>
      </c>
      <c r="AC359" s="31">
        <f>IF(AB359="No",5,0)</f>
        <v/>
      </c>
      <c r="AD359" s="31" t="inlineStr">
        <is>
          <t>Headwind</t>
        </is>
      </c>
      <c r="AE359" s="31">
        <f>IF(AD359="Tailwind",10,0)</f>
        <v/>
      </c>
      <c r="AF359" s="31" t="inlineStr">
        <is>
          <t>Structural (10 Years Consistency)</t>
        </is>
      </c>
      <c r="AG359" s="31">
        <f>IF(AF359="Structural (10 Years Consistency)",10,IF(AF359="Shallow Cyclical (2 to 3 years growth)",5,0))</f>
        <v/>
      </c>
      <c r="AH359" s="31" t="inlineStr">
        <is>
          <t>No</t>
        </is>
      </c>
      <c r="AI359" s="31">
        <f>IF(AH359="Yes due to Product Mix change or Operating Leverage",10,IF(AH359="Yes, these are peak margins",-5,IF(AH359="No",5,0)))</f>
        <v/>
      </c>
      <c r="AJ359" s="31" t="inlineStr">
        <is>
          <t>Stable</t>
        </is>
      </c>
      <c r="AK359" s="31">
        <f>IF(AJ359="Stable",10,0)</f>
        <v/>
      </c>
      <c r="AL359" s="31" t="inlineStr">
        <is>
          <t>Yes</t>
        </is>
      </c>
      <c r="AM359" s="31">
        <f>IF(AL359="Yes",10,0)</f>
        <v/>
      </c>
      <c r="AN359" s="31" t="inlineStr">
        <is>
          <t>B2C</t>
        </is>
      </c>
      <c r="AO359" s="31">
        <f>IF(AN359="B2C",10,IF(AN359="B2B",5,0))</f>
        <v/>
      </c>
      <c r="AP359" s="31" t="inlineStr">
        <is>
          <t>No</t>
        </is>
      </c>
      <c r="AQ359" s="31">
        <f>IF(AP359="Yes",10,0)</f>
        <v/>
      </c>
      <c r="AR359" s="31" t="inlineStr">
        <is>
          <t>Higher Annuity, Lower One Time</t>
        </is>
      </c>
      <c r="AS359" s="31">
        <f>IF(AR359="Fully Annuity",10,IF(AR359="Higher Annuity, Lower One Time",5,IF(AR359="Higher One Time, Lower Annuity",3,0)))</f>
        <v/>
      </c>
      <c r="AT359" s="31" t="inlineStr">
        <is>
          <t>Good</t>
        </is>
      </c>
      <c r="AU359" s="31">
        <f>IF(AT359="Good",10,0)</f>
        <v/>
      </c>
      <c r="AV359" s="31" t="inlineStr">
        <is>
          <t>Yes for more than 2 years</t>
        </is>
      </c>
      <c r="AW359" s="31">
        <f>IF(AV359="Yes for more than 2 years",10,IF(AV359="Yes only for next 1 to 2 years",5,0))</f>
        <v/>
      </c>
      <c r="AX359" s="31" t="inlineStr">
        <is>
          <t>0 to 20</t>
        </is>
      </c>
      <c r="AY359" s="31">
        <f>IF(AX359="Above 40",20,IF(AX359="20 to 40",10,IF(AX359="0 to 20",-5,0)))</f>
        <v/>
      </c>
      <c r="AZ359" s="31" t="inlineStr">
        <is>
          <t>Below 45</t>
        </is>
      </c>
      <c r="BA359" s="31">
        <f>IF(AZ359="Between 50 to 75",10,IF(AZ359="Above 75",0,0))</f>
        <v/>
      </c>
      <c r="BB359" s="31" t="inlineStr">
        <is>
          <t>Stage 4</t>
        </is>
      </c>
      <c r="BC359" s="31">
        <f>IF(BB359="Stage 2",20,IF(BB359="Stage 1",0,IF(BB359="Stage 3",5,IF(BB359="Stage 4",-5,0))))</f>
        <v/>
      </c>
      <c r="BD359" s="31" t="inlineStr">
        <is>
          <t>Negative Trend</t>
        </is>
      </c>
      <c r="BE359" s="31">
        <f>IF(BD359="Positive Trend",20,IF(BD359="Negative Trend",-10,0))</f>
        <v/>
      </c>
      <c r="BF359" s="31" t="inlineStr">
        <is>
          <t>Uptrend</t>
        </is>
      </c>
      <c r="BG359" s="31">
        <f>IF(BF359="Uptrend",10,IF(BF359="Sideways",5,0))</f>
        <v/>
      </c>
      <c r="BH359" s="31" t="inlineStr">
        <is>
          <t>Uptrend</t>
        </is>
      </c>
      <c r="BI359" s="31">
        <f>IF(BH359="Uptrend",10,IF(BH359="Sideways",5,0))</f>
        <v/>
      </c>
      <c r="BJ359" s="31" t="inlineStr">
        <is>
          <t>Close to 52 week high or retracement</t>
        </is>
      </c>
      <c r="BK359" s="31">
        <f>IF(BJ359="Overhead supply in last 2 years in last 2 years",-5,IF(BJ359="Close to 52 week high or retracement",5,IF(BJ359="Blue sky scenario",10,IF(BJ359="Long term Downtrend",-10,0))))</f>
        <v/>
      </c>
      <c r="BL359" s="31" t="inlineStr">
        <is>
          <t>Yes</t>
        </is>
      </c>
      <c r="BM359" s="31">
        <f>IF(BL359="Yes",10,0)</f>
        <v/>
      </c>
      <c r="BN359" s="31" t="inlineStr">
        <is>
          <t>Less than 12%</t>
        </is>
      </c>
      <c r="BO359" s="31">
        <f>IF(BN359="More than 20%",10,IF(BN359="Between 12 to 20%",5,IF(BN359="Less than 12%",0,0)))</f>
        <v/>
      </c>
      <c r="BP359" s="31" t="inlineStr">
        <is>
          <t>No</t>
        </is>
      </c>
      <c r="BQ359" s="31">
        <f>IF(BP359="No",10,0)</f>
        <v/>
      </c>
      <c r="BR359" s="31" t="inlineStr">
        <is>
          <t>No</t>
        </is>
      </c>
      <c r="BS359" s="31">
        <f>IF(BR359="NO",5,0)</f>
        <v/>
      </c>
      <c r="BT359" s="31" t="inlineStr">
        <is>
          <t>Above 2</t>
        </is>
      </c>
      <c r="BU359" s="31">
        <f>IF(BT359="Above 2",0,IF(BT359="Between 1.5 to 2",5,IF(BT359="Less than 1.5",10,0)))</f>
        <v/>
      </c>
      <c r="BV359" s="31" t="inlineStr">
        <is>
          <t>Above 70%</t>
        </is>
      </c>
      <c r="BW359" s="31">
        <f>IF(BV359="Above 70%",10,IF(BV359="Between 50% to 70%",5,IF(BV359="Less than 50%",0,IF(BV359="Negative",-10,IF(BV359="Less than 50% and Borrowings are increasing",-5,0)))))</f>
        <v/>
      </c>
      <c r="BX359" s="31" t="inlineStr">
        <is>
          <t>Between 0.7 to 1.2</t>
        </is>
      </c>
      <c r="BY359" s="31">
        <f>IF(BX359="More than 1.2",-10,IF(BX359="Between 0.7 to 1.2",0,IF(BX359="Less than 0.7",10,0)))</f>
        <v/>
      </c>
      <c r="BZ359" s="31" t="inlineStr">
        <is>
          <t>No</t>
        </is>
      </c>
      <c r="CA359" s="31">
        <f>IF(BZ359="Yes",-10,0)</f>
        <v/>
      </c>
      <c r="CB359" s="31" t="inlineStr">
        <is>
          <t>Less than 15%</t>
        </is>
      </c>
      <c r="CC359" s="31">
        <f>IF(CB359="More than 15%",-10,IF(CB359="Less than 15%",10,0))</f>
        <v/>
      </c>
      <c r="CD359" s="31" t="inlineStr">
        <is>
          <t>No</t>
        </is>
      </c>
      <c r="CE359" s="31">
        <f>IF(CD359="Yes, more than 10%",-10,IF(CD359="No",10,0))</f>
        <v/>
      </c>
    </row>
    <row r="360">
      <c r="A360" s="31">
        <f>IF(B360=0,"",RANK(B360,$B$2:$B$366,0))</f>
        <v/>
      </c>
      <c r="B360" s="32">
        <f>SUM(N360,Y360,AA360,AC360,AE360,AG360,AI360,AK360,AM360,AO360,AQ360,AS360,AU360,AW360,AY360,BA360,BC360,BE360,BG360,BI360,BK360,BM360,BO360,BQ360,BS360,BU360,BW360,BY360,CA360,CC360,CE360)</f>
        <v/>
      </c>
      <c r="C360" s="31" t="inlineStr">
        <is>
          <t>MRPL</t>
        </is>
      </c>
      <c r="D360" s="31" t="inlineStr">
        <is>
          <t>Mangalore Refinery And Petrochemicals Limited</t>
        </is>
      </c>
      <c r="E360" s="31" t="inlineStr">
        <is>
          <t>energy</t>
        </is>
      </c>
      <c r="F360" s="31" t="inlineStr">
        <is>
          <t>refineries</t>
        </is>
      </c>
      <c r="G360" s="31" t="inlineStr">
        <is>
          <t>largecap</t>
        </is>
      </c>
      <c r="H360" s="32" t="n">
        <v>29783.66</v>
      </c>
      <c r="I360" s="32" t="n">
        <v>174.06</v>
      </c>
      <c r="J360" s="32" t="n">
        <v>2.42</v>
      </c>
      <c r="K360" s="32" t="n">
        <v>8771868</v>
      </c>
      <c r="L360" s="31" t="n">
        <v>24</v>
      </c>
      <c r="M360" s="31" t="inlineStr">
        <is>
          <t>Outperforming</t>
        </is>
      </c>
      <c r="N360" s="32">
        <f>IF(M360="Underperforming",-5,IF(L360&gt;=95,15,IF(L360&gt;=90,10,IF(L360&gt;=80,5,0))))</f>
        <v/>
      </c>
      <c r="O360" s="32" t="n">
        <v>53.59</v>
      </c>
      <c r="P360" s="32" t="n">
        <v>13.11</v>
      </c>
      <c r="Q360" s="32" t="inlineStr"/>
      <c r="R360" s="31" t="inlineStr">
        <is>
          <t>Earnings / Momentum Support</t>
        </is>
      </c>
      <c r="S360" s="31" t="inlineStr">
        <is>
          <t>Nifty Energy</t>
        </is>
      </c>
      <c r="T360" s="32" t="n">
        <v>8.41</v>
      </c>
      <c r="U360" s="32" t="n">
        <v>19.41</v>
      </c>
      <c r="V360" s="32" t="n">
        <v>10.15</v>
      </c>
      <c r="W360" s="32" t="n">
        <v>3.19</v>
      </c>
      <c r="X360" s="31" t="inlineStr">
        <is>
          <t>Cyclical in an Upturn</t>
        </is>
      </c>
      <c r="Y360" s="31">
        <f>IF(X360="Growing Industry",10,IF(X360="Cyclical in an Upturn",5,0))</f>
        <v/>
      </c>
      <c r="Z360" s="31" t="inlineStr">
        <is>
          <t>Oligopoly</t>
        </is>
      </c>
      <c r="AA360" s="31">
        <f>IF(Z360="Monopoly",10,IF(Z360="Oligopoly",5,IF(Z360="Duopoly that cooperate",10,IF(Z360="Duopoly that compete",5,IF(Z360="Too many players with High ROCE",5,0)))))</f>
        <v/>
      </c>
      <c r="AB360" s="31" t="inlineStr">
        <is>
          <t>Yes</t>
        </is>
      </c>
      <c r="AC360" s="31">
        <f>IF(AB360="No",5,0)</f>
        <v/>
      </c>
      <c r="AD360" s="31" t="inlineStr">
        <is>
          <t>Headwind</t>
        </is>
      </c>
      <c r="AE360" s="31">
        <f>IF(AD360="Tailwind",10,0)</f>
        <v/>
      </c>
      <c r="AF360" s="31" t="inlineStr">
        <is>
          <t>Cyclical</t>
        </is>
      </c>
      <c r="AG360" s="31">
        <f>IF(AF360="Structural (10 Years Consistency)",10,IF(AF360="Shallow Cyclical (2 to 3 years growth)",5,0))</f>
        <v/>
      </c>
      <c r="AH360" s="31" t="inlineStr">
        <is>
          <t>No</t>
        </is>
      </c>
      <c r="AI360" s="31">
        <f>IF(AH360="Yes due to Product Mix change or Operating Leverage",10,IF(AH360="Yes, these are peak margins",-5,IF(AH360="No",5,0)))</f>
        <v/>
      </c>
      <c r="AJ360" s="31" t="inlineStr">
        <is>
          <t>Volatile</t>
        </is>
      </c>
      <c r="AK360" s="31">
        <f>IF(AJ360="Stable",10,0)</f>
        <v/>
      </c>
      <c r="AL360" s="31" t="inlineStr">
        <is>
          <t>Yes</t>
        </is>
      </c>
      <c r="AM360" s="31">
        <f>IF(AL360="Yes",10,0)</f>
        <v/>
      </c>
      <c r="AN360" s="31" t="inlineStr">
        <is>
          <t>B2B</t>
        </is>
      </c>
      <c r="AO360" s="31">
        <f>IF(AN360="B2C",10,IF(AN360="B2B",5,0))</f>
        <v/>
      </c>
      <c r="AP360" s="31" t="inlineStr">
        <is>
          <t>No</t>
        </is>
      </c>
      <c r="AQ360" s="31">
        <f>IF(AP360="Yes",10,0)</f>
        <v/>
      </c>
      <c r="AR360" s="31" t="inlineStr">
        <is>
          <t>Higher One Time, Lower Annuity</t>
        </is>
      </c>
      <c r="AS360" s="31">
        <f>IF(AR360="Fully Annuity",10,IF(AR360="Higher Annuity, Lower One Time",5,IF(AR360="Higher One Time, Lower Annuity",3,0)))</f>
        <v/>
      </c>
      <c r="AT360" s="31" t="inlineStr">
        <is>
          <t>Good</t>
        </is>
      </c>
      <c r="AU360" s="31">
        <f>IF(AT360="Good",10,0)</f>
        <v/>
      </c>
      <c r="AV360" s="31" t="inlineStr">
        <is>
          <t>Yes for more than 2 years</t>
        </is>
      </c>
      <c r="AW360" s="31">
        <f>IF(AV360="Yes for more than 2 years",10,IF(AV360="Yes only for next 1 to 2 years",5,0))</f>
        <v/>
      </c>
      <c r="AX360" s="31" t="inlineStr">
        <is>
          <t>0 to 20</t>
        </is>
      </c>
      <c r="AY360" s="31">
        <f>IF(AX360="Above 40",20,IF(AX360="20 to 40",10,IF(AX360="0 to 20",-5,0)))</f>
        <v/>
      </c>
      <c r="AZ360" s="31" t="inlineStr">
        <is>
          <t>Between 50 to 75</t>
        </is>
      </c>
      <c r="BA360" s="31">
        <f>IF(AZ360="Between 50 to 75",10,IF(AZ360="Above 75",0,0))</f>
        <v/>
      </c>
      <c r="BB360" s="31" t="inlineStr">
        <is>
          <t>Stage 3</t>
        </is>
      </c>
      <c r="BC360" s="31">
        <f>IF(BB360="Stage 2",20,IF(BB360="Stage 1",0,IF(BB360="Stage 3",5,IF(BB360="Stage 4",-5,0))))</f>
        <v/>
      </c>
      <c r="BD360" s="31" t="inlineStr">
        <is>
          <t>Negative Trend</t>
        </is>
      </c>
      <c r="BE360" s="31">
        <f>IF(BD360="Positive Trend",20,IF(BD360="Negative Trend",-10,0))</f>
        <v/>
      </c>
      <c r="BF360" s="31" t="inlineStr">
        <is>
          <t>Uptrend</t>
        </is>
      </c>
      <c r="BG360" s="31">
        <f>IF(BF360="Uptrend",10,IF(BF360="Sideways",5,0))</f>
        <v/>
      </c>
      <c r="BH360" s="31" t="inlineStr">
        <is>
          <t>Uptrend</t>
        </is>
      </c>
      <c r="BI360" s="31">
        <f>IF(BH360="Uptrend",10,IF(BH360="Sideways",5,0))</f>
        <v/>
      </c>
      <c r="BJ360" s="31" t="inlineStr">
        <is>
          <t>Close to 52 week high or retracement</t>
        </is>
      </c>
      <c r="BK360" s="31">
        <f>IF(BJ360="Overhead supply in last 2 years in last 2 years",-5,IF(BJ360="Close to 52 week high or retracement",5,IF(BJ360="Blue sky scenario",10,IF(BJ360="Long term Downtrend",-10,0))))</f>
        <v/>
      </c>
      <c r="BL360" s="31" t="inlineStr">
        <is>
          <t>Yes</t>
        </is>
      </c>
      <c r="BM360" s="31">
        <f>IF(BL360="Yes",10,0)</f>
        <v/>
      </c>
      <c r="BN360" s="31" t="inlineStr">
        <is>
          <t>More than 20%</t>
        </is>
      </c>
      <c r="BO360" s="31">
        <f>IF(BN360="More than 20%",10,IF(BN360="Between 12 to 20%",5,IF(BN360="Less than 12%",0,0)))</f>
        <v/>
      </c>
      <c r="BP360" s="31" t="inlineStr">
        <is>
          <t>No</t>
        </is>
      </c>
      <c r="BQ360" s="31">
        <f>IF(BP360="No",10,0)</f>
        <v/>
      </c>
      <c r="BR360" s="31" t="inlineStr">
        <is>
          <t>No</t>
        </is>
      </c>
      <c r="BS360" s="31">
        <f>IF(BR360="NO",5,0)</f>
        <v/>
      </c>
      <c r="BT360" s="31" t="inlineStr">
        <is>
          <t>Above 2</t>
        </is>
      </c>
      <c r="BU360" s="31">
        <f>IF(BT360="Above 2",0,IF(BT360="Between 1.5 to 2",5,IF(BT360="Less than 1.5",10,0)))</f>
        <v/>
      </c>
      <c r="BV360" s="31" t="inlineStr">
        <is>
          <t>Above 70%</t>
        </is>
      </c>
      <c r="BW360" s="31">
        <f>IF(BV360="Above 70%",10,IF(BV360="Between 50% to 70%",5,IF(BV360="Less than 50%",0,IF(BV360="Negative",-10,IF(BV360="Less than 50% and Borrowings are increasing",-5,0)))))</f>
        <v/>
      </c>
      <c r="BX360" s="31" t="inlineStr">
        <is>
          <t>Between 0.7 to 1.2</t>
        </is>
      </c>
      <c r="BY360" s="31">
        <f>IF(BX360="More than 1.2",-10,IF(BX360="Between 0.7 to 1.2",0,IF(BX360="Less than 0.7",10,0)))</f>
        <v/>
      </c>
      <c r="BZ360" s="31" t="inlineStr">
        <is>
          <t>No</t>
        </is>
      </c>
      <c r="CA360" s="31">
        <f>IF(BZ360="Yes",-10,0)</f>
        <v/>
      </c>
      <c r="CB360" s="31" t="inlineStr">
        <is>
          <t>Less than 15%</t>
        </is>
      </c>
      <c r="CC360" s="31">
        <f>IF(CB360="More than 15%",-10,IF(CB360="Less than 15%",10,0))</f>
        <v/>
      </c>
      <c r="CD360" s="31" t="inlineStr">
        <is>
          <t>No</t>
        </is>
      </c>
      <c r="CE360" s="31">
        <f>IF(CD360="Yes, more than 10%",-10,IF(CD360="No",10,0))</f>
        <v/>
      </c>
    </row>
    <row r="361">
      <c r="A361" s="31">
        <f>IF(B361=0,"",RANK(B361,$B$2:$B$366,0))</f>
        <v/>
      </c>
      <c r="B361" s="32">
        <f>SUM(N361,Y361,AA361,AC361,AE361,AG361,AI361,AK361,AM361,AO361,AQ361,AS361,AU361,AW361,AY361,BA361,BC361,BE361,BG361,BI361,BK361,BM361,BO361,BQ361,BS361,BU361,BW361,BY361,CA361,CC361,CE361)</f>
        <v/>
      </c>
      <c r="C361" s="31" t="inlineStr">
        <is>
          <t>HINDALCO</t>
        </is>
      </c>
      <c r="D361" s="31" t="inlineStr">
        <is>
          <t>Hindalco Industries Limited</t>
        </is>
      </c>
      <c r="E361" s="31" t="inlineStr">
        <is>
          <t>metals &amp; mining</t>
        </is>
      </c>
      <c r="F361" s="31" t="inlineStr">
        <is>
          <t>aluminium and aluminium products</t>
        </is>
      </c>
      <c r="G361" s="31" t="inlineStr">
        <is>
          <t>largecap</t>
        </is>
      </c>
      <c r="H361" s="32" t="n">
        <v>218980.99</v>
      </c>
      <c r="I361" s="32" t="n">
        <v>994.9</v>
      </c>
      <c r="J361" s="32" t="n">
        <v>2.1</v>
      </c>
      <c r="K361" s="32" t="n">
        <v>16572203</v>
      </c>
      <c r="L361" s="31" t="n">
        <v>38</v>
      </c>
      <c r="M361" s="31" t="inlineStr">
        <is>
          <t>Outperforming</t>
        </is>
      </c>
      <c r="N361" s="32">
        <f>IF(M361="Underperforming",-5,IF(L361&gt;=95,15,IF(L361&gt;=90,10,IF(L361&gt;=80,5,0))))</f>
        <v/>
      </c>
      <c r="O361" s="32" t="n">
        <v>51.87</v>
      </c>
      <c r="P361" s="32" t="n">
        <v>35.61</v>
      </c>
      <c r="Q361" s="32" t="inlineStr"/>
      <c r="R361" s="31" t="inlineStr">
        <is>
          <t>Earnings / Momentum Support</t>
        </is>
      </c>
      <c r="S361" s="31" t="inlineStr">
        <is>
          <t>Nifty Metal</t>
        </is>
      </c>
      <c r="T361" s="32" t="n">
        <v>31.49</v>
      </c>
      <c r="U361" s="32" t="n">
        <v>41.45</v>
      </c>
      <c r="V361" s="32" t="n">
        <v>7.57</v>
      </c>
      <c r="W361" s="32" t="n">
        <v>5.99</v>
      </c>
      <c r="X361" s="31" t="inlineStr">
        <is>
          <t>Cyclical in an Upturn</t>
        </is>
      </c>
      <c r="Y361" s="31">
        <f>IF(X361="Growing Industry",10,IF(X361="Cyclical in an Upturn",5,0))</f>
        <v/>
      </c>
      <c r="Z361" s="31" t="inlineStr">
        <is>
          <t>Too Many Players with High ROCE</t>
        </is>
      </c>
      <c r="AA361" s="31">
        <f>IF(Z361="Monopoly",10,IF(Z361="Oligopoly",5,IF(Z361="Duopoly that cooperate",10,IF(Z361="Duopoly that compete",5,IF(Z361="Too many players with High ROCE",5,0)))))</f>
        <v/>
      </c>
      <c r="AB361" s="31" t="inlineStr">
        <is>
          <t>No</t>
        </is>
      </c>
      <c r="AC361" s="31">
        <f>IF(AB361="No",5,0)</f>
        <v/>
      </c>
      <c r="AD361" s="31" t="inlineStr">
        <is>
          <t>Headwind</t>
        </is>
      </c>
      <c r="AE361" s="31">
        <f>IF(AD361="Tailwind",10,0)</f>
        <v/>
      </c>
      <c r="AF361" s="31" t="inlineStr">
        <is>
          <t>Cyclical</t>
        </is>
      </c>
      <c r="AG361" s="31">
        <f>IF(AF361="Structural (10 Years Consistency)",10,IF(AF361="Shallow Cyclical (2 to 3 years growth)",5,0))</f>
        <v/>
      </c>
      <c r="AH361" s="31" t="inlineStr">
        <is>
          <t>No</t>
        </is>
      </c>
      <c r="AI361" s="31">
        <f>IF(AH361="Yes due to Product Mix change or Operating Leverage",10,IF(AH361="Yes, these are peak margins",-5,IF(AH361="No",5,0)))</f>
        <v/>
      </c>
      <c r="AJ361" s="31" t="inlineStr">
        <is>
          <t>Volatile</t>
        </is>
      </c>
      <c r="AK361" s="31">
        <f>IF(AJ361="Stable",10,0)</f>
        <v/>
      </c>
      <c r="AL361" s="31" t="inlineStr">
        <is>
          <t>Yes</t>
        </is>
      </c>
      <c r="AM361" s="31">
        <f>IF(AL361="Yes",10,0)</f>
        <v/>
      </c>
      <c r="AN361" s="31" t="inlineStr">
        <is>
          <t>B2B</t>
        </is>
      </c>
      <c r="AO361" s="31">
        <f>IF(AN361="B2C",10,IF(AN361="B2B",5,0))</f>
        <v/>
      </c>
      <c r="AP361" s="31" t="inlineStr">
        <is>
          <t>No</t>
        </is>
      </c>
      <c r="AQ361" s="31">
        <f>IF(AP361="Yes",10,0)</f>
        <v/>
      </c>
      <c r="AR361" s="31" t="inlineStr">
        <is>
          <t>Higher One Time, Lower Annuity</t>
        </is>
      </c>
      <c r="AS361" s="31">
        <f>IF(AR361="Fully Annuity",10,IF(AR361="Higher Annuity, Lower One Time",5,IF(AR361="Higher One Time, Lower Annuity",3,0)))</f>
        <v/>
      </c>
      <c r="AT361" s="31" t="inlineStr">
        <is>
          <t>Good</t>
        </is>
      </c>
      <c r="AU361" s="31">
        <f>IF(AT361="Good",10,0)</f>
        <v/>
      </c>
      <c r="AV361" s="31" t="inlineStr">
        <is>
          <t>Yes for more than 2 years</t>
        </is>
      </c>
      <c r="AW361" s="31">
        <f>IF(AV361="Yes for more than 2 years",10,IF(AV361="Yes only for next 1 to 2 years",5,0))</f>
        <v/>
      </c>
      <c r="AX361" s="31" t="inlineStr">
        <is>
          <t>20 to 40</t>
        </is>
      </c>
      <c r="AY361" s="31">
        <f>IF(AX361="Above 40",20,IF(AX361="20 to 40",10,IF(AX361="0 to 20",-5,0)))</f>
        <v/>
      </c>
      <c r="AZ361" s="31" t="inlineStr">
        <is>
          <t>Between 50 to 75</t>
        </is>
      </c>
      <c r="BA361" s="31">
        <f>IF(AZ361="Between 50 to 75",10,IF(AZ361="Above 75",0,0))</f>
        <v/>
      </c>
      <c r="BB361" s="31" t="inlineStr">
        <is>
          <t>Stage 3</t>
        </is>
      </c>
      <c r="BC361" s="31">
        <f>IF(BB361="Stage 2",20,IF(BB361="Stage 1",0,IF(BB361="Stage 3",5,IF(BB361="Stage 4",-5,0))))</f>
        <v/>
      </c>
      <c r="BD361" s="31" t="inlineStr">
        <is>
          <t>Negative Trend</t>
        </is>
      </c>
      <c r="BE361" s="31">
        <f>IF(BD361="Positive Trend",20,IF(BD361="Negative Trend",-10,0))</f>
        <v/>
      </c>
      <c r="BF361" s="31" t="inlineStr">
        <is>
          <t>Uptrend</t>
        </is>
      </c>
      <c r="BG361" s="31">
        <f>IF(BF361="Uptrend",10,IF(BF361="Sideways",5,0))</f>
        <v/>
      </c>
      <c r="BH361" s="31" t="inlineStr">
        <is>
          <t>Uptrend</t>
        </is>
      </c>
      <c r="BI361" s="31">
        <f>IF(BH361="Uptrend",10,IF(BH361="Sideways",5,0))</f>
        <v/>
      </c>
      <c r="BJ361" s="31" t="inlineStr">
        <is>
          <t>Close to 52 week high or retracement</t>
        </is>
      </c>
      <c r="BK361" s="31">
        <f>IF(BJ361="Overhead supply in last 2 years in last 2 years",-5,IF(BJ361="Close to 52 week high or retracement",5,IF(BJ361="Blue sky scenario",10,IF(BJ361="Long term Downtrend",-10,0))))</f>
        <v/>
      </c>
      <c r="BL361" s="31" t="inlineStr">
        <is>
          <t>Yes</t>
        </is>
      </c>
      <c r="BM361" s="31">
        <f>IF(BL361="Yes",10,0)</f>
        <v/>
      </c>
      <c r="BN361" s="31" t="inlineStr">
        <is>
          <t>Less than 12%</t>
        </is>
      </c>
      <c r="BO361" s="31">
        <f>IF(BN361="More than 20%",10,IF(BN361="Between 12 to 20%",5,IF(BN361="Less than 12%",0,0)))</f>
        <v/>
      </c>
      <c r="BP361" s="31" t="inlineStr">
        <is>
          <t>No</t>
        </is>
      </c>
      <c r="BQ361" s="31">
        <f>IF(BP361="No",10,0)</f>
        <v/>
      </c>
      <c r="BR361" s="31" t="inlineStr">
        <is>
          <t>No</t>
        </is>
      </c>
      <c r="BS361" s="31">
        <f>IF(BR361="NO",5,0)</f>
        <v/>
      </c>
      <c r="BT361" s="31" t="inlineStr">
        <is>
          <t>Above 2</t>
        </is>
      </c>
      <c r="BU361" s="31">
        <f>IF(BT361="Above 2",0,IF(BT361="Between 1.5 to 2",5,IF(BT361="Less than 1.5",10,0)))</f>
        <v/>
      </c>
      <c r="BV361" s="31" t="inlineStr">
        <is>
          <t>Less than 50%</t>
        </is>
      </c>
      <c r="BW361" s="31">
        <f>IF(BV361="Above 70%",10,IF(BV361="Between 50% to 70%",5,IF(BV361="Less than 50%",0,IF(BV361="Negative",-10,IF(BV361="Less than 50% and Borrowings are increasing",-5,0)))))</f>
        <v/>
      </c>
      <c r="BX361" s="31" t="inlineStr">
        <is>
          <t>Between 0.7 to 1.2</t>
        </is>
      </c>
      <c r="BY361" s="31">
        <f>IF(BX361="More than 1.2",-10,IF(BX361="Between 0.7 to 1.2",0,IF(BX361="Less than 0.7",10,0)))</f>
        <v/>
      </c>
      <c r="BZ361" s="31" t="inlineStr">
        <is>
          <t>No</t>
        </is>
      </c>
      <c r="CA361" s="31">
        <f>IF(BZ361="Yes",-10,0)</f>
        <v/>
      </c>
      <c r="CB361" s="31" t="inlineStr">
        <is>
          <t>Less than 15%</t>
        </is>
      </c>
      <c r="CC361" s="31">
        <f>IF(CB361="More than 15%",-10,IF(CB361="Less than 15%",10,0))</f>
        <v/>
      </c>
      <c r="CD361" s="31" t="inlineStr">
        <is>
          <t>No</t>
        </is>
      </c>
      <c r="CE361" s="31">
        <f>IF(CD361="Yes, more than 10%",-10,IF(CD361="No",10,0))</f>
        <v/>
      </c>
    </row>
    <row r="362">
      <c r="A362" s="31">
        <f>IF(B362=0,"",RANK(B362,$B$2:$B$366,0))</f>
        <v/>
      </c>
      <c r="B362" s="32">
        <f>SUM(N362,Y362,AA362,AC362,AE362,AG362,AI362,AK362,AM362,AO362,AQ362,AS362,AU362,AW362,AY362,BA362,BC362,BE362,BG362,BI362,BK362,BM362,BO362,BQ362,BS362,BU362,BW362,BY362,CA362,CC362,CE362)</f>
        <v/>
      </c>
      <c r="C362" s="33" t="inlineStr">
        <is>
          <t>KOLTEPATIL</t>
        </is>
      </c>
      <c r="D362" s="33" t="inlineStr">
        <is>
          <t>Kolte - Patil Developers Limited</t>
        </is>
      </c>
      <c r="E362" s="31" t="inlineStr">
        <is>
          <t>realty</t>
        </is>
      </c>
      <c r="F362" s="31" t="inlineStr">
        <is>
          <t>construction</t>
        </is>
      </c>
      <c r="G362" s="31" t="inlineStr">
        <is>
          <t>smallcap</t>
        </is>
      </c>
      <c r="H362" s="32" t="n">
        <v>3415.07</v>
      </c>
      <c r="I362" s="32" t="n">
        <v>391.4</v>
      </c>
      <c r="J362" s="32" t="n">
        <v>1.64</v>
      </c>
      <c r="K362" s="32" t="n">
        <v>164593</v>
      </c>
      <c r="L362" s="31" t="n">
        <v>6</v>
      </c>
      <c r="M362" s="31" t="inlineStr">
        <is>
          <t>Underperforming</t>
        </is>
      </c>
      <c r="N362" s="32">
        <f>IF(M362="Underperforming",-5,IF(L362&gt;=95,15,IF(L362&gt;=90,10,IF(L362&gt;=80,5,0))))</f>
        <v/>
      </c>
      <c r="O362" s="32" t="n">
        <v>54.36</v>
      </c>
      <c r="P362" s="32" t="n">
        <v>11.3</v>
      </c>
      <c r="Q362" s="32" t="inlineStr"/>
      <c r="R362" s="31" t="inlineStr">
        <is>
          <t>Earnings / Momentum Support</t>
        </is>
      </c>
      <c r="S362" s="31" t="inlineStr">
        <is>
          <t>Nifty Realty</t>
        </is>
      </c>
      <c r="T362" s="32" t="n">
        <v>-8.119999999999999</v>
      </c>
      <c r="U362" s="32" t="n">
        <v>-13.52</v>
      </c>
      <c r="V362" s="32" t="n">
        <v>-5.87</v>
      </c>
      <c r="W362" s="32" t="n">
        <v>-1.43</v>
      </c>
      <c r="X362" s="31" t="inlineStr">
        <is>
          <t>Growing Industry</t>
        </is>
      </c>
      <c r="Y362" s="31">
        <f>IF(X362="Growing Industry",10,IF(X362="Cyclical in an Upturn",5,0))</f>
        <v/>
      </c>
      <c r="Z362" s="31" t="inlineStr">
        <is>
          <t>Too Many Players with High ROCE</t>
        </is>
      </c>
      <c r="AA362" s="31">
        <f>IF(Z362="Monopoly",10,IF(Z362="Oligopoly",5,IF(Z362="Duopoly that cooperate",10,IF(Z362="Duopoly that compete",5,IF(Z362="Too many players with High ROCE",5,0)))))</f>
        <v/>
      </c>
      <c r="AB362" s="31" t="inlineStr">
        <is>
          <t>No</t>
        </is>
      </c>
      <c r="AC362" s="31">
        <f>IF(AB362="No",5,0)</f>
        <v/>
      </c>
      <c r="AD362" s="31" t="inlineStr">
        <is>
          <t>Headwind</t>
        </is>
      </c>
      <c r="AE362" s="31">
        <f>IF(AD362="Tailwind",10,0)</f>
        <v/>
      </c>
      <c r="AF362" s="31" t="inlineStr">
        <is>
          <t>Structural (10 Years Consistency)</t>
        </is>
      </c>
      <c r="AG362" s="31">
        <f>IF(AF362="Structural (10 Years Consistency)",10,IF(AF362="Shallow Cyclical (2 to 3 years growth)",5,0))</f>
        <v/>
      </c>
      <c r="AH362" s="31" t="inlineStr">
        <is>
          <t>No</t>
        </is>
      </c>
      <c r="AI362" s="31">
        <f>IF(AH362="Yes due to Product Mix change or Operating Leverage",10,IF(AH362="Yes, these are peak margins",-5,IF(AH362="No",5,0)))</f>
        <v/>
      </c>
      <c r="AJ362" s="31" t="inlineStr">
        <is>
          <t>Stable</t>
        </is>
      </c>
      <c r="AK362" s="31">
        <f>IF(AJ362="Stable",10,0)</f>
        <v/>
      </c>
      <c r="AL362" s="31" t="inlineStr">
        <is>
          <t>Yes</t>
        </is>
      </c>
      <c r="AM362" s="31">
        <f>IF(AL362="Yes",10,0)</f>
        <v/>
      </c>
      <c r="AN362" s="31" t="inlineStr">
        <is>
          <t>B2B</t>
        </is>
      </c>
      <c r="AO362" s="31">
        <f>IF(AN362="B2C",10,IF(AN362="B2B",5,0))</f>
        <v/>
      </c>
      <c r="AP362" s="31" t="inlineStr">
        <is>
          <t>No</t>
        </is>
      </c>
      <c r="AQ362" s="31">
        <f>IF(AP362="Yes",10,0)</f>
        <v/>
      </c>
      <c r="AR362" s="31" t="inlineStr">
        <is>
          <t>Higher One Time, Lower Annuity</t>
        </is>
      </c>
      <c r="AS362" s="31">
        <f>IF(AR362="Fully Annuity",10,IF(AR362="Higher Annuity, Lower One Time",5,IF(AR362="Higher One Time, Lower Annuity",3,0)))</f>
        <v/>
      </c>
      <c r="AT362" s="31" t="inlineStr">
        <is>
          <t>Good</t>
        </is>
      </c>
      <c r="AU362" s="31">
        <f>IF(AT362="Good",10,0)</f>
        <v/>
      </c>
      <c r="AV362" s="31" t="inlineStr">
        <is>
          <t>Yes for more than 2 years</t>
        </is>
      </c>
      <c r="AW362" s="31">
        <f>IF(AV362="Yes for more than 2 years",10,IF(AV362="Yes only for next 1 to 2 years",5,0))</f>
        <v/>
      </c>
      <c r="AX362" s="31" t="inlineStr">
        <is>
          <t>0 to 20</t>
        </is>
      </c>
      <c r="AY362" s="31">
        <f>IF(AX362="Above 40",20,IF(AX362="20 to 40",10,IF(AX362="0 to 20",-5,0)))</f>
        <v/>
      </c>
      <c r="AZ362" s="31" t="inlineStr">
        <is>
          <t>Between 50 to 75</t>
        </is>
      </c>
      <c r="BA362" s="31">
        <f>IF(AZ362="Between 50 to 75",10,IF(AZ362="Above 75",0,0))</f>
        <v/>
      </c>
      <c r="BB362" s="31" t="inlineStr">
        <is>
          <t>Stage 3</t>
        </is>
      </c>
      <c r="BC362" s="31">
        <f>IF(BB362="Stage 2",20,IF(BB362="Stage 1",0,IF(BB362="Stage 3",5,IF(BB362="Stage 4",-5,0))))</f>
        <v/>
      </c>
      <c r="BD362" s="31" t="inlineStr">
        <is>
          <t>Negative Trend</t>
        </is>
      </c>
      <c r="BE362" s="31">
        <f>IF(BD362="Positive Trend",20,IF(BD362="Negative Trend",-10,0))</f>
        <v/>
      </c>
      <c r="BF362" s="31" t="inlineStr">
        <is>
          <t>Uptrend</t>
        </is>
      </c>
      <c r="BG362" s="31">
        <f>IF(BF362="Uptrend",10,IF(BF362="Sideways",5,0))</f>
        <v/>
      </c>
      <c r="BH362" s="31" t="inlineStr">
        <is>
          <t>Uptrend</t>
        </is>
      </c>
      <c r="BI362" s="31">
        <f>IF(BH362="Uptrend",10,IF(BH362="Sideways",5,0))</f>
        <v/>
      </c>
      <c r="BJ362" s="31" t="inlineStr">
        <is>
          <t>Close to 52 week high or retracement</t>
        </is>
      </c>
      <c r="BK362" s="31">
        <f>IF(BJ362="Overhead supply in last 2 years in last 2 years",-5,IF(BJ362="Close to 52 week high or retracement",5,IF(BJ362="Blue sky scenario",10,IF(BJ362="Long term Downtrend",-10,0))))</f>
        <v/>
      </c>
      <c r="BL362" s="31" t="inlineStr">
        <is>
          <t>Yes</t>
        </is>
      </c>
      <c r="BM362" s="31">
        <f>IF(BL362="Yes",10,0)</f>
        <v/>
      </c>
      <c r="BN362" s="31" t="inlineStr">
        <is>
          <t>More than 20%</t>
        </is>
      </c>
      <c r="BO362" s="31">
        <f>IF(BN362="More than 20%",10,IF(BN362="Between 12 to 20%",5,IF(BN362="Less than 12%",0,0)))</f>
        <v/>
      </c>
      <c r="BP362" s="31" t="inlineStr">
        <is>
          <t>No</t>
        </is>
      </c>
      <c r="BQ362" s="31">
        <f>IF(BP362="No",10,0)</f>
        <v/>
      </c>
      <c r="BR362" s="31" t="inlineStr">
        <is>
          <t>Yes</t>
        </is>
      </c>
      <c r="BS362" s="31">
        <f>IF(BR362="NO",5,0)</f>
        <v/>
      </c>
      <c r="BT362" s="31" t="inlineStr">
        <is>
          <t>Above 2</t>
        </is>
      </c>
      <c r="BU362" s="31">
        <f>IF(BT362="Above 2",0,IF(BT362="Between 1.5 to 2",5,IF(BT362="Less than 1.5",10,0)))</f>
        <v/>
      </c>
      <c r="BV362" s="31" t="inlineStr">
        <is>
          <t>Negative</t>
        </is>
      </c>
      <c r="BW362" s="31">
        <f>IF(BV362="Above 70%",10,IF(BV362="Between 50% to 70%",5,IF(BV362="Less than 50%",0,IF(BV362="Negative",-10,IF(BV362="Less than 50% and Borrowings are increasing",-5,0)))))</f>
        <v/>
      </c>
      <c r="BX362" s="31" t="inlineStr">
        <is>
          <t>Between 0.7 to 1.2</t>
        </is>
      </c>
      <c r="BY362" s="31">
        <f>IF(BX362="More than 1.2",-10,IF(BX362="Between 0.7 to 1.2",0,IF(BX362="Less than 0.7",10,0)))</f>
        <v/>
      </c>
      <c r="BZ362" s="31" t="inlineStr">
        <is>
          <t>No</t>
        </is>
      </c>
      <c r="CA362" s="31">
        <f>IF(BZ362="Yes",-10,0)</f>
        <v/>
      </c>
      <c r="CB362" s="31" t="inlineStr">
        <is>
          <t>Less than 15%</t>
        </is>
      </c>
      <c r="CC362" s="31">
        <f>IF(CB362="More than 15%",-10,IF(CB362="Less than 15%",10,0))</f>
        <v/>
      </c>
      <c r="CD362" s="31" t="inlineStr">
        <is>
          <t>No</t>
        </is>
      </c>
      <c r="CE362" s="31">
        <f>IF(CD362="Yes, more than 10%",-10,IF(CD362="No",10,0))</f>
        <v/>
      </c>
    </row>
    <row r="363">
      <c r="A363" s="31">
        <f>IF(B363=0,"",RANK(B363,$B$2:$B$366,0))</f>
        <v/>
      </c>
      <c r="B363" s="32">
        <f>SUM(N363,Y363,AA363,AC363,AE363,AG363,AI363,AK363,AM363,AO363,AQ363,AS363,AU363,AW363,AY363,BA363,BC363,BE363,BG363,BI363,BK363,BM363,BO363,BQ363,BS363,BU363,BW363,BY363,CA363,CC363,CE363)</f>
        <v/>
      </c>
      <c r="C363" s="33" t="inlineStr">
        <is>
          <t>KOTHARIPET</t>
        </is>
      </c>
      <c r="D363" s="33" t="inlineStr">
        <is>
          <t>Kothari Petrochemicals Limited</t>
        </is>
      </c>
      <c r="E363" s="31" t="inlineStr">
        <is>
          <t>energy</t>
        </is>
      </c>
      <c r="F363" s="31" t="inlineStr">
        <is>
          <t>petrochemicals</t>
        </is>
      </c>
      <c r="G363" s="31" t="inlineStr">
        <is>
          <t>smallcap</t>
        </is>
      </c>
      <c r="H363" s="32" t="n">
        <v>823.03</v>
      </c>
      <c r="I363" s="32" t="n">
        <v>147.14</v>
      </c>
      <c r="J363" s="32" t="n">
        <v>5.21</v>
      </c>
      <c r="K363" s="32" t="n">
        <v>369243</v>
      </c>
      <c r="L363" s="31" t="n">
        <v>2</v>
      </c>
      <c r="M363" s="31" t="inlineStr">
        <is>
          <t>Underperforming</t>
        </is>
      </c>
      <c r="N363" s="32">
        <f>IF(M363="Underperforming",-5,IF(L363&gt;=95,15,IF(L363&gt;=90,10,IF(L363&gt;=80,5,0))))</f>
        <v/>
      </c>
      <c r="O363" s="32" t="n">
        <v>59.9</v>
      </c>
      <c r="P363" s="32" t="n">
        <v>16.71</v>
      </c>
      <c r="Q363" s="32" t="inlineStr"/>
      <c r="R363" s="31" t="inlineStr">
        <is>
          <t>Earnings / Momentum Support</t>
        </is>
      </c>
      <c r="S363" s="31" t="inlineStr">
        <is>
          <t>Nifty Energy</t>
        </is>
      </c>
      <c r="T363" s="32" t="n">
        <v>8.41</v>
      </c>
      <c r="U363" s="32" t="n">
        <v>-25.96</v>
      </c>
      <c r="V363" s="32" t="n">
        <v>-31.7</v>
      </c>
      <c r="W363" s="32" t="n">
        <v>-5.82</v>
      </c>
      <c r="X363" s="31" t="inlineStr">
        <is>
          <t>Cyclical in an Upturn</t>
        </is>
      </c>
      <c r="Y363" s="31">
        <f>IF(X363="Growing Industry",10,IF(X363="Cyclical in an Upturn",5,0))</f>
        <v/>
      </c>
      <c r="Z363" s="31" t="inlineStr">
        <is>
          <t>Oligopoly</t>
        </is>
      </c>
      <c r="AA363" s="31">
        <f>IF(Z363="Monopoly",10,IF(Z363="Oligopoly",5,IF(Z363="Duopoly that cooperate",10,IF(Z363="Duopoly that compete",5,IF(Z363="Too many players with High ROCE",5,0)))))</f>
        <v/>
      </c>
      <c r="AB363" s="31" t="inlineStr">
        <is>
          <t>Yes</t>
        </is>
      </c>
      <c r="AC363" s="31">
        <f>IF(AB363="No",5,0)</f>
        <v/>
      </c>
      <c r="AD363" s="31" t="inlineStr">
        <is>
          <t>Headwind</t>
        </is>
      </c>
      <c r="AE363" s="31">
        <f>IF(AD363="Tailwind",10,0)</f>
        <v/>
      </c>
      <c r="AF363" s="31" t="inlineStr">
        <is>
          <t>Cyclical</t>
        </is>
      </c>
      <c r="AG363" s="31">
        <f>IF(AF363="Structural (10 Years Consistency)",10,IF(AF363="Shallow Cyclical (2 to 3 years growth)",5,0))</f>
        <v/>
      </c>
      <c r="AH363" s="31" t="inlineStr">
        <is>
          <t>No</t>
        </is>
      </c>
      <c r="AI363" s="31">
        <f>IF(AH363="Yes due to Product Mix change or Operating Leverage",10,IF(AH363="Yes, these are peak margins",-5,IF(AH363="No",5,0)))</f>
        <v/>
      </c>
      <c r="AJ363" s="31" t="inlineStr">
        <is>
          <t>Volatile</t>
        </is>
      </c>
      <c r="AK363" s="31">
        <f>IF(AJ363="Stable",10,0)</f>
        <v/>
      </c>
      <c r="AL363" s="31" t="inlineStr">
        <is>
          <t>Yes</t>
        </is>
      </c>
      <c r="AM363" s="31">
        <f>IF(AL363="Yes",10,0)</f>
        <v/>
      </c>
      <c r="AN363" s="31" t="inlineStr">
        <is>
          <t>B2B</t>
        </is>
      </c>
      <c r="AO363" s="31">
        <f>IF(AN363="B2C",10,IF(AN363="B2B",5,0))</f>
        <v/>
      </c>
      <c r="AP363" s="31" t="inlineStr">
        <is>
          <t>No</t>
        </is>
      </c>
      <c r="AQ363" s="31">
        <f>IF(AP363="Yes",10,0)</f>
        <v/>
      </c>
      <c r="AR363" s="31" t="inlineStr">
        <is>
          <t>Higher One Time, Lower Annuity</t>
        </is>
      </c>
      <c r="AS363" s="31">
        <f>IF(AR363="Fully Annuity",10,IF(AR363="Higher Annuity, Lower One Time",5,IF(AR363="Higher One Time, Lower Annuity",3,0)))</f>
        <v/>
      </c>
      <c r="AT363" s="31" t="inlineStr">
        <is>
          <t>Good</t>
        </is>
      </c>
      <c r="AU363" s="31">
        <f>IF(AT363="Good",10,0)</f>
        <v/>
      </c>
      <c r="AV363" s="31" t="inlineStr">
        <is>
          <t>Yes for more than 2 years</t>
        </is>
      </c>
      <c r="AW363" s="31">
        <f>IF(AV363="Yes for more than 2 years",10,IF(AV363="Yes only for next 1 to 2 years",5,0))</f>
        <v/>
      </c>
      <c r="AX363" s="31" t="inlineStr">
        <is>
          <t>0 to 20</t>
        </is>
      </c>
      <c r="AY363" s="31">
        <f>IF(AX363="Above 40",20,IF(AX363="20 to 40",10,IF(AX363="0 to 20",-5,0)))</f>
        <v/>
      </c>
      <c r="AZ363" s="31" t="inlineStr">
        <is>
          <t>Between 50 to 75</t>
        </is>
      </c>
      <c r="BA363" s="31">
        <f>IF(AZ363="Between 50 to 75",10,IF(AZ363="Above 75",0,0))</f>
        <v/>
      </c>
      <c r="BB363" s="31" t="inlineStr">
        <is>
          <t>Stage 3</t>
        </is>
      </c>
      <c r="BC363" s="31">
        <f>IF(BB363="Stage 2",20,IF(BB363="Stage 1",0,IF(BB363="Stage 3",5,IF(BB363="Stage 4",-5,0))))</f>
        <v/>
      </c>
      <c r="BD363" s="31" t="inlineStr">
        <is>
          <t>Negative Trend</t>
        </is>
      </c>
      <c r="BE363" s="31">
        <f>IF(BD363="Positive Trend",20,IF(BD363="Negative Trend",-10,0))</f>
        <v/>
      </c>
      <c r="BF363" s="31" t="inlineStr">
        <is>
          <t>Uptrend</t>
        </is>
      </c>
      <c r="BG363" s="31">
        <f>IF(BF363="Uptrend",10,IF(BF363="Sideways",5,0))</f>
        <v/>
      </c>
      <c r="BH363" s="31" t="inlineStr">
        <is>
          <t>Uptrend</t>
        </is>
      </c>
      <c r="BI363" s="31">
        <f>IF(BH363="Uptrend",10,IF(BH363="Sideways",5,0))</f>
        <v/>
      </c>
      <c r="BJ363" s="31" t="inlineStr">
        <is>
          <t>Close to 52 week high or retracement</t>
        </is>
      </c>
      <c r="BK363" s="31">
        <f>IF(BJ363="Overhead supply in last 2 years in last 2 years",-5,IF(BJ363="Close to 52 week high or retracement",5,IF(BJ363="Blue sky scenario",10,IF(BJ363="Long term Downtrend",-10,0))))</f>
        <v/>
      </c>
      <c r="BL363" s="31" t="inlineStr">
        <is>
          <t>Yes</t>
        </is>
      </c>
      <c r="BM363" s="31">
        <f>IF(BL363="Yes",10,0)</f>
        <v/>
      </c>
      <c r="BN363" s="31" t="inlineStr">
        <is>
          <t>Less than 12%</t>
        </is>
      </c>
      <c r="BO363" s="31">
        <f>IF(BN363="More than 20%",10,IF(BN363="Between 12 to 20%",5,IF(BN363="Less than 12%",0,0)))</f>
        <v/>
      </c>
      <c r="BP363" s="31" t="inlineStr">
        <is>
          <t>No</t>
        </is>
      </c>
      <c r="BQ363" s="31">
        <f>IF(BP363="No",10,0)</f>
        <v/>
      </c>
      <c r="BR363" s="31" t="inlineStr">
        <is>
          <t>No</t>
        </is>
      </c>
      <c r="BS363" s="31">
        <f>IF(BR363="NO",5,0)</f>
        <v/>
      </c>
      <c r="BT363" s="31" t="inlineStr">
        <is>
          <t>Above 2</t>
        </is>
      </c>
      <c r="BU363" s="31">
        <f>IF(BT363="Above 2",0,IF(BT363="Between 1.5 to 2",5,IF(BT363="Less than 1.5",10,0)))</f>
        <v/>
      </c>
      <c r="BV363" s="31" t="inlineStr">
        <is>
          <t>Above 70%</t>
        </is>
      </c>
      <c r="BW363" s="31">
        <f>IF(BV363="Above 70%",10,IF(BV363="Between 50% to 70%",5,IF(BV363="Less than 50%",0,IF(BV363="Negative",-10,IF(BV363="Less than 50% and Borrowings are increasing",-5,0)))))</f>
        <v/>
      </c>
      <c r="BX363" s="31" t="inlineStr">
        <is>
          <t>Less than 0.7</t>
        </is>
      </c>
      <c r="BY363" s="31">
        <f>IF(BX363="More than 1.2",-10,IF(BX363="Between 0.7 to 1.2",0,IF(BX363="Less than 0.7",10,0)))</f>
        <v/>
      </c>
      <c r="BZ363" s="31" t="inlineStr">
        <is>
          <t>No</t>
        </is>
      </c>
      <c r="CA363" s="31">
        <f>IF(BZ363="Yes",-10,0)</f>
        <v/>
      </c>
      <c r="CB363" s="31" t="inlineStr">
        <is>
          <t>Less than 15%</t>
        </is>
      </c>
      <c r="CC363" s="31">
        <f>IF(CB363="More than 15%",-10,IF(CB363="Less than 15%",10,0))</f>
        <v/>
      </c>
      <c r="CD363" s="31" t="inlineStr">
        <is>
          <t>No</t>
        </is>
      </c>
      <c r="CE363" s="31">
        <f>IF(CD363="Yes, more than 10%",-10,IF(CD363="No",10,0))</f>
        <v/>
      </c>
    </row>
    <row r="364">
      <c r="A364" s="31">
        <f>IF(B364=0,"",RANK(B364,$B$2:$B$366,0))</f>
        <v/>
      </c>
      <c r="B364" s="32">
        <f>SUM(N364,Y364,AA364,AC364,AE364,AG364,AI364,AK364,AM364,AO364,AQ364,AS364,AU364,AW364,AY364,BA364,BC364,BE364,BG364,BI364,BK364,BM364,BO364,BQ364,BS364,BU364,BW364,BY364,CA364,CC364,CE364)</f>
        <v/>
      </c>
      <c r="C364" s="33" t="inlineStr">
        <is>
          <t>GANDHITUBE</t>
        </is>
      </c>
      <c r="D364" s="33" t="inlineStr">
        <is>
          <t>Gandhi Special Tubes Limited</t>
        </is>
      </c>
      <c r="E364" s="31" t="inlineStr">
        <is>
          <t>metals &amp; mining</t>
        </is>
      </c>
      <c r="F364" s="31" t="inlineStr">
        <is>
          <t>steel - medium / small</t>
        </is>
      </c>
      <c r="G364" s="31" t="inlineStr">
        <is>
          <t>smallcap</t>
        </is>
      </c>
      <c r="H364" s="32" t="n">
        <v>1064.94</v>
      </c>
      <c r="I364" s="32" t="n">
        <v>881.1</v>
      </c>
      <c r="J364" s="32" t="n">
        <v>0.54</v>
      </c>
      <c r="K364" s="32" t="n">
        <v>4749</v>
      </c>
      <c r="L364" s="31" t="n">
        <v>30</v>
      </c>
      <c r="M364" s="31" t="inlineStr">
        <is>
          <t>Underperforming</t>
        </is>
      </c>
      <c r="N364" s="32">
        <f>IF(M364="Underperforming",-5,IF(L364&gt;=95,15,IF(L364&gt;=90,10,IF(L364&gt;=80,5,0))))</f>
        <v/>
      </c>
      <c r="O364" s="32" t="n">
        <v>55.43</v>
      </c>
      <c r="P364" s="32" t="n">
        <v>13.43</v>
      </c>
      <c r="Q364" s="32" t="inlineStr"/>
      <c r="R364" s="31" t="inlineStr">
        <is>
          <t>Earnings / Momentum Support</t>
        </is>
      </c>
      <c r="S364" s="31" t="inlineStr">
        <is>
          <t>Nifty Metal</t>
        </is>
      </c>
      <c r="T364" s="32" t="n">
        <v>31.49</v>
      </c>
      <c r="U364" s="32" t="n">
        <v>20.74</v>
      </c>
      <c r="V364" s="32" t="n">
        <v>-8.18</v>
      </c>
      <c r="W364" s="32" t="n">
        <v>4.51</v>
      </c>
      <c r="X364" s="31" t="inlineStr">
        <is>
          <t>Cyclical in an Upturn</t>
        </is>
      </c>
      <c r="Y364" s="31">
        <f>IF(X364="Growing Industry",10,IF(X364="Cyclical in an Upturn",5,0))</f>
        <v/>
      </c>
      <c r="Z364" s="31" t="inlineStr">
        <is>
          <t>Too Many Players with High ROCE</t>
        </is>
      </c>
      <c r="AA364" s="31">
        <f>IF(Z364="Monopoly",10,IF(Z364="Oligopoly",5,IF(Z364="Duopoly that cooperate",10,IF(Z364="Duopoly that compete",5,IF(Z364="Too many players with High ROCE",5,0)))))</f>
        <v/>
      </c>
      <c r="AB364" s="31" t="inlineStr">
        <is>
          <t>No</t>
        </is>
      </c>
      <c r="AC364" s="31">
        <f>IF(AB364="No",5,0)</f>
        <v/>
      </c>
      <c r="AD364" s="31" t="inlineStr">
        <is>
          <t>Headwind</t>
        </is>
      </c>
      <c r="AE364" s="31">
        <f>IF(AD364="Tailwind",10,0)</f>
        <v/>
      </c>
      <c r="AF364" s="31" t="inlineStr">
        <is>
          <t>Cyclical</t>
        </is>
      </c>
      <c r="AG364" s="31">
        <f>IF(AF364="Structural (10 Years Consistency)",10,IF(AF364="Shallow Cyclical (2 to 3 years growth)",5,0))</f>
        <v/>
      </c>
      <c r="AH364" s="31" t="inlineStr">
        <is>
          <t>No</t>
        </is>
      </c>
      <c r="AI364" s="31">
        <f>IF(AH364="Yes due to Product Mix change or Operating Leverage",10,IF(AH364="Yes, these are peak margins",-5,IF(AH364="No",5,0)))</f>
        <v/>
      </c>
      <c r="AJ364" s="31" t="inlineStr">
        <is>
          <t>Volatile</t>
        </is>
      </c>
      <c r="AK364" s="31">
        <f>IF(AJ364="Stable",10,0)</f>
        <v/>
      </c>
      <c r="AL364" s="31" t="inlineStr">
        <is>
          <t>Yes</t>
        </is>
      </c>
      <c r="AM364" s="31">
        <f>IF(AL364="Yes",10,0)</f>
        <v/>
      </c>
      <c r="AN364" s="31" t="inlineStr">
        <is>
          <t>B2B</t>
        </is>
      </c>
      <c r="AO364" s="31">
        <f>IF(AN364="B2C",10,IF(AN364="B2B",5,0))</f>
        <v/>
      </c>
      <c r="AP364" s="31" t="inlineStr">
        <is>
          <t>No</t>
        </is>
      </c>
      <c r="AQ364" s="31">
        <f>IF(AP364="Yes",10,0)</f>
        <v/>
      </c>
      <c r="AR364" s="31" t="inlineStr">
        <is>
          <t>Higher One Time, Lower Annuity</t>
        </is>
      </c>
      <c r="AS364" s="31">
        <f>IF(AR364="Fully Annuity",10,IF(AR364="Higher Annuity, Lower One Time",5,IF(AR364="Higher One Time, Lower Annuity",3,0)))</f>
        <v/>
      </c>
      <c r="AT364" s="31" t="inlineStr">
        <is>
          <t>Good</t>
        </is>
      </c>
      <c r="AU364" s="31">
        <f>IF(AT364="Good",10,0)</f>
        <v/>
      </c>
      <c r="AV364" s="31" t="inlineStr">
        <is>
          <t>Yes for more than 2 years</t>
        </is>
      </c>
      <c r="AW364" s="31">
        <f>IF(AV364="Yes for more than 2 years",10,IF(AV364="Yes only for next 1 to 2 years",5,0))</f>
        <v/>
      </c>
      <c r="AX364" s="31" t="inlineStr">
        <is>
          <t>0 to 20</t>
        </is>
      </c>
      <c r="AY364" s="31">
        <f>IF(AX364="Above 40",20,IF(AX364="20 to 40",10,IF(AX364="0 to 20",-5,0)))</f>
        <v/>
      </c>
      <c r="AZ364" s="31" t="inlineStr">
        <is>
          <t>Between 50 to 75</t>
        </is>
      </c>
      <c r="BA364" s="31">
        <f>IF(AZ364="Between 50 to 75",10,IF(AZ364="Above 75",0,0))</f>
        <v/>
      </c>
      <c r="BB364" s="31" t="inlineStr">
        <is>
          <t>Stage 3</t>
        </is>
      </c>
      <c r="BC364" s="31">
        <f>IF(BB364="Stage 2",20,IF(BB364="Stage 1",0,IF(BB364="Stage 3",5,IF(BB364="Stage 4",-5,0))))</f>
        <v/>
      </c>
      <c r="BD364" s="31" t="inlineStr">
        <is>
          <t>Negative Trend</t>
        </is>
      </c>
      <c r="BE364" s="31">
        <f>IF(BD364="Positive Trend",20,IF(BD364="Negative Trend",-10,0))</f>
        <v/>
      </c>
      <c r="BF364" s="31" t="inlineStr">
        <is>
          <t>Uptrend</t>
        </is>
      </c>
      <c r="BG364" s="31">
        <f>IF(BF364="Uptrend",10,IF(BF364="Sideways",5,0))</f>
        <v/>
      </c>
      <c r="BH364" s="31" t="inlineStr">
        <is>
          <t>Uptrend</t>
        </is>
      </c>
      <c r="BI364" s="31">
        <f>IF(BH364="Uptrend",10,IF(BH364="Sideways",5,0))</f>
        <v/>
      </c>
      <c r="BJ364" s="31" t="inlineStr">
        <is>
          <t>Close to 52 week high or retracement</t>
        </is>
      </c>
      <c r="BK364" s="31">
        <f>IF(BJ364="Overhead supply in last 2 years in last 2 years",-5,IF(BJ364="Close to 52 week high or retracement",5,IF(BJ364="Blue sky scenario",10,IF(BJ364="Long term Downtrend",-10,0))))</f>
        <v/>
      </c>
      <c r="BL364" s="31" t="inlineStr">
        <is>
          <t>Yes</t>
        </is>
      </c>
      <c r="BM364" s="31">
        <f>IF(BL364="Yes",10,0)</f>
        <v/>
      </c>
      <c r="BN364" s="31" t="inlineStr">
        <is>
          <t>Less than 12%</t>
        </is>
      </c>
      <c r="BO364" s="31">
        <f>IF(BN364="More than 20%",10,IF(BN364="Between 12 to 20%",5,IF(BN364="Less than 12%",0,0)))</f>
        <v/>
      </c>
      <c r="BP364" s="31" t="inlineStr">
        <is>
          <t>No</t>
        </is>
      </c>
      <c r="BQ364" s="31">
        <f>IF(BP364="No",10,0)</f>
        <v/>
      </c>
      <c r="BR364" s="31" t="inlineStr">
        <is>
          <t>No</t>
        </is>
      </c>
      <c r="BS364" s="31">
        <f>IF(BR364="NO",5,0)</f>
        <v/>
      </c>
      <c r="BT364" s="31" t="inlineStr">
        <is>
          <t>Above 2</t>
        </is>
      </c>
      <c r="BU364" s="31">
        <f>IF(BT364="Above 2",0,IF(BT364="Between 1.5 to 2",5,IF(BT364="Less than 1.5",10,0)))</f>
        <v/>
      </c>
      <c r="BV364" s="31" t="inlineStr">
        <is>
          <t>Between 50% to 70%</t>
        </is>
      </c>
      <c r="BW364" s="31">
        <f>IF(BV364="Above 70%",10,IF(BV364="Between 50% to 70%",5,IF(BV364="Less than 50%",0,IF(BV364="Negative",-10,IF(BV364="Less than 50% and Borrowings are increasing",-5,0)))))</f>
        <v/>
      </c>
      <c r="BX364" s="31" t="inlineStr">
        <is>
          <t>Less than 0.7</t>
        </is>
      </c>
      <c r="BY364" s="31">
        <f>IF(BX364="More than 1.2",-10,IF(BX364="Between 0.7 to 1.2",0,IF(BX364="Less than 0.7",10,0)))</f>
        <v/>
      </c>
      <c r="BZ364" s="31" t="inlineStr">
        <is>
          <t>No</t>
        </is>
      </c>
      <c r="CA364" s="31">
        <f>IF(BZ364="Yes",-10,0)</f>
        <v/>
      </c>
      <c r="CB364" s="31" t="inlineStr">
        <is>
          <t>Less than 15%</t>
        </is>
      </c>
      <c r="CC364" s="31">
        <f>IF(CB364="More than 15%",-10,IF(CB364="Less than 15%",10,0))</f>
        <v/>
      </c>
      <c r="CD364" s="31" t="inlineStr">
        <is>
          <t>No</t>
        </is>
      </c>
      <c r="CE364" s="31">
        <f>IF(CD364="Yes, more than 10%",-10,IF(CD364="No",10,0))</f>
        <v/>
      </c>
    </row>
    <row r="365">
      <c r="A365" s="31">
        <f>IF(B365=0,"",RANK(B365,$B$2:$B$366,0))</f>
        <v/>
      </c>
      <c r="B365" s="32">
        <f>SUM(N365,Y365,AA365,AC365,AE365,AG365,AI365,AK365,AM365,AO365,AQ365,AS365,AU365,AW365,AY365,BA365,BC365,BE365,BG365,BI365,BK365,BM365,BO365,BQ365,BS365,BU365,BW365,BY365,CA365,CC365,CE365)</f>
        <v/>
      </c>
      <c r="C365" s="33" t="inlineStr">
        <is>
          <t>LLOYDSME</t>
        </is>
      </c>
      <c r="D365" s="33" t="inlineStr">
        <is>
          <t>Lloyds Metals &amp; Energy Ltd</t>
        </is>
      </c>
      <c r="E365" s="31" t="inlineStr">
        <is>
          <t>metals &amp; mining</t>
        </is>
      </c>
      <c r="F365" s="31" t="inlineStr">
        <is>
          <t>mining / minerals / metals</t>
        </is>
      </c>
      <c r="G365" s="31" t="inlineStr">
        <is>
          <t>largecap</t>
        </is>
      </c>
      <c r="H365" s="32" t="n">
        <v>115227.05</v>
      </c>
      <c r="I365" s="32" t="n">
        <v>2050.6</v>
      </c>
      <c r="J365" s="32" t="n">
        <v>0.18</v>
      </c>
      <c r="K365" s="32" t="n">
        <v>607396</v>
      </c>
      <c r="L365" s="31" t="n">
        <v>52</v>
      </c>
      <c r="M365" s="31" t="inlineStr">
        <is>
          <t>Underperforming</t>
        </is>
      </c>
      <c r="N365" s="32">
        <f>IF(M365="Underperforming",-5,IF(L365&gt;=95,15,IF(L365&gt;=90,10,IF(L365&gt;=80,5,0))))</f>
        <v/>
      </c>
      <c r="O365" s="32" t="n">
        <v>78.12</v>
      </c>
      <c r="P365" s="32" t="n">
        <v>44.88</v>
      </c>
      <c r="Q365" s="32" t="inlineStr"/>
      <c r="R365" s="31" t="inlineStr">
        <is>
          <t>Earnings / Momentum Support</t>
        </is>
      </c>
      <c r="S365" s="31" t="inlineStr">
        <is>
          <t>Nifty Metal</t>
        </is>
      </c>
      <c r="T365" s="32" t="n">
        <v>31.49</v>
      </c>
      <c r="U365" s="32" t="n">
        <v>26.75</v>
      </c>
      <c r="V365" s="32" t="n">
        <v>-3.61</v>
      </c>
      <c r="W365" s="32" t="n">
        <v>8.960000000000001</v>
      </c>
      <c r="X365" s="31" t="inlineStr">
        <is>
          <t>Cyclical in an Upturn</t>
        </is>
      </c>
      <c r="Y365" s="31">
        <f>IF(X365="Growing Industry",10,IF(X365="Cyclical in an Upturn",5,0))</f>
        <v/>
      </c>
      <c r="Z365" s="31" t="inlineStr">
        <is>
          <t>Too Many Players with High ROCE</t>
        </is>
      </c>
      <c r="AA365" s="31">
        <f>IF(Z365="Monopoly",10,IF(Z365="Oligopoly",5,IF(Z365="Duopoly that cooperate",10,IF(Z365="Duopoly that compete",5,IF(Z365="Too many players with High ROCE",5,0)))))</f>
        <v/>
      </c>
      <c r="AB365" s="31" t="inlineStr">
        <is>
          <t>No</t>
        </is>
      </c>
      <c r="AC365" s="31">
        <f>IF(AB365="No",5,0)</f>
        <v/>
      </c>
      <c r="AD365" s="31" t="inlineStr">
        <is>
          <t>Headwind</t>
        </is>
      </c>
      <c r="AE365" s="31">
        <f>IF(AD365="Tailwind",10,0)</f>
        <v/>
      </c>
      <c r="AF365" s="31" t="inlineStr">
        <is>
          <t>Cyclical</t>
        </is>
      </c>
      <c r="AG365" s="31">
        <f>IF(AF365="Structural (10 Years Consistency)",10,IF(AF365="Shallow Cyclical (2 to 3 years growth)",5,0))</f>
        <v/>
      </c>
      <c r="AH365" s="31" t="inlineStr">
        <is>
          <t>No</t>
        </is>
      </c>
      <c r="AI365" s="31">
        <f>IF(AH365="Yes due to Product Mix change or Operating Leverage",10,IF(AH365="Yes, these are peak margins",-5,IF(AH365="No",5,0)))</f>
        <v/>
      </c>
      <c r="AJ365" s="31" t="inlineStr">
        <is>
          <t>Volatile</t>
        </is>
      </c>
      <c r="AK365" s="31">
        <f>IF(AJ365="Stable",10,0)</f>
        <v/>
      </c>
      <c r="AL365" s="31" t="inlineStr">
        <is>
          <t>Yes</t>
        </is>
      </c>
      <c r="AM365" s="31">
        <f>IF(AL365="Yes",10,0)</f>
        <v/>
      </c>
      <c r="AN365" s="31" t="inlineStr">
        <is>
          <t>B2B</t>
        </is>
      </c>
      <c r="AO365" s="31">
        <f>IF(AN365="B2C",10,IF(AN365="B2B",5,0))</f>
        <v/>
      </c>
      <c r="AP365" s="31" t="inlineStr">
        <is>
          <t>No</t>
        </is>
      </c>
      <c r="AQ365" s="31">
        <f>IF(AP365="Yes",10,0)</f>
        <v/>
      </c>
      <c r="AR365" s="31" t="inlineStr">
        <is>
          <t>Higher One Time, Lower Annuity</t>
        </is>
      </c>
      <c r="AS365" s="31">
        <f>IF(AR365="Fully Annuity",10,IF(AR365="Higher Annuity, Lower One Time",5,IF(AR365="Higher One Time, Lower Annuity",3,0)))</f>
        <v/>
      </c>
      <c r="AT365" s="31" t="inlineStr">
        <is>
          <t>Good</t>
        </is>
      </c>
      <c r="AU365" s="31">
        <f>IF(AT365="Good",10,0)</f>
        <v/>
      </c>
      <c r="AV365" s="31" t="inlineStr">
        <is>
          <t>Yes for more than 2 years</t>
        </is>
      </c>
      <c r="AW365" s="31">
        <f>IF(AV365="Yes for more than 2 years",10,IF(AV365="Yes only for next 1 to 2 years",5,0))</f>
        <v/>
      </c>
      <c r="AX365" s="31" t="inlineStr">
        <is>
          <t>Above 40</t>
        </is>
      </c>
      <c r="AY365" s="31">
        <f>IF(AX365="Above 40",20,IF(AX365="20 to 40",10,IF(AX365="0 to 20",-5,0)))</f>
        <v/>
      </c>
      <c r="AZ365" s="31" t="inlineStr">
        <is>
          <t>Above 75</t>
        </is>
      </c>
      <c r="BA365" s="31">
        <f>IF(AZ365="Between 50 to 75",10,IF(AZ365="Above 75",0,0))</f>
        <v/>
      </c>
      <c r="BB365" s="31" t="inlineStr">
        <is>
          <t>Stage 3</t>
        </is>
      </c>
      <c r="BC365" s="31">
        <f>IF(BB365="Stage 2",20,IF(BB365="Stage 1",0,IF(BB365="Stage 3",5,IF(BB365="Stage 4",-5,0))))</f>
        <v/>
      </c>
      <c r="BD365" s="31" t="inlineStr">
        <is>
          <t>Negative Trend</t>
        </is>
      </c>
      <c r="BE365" s="31">
        <f>IF(BD365="Positive Trend",20,IF(BD365="Negative Trend",-10,0))</f>
        <v/>
      </c>
      <c r="BF365" s="31" t="inlineStr">
        <is>
          <t>Uptrend</t>
        </is>
      </c>
      <c r="BG365" s="31">
        <f>IF(BF365="Uptrend",10,IF(BF365="Sideways",5,0))</f>
        <v/>
      </c>
      <c r="BH365" s="31" t="inlineStr">
        <is>
          <t>Uptrend</t>
        </is>
      </c>
      <c r="BI365" s="31">
        <f>IF(BH365="Uptrend",10,IF(BH365="Sideways",5,0))</f>
        <v/>
      </c>
      <c r="BJ365" s="31" t="inlineStr">
        <is>
          <t>Close to 52 week high or retracement</t>
        </is>
      </c>
      <c r="BK365" s="31">
        <f>IF(BJ365="Overhead supply in last 2 years in last 2 years",-5,IF(BJ365="Close to 52 week high or retracement",5,IF(BJ365="Blue sky scenario",10,IF(BJ365="Long term Downtrend",-10,0))))</f>
        <v/>
      </c>
      <c r="BL365" s="31" t="inlineStr">
        <is>
          <t>Yes</t>
        </is>
      </c>
      <c r="BM365" s="31">
        <f>IF(BL365="Yes",10,0)</f>
        <v/>
      </c>
      <c r="BN365" s="31" t="inlineStr">
        <is>
          <t>More than 20%</t>
        </is>
      </c>
      <c r="BO365" s="31">
        <f>IF(BN365="More than 20%",10,IF(BN365="Between 12 to 20%",5,IF(BN365="Less than 12%",0,0)))</f>
        <v/>
      </c>
      <c r="BP365" s="31" t="inlineStr">
        <is>
          <t>No</t>
        </is>
      </c>
      <c r="BQ365" s="31">
        <f>IF(BP365="No",10,0)</f>
        <v/>
      </c>
      <c r="BR365" s="31" t="inlineStr">
        <is>
          <t>No</t>
        </is>
      </c>
      <c r="BS365" s="31">
        <f>IF(BR365="NO",5,0)</f>
        <v/>
      </c>
      <c r="BT365" s="31" t="inlineStr">
        <is>
          <t>Above 2</t>
        </is>
      </c>
      <c r="BU365" s="31">
        <f>IF(BT365="Above 2",0,IF(BT365="Between 1.5 to 2",5,IF(BT365="Less than 1.5",10,0)))</f>
        <v/>
      </c>
      <c r="BV365" s="31" t="inlineStr">
        <is>
          <t>Less than 50% and Borrowings are increasing</t>
        </is>
      </c>
      <c r="BW365" s="31">
        <f>IF(BV365="Above 70%",10,IF(BV365="Between 50% to 70%",5,IF(BV365="Less than 50%",0,IF(BV365="Negative",-10,IF(BV365="Less than 50% and Borrowings are increasing",-5,0)))))</f>
        <v/>
      </c>
      <c r="BX365" s="31" t="inlineStr">
        <is>
          <t>More than 1.2</t>
        </is>
      </c>
      <c r="BY365" s="31">
        <f>IF(BX365="More than 1.2",-10,IF(BX365="Between 0.7 to 1.2",0,IF(BX365="Less than 0.7",10,0)))</f>
        <v/>
      </c>
      <c r="BZ365" s="31" t="inlineStr">
        <is>
          <t>No</t>
        </is>
      </c>
      <c r="CA365" s="31">
        <f>IF(BZ365="Yes",-10,0)</f>
        <v/>
      </c>
      <c r="CB365" s="31" t="inlineStr">
        <is>
          <t>Less than 15%</t>
        </is>
      </c>
      <c r="CC365" s="31">
        <f>IF(CB365="More than 15%",-10,IF(CB365="Less than 15%",10,0))</f>
        <v/>
      </c>
      <c r="CD365" s="31" t="inlineStr">
        <is>
          <t>No</t>
        </is>
      </c>
      <c r="CE365" s="31">
        <f>IF(CD365="Yes, more than 10%",-10,IF(CD365="No",10,0))</f>
        <v/>
      </c>
    </row>
    <row r="366">
      <c r="A366" s="31">
        <f>IF(B366=0,"",RANK(B366,$B$2:$B$366,0))</f>
        <v/>
      </c>
      <c r="B366" s="32">
        <f>SUM(N366,Y366,AA366,AC366,AE366,AG366,AI366,AK366,AM366,AO366,AQ366,AS366,AU366,AW366,AY366,BA366,BC366,BE366,BG366,BI366,BK366,BM366,BO366,BQ366,BS366,BU366,BW366,BY366,CA366,CC366,CE366)</f>
        <v/>
      </c>
      <c r="C366" s="33" t="inlineStr">
        <is>
          <t>JINDALSTEL</t>
        </is>
      </c>
      <c r="D366" s="33" t="inlineStr">
        <is>
          <t>Jindal Steel Ltd</t>
        </is>
      </c>
      <c r="E366" s="31" t="inlineStr">
        <is>
          <t>metals &amp; mining</t>
        </is>
      </c>
      <c r="F366" s="31" t="inlineStr">
        <is>
          <t>steel - large</t>
        </is>
      </c>
      <c r="G366" s="31" t="inlineStr">
        <is>
          <t>largecap</t>
        </is>
      </c>
      <c r="H366" s="32" t="n">
        <v>112454.51</v>
      </c>
      <c r="I366" s="32" t="n">
        <v>1105.1</v>
      </c>
      <c r="J366" s="32" t="n">
        <v>0.24</v>
      </c>
      <c r="K366" s="32" t="n">
        <v>3452355</v>
      </c>
      <c r="L366" s="31" t="n">
        <v>6</v>
      </c>
      <c r="M366" s="31" t="inlineStr">
        <is>
          <t>Underperforming</t>
        </is>
      </c>
      <c r="N366" s="32">
        <f>IF(M366="Underperforming",-5,IF(L366&gt;=95,15,IF(L366&gt;=90,10,IF(L366&gt;=80,5,0))))</f>
        <v/>
      </c>
      <c r="O366" s="32" t="n">
        <v>47.82</v>
      </c>
      <c r="P366" s="32" t="n">
        <v>18.69</v>
      </c>
      <c r="Q366" s="32" t="inlineStr"/>
      <c r="R366" s="31" t="inlineStr">
        <is>
          <t>Earnings / Momentum Support</t>
        </is>
      </c>
      <c r="S366" s="31" t="inlineStr">
        <is>
          <t>Nifty Metal</t>
        </is>
      </c>
      <c r="T366" s="32" t="n">
        <v>31.49</v>
      </c>
      <c r="U366" s="32" t="n">
        <v>7.3</v>
      </c>
      <c r="V366" s="32" t="n">
        <v>-18.4</v>
      </c>
      <c r="W366" s="32" t="n">
        <v>-1.56</v>
      </c>
      <c r="X366" s="31" t="inlineStr">
        <is>
          <t>Cyclical in an Upturn</t>
        </is>
      </c>
      <c r="Y366" s="31">
        <f>IF(X366="Growing Industry",10,IF(X366="Cyclical in an Upturn",5,0))</f>
        <v/>
      </c>
      <c r="Z366" s="31" t="inlineStr">
        <is>
          <t>Too Many Players with High ROCE</t>
        </is>
      </c>
      <c r="AA366" s="31">
        <f>IF(Z366="Monopoly",10,IF(Z366="Oligopoly",5,IF(Z366="Duopoly that cooperate",10,IF(Z366="Duopoly that compete",5,IF(Z366="Too many players with High ROCE",5,0)))))</f>
        <v/>
      </c>
      <c r="AB366" s="31" t="inlineStr">
        <is>
          <t>No</t>
        </is>
      </c>
      <c r="AC366" s="31">
        <f>IF(AB366="No",5,0)</f>
        <v/>
      </c>
      <c r="AD366" s="31" t="inlineStr">
        <is>
          <t>Headwind</t>
        </is>
      </c>
      <c r="AE366" s="31">
        <f>IF(AD366="Tailwind",10,0)</f>
        <v/>
      </c>
      <c r="AF366" s="31" t="inlineStr">
        <is>
          <t>Cyclical</t>
        </is>
      </c>
      <c r="AG366" s="31">
        <f>IF(AF366="Structural (10 Years Consistency)",10,IF(AF366="Shallow Cyclical (2 to 3 years growth)",5,0))</f>
        <v/>
      </c>
      <c r="AH366" s="31" t="inlineStr">
        <is>
          <t>No</t>
        </is>
      </c>
      <c r="AI366" s="31">
        <f>IF(AH366="Yes due to Product Mix change or Operating Leverage",10,IF(AH366="Yes, these are peak margins",-5,IF(AH366="No",5,0)))</f>
        <v/>
      </c>
      <c r="AJ366" s="31" t="inlineStr">
        <is>
          <t>Volatile</t>
        </is>
      </c>
      <c r="AK366" s="31">
        <f>IF(AJ366="Stable",10,0)</f>
        <v/>
      </c>
      <c r="AL366" s="31" t="inlineStr">
        <is>
          <t>Yes</t>
        </is>
      </c>
      <c r="AM366" s="31">
        <f>IF(AL366="Yes",10,0)</f>
        <v/>
      </c>
      <c r="AN366" s="31" t="inlineStr">
        <is>
          <t>B2B</t>
        </is>
      </c>
      <c r="AO366" s="31">
        <f>IF(AN366="B2C",10,IF(AN366="B2B",5,0))</f>
        <v/>
      </c>
      <c r="AP366" s="31" t="inlineStr">
        <is>
          <t>No</t>
        </is>
      </c>
      <c r="AQ366" s="31">
        <f>IF(AP366="Yes",10,0)</f>
        <v/>
      </c>
      <c r="AR366" s="31" t="inlineStr">
        <is>
          <t>Higher One Time, Lower Annuity</t>
        </is>
      </c>
      <c r="AS366" s="31">
        <f>IF(AR366="Fully Annuity",10,IF(AR366="Higher Annuity, Lower One Time",5,IF(AR366="Higher One Time, Lower Annuity",3,0)))</f>
        <v/>
      </c>
      <c r="AT366" s="31" t="inlineStr">
        <is>
          <t>Good</t>
        </is>
      </c>
      <c r="AU366" s="31">
        <f>IF(AT366="Good",10,0)</f>
        <v/>
      </c>
      <c r="AV366" s="31" t="inlineStr">
        <is>
          <t>Yes for more than 2 years</t>
        </is>
      </c>
      <c r="AW366" s="31">
        <f>IF(AV366="Yes for more than 2 years",10,IF(AV366="Yes only for next 1 to 2 years",5,0))</f>
        <v/>
      </c>
      <c r="AX366" s="31" t="inlineStr">
        <is>
          <t>0 to 20</t>
        </is>
      </c>
      <c r="AY366" s="31">
        <f>IF(AX366="Above 40",20,IF(AX366="20 to 40",10,IF(AX366="0 to 20",-5,0)))</f>
        <v/>
      </c>
      <c r="AZ366" s="31" t="inlineStr">
        <is>
          <t>Below 45</t>
        </is>
      </c>
      <c r="BA366" s="31">
        <f>IF(AZ366="Between 50 to 75",10,IF(AZ366="Above 75",0,0))</f>
        <v/>
      </c>
      <c r="BB366" s="31" t="inlineStr">
        <is>
          <t>Stage 4</t>
        </is>
      </c>
      <c r="BC366" s="31">
        <f>IF(BB366="Stage 2",20,IF(BB366="Stage 1",0,IF(BB366="Stage 3",5,IF(BB366="Stage 4",-5,0))))</f>
        <v/>
      </c>
      <c r="BD366" s="31" t="inlineStr">
        <is>
          <t>Negative Trend</t>
        </is>
      </c>
      <c r="BE366" s="31">
        <f>IF(BD366="Positive Trend",20,IF(BD366="Negative Trend",-10,0))</f>
        <v/>
      </c>
      <c r="BF366" s="31" t="inlineStr">
        <is>
          <t>Uptrend</t>
        </is>
      </c>
      <c r="BG366" s="31">
        <f>IF(BF366="Uptrend",10,IF(BF366="Sideways",5,0))</f>
        <v/>
      </c>
      <c r="BH366" s="31" t="inlineStr">
        <is>
          <t>Uptrend</t>
        </is>
      </c>
      <c r="BI366" s="31">
        <f>IF(BH366="Uptrend",10,IF(BH366="Sideways",5,0))</f>
        <v/>
      </c>
      <c r="BJ366" s="31" t="inlineStr">
        <is>
          <t>Close to 52 week high or retracement</t>
        </is>
      </c>
      <c r="BK366" s="31">
        <f>IF(BJ366="Overhead supply in last 2 years in last 2 years",-5,IF(BJ366="Close to 52 week high or retracement",5,IF(BJ366="Blue sky scenario",10,IF(BJ366="Long term Downtrend",-10,0))))</f>
        <v/>
      </c>
      <c r="BL366" s="31" t="inlineStr">
        <is>
          <t>Yes</t>
        </is>
      </c>
      <c r="BM366" s="31">
        <f>IF(BL366="Yes",10,0)</f>
        <v/>
      </c>
      <c r="BN366" s="31" t="inlineStr">
        <is>
          <t>Less than 12%</t>
        </is>
      </c>
      <c r="BO366" s="31">
        <f>IF(BN366="More than 20%",10,IF(BN366="Between 12 to 20%",5,IF(BN366="Less than 12%",0,0)))</f>
        <v/>
      </c>
      <c r="BP366" s="31" t="inlineStr">
        <is>
          <t>No</t>
        </is>
      </c>
      <c r="BQ366" s="31">
        <f>IF(BP366="No",10,0)</f>
        <v/>
      </c>
      <c r="BR366" s="31" t="inlineStr">
        <is>
          <t>Yes</t>
        </is>
      </c>
      <c r="BS366" s="31">
        <f>IF(BR366="NO",5,0)</f>
        <v/>
      </c>
      <c r="BT366" s="31" t="inlineStr">
        <is>
          <t>Above 2</t>
        </is>
      </c>
      <c r="BU366" s="31">
        <f>IF(BT366="Above 2",0,IF(BT366="Between 1.5 to 2",5,IF(BT366="Less than 1.5",10,0)))</f>
        <v/>
      </c>
      <c r="BV366" s="31" t="inlineStr">
        <is>
          <t>Above 70%</t>
        </is>
      </c>
      <c r="BW366" s="31">
        <f>IF(BV366="Above 70%",10,IF(BV366="Between 50% to 70%",5,IF(BV366="Less than 50%",0,IF(BV366="Negative",-10,IF(BV366="Less than 50% and Borrowings are increasing",-5,0)))))</f>
        <v/>
      </c>
      <c r="BX366" s="31" t="inlineStr">
        <is>
          <t>Less than 0.7</t>
        </is>
      </c>
      <c r="BY366" s="31">
        <f>IF(BX366="More than 1.2",-10,IF(BX366="Between 0.7 to 1.2",0,IF(BX366="Less than 0.7",10,0)))</f>
        <v/>
      </c>
      <c r="BZ366" s="31" t="inlineStr">
        <is>
          <t>No</t>
        </is>
      </c>
      <c r="CA366" s="31">
        <f>IF(BZ366="Yes",-10,0)</f>
        <v/>
      </c>
      <c r="CB366" s="31" t="inlineStr">
        <is>
          <t>Less than 15%</t>
        </is>
      </c>
      <c r="CC366" s="31">
        <f>IF(CB366="More than 15%",-10,IF(CB366="Less than 15%",10,0))</f>
        <v/>
      </c>
      <c r="CD366" s="31" t="inlineStr">
        <is>
          <t>No</t>
        </is>
      </c>
      <c r="CE366" s="31">
        <f>IF(CD366="Yes, more than 10%",-10,IF(CD366="No",10,0))</f>
        <v/>
      </c>
    </row>
  </sheetData>
  <autoFilter ref="A1:CE366"/>
  <conditionalFormatting sqref="B2:B36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6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6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6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6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6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6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6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6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6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6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6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6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6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6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6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6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6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6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6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6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6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6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6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6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6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6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6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6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6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6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66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66">
    <cfRule type="cellIs" priority="36" operator="equal" dxfId="3" stopIfTrue="1">
      <formula>"Underperforming"</formula>
    </cfRule>
  </conditionalFormatting>
  <conditionalFormatting sqref="N2:N366">
    <cfRule type="cellIs" priority="37" operator="equal" dxfId="3" stopIfTrue="1">
      <formula>-5</formula>
    </cfRule>
  </conditionalFormatting>
  <conditionalFormatting sqref="Q2:Q366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66" showDropDown="0" showInputMessage="0" showErrorMessage="0" allowBlank="1" type="list">
      <formula1>"Growing Industry,Stagnant Industry,Cyclical in an Upturn"</formula1>
    </dataValidation>
    <dataValidation sqref="Z2:Z366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66" showDropDown="0" showInputMessage="0" showErrorMessage="0" allowBlank="1" type="list">
      <formula1>"Yes,No"</formula1>
    </dataValidation>
    <dataValidation sqref="AD2:AD366" showDropDown="0" showInputMessage="0" showErrorMessage="0" allowBlank="1" type="list">
      <formula1>"Tailwind,Headwind"</formula1>
    </dataValidation>
    <dataValidation sqref="AF2:AF366" showDropDown="0" showInputMessage="0" showErrorMessage="0" allowBlank="1" type="list">
      <formula1>"Structural (10 Years Consistency),Shallow Cyclical (2 to 3 Years Growth),Cyclical"</formula1>
    </dataValidation>
    <dataValidation sqref="AH2:AH366" showDropDown="0" showInputMessage="0" showErrorMessage="0" allowBlank="1" type="list">
      <formula1>"Yes due to Product Mix change or Operating Leverage,Yes, these are peak margins,No"</formula1>
    </dataValidation>
    <dataValidation sqref="AJ2:AJ366" showDropDown="0" showInputMessage="0" showErrorMessage="0" allowBlank="1" type="list">
      <formula1>"Stable,Volatile"</formula1>
    </dataValidation>
    <dataValidation sqref="AL2:AL366" showDropDown="0" showInputMessage="0" showErrorMessage="0" allowBlank="1" type="list">
      <formula1>"Yes,No"</formula1>
    </dataValidation>
    <dataValidation sqref="AN2:AN366" showDropDown="0" showInputMessage="0" showErrorMessage="0" allowBlank="1" type="list">
      <formula1>"B2C,B2B,B2G"</formula1>
    </dataValidation>
    <dataValidation sqref="AP2:AP366" showDropDown="0" showInputMessage="0" showErrorMessage="0" allowBlank="1" type="list">
      <formula1>"Yes,No"</formula1>
    </dataValidation>
    <dataValidation sqref="AR2:AR366" showDropDown="0" showInputMessage="0" showErrorMessage="0" allowBlank="1" type="list">
      <formula1>"Fully Annuity,Higher Annuity, Lower One time,Higher One Time, Lower Annuity,Fully One Time"</formula1>
    </dataValidation>
    <dataValidation sqref="AT2:AT366" showDropDown="0" showInputMessage="0" showErrorMessage="0" allowBlank="1" type="list">
      <formula1>"Good,Allocated capital in Non-core Areas"</formula1>
    </dataValidation>
    <dataValidation sqref="AV2:AV366" showDropDown="0" showInputMessage="0" showErrorMessage="0" allowBlank="1" type="list">
      <formula1>"Yes for more than 2 years,Yes only for next 1 to 2 years,No"</formula1>
    </dataValidation>
    <dataValidation sqref="AX2:AX366" showDropDown="0" showInputMessage="0" showErrorMessage="0" allowBlank="1" type="list">
      <formula1>"Above 40,20 to 40,0 to 20"</formula1>
    </dataValidation>
    <dataValidation sqref="AZ2:AZ366" showDropDown="0" showInputMessage="0" showErrorMessage="0" allowBlank="1" type="list">
      <formula1>"Between 50 to 75,Above 75,Below 45"</formula1>
    </dataValidation>
    <dataValidation sqref="BB2:BB366" showDropDown="0" showInputMessage="0" showErrorMessage="0" allowBlank="1" type="list">
      <formula1>"Stage 1,Stage 2,Stage 3,Stage 4"</formula1>
    </dataValidation>
    <dataValidation sqref="BD2:BD366" showDropDown="0" showInputMessage="0" showErrorMessage="0" allowBlank="1" type="list">
      <formula1>"Positive Trend,Negative Trend"</formula1>
    </dataValidation>
    <dataValidation sqref="BF2:BF366" showDropDown="0" showInputMessage="0" showErrorMessage="0" allowBlank="1" type="list">
      <formula1>"Uptrend,Sideways,Downtrend"</formula1>
    </dataValidation>
    <dataValidation sqref="BH2:BH366" showDropDown="0" showInputMessage="0" showErrorMessage="0" allowBlank="1" type="list">
      <formula1>"Uptrend,Sideways,Downtrend"</formula1>
    </dataValidation>
    <dataValidation sqref="BJ2:BJ36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66" showDropDown="0" showInputMessage="0" showErrorMessage="0" allowBlank="1" type="list">
      <formula1>"Yes,No"</formula1>
    </dataValidation>
    <dataValidation sqref="BN2:BN366" showDropDown="0" showInputMessage="0" showErrorMessage="0" allowBlank="1" type="list">
      <formula1>"More than 20%,Between 12 to 20%,Less than 12%"</formula1>
    </dataValidation>
    <dataValidation sqref="BP2:BP366" showDropDown="0" showInputMessage="0" showErrorMessage="0" allowBlank="1" type="list">
      <formula1>"Yes,No"</formula1>
    </dataValidation>
    <dataValidation sqref="BR2:BR366" showDropDown="0" showInputMessage="0" showErrorMessage="0" allowBlank="1" type="list">
      <formula1>"Yes,No"</formula1>
    </dataValidation>
    <dataValidation sqref="BT2:BT366" showDropDown="0" showInputMessage="0" showErrorMessage="0" allowBlank="1" type="list">
      <formula1>"Above 2,Between 1.5 to 2,Less than 1.5"</formula1>
    </dataValidation>
    <dataValidation sqref="BV2:BV366" showDropDown="0" showInputMessage="0" showErrorMessage="0" allowBlank="1" type="list">
      <formula1>"Above 70%,Between 50% to 70%,Less than 50%,Less than 50% and Borrowings are increasing,Negative"</formula1>
    </dataValidation>
    <dataValidation sqref="BX2:BX366" showDropDown="0" showInputMessage="0" showErrorMessage="0" allowBlank="1" type="list">
      <formula1>"More than 1.2,Between 0.7 to 1.2,Less than 0.7"</formula1>
    </dataValidation>
    <dataValidation sqref="BZ2:BZ366" showDropDown="0" showInputMessage="0" showErrorMessage="0" allowBlank="1" type="list">
      <formula1>"Yes,No"</formula1>
    </dataValidation>
    <dataValidation sqref="CB2:CB366" showDropDown="0" showInputMessage="0" showErrorMessage="0" allowBlank="1" type="list">
      <formula1>"More than 15%,Less than 15%"</formula1>
    </dataValidation>
    <dataValidation sqref="CD2:CD366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5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IF(B2=0,"",RANK(B2,$B$2:$B$56,0))</f>
        <v/>
      </c>
      <c r="B2" s="32">
        <f>SUM(N2,Y2,AA2,AC2,AE2,AG2,AI2,AK2,AM2,AO2,AQ2,AS2,AU2,AW2,AY2,BA2,BC2,BE2,BG2,BI2,BK2,BM2,BO2,BQ2,BS2,BU2,BW2,BY2,CA2)</f>
        <v/>
      </c>
      <c r="C2" s="31" t="inlineStr">
        <is>
          <t>ARMANFIN</t>
        </is>
      </c>
      <c r="D2" s="31" t="inlineStr">
        <is>
          <t>Arman Financial Services Limited</t>
        </is>
      </c>
      <c r="E2" s="31" t="inlineStr">
        <is>
          <t>financials</t>
        </is>
      </c>
      <c r="F2" s="31" t="inlineStr">
        <is>
          <t>finance &amp; investments</t>
        </is>
      </c>
      <c r="G2" s="31" t="inlineStr">
        <is>
          <t>smallcap</t>
        </is>
      </c>
      <c r="H2" s="32" t="n">
        <v>2040.92</v>
      </c>
      <c r="I2" s="32" t="n">
        <v>1973.5</v>
      </c>
      <c r="J2" s="32" t="n">
        <v>1.67</v>
      </c>
      <c r="K2" s="32" t="n">
        <v>34160</v>
      </c>
      <c r="L2" s="31" t="n">
        <v>57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63.8</v>
      </c>
      <c r="P2" s="32" t="n">
        <v>21.88</v>
      </c>
      <c r="Q2" s="32" t="inlineStr"/>
      <c r="R2" s="31" t="inlineStr">
        <is>
          <t>Earnings / Momentum Support</t>
        </is>
      </c>
      <c r="S2" s="31" t="inlineStr">
        <is>
          <t>Nifty Bank</t>
        </is>
      </c>
      <c r="T2" s="32" t="n">
        <v>2.96</v>
      </c>
      <c r="U2" s="32" t="n">
        <v>19.76</v>
      </c>
      <c r="V2" s="32" t="n">
        <v>16.31</v>
      </c>
      <c r="W2" s="32" t="n">
        <v>10.41</v>
      </c>
      <c r="X2" s="31" t="inlineStr">
        <is>
          <t>Cyclical in an Upturn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Cyclical in an Uptick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Not Applicable</t>
        </is>
      </c>
      <c r="AK2" s="31">
        <f>IF(AJ2="Yes",10,0)</f>
        <v/>
      </c>
      <c r="AL2" s="31" t="inlineStr">
        <is>
          <t>Yes</t>
        </is>
      </c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Not Applicable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between 2.5x to 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Sideways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IF(B3=0,"",RANK(B3,$B$2:$B$56,0))</f>
        <v/>
      </c>
      <c r="B3" s="32">
        <f>SUM(N3,Y3,AA3,AC3,AE3,AG3,AI3,AK3,AM3,AO3,AQ3,AS3,AU3,AW3,AY3,BA3,BC3,BE3,BG3,BI3,BK3,BM3,BO3,BQ3,BS3,BU3,BW3,BY3,CA3)</f>
        <v/>
      </c>
      <c r="C3" s="31" t="inlineStr">
        <is>
          <t>RANEHOLDIN</t>
        </is>
      </c>
      <c r="D3" s="31" t="inlineStr">
        <is>
          <t>Rane Holdings Limited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2496.47</v>
      </c>
      <c r="I3" s="32" t="n">
        <v>1872.6</v>
      </c>
      <c r="J3" s="32" t="n">
        <v>7.1</v>
      </c>
      <c r="K3" s="32" t="n">
        <v>79892</v>
      </c>
      <c r="L3" s="31" t="n">
        <v>75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68.39</v>
      </c>
      <c r="P3" s="32" t="n">
        <v>40.68</v>
      </c>
      <c r="Q3" s="32" t="inlineStr"/>
      <c r="R3" s="31" t="inlineStr">
        <is>
          <t>Earnings / Momentum Support</t>
        </is>
      </c>
      <c r="S3" s="31" t="inlineStr">
        <is>
          <t>Nifty Bank</t>
        </is>
      </c>
      <c r="T3" s="32" t="n">
        <v>2.96</v>
      </c>
      <c r="U3" s="32" t="n">
        <v>15.73</v>
      </c>
      <c r="V3" s="32" t="n">
        <v>12.4</v>
      </c>
      <c r="W3" s="32" t="n">
        <v>16.75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No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3</t>
        </is>
      </c>
      <c r="BQ3" s="31">
        <f>IF(BP3="Stage 2",20,IF(BP3="Stage 1",0,IF(BP3="Stage 3",5,IF(BP3="Stage 4",-5,0))))</f>
        <v/>
      </c>
      <c r="BR3" s="31" t="inlineStr">
        <is>
          <t>Negative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IF(B4=0,"",RANK(B4,$B$2:$B$56,0))</f>
        <v/>
      </c>
      <c r="B4" s="32">
        <f>SUM(N4,Y4,AA4,AC4,AE4,AG4,AI4,AK4,AM4,AO4,AQ4,AS4,AU4,AW4,AY4,BA4,BC4,BE4,BG4,BI4,BK4,BM4,BO4,BQ4,BS4,BU4,BW4,BY4,CA4)</f>
        <v/>
      </c>
      <c r="C4" s="31" t="inlineStr">
        <is>
          <t>KTKBANK</t>
        </is>
      </c>
      <c r="D4" s="31" t="inlineStr">
        <is>
          <t>The Karnataka Bank Limited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midcap</t>
        </is>
      </c>
      <c r="H4" s="32" t="n">
        <v>10769.34</v>
      </c>
      <c r="I4" s="32" t="n">
        <v>289.45</v>
      </c>
      <c r="J4" s="32" t="n">
        <v>1.65</v>
      </c>
      <c r="K4" s="32" t="n">
        <v>3342740</v>
      </c>
      <c r="L4" s="31" t="n">
        <v>65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68.01000000000001</v>
      </c>
      <c r="P4" s="32" t="n">
        <v>45.54</v>
      </c>
      <c r="Q4" s="32" t="inlineStr"/>
      <c r="R4" s="31" t="inlineStr">
        <is>
          <t>Earnings / Momentum Support</t>
        </is>
      </c>
      <c r="S4" s="31" t="inlineStr">
        <is>
          <t>Nifty Bank</t>
        </is>
      </c>
      <c r="T4" s="32" t="n">
        <v>2.96</v>
      </c>
      <c r="U4" s="32" t="n">
        <v>64.14</v>
      </c>
      <c r="V4" s="32" t="n">
        <v>59.42</v>
      </c>
      <c r="W4" s="32" t="n">
        <v>12.93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3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IF(B5=0,"",RANK(B5,$B$2:$B$56,0))</f>
        <v/>
      </c>
      <c r="B5" s="32">
        <f>SUM(N5,Y5,AA5,AC5,AE5,AG5,AI5,AK5,AM5,AO5,AQ5,AS5,AU5,AW5,AY5,BA5,BC5,BE5,BG5,BI5,BK5,BM5,BO5,BQ5,BS5,BU5,BW5,BY5,CA5)</f>
        <v/>
      </c>
      <c r="C5" s="31" t="inlineStr">
        <is>
          <t>TFCILTD</t>
        </is>
      </c>
      <c r="D5" s="31" t="inlineStr">
        <is>
          <t>Tourism Finance Corporation Of India Limited</t>
        </is>
      </c>
      <c r="E5" s="31" t="inlineStr">
        <is>
          <t>financials</t>
        </is>
      </c>
      <c r="F5" s="31" t="inlineStr">
        <is>
          <t>finance - term-lending institutions</t>
        </is>
      </c>
      <c r="G5" s="31" t="inlineStr">
        <is>
          <t>smallcap</t>
        </is>
      </c>
      <c r="H5" s="32" t="n">
        <v>4716.35</v>
      </c>
      <c r="I5" s="32" t="n">
        <v>105.62</v>
      </c>
      <c r="J5" s="32" t="n">
        <v>3.68</v>
      </c>
      <c r="K5" s="32" t="n">
        <v>13190800</v>
      </c>
      <c r="L5" s="31" t="n">
        <v>85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73.90000000000001</v>
      </c>
      <c r="P5" s="32" t="n">
        <v>48.13</v>
      </c>
      <c r="Q5" s="32" t="inlineStr"/>
      <c r="R5" s="31" t="inlineStr">
        <is>
          <t>Earnings / Momentum Support</t>
        </is>
      </c>
      <c r="S5" s="31" t="inlineStr">
        <is>
          <t>Nifty Bank</t>
        </is>
      </c>
      <c r="T5" s="32" t="n">
        <v>2.96</v>
      </c>
      <c r="U5" s="32" t="n">
        <v>80.73</v>
      </c>
      <c r="V5" s="32" t="n">
        <v>75.53</v>
      </c>
      <c r="W5" s="32" t="n">
        <v>22.14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3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IF(B6=0,"",RANK(B6,$B$2:$B$56,0))</f>
        <v/>
      </c>
      <c r="B6" s="32">
        <f>SUM(N6,Y6,AA6,AC6,AE6,AG6,AI6,AK6,AM6,AO6,AQ6,AS6,AU6,AW6,AY6,BA6,BC6,BE6,BG6,BI6,BK6,BM6,BO6,BQ6,BS6,BU6,BW6,BY6,CA6)</f>
        <v/>
      </c>
      <c r="C6" s="31" t="inlineStr">
        <is>
          <t>ESAFSFB</t>
        </is>
      </c>
      <c r="D6" s="31" t="inlineStr">
        <is>
          <t>ESAF Small Finance Bank Ltd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smallcap</t>
        </is>
      </c>
      <c r="H6" s="32" t="n">
        <v>2169.58</v>
      </c>
      <c r="I6" s="32" t="n">
        <v>40.92</v>
      </c>
      <c r="J6" s="32" t="n">
        <v>-2.69</v>
      </c>
      <c r="K6" s="32" t="n">
        <v>9790624</v>
      </c>
      <c r="L6" s="31" t="n">
        <v>83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73.16</v>
      </c>
      <c r="P6" s="32" t="n">
        <v>30.04</v>
      </c>
      <c r="Q6" s="32" t="inlineStr"/>
      <c r="R6" s="31" t="inlineStr">
        <is>
          <t>Earnings / Momentum Support</t>
        </is>
      </c>
      <c r="S6" s="31" t="inlineStr">
        <is>
          <t>Nifty Bank</t>
        </is>
      </c>
      <c r="T6" s="32" t="n">
        <v>2.96</v>
      </c>
      <c r="U6" s="32" t="n">
        <v>34.73</v>
      </c>
      <c r="V6" s="32" t="n">
        <v>30.86</v>
      </c>
      <c r="W6" s="32" t="n">
        <v>20.56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No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3</t>
        </is>
      </c>
      <c r="BQ6" s="31">
        <f>IF(BP6="Stage 2",20,IF(BP6="Stage 1",0,IF(BP6="Stage 3",5,IF(BP6="Stage 4",-5,0))))</f>
        <v/>
      </c>
      <c r="BR6" s="31" t="inlineStr">
        <is>
          <t>Negative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IF(B7=0,"",RANK(B7,$B$2:$B$56,0))</f>
        <v/>
      </c>
      <c r="B7" s="32">
        <f>SUM(N7,Y7,AA7,AC7,AE7,AG7,AI7,AK7,AM7,AO7,AQ7,AS7,AU7,AW7,AY7,BA7,BC7,BE7,BG7,BI7,BK7,BM7,BO7,BQ7,BS7,BU7,BW7,BY7,CA7)</f>
        <v/>
      </c>
      <c r="C7" s="31" t="inlineStr">
        <is>
          <t>M&amp;MFIN</t>
        </is>
      </c>
      <c r="D7" s="31" t="inlineStr">
        <is>
          <t>Mahindra &amp; Mahindra Financial Services Limited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largecap</t>
        </is>
      </c>
      <c r="H7" s="32" t="n">
        <v>53618.14</v>
      </c>
      <c r="I7" s="32" t="n">
        <v>405.5</v>
      </c>
      <c r="J7" s="32" t="n">
        <v>5.12</v>
      </c>
      <c r="K7" s="32" t="n">
        <v>5395277</v>
      </c>
      <c r="L7" s="31" t="n">
        <v>72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66.39</v>
      </c>
      <c r="P7" s="32" t="n">
        <v>20.12</v>
      </c>
      <c r="Q7" s="32" t="inlineStr"/>
      <c r="R7" s="31" t="inlineStr">
        <is>
          <t>Earnings / Momentum Support</t>
        </is>
      </c>
      <c r="S7" s="31" t="inlineStr">
        <is>
          <t>Nifty Bank</t>
        </is>
      </c>
      <c r="T7" s="32" t="n">
        <v>2.96</v>
      </c>
      <c r="U7" s="32" t="n">
        <v>52.58</v>
      </c>
      <c r="V7" s="32" t="n">
        <v>48.19</v>
      </c>
      <c r="W7" s="32" t="n">
        <v>15.25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No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3</t>
        </is>
      </c>
      <c r="BQ7" s="31">
        <f>IF(BP7="Stage 2",20,IF(BP7="Stage 1",0,IF(BP7="Stage 3",5,IF(BP7="Stage 4",-5,0))))</f>
        <v/>
      </c>
      <c r="BR7" s="31" t="inlineStr">
        <is>
          <t>Negative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IF(B8=0,"",RANK(B8,$B$2:$B$56,0))</f>
        <v/>
      </c>
      <c r="B8" s="32">
        <f>SUM(N8,Y8,AA8,AC8,AE8,AG8,AI8,AK8,AM8,AO8,AQ8,AS8,AU8,AW8,AY8,BA8,BC8,BE8,BG8,BI8,BK8,BM8,BO8,BQ8,BS8,BU8,BW8,BY8,CA8)</f>
        <v/>
      </c>
      <c r="C8" s="31" t="inlineStr">
        <is>
          <t>MANCREDIT</t>
        </is>
      </c>
      <c r="D8" s="31" t="inlineStr">
        <is>
          <t>Mangal Credit &amp; Fincorp Ltd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smallcap</t>
        </is>
      </c>
      <c r="H8" s="32" t="n">
        <v>517.88</v>
      </c>
      <c r="I8" s="32" t="n">
        <v>253.25</v>
      </c>
      <c r="J8" s="32" t="n">
        <v>3.25</v>
      </c>
      <c r="K8" s="32" t="n">
        <v>285884</v>
      </c>
      <c r="L8" s="31" t="n">
        <v>73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67.98</v>
      </c>
      <c r="P8" s="32" t="n">
        <v>44.21</v>
      </c>
      <c r="Q8" s="32" t="inlineStr"/>
      <c r="R8" s="31" t="inlineStr">
        <is>
          <t>Earnings / Momentum Support</t>
        </is>
      </c>
      <c r="S8" s="31" t="inlineStr">
        <is>
          <t>Nifty Bank</t>
        </is>
      </c>
      <c r="T8" s="32" t="n">
        <v>2.96</v>
      </c>
      <c r="U8" s="32" t="n">
        <v>33.62</v>
      </c>
      <c r="V8" s="32" t="n">
        <v>29.78</v>
      </c>
      <c r="W8" s="32" t="n">
        <v>15.52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No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between 2.5x to 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Above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3</t>
        </is>
      </c>
      <c r="BQ8" s="31">
        <f>IF(BP8="Stage 2",20,IF(BP8="Stage 1",0,IF(BP8="Stage 3",5,IF(BP8="Stage 4",-5,0))))</f>
        <v/>
      </c>
      <c r="BR8" s="31" t="inlineStr">
        <is>
          <t>Negative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IF(B9=0,"",RANK(B9,$B$2:$B$56,0))</f>
        <v/>
      </c>
      <c r="B9" s="32">
        <f>SUM(N9,Y9,AA9,AC9,AE9,AG9,AI9,AK9,AM9,AO9,AQ9,AS9,AU9,AW9,AY9,BA9,BC9,BE9,BG9,BI9,BK9,BM9,BO9,BQ9,BS9,BU9,BW9,BY9,CA9)</f>
        <v/>
      </c>
      <c r="C9" s="31" t="inlineStr">
        <is>
          <t>JSFB</t>
        </is>
      </c>
      <c r="D9" s="31" t="inlineStr">
        <is>
          <t>Jana Small Finance Bank Ltd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midcap</t>
        </is>
      </c>
      <c r="H9" s="32" t="n">
        <v>6057.11</v>
      </c>
      <c r="I9" s="32" t="n">
        <v>584.85</v>
      </c>
      <c r="J9" s="32" t="n">
        <v>1.71</v>
      </c>
      <c r="K9" s="32" t="n">
        <v>673206</v>
      </c>
      <c r="L9" s="31" t="n">
        <v>60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71.65000000000001</v>
      </c>
      <c r="P9" s="32" t="n">
        <v>35.77</v>
      </c>
      <c r="Q9" s="32" t="inlineStr"/>
      <c r="R9" s="31" t="inlineStr">
        <is>
          <t>Earnings / Momentum Support</t>
        </is>
      </c>
      <c r="S9" s="31" t="inlineStr">
        <is>
          <t>Nifty Bank</t>
        </is>
      </c>
      <c r="T9" s="32" t="n">
        <v>2.96</v>
      </c>
      <c r="U9" s="32" t="n">
        <v>24.97</v>
      </c>
      <c r="V9" s="32" t="n">
        <v>21.38</v>
      </c>
      <c r="W9" s="32" t="n">
        <v>11.26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No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3</t>
        </is>
      </c>
      <c r="BQ9" s="31">
        <f>IF(BP9="Stage 2",20,IF(BP9="Stage 1",0,IF(BP9="Stage 3",5,IF(BP9="Stage 4",-5,0))))</f>
        <v/>
      </c>
      <c r="BR9" s="31" t="inlineStr">
        <is>
          <t>Negative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IF(B10=0,"",RANK(B10,$B$2:$B$56,0))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INDUSINDBK</t>
        </is>
      </c>
      <c r="D10" s="31" t="inlineStr">
        <is>
          <t>Indusind Bank Limited</t>
        </is>
      </c>
      <c r="E10" s="31" t="inlineStr">
        <is>
          <t>bank</t>
        </is>
      </c>
      <c r="F10" s="31" t="inlineStr">
        <is>
          <t>banks - private sector</t>
        </is>
      </c>
      <c r="G10" s="31" t="inlineStr">
        <is>
          <t>largecap</t>
        </is>
      </c>
      <c r="H10" s="32" t="n">
        <v>78883.3</v>
      </c>
      <c r="I10" s="32" t="n">
        <v>1028.9</v>
      </c>
      <c r="J10" s="32" t="n">
        <v>1.62</v>
      </c>
      <c r="K10" s="32" t="n">
        <v>2456753</v>
      </c>
      <c r="L10" s="31" t="n">
        <v>46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62.5</v>
      </c>
      <c r="P10" s="32" t="n">
        <v>26.26</v>
      </c>
      <c r="Q10" s="32" t="inlineStr"/>
      <c r="R10" s="31" t="inlineStr">
        <is>
          <t>Earnings / Momentum Support</t>
        </is>
      </c>
      <c r="S10" s="31" t="inlineStr">
        <is>
          <t>Nifty Bank</t>
        </is>
      </c>
      <c r="T10" s="32" t="n">
        <v>2.96</v>
      </c>
      <c r="U10" s="32" t="n">
        <v>29.4</v>
      </c>
      <c r="V10" s="32" t="n">
        <v>25.68</v>
      </c>
      <c r="W10" s="32" t="n">
        <v>7.56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No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3</t>
        </is>
      </c>
      <c r="BQ10" s="31">
        <f>IF(BP10="Stage 2",20,IF(BP10="Stage 1",0,IF(BP10="Stage 3",5,IF(BP10="Stage 4",-5,0))))</f>
        <v/>
      </c>
      <c r="BR10" s="31" t="inlineStr">
        <is>
          <t>Negative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IF(B11=0,"",RANK(B11,$B$2:$B$56,0))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PAISALO</t>
        </is>
      </c>
      <c r="D11" s="31" t="inlineStr">
        <is>
          <t>Paisalo Digital Ltd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midcap</t>
        </is>
      </c>
      <c r="H11" s="32" t="n">
        <v>6475.8</v>
      </c>
      <c r="I11" s="32" t="n">
        <v>72.29000000000001</v>
      </c>
      <c r="J11" s="32" t="n">
        <v>1.53</v>
      </c>
      <c r="K11" s="32" t="n">
        <v>9209700</v>
      </c>
      <c r="L11" s="31" t="n">
        <v>92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78.27</v>
      </c>
      <c r="P11" s="32" t="n">
        <v>58.37</v>
      </c>
      <c r="Q11" s="32" t="inlineStr"/>
      <c r="R11" s="31" t="inlineStr">
        <is>
          <t>Earnings / Momentum Support</t>
        </is>
      </c>
      <c r="S11" s="31" t="inlineStr">
        <is>
          <t>Nifty Bank</t>
        </is>
      </c>
      <c r="T11" s="32" t="n">
        <v>2.96</v>
      </c>
      <c r="U11" s="32" t="n">
        <v>134.12</v>
      </c>
      <c r="V11" s="32" t="n">
        <v>127.38</v>
      </c>
      <c r="W11" s="32" t="n">
        <v>29.19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No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between 2.5x to 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Above 40</t>
        </is>
      </c>
      <c r="BM11" s="31">
        <f>IF(BL11="Above 40",20,IF(BL11="20 to 40",10,IF(BL11="0 to 20",-5,0)))</f>
        <v/>
      </c>
      <c r="BN11" s="31" t="inlineStr">
        <is>
          <t>Above 75</t>
        </is>
      </c>
      <c r="BO11" s="31">
        <f>IF(BN11="Between 50 to 75",10,IF(BN11="Above 75",0,0))</f>
        <v/>
      </c>
      <c r="BP11" s="31" t="inlineStr">
        <is>
          <t>Stage 3</t>
        </is>
      </c>
      <c r="BQ11" s="31">
        <f>IF(BP11="Stage 2",20,IF(BP11="Stage 1",0,IF(BP11="Stage 3",5,IF(BP11="Stage 4",-5,0))))</f>
        <v/>
      </c>
      <c r="BR11" s="31" t="inlineStr">
        <is>
          <t>Negative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IF(B12=0,"",RANK(B12,$B$2:$B$56,0))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RBLBANK</t>
        </is>
      </c>
      <c r="D12" s="31" t="inlineStr">
        <is>
          <t>Rbl Bank Limited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largecap</t>
        </is>
      </c>
      <c r="H12" s="32" t="n">
        <v>58148.35</v>
      </c>
      <c r="I12" s="32" t="n">
        <v>379.95</v>
      </c>
      <c r="J12" s="32" t="n">
        <v>1.19</v>
      </c>
      <c r="K12" s="32" t="n">
        <v>10198538</v>
      </c>
      <c r="L12" s="31" t="n">
        <v>59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61.93</v>
      </c>
      <c r="P12" s="32" t="n">
        <v>37.06</v>
      </c>
      <c r="Q12" s="32" t="inlineStr"/>
      <c r="R12" s="31" t="inlineStr">
        <is>
          <t>Earnings / Momentum Support</t>
        </is>
      </c>
      <c r="S12" s="31" t="inlineStr">
        <is>
          <t>Nifty Bank</t>
        </is>
      </c>
      <c r="T12" s="32" t="n">
        <v>2.96</v>
      </c>
      <c r="U12" s="32" t="n">
        <v>45.45</v>
      </c>
      <c r="V12" s="32" t="n">
        <v>41.27</v>
      </c>
      <c r="W12" s="32" t="n">
        <v>10.86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No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3</t>
        </is>
      </c>
      <c r="BQ12" s="31">
        <f>IF(BP12="Stage 2",20,IF(BP12="Stage 1",0,IF(BP12="Stage 3",5,IF(BP12="Stage 4",-5,0))))</f>
        <v/>
      </c>
      <c r="BR12" s="31" t="inlineStr">
        <is>
          <t>Negative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IF(B13=0,"",RANK(B13,$B$2:$B$56,0))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TMB</t>
        </is>
      </c>
      <c r="D13" s="31" t="inlineStr">
        <is>
          <t>Tamilnad Mercantile Bank Ltd</t>
        </is>
      </c>
      <c r="E13" s="31" t="inlineStr">
        <is>
          <t>bank</t>
        </is>
      </c>
      <c r="F13" s="31" t="inlineStr">
        <is>
          <t>banks - private sector</t>
        </is>
      </c>
      <c r="G13" s="31" t="inlineStr">
        <is>
          <t>midcap</t>
        </is>
      </c>
      <c r="H13" s="32" t="n">
        <v>13486.79</v>
      </c>
      <c r="I13" s="32" t="n">
        <v>861.55</v>
      </c>
      <c r="J13" s="32" t="n">
        <v>1.16</v>
      </c>
      <c r="K13" s="32" t="n">
        <v>226900</v>
      </c>
      <c r="L13" s="31" t="n">
        <v>78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71.68000000000001</v>
      </c>
      <c r="P13" s="32" t="n">
        <v>37.59</v>
      </c>
      <c r="Q13" s="32" t="inlineStr"/>
      <c r="R13" s="31" t="inlineStr">
        <is>
          <t>Earnings / Momentum Support</t>
        </is>
      </c>
      <c r="S13" s="31" t="inlineStr">
        <is>
          <t>Nifty Bank</t>
        </is>
      </c>
      <c r="T13" s="32" t="n">
        <v>2.96</v>
      </c>
      <c r="U13" s="32" t="n">
        <v>95</v>
      </c>
      <c r="V13" s="32" t="n">
        <v>89.39</v>
      </c>
      <c r="W13" s="32" t="n">
        <v>18.02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No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3</t>
        </is>
      </c>
      <c r="BQ13" s="31">
        <f>IF(BP13="Stage 2",20,IF(BP13="Stage 1",0,IF(BP13="Stage 3",5,IF(BP13="Stage 4",-5,0))))</f>
        <v/>
      </c>
      <c r="BR13" s="31" t="inlineStr">
        <is>
          <t>Negative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IF(B14=0,"",RANK(B14,$B$2:$B$56,0))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SHAREINDIA</t>
        </is>
      </c>
      <c r="D14" s="31" t="inlineStr">
        <is>
          <t>Share India Securities Ltd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smallcap</t>
        </is>
      </c>
      <c r="H14" s="32" t="n">
        <v>3905.6</v>
      </c>
      <c r="I14" s="32" t="n">
        <v>180.4</v>
      </c>
      <c r="J14" s="32" t="n">
        <v>1.08</v>
      </c>
      <c r="K14" s="32" t="n">
        <v>406589</v>
      </c>
      <c r="L14" s="31" t="n">
        <v>51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62.18</v>
      </c>
      <c r="P14" s="32" t="n">
        <v>20.54</v>
      </c>
      <c r="Q14" s="32" t="inlineStr"/>
      <c r="R14" s="31" t="inlineStr">
        <is>
          <t>Earnings / Momentum Support</t>
        </is>
      </c>
      <c r="S14" s="31" t="inlineStr">
        <is>
          <t>Nifty Bank</t>
        </is>
      </c>
      <c r="T14" s="32" t="n">
        <v>2.96</v>
      </c>
      <c r="U14" s="32" t="n">
        <v>5.63</v>
      </c>
      <c r="V14" s="32" t="n">
        <v>2.59</v>
      </c>
      <c r="W14" s="32" t="n">
        <v>8.84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No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3</t>
        </is>
      </c>
      <c r="BQ14" s="31">
        <f>IF(BP14="Stage 2",20,IF(BP14="Stage 1",0,IF(BP14="Stage 3",5,IF(BP14="Stage 4",-5,0))))</f>
        <v/>
      </c>
      <c r="BR14" s="31" t="inlineStr">
        <is>
          <t>Negative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IF(B15=0,"",RANK(B15,$B$2:$B$56,0))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UJJIVANSFB</t>
        </is>
      </c>
      <c r="D15" s="31" t="inlineStr">
        <is>
          <t>Ujjivan Small Finance Bank Ltd</t>
        </is>
      </c>
      <c r="E15" s="31" t="inlineStr">
        <is>
          <t>bank</t>
        </is>
      </c>
      <c r="F15" s="31" t="inlineStr">
        <is>
          <t>banks - private sector</t>
        </is>
      </c>
      <c r="G15" s="31" t="inlineStr">
        <is>
          <t>midcap</t>
        </is>
      </c>
      <c r="H15" s="32" t="n">
        <v>13957.21</v>
      </c>
      <c r="I15" s="32" t="n">
        <v>71.14</v>
      </c>
      <c r="J15" s="32" t="n">
        <v>-0.85</v>
      </c>
      <c r="K15" s="32" t="n">
        <v>13436679</v>
      </c>
      <c r="L15" s="31" t="n">
        <v>75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69.17</v>
      </c>
      <c r="P15" s="32" t="n">
        <v>34.62</v>
      </c>
      <c r="Q15" s="32" t="inlineStr"/>
      <c r="R15" s="31" t="inlineStr">
        <is>
          <t>Earnings / Momentum Support</t>
        </is>
      </c>
      <c r="S15" s="31" t="inlineStr">
        <is>
          <t>Nifty Bank</t>
        </is>
      </c>
      <c r="T15" s="32" t="n">
        <v>2.96</v>
      </c>
      <c r="U15" s="32" t="n">
        <v>66.01000000000001</v>
      </c>
      <c r="V15" s="32" t="n">
        <v>61.24</v>
      </c>
      <c r="W15" s="32" t="n">
        <v>16.75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No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3</t>
        </is>
      </c>
      <c r="BQ15" s="31">
        <f>IF(BP15="Stage 2",20,IF(BP15="Stage 1",0,IF(BP15="Stage 3",5,IF(BP15="Stage 4",-5,0))))</f>
        <v/>
      </c>
      <c r="BR15" s="31" t="inlineStr">
        <is>
          <t>Negative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IF(B16=0,"",RANK(B16,$B$2:$B$56,0))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CREDITACC</t>
        </is>
      </c>
      <c r="D16" s="31" t="inlineStr">
        <is>
          <t>CreditAccess Grameen Ltd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largecap</t>
        </is>
      </c>
      <c r="H16" s="32" t="n">
        <v>25526.14</v>
      </c>
      <c r="I16" s="32" t="n">
        <v>1558.2</v>
      </c>
      <c r="J16" s="32" t="n">
        <v>-2.17</v>
      </c>
      <c r="K16" s="32" t="n">
        <v>290157</v>
      </c>
      <c r="L16" s="31" t="n">
        <v>56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65</v>
      </c>
      <c r="P16" s="32" t="n">
        <v>47.25</v>
      </c>
      <c r="Q16" s="32" t="inlineStr"/>
      <c r="R16" s="31" t="inlineStr">
        <is>
          <t>Earnings / Momentum Support</t>
        </is>
      </c>
      <c r="S16" s="31" t="inlineStr">
        <is>
          <t>Nifty Bank</t>
        </is>
      </c>
      <c r="T16" s="32" t="n">
        <v>2.96</v>
      </c>
      <c r="U16" s="32" t="n">
        <v>27.8</v>
      </c>
      <c r="V16" s="32" t="n">
        <v>24.13</v>
      </c>
      <c r="W16" s="32" t="n">
        <v>10.16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No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between 2.5x to 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Above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3</t>
        </is>
      </c>
      <c r="BQ16" s="31">
        <f>IF(BP16="Stage 2",20,IF(BP16="Stage 1",0,IF(BP16="Stage 3",5,IF(BP16="Stage 4",-5,0))))</f>
        <v/>
      </c>
      <c r="BR16" s="31" t="inlineStr">
        <is>
          <t>Negative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IF(B17=0,"",RANK(B17,$B$2:$B$56,0))</f>
        <v/>
      </c>
      <c r="B17" s="32">
        <f>SUM(N17,Y17,AA17,AC17,AE17,AG17,AI17,AK17,AM17,AO17,AQ17,AS17,AU17,AW17,AY17,BA17,BC17,BE17,BG17,BI17,BK17,BM17,BO17,BQ17,BS17,BU17,BW17,BY17,CA17)</f>
        <v/>
      </c>
      <c r="C17" s="33" t="inlineStr">
        <is>
          <t>BFINVEST</t>
        </is>
      </c>
      <c r="D17" s="33" t="inlineStr">
        <is>
          <t>Bf Investment Limited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smallcap</t>
        </is>
      </c>
      <c r="H17" s="32" t="n">
        <v>1713.31</v>
      </c>
      <c r="I17" s="32" t="n">
        <v>483</v>
      </c>
      <c r="J17" s="32" t="n">
        <v>6.19</v>
      </c>
      <c r="K17" s="32" t="n">
        <v>140192</v>
      </c>
      <c r="L17" s="31" t="n">
        <v>22</v>
      </c>
      <c r="M17" s="31" t="inlineStr">
        <is>
          <t>Underperforming</t>
        </is>
      </c>
      <c r="N17" s="32">
        <f>IF(M17="Underperforming",-5,IF(L17&gt;=95,15,IF(L17&gt;=90,10,IF(L17&gt;=80,5,0))))</f>
        <v/>
      </c>
      <c r="O17" s="32" t="n">
        <v>56.98</v>
      </c>
      <c r="P17" s="32" t="n">
        <v>29.22</v>
      </c>
      <c r="Q17" s="32" t="inlineStr"/>
      <c r="R17" s="31" t="inlineStr">
        <is>
          <t>Earnings / Momentum Support</t>
        </is>
      </c>
      <c r="S17" s="31" t="inlineStr">
        <is>
          <t>Nifty Bank</t>
        </is>
      </c>
      <c r="T17" s="32" t="n">
        <v>2.96</v>
      </c>
      <c r="U17" s="32" t="n">
        <v>-2.1</v>
      </c>
      <c r="V17" s="32" t="n">
        <v>-4.91</v>
      </c>
      <c r="W17" s="32" t="n">
        <v>2.7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No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3</t>
        </is>
      </c>
      <c r="BQ17" s="31">
        <f>IF(BP17="Stage 2",20,IF(BP17="Stage 1",0,IF(BP17="Stage 3",5,IF(BP17="Stage 4",-5,0))))</f>
        <v/>
      </c>
      <c r="BR17" s="31" t="inlineStr">
        <is>
          <t>Negative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IF(B18=0,"",RANK(B18,$B$2:$B$56,0))</f>
        <v/>
      </c>
      <c r="B18" s="32">
        <f>SUM(N18,Y18,AA18,AC18,AE18,AG18,AI18,AK18,AM18,AO18,AQ18,AS18,AU18,AW18,AY18,BA18,BC18,BE18,BG18,BI18,BK18,BM18,BO18,BQ18,BS18,BU18,BW18,BY18,CA18)</f>
        <v/>
      </c>
      <c r="C18" s="33" t="inlineStr">
        <is>
          <t>GEECEE</t>
        </is>
      </c>
      <c r="D18" s="33" t="inlineStr">
        <is>
          <t>Geecee Ventures Limited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smallcap</t>
        </is>
      </c>
      <c r="H18" s="32" t="n">
        <v>736.2</v>
      </c>
      <c r="I18" s="32" t="n">
        <v>360.5</v>
      </c>
      <c r="J18" s="32" t="n">
        <v>2.4</v>
      </c>
      <c r="K18" s="32" t="n">
        <v>5161</v>
      </c>
      <c r="L18" s="31" t="n">
        <v>25</v>
      </c>
      <c r="M18" s="31" t="inlineStr">
        <is>
          <t>Underperforming</t>
        </is>
      </c>
      <c r="N18" s="32">
        <f>IF(M18="Underperforming",-5,IF(L18&gt;=95,15,IF(L18&gt;=90,10,IF(L18&gt;=80,5,0))))</f>
        <v/>
      </c>
      <c r="O18" s="32" t="n">
        <v>58.15</v>
      </c>
      <c r="P18" s="32" t="n">
        <v>28.54</v>
      </c>
      <c r="Q18" s="32" t="inlineStr"/>
      <c r="R18" s="31" t="inlineStr">
        <is>
          <t>Earnings / Momentum Support</t>
        </is>
      </c>
      <c r="S18" s="31" t="inlineStr">
        <is>
          <t>Nifty Bank</t>
        </is>
      </c>
      <c r="T18" s="32" t="n">
        <v>2.96</v>
      </c>
      <c r="U18" s="32" t="n">
        <v>-4.55</v>
      </c>
      <c r="V18" s="32" t="n">
        <v>-7.3</v>
      </c>
      <c r="W18" s="32" t="n">
        <v>3.36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No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3</t>
        </is>
      </c>
      <c r="BQ18" s="31">
        <f>IF(BP18="Stage 2",20,IF(BP18="Stage 1",0,IF(BP18="Stage 3",5,IF(BP18="Stage 4",-5,0))))</f>
        <v/>
      </c>
      <c r="BR18" s="31" t="inlineStr">
        <is>
          <t>Negative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IF(B19=0,"",RANK(B19,$B$2:$B$56,0))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IFCI</t>
        </is>
      </c>
      <c r="D19" s="31" t="inlineStr">
        <is>
          <t>Ifci Limited</t>
        </is>
      </c>
      <c r="E19" s="31" t="inlineStr">
        <is>
          <t>financials</t>
        </is>
      </c>
      <c r="F19" s="31" t="inlineStr">
        <is>
          <t>finance - term-lending institutions</t>
        </is>
      </c>
      <c r="G19" s="31" t="inlineStr">
        <is>
          <t>largecap</t>
        </is>
      </c>
      <c r="H19" s="32" t="n">
        <v>20622.28</v>
      </c>
      <c r="I19" s="32" t="n">
        <v>77.31</v>
      </c>
      <c r="J19" s="32" t="n">
        <v>1.01</v>
      </c>
      <c r="K19" s="32" t="n">
        <v>20354825</v>
      </c>
      <c r="L19" s="31" t="n">
        <v>63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59.1</v>
      </c>
      <c r="P19" s="32" t="n">
        <v>41.16</v>
      </c>
      <c r="Q19" s="32" t="inlineStr"/>
      <c r="R19" s="31" t="inlineStr">
        <is>
          <t>Earnings / Momentum Support</t>
        </is>
      </c>
      <c r="S19" s="31" t="inlineStr">
        <is>
          <t>Nifty Bank</t>
        </is>
      </c>
      <c r="T19" s="32" t="n">
        <v>2.96</v>
      </c>
      <c r="U19" s="32" t="n">
        <v>32.06</v>
      </c>
      <c r="V19" s="32" t="n">
        <v>28.26</v>
      </c>
      <c r="W19" s="32" t="n">
        <v>12.42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No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less than 2.5x and Growth less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Above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3</t>
        </is>
      </c>
      <c r="BQ19" s="31">
        <f>IF(BP19="Stage 2",20,IF(BP19="Stage 1",0,IF(BP19="Stage 3",5,IF(BP19="Stage 4",-5,0))))</f>
        <v/>
      </c>
      <c r="BR19" s="31" t="inlineStr">
        <is>
          <t>Negative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IF(B20=0,"",RANK(B20,$B$2:$B$56,0))</f>
        <v/>
      </c>
      <c r="B20" s="32">
        <f>SUM(N20,Y20,AA20,AC20,AE20,AG20,AI20,AK20,AM20,AO20,AQ20,AS20,AU20,AW20,AY20,BA20,BC20,BE20,BG20,BI20,BK20,BM20,BO20,BQ20,BS20,BU20,BW20,BY20,CA20)</f>
        <v/>
      </c>
      <c r="C20" s="33" t="inlineStr">
        <is>
          <t>KIRLOSIND</t>
        </is>
      </c>
      <c r="D20" s="33" t="inlineStr">
        <is>
          <t>Kirloskar Industries Limited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smallcap</t>
        </is>
      </c>
      <c r="H20" s="32" t="n">
        <v>4141.53</v>
      </c>
      <c r="I20" s="32" t="n">
        <v>3952.6</v>
      </c>
      <c r="J20" s="32" t="n">
        <v>0.3</v>
      </c>
      <c r="K20" s="32" t="n">
        <v>10677</v>
      </c>
      <c r="L20" s="31" t="n">
        <v>27</v>
      </c>
      <c r="M20" s="31" t="inlineStr">
        <is>
          <t>Underperforming</t>
        </is>
      </c>
      <c r="N20" s="32">
        <f>IF(M20="Underperforming",-5,IF(L20&gt;=95,15,IF(L20&gt;=90,10,IF(L20&gt;=80,5,0))))</f>
        <v/>
      </c>
      <c r="O20" s="32" t="n">
        <v>61.84</v>
      </c>
      <c r="P20" s="32" t="n">
        <v>28.01</v>
      </c>
      <c r="Q20" s="32" t="inlineStr"/>
      <c r="R20" s="31" t="inlineStr">
        <is>
          <t>Earnings / Momentum Support</t>
        </is>
      </c>
      <c r="S20" s="31" t="inlineStr">
        <is>
          <t>Nifty Bank</t>
        </is>
      </c>
      <c r="T20" s="32" t="n">
        <v>2.96</v>
      </c>
      <c r="U20" s="32" t="n">
        <v>-6.86</v>
      </c>
      <c r="V20" s="32" t="n">
        <v>-9.539999999999999</v>
      </c>
      <c r="W20" s="32" t="n">
        <v>3.87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No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more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3</t>
        </is>
      </c>
      <c r="BQ20" s="31">
        <f>IF(BP20="Stage 2",20,IF(BP20="Stage 1",0,IF(BP20="Stage 3",5,IF(BP20="Stage 4",-5,0))))</f>
        <v/>
      </c>
      <c r="BR20" s="31" t="inlineStr">
        <is>
          <t>Negative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IF(B21=0,"",RANK(B21,$B$2:$B$56,0))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ABCAPITAL</t>
        </is>
      </c>
      <c r="D21" s="31" t="inlineStr">
        <is>
          <t>Aditya Birla Capital Ltd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largecap</t>
        </is>
      </c>
      <c r="H21" s="32" t="n">
        <v>110543.96</v>
      </c>
      <c r="I21" s="32" t="n">
        <v>424.35</v>
      </c>
      <c r="J21" s="32" t="n">
        <v>4.96</v>
      </c>
      <c r="K21" s="32" t="n">
        <v>42237901</v>
      </c>
      <c r="L21" s="31" t="n">
        <v>68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67.66</v>
      </c>
      <c r="P21" s="32" t="n">
        <v>26.37</v>
      </c>
      <c r="Q21" s="32" t="inlineStr"/>
      <c r="R21" s="31" t="inlineStr">
        <is>
          <t>Earnings / Momentum Support</t>
        </is>
      </c>
      <c r="S21" s="31" t="inlineStr">
        <is>
          <t>Nifty Bank</t>
        </is>
      </c>
      <c r="T21" s="32" t="n">
        <v>2.96</v>
      </c>
      <c r="U21" s="32" t="n">
        <v>60.79</v>
      </c>
      <c r="V21" s="32" t="n">
        <v>56.16</v>
      </c>
      <c r="W21" s="32" t="n">
        <v>13.89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No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between 2.5x to 5x and Growth more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20 to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3</t>
        </is>
      </c>
      <c r="BQ21" s="31">
        <f>IF(BP21="Stage 2",20,IF(BP21="Stage 1",0,IF(BP21="Stage 3",5,IF(BP21="Stage 4",-5,0))))</f>
        <v/>
      </c>
      <c r="BR21" s="31" t="inlineStr">
        <is>
          <t>Negative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IF(B22=0,"",RANK(B22,$B$2:$B$56,0))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FEDERALBNK</t>
        </is>
      </c>
      <c r="D22" s="31" t="inlineStr">
        <is>
          <t>The Federal Bank  Limited</t>
        </is>
      </c>
      <c r="E22" s="31" t="inlineStr">
        <is>
          <t>bank</t>
        </is>
      </c>
      <c r="F22" s="31" t="inlineStr">
        <is>
          <t>banks - private sector</t>
        </is>
      </c>
      <c r="G22" s="31" t="inlineStr">
        <is>
          <t>largecap</t>
        </is>
      </c>
      <c r="H22" s="32" t="n">
        <v>88565.58</v>
      </c>
      <c r="I22" s="32" t="n">
        <v>371.7</v>
      </c>
      <c r="J22" s="32" t="n">
        <v>3.58</v>
      </c>
      <c r="K22" s="32" t="n">
        <v>12420780</v>
      </c>
      <c r="L22" s="31" t="n">
        <v>79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78.83</v>
      </c>
      <c r="P22" s="32" t="n">
        <v>34.02</v>
      </c>
      <c r="Q22" s="32" t="inlineStr"/>
      <c r="R22" s="31" t="inlineStr">
        <is>
          <t>Earnings / Momentum Support</t>
        </is>
      </c>
      <c r="S22" s="31" t="inlineStr">
        <is>
          <t>Nifty Bank</t>
        </is>
      </c>
      <c r="T22" s="32" t="n">
        <v>2.96</v>
      </c>
      <c r="U22" s="32" t="n">
        <v>84.14</v>
      </c>
      <c r="V22" s="32" t="n">
        <v>78.84</v>
      </c>
      <c r="W22" s="32" t="n">
        <v>18.53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No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less than 2.5x and Growth more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Above 75</t>
        </is>
      </c>
      <c r="BO22" s="31">
        <f>IF(BN22="Between 50 to 75",10,IF(BN22="Above 75",0,0))</f>
        <v/>
      </c>
      <c r="BP22" s="31" t="inlineStr">
        <is>
          <t>Stage 3</t>
        </is>
      </c>
      <c r="BQ22" s="31">
        <f>IF(BP22="Stage 2",20,IF(BP22="Stage 1",0,IF(BP22="Stage 3",5,IF(BP22="Stage 4",-5,0))))</f>
        <v/>
      </c>
      <c r="BR22" s="31" t="inlineStr">
        <is>
          <t>Negative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IF(B23=0,"",RANK(B23,$B$2:$B$56,0))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LTF</t>
        </is>
      </c>
      <c r="D23" s="31" t="inlineStr">
        <is>
          <t>L&amp;T Finance Ltd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largecap</t>
        </is>
      </c>
      <c r="H23" s="32" t="n">
        <v>77983.88</v>
      </c>
      <c r="I23" s="32" t="n">
        <v>318</v>
      </c>
      <c r="J23" s="32" t="n">
        <v>2.17</v>
      </c>
      <c r="K23" s="32" t="n">
        <v>26464958</v>
      </c>
      <c r="L23" s="31" t="n">
        <v>64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57.62</v>
      </c>
      <c r="P23" s="32" t="n">
        <v>22.44</v>
      </c>
      <c r="Q23" s="32" t="inlineStr"/>
      <c r="R23" s="31" t="inlineStr">
        <is>
          <t>Earnings / Momentum Support</t>
        </is>
      </c>
      <c r="S23" s="31" t="inlineStr">
        <is>
          <t>Nifty Bank</t>
        </is>
      </c>
      <c r="T23" s="32" t="n">
        <v>2.96</v>
      </c>
      <c r="U23" s="32" t="n">
        <v>56.34</v>
      </c>
      <c r="V23" s="32" t="n">
        <v>51.84</v>
      </c>
      <c r="W23" s="32" t="n">
        <v>12.54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No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between 2.5x to 5x and Growth more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20 to 40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3</t>
        </is>
      </c>
      <c r="BQ23" s="31">
        <f>IF(BP23="Stage 2",20,IF(BP23="Stage 1",0,IF(BP23="Stage 3",5,IF(BP23="Stage 4",-5,0))))</f>
        <v/>
      </c>
      <c r="BR23" s="31" t="inlineStr">
        <is>
          <t>Negative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IF(B24=0,"",RANK(B24,$B$2:$B$56,0))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AUBANK</t>
        </is>
      </c>
      <c r="D24" s="31" t="inlineStr">
        <is>
          <t>AU Small Finance Bank Ltd</t>
        </is>
      </c>
      <c r="E24" s="31" t="inlineStr">
        <is>
          <t>bank</t>
        </is>
      </c>
      <c r="F24" s="31" t="inlineStr">
        <is>
          <t>banks - private sector</t>
        </is>
      </c>
      <c r="G24" s="31" t="inlineStr">
        <is>
          <t>largecap</t>
        </is>
      </c>
      <c r="H24" s="32" t="n">
        <v>78439.83</v>
      </c>
      <c r="I24" s="32" t="n">
        <v>1060</v>
      </c>
      <c r="J24" s="32" t="n">
        <v>1.21</v>
      </c>
      <c r="K24" s="32" t="n">
        <v>3970564</v>
      </c>
      <c r="L24" s="31" t="n">
        <v>49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57.5</v>
      </c>
      <c r="P24" s="32" t="n">
        <v>24.23</v>
      </c>
      <c r="Q24" s="32" t="inlineStr"/>
      <c r="R24" s="31" t="inlineStr">
        <is>
          <t>Earnings / Momentum Support</t>
        </is>
      </c>
      <c r="S24" s="31" t="inlineStr">
        <is>
          <t>Nifty Bank</t>
        </is>
      </c>
      <c r="T24" s="32" t="n">
        <v>2.96</v>
      </c>
      <c r="U24" s="32" t="n">
        <v>41.46</v>
      </c>
      <c r="V24" s="32" t="n">
        <v>37.39</v>
      </c>
      <c r="W24" s="32" t="n">
        <v>8.029999999999999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No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between 2.5x to 5x and Growth more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20 to 40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3</t>
        </is>
      </c>
      <c r="BQ24" s="31">
        <f>IF(BP24="Stage 2",20,IF(BP24="Stage 1",0,IF(BP24="Stage 3",5,IF(BP24="Stage 4",-5,0))))</f>
        <v/>
      </c>
      <c r="BR24" s="31" t="inlineStr">
        <is>
          <t>Negative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IF(B25=0,"",RANK(B25,$B$2:$B$56,0))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MUFIN</t>
        </is>
      </c>
      <c r="D25" s="31" t="inlineStr">
        <is>
          <t>Mufin Green Finance Ltd</t>
        </is>
      </c>
      <c r="E25" s="31" t="inlineStr">
        <is>
          <t>financials</t>
        </is>
      </c>
      <c r="F25" s="31" t="inlineStr">
        <is>
          <t>finance &amp; investments</t>
        </is>
      </c>
      <c r="G25" s="31" t="inlineStr">
        <is>
          <t>smallcap</t>
        </is>
      </c>
      <c r="H25" s="32" t="n">
        <v>2610.59</v>
      </c>
      <c r="I25" s="32" t="n">
        <v>131.75</v>
      </c>
      <c r="J25" s="32" t="n">
        <v>0.01</v>
      </c>
      <c r="K25" s="32" t="n">
        <v>1896535</v>
      </c>
      <c r="L25" s="31" t="n">
        <v>63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61.65</v>
      </c>
      <c r="P25" s="32" t="n">
        <v>31.79</v>
      </c>
      <c r="Q25" s="32" t="inlineStr"/>
      <c r="R25" s="31" t="inlineStr">
        <is>
          <t>Earnings / Momentum Support</t>
        </is>
      </c>
      <c r="S25" s="31" t="inlineStr">
        <is>
          <t>Nifty Bank</t>
        </is>
      </c>
      <c r="T25" s="32" t="n">
        <v>2.96</v>
      </c>
      <c r="U25" s="32" t="n">
        <v>50.05</v>
      </c>
      <c r="V25" s="32" t="n">
        <v>45.73</v>
      </c>
      <c r="W25" s="32" t="n">
        <v>12.36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No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between 2.5x to 5x and Growth more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20 to 40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3</t>
        </is>
      </c>
      <c r="BQ25" s="31">
        <f>IF(BP25="Stage 2",20,IF(BP25="Stage 1",0,IF(BP25="Stage 3",5,IF(BP25="Stage 4",-5,0))))</f>
        <v/>
      </c>
      <c r="BR25" s="31" t="inlineStr">
        <is>
          <t>Negative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IF(B26=0,"",RANK(B26,$B$2:$B$56,0))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MONARCH</t>
        </is>
      </c>
      <c r="D26" s="31" t="inlineStr">
        <is>
          <t>Monarch Networth Capital Ltd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smallcap</t>
        </is>
      </c>
      <c r="H26" s="32" t="n">
        <v>3094.21</v>
      </c>
      <c r="I26" s="32" t="n">
        <v>385.5</v>
      </c>
      <c r="J26" s="32" t="n">
        <v>-1.19</v>
      </c>
      <c r="K26" s="32" t="n">
        <v>94423</v>
      </c>
      <c r="L26" s="31" t="n">
        <v>56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72.11</v>
      </c>
      <c r="P26" s="32" t="n">
        <v>29.34</v>
      </c>
      <c r="Q26" s="32" t="inlineStr"/>
      <c r="R26" s="31" t="inlineStr">
        <is>
          <t>Earnings / Momentum Support</t>
        </is>
      </c>
      <c r="S26" s="31" t="inlineStr">
        <is>
          <t>Nifty Bank</t>
        </is>
      </c>
      <c r="T26" s="32" t="n">
        <v>2.96</v>
      </c>
      <c r="U26" s="32" t="n">
        <v>13</v>
      </c>
      <c r="V26" s="32" t="n">
        <v>9.75</v>
      </c>
      <c r="W26" s="32" t="n">
        <v>9.949999999999999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No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between 2.5x to 5x and Growth more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20 to 40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3</t>
        </is>
      </c>
      <c r="BQ26" s="31">
        <f>IF(BP26="Stage 2",20,IF(BP26="Stage 1",0,IF(BP26="Stage 3",5,IF(BP26="Stage 4",-5,0))))</f>
        <v/>
      </c>
      <c r="BR26" s="31" t="inlineStr">
        <is>
          <t>Negative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IF(B27=0,"",RANK(B27,$B$2:$B$56,0))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PNBHOUSING</t>
        </is>
      </c>
      <c r="D27" s="31" t="inlineStr">
        <is>
          <t>Pnb Housing Finance Limited</t>
        </is>
      </c>
      <c r="E27" s="31" t="inlineStr">
        <is>
          <t>financials</t>
        </is>
      </c>
      <c r="F27" s="31" t="inlineStr">
        <is>
          <t>finance - housing</t>
        </is>
      </c>
      <c r="G27" s="31" t="inlineStr">
        <is>
          <t>largecap</t>
        </is>
      </c>
      <c r="H27" s="32" t="n">
        <v>27442.72</v>
      </c>
      <c r="I27" s="32" t="n">
        <v>1090</v>
      </c>
      <c r="J27" s="32" t="n">
        <v>3.5</v>
      </c>
      <c r="K27" s="32" t="n">
        <v>3577645</v>
      </c>
      <c r="L27" s="31" t="n">
        <v>42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59.31</v>
      </c>
      <c r="P27" s="32" t="n">
        <v>31.72</v>
      </c>
      <c r="Q27" s="32" t="inlineStr"/>
      <c r="R27" s="31" t="inlineStr">
        <is>
          <t>Earnings / Momentum Support</t>
        </is>
      </c>
      <c r="S27" s="31" t="inlineStr">
        <is>
          <t>Nifty Bank</t>
        </is>
      </c>
      <c r="T27" s="32" t="n">
        <v>2.96</v>
      </c>
      <c r="U27" s="32" t="n">
        <v>31.28</v>
      </c>
      <c r="V27" s="32" t="n">
        <v>27.5</v>
      </c>
      <c r="W27" s="32" t="n">
        <v>6.89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No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less than 2.5x and Growth less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20 to 40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3</t>
        </is>
      </c>
      <c r="BQ27" s="31">
        <f>IF(BP27="Stage 2",20,IF(BP27="Stage 1",0,IF(BP27="Stage 3",5,IF(BP27="Stage 4",-5,0))))</f>
        <v/>
      </c>
      <c r="BR27" s="31" t="inlineStr">
        <is>
          <t>Negative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IF(B28=0,"",RANK(B28,$B$2:$B$56,0))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KARURVYSYA</t>
        </is>
      </c>
      <c r="D28" s="31" t="inlineStr">
        <is>
          <t>Karur Vysya Bank Limited</t>
        </is>
      </c>
      <c r="E28" s="31" t="inlineStr">
        <is>
          <t>bank</t>
        </is>
      </c>
      <c r="F28" s="31" t="inlineStr">
        <is>
          <t>banks - private sector</t>
        </is>
      </c>
      <c r="G28" s="31" t="inlineStr">
        <is>
          <t>largecap</t>
        </is>
      </c>
      <c r="H28" s="32" t="n">
        <v>33103.57</v>
      </c>
      <c r="I28" s="32" t="n">
        <v>348.1</v>
      </c>
      <c r="J28" s="32" t="n">
        <v>1.65</v>
      </c>
      <c r="K28" s="32" t="n">
        <v>3406254</v>
      </c>
      <c r="L28" s="31" t="n">
        <v>67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70.37</v>
      </c>
      <c r="P28" s="32" t="n">
        <v>18.94</v>
      </c>
      <c r="Q28" s="32" t="inlineStr"/>
      <c r="R28" s="31" t="inlineStr">
        <is>
          <t>Earnings / Momentum Support</t>
        </is>
      </c>
      <c r="S28" s="31" t="inlineStr">
        <is>
          <t>Nifty Bank</t>
        </is>
      </c>
      <c r="T28" s="32" t="n">
        <v>2.96</v>
      </c>
      <c r="U28" s="32" t="n">
        <v>61.07</v>
      </c>
      <c r="V28" s="32" t="n">
        <v>56.43</v>
      </c>
      <c r="W28" s="32" t="n">
        <v>13.78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No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less than 2.5x and Growth more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0 to 20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3</t>
        </is>
      </c>
      <c r="BQ28" s="31">
        <f>IF(BP28="Stage 2",20,IF(BP28="Stage 1",0,IF(BP28="Stage 3",5,IF(BP28="Stage 4",-5,0))))</f>
        <v/>
      </c>
      <c r="BR28" s="31" t="inlineStr">
        <is>
          <t>Negative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IF(B29=0,"",RANK(B29,$B$2:$B$56,0))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IDFCFIRSTB</t>
        </is>
      </c>
      <c r="D29" s="31" t="inlineStr">
        <is>
          <t>IDFC First Bank Ltd</t>
        </is>
      </c>
      <c r="E29" s="31" t="inlineStr">
        <is>
          <t>bank</t>
        </is>
      </c>
      <c r="F29" s="31" t="inlineStr">
        <is>
          <t>banks - private sector</t>
        </is>
      </c>
      <c r="G29" s="31" t="inlineStr">
        <is>
          <t>largecap</t>
        </is>
      </c>
      <c r="H29" s="32" t="n">
        <v>72949.58</v>
      </c>
      <c r="I29" s="32" t="n">
        <v>86</v>
      </c>
      <c r="J29" s="32" t="n">
        <v>1.56</v>
      </c>
      <c r="K29" s="32" t="n">
        <v>37749784</v>
      </c>
      <c r="L29" s="31" t="n">
        <v>55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66.67</v>
      </c>
      <c r="P29" s="32" t="n">
        <v>21.21</v>
      </c>
      <c r="Q29" s="32" t="inlineStr"/>
      <c r="R29" s="31" t="inlineStr">
        <is>
          <t>Earnings / Momentum Support</t>
        </is>
      </c>
      <c r="S29" s="31" t="inlineStr">
        <is>
          <t>Nifty Bank</t>
        </is>
      </c>
      <c r="T29" s="32" t="n">
        <v>2.96</v>
      </c>
      <c r="U29" s="32" t="n">
        <v>25.3</v>
      </c>
      <c r="V29" s="32" t="n">
        <v>21.7</v>
      </c>
      <c r="W29" s="32" t="n">
        <v>9.880000000000001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No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less than 2.5x and Growth less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20 to 40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3</t>
        </is>
      </c>
      <c r="BQ29" s="31">
        <f>IF(BP29="Stage 2",20,IF(BP29="Stage 1",0,IF(BP29="Stage 3",5,IF(BP29="Stage 4",-5,0))))</f>
        <v/>
      </c>
      <c r="BR29" s="31" t="inlineStr">
        <is>
          <t>Negative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IF(B30=0,"",RANK(B30,$B$2:$B$56,0))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IIFL</t>
        </is>
      </c>
      <c r="D30" s="31" t="inlineStr">
        <is>
          <t>IIFL Finance Ltd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largecap</t>
        </is>
      </c>
      <c r="H30" s="32" t="n">
        <v>25887.41</v>
      </c>
      <c r="I30" s="32" t="n">
        <v>618.1</v>
      </c>
      <c r="J30" s="32" t="n">
        <v>1.55</v>
      </c>
      <c r="K30" s="32" t="n">
        <v>2681421</v>
      </c>
      <c r="L30" s="31" t="n">
        <v>72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68.52</v>
      </c>
      <c r="P30" s="32" t="n">
        <v>19.22</v>
      </c>
      <c r="Q30" s="32" t="inlineStr"/>
      <c r="R30" s="31" t="inlineStr">
        <is>
          <t>Earnings / Momentum Support</t>
        </is>
      </c>
      <c r="S30" s="31" t="inlineStr">
        <is>
          <t>Nifty Bank</t>
        </is>
      </c>
      <c r="T30" s="32" t="n">
        <v>2.96</v>
      </c>
      <c r="U30" s="32" t="n">
        <v>43.53</v>
      </c>
      <c r="V30" s="32" t="n">
        <v>39.4</v>
      </c>
      <c r="W30" s="32" t="n">
        <v>15.3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No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less than 2.5x and Growth more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0 to 20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3</t>
        </is>
      </c>
      <c r="BQ30" s="31">
        <f>IF(BP30="Stage 2",20,IF(BP30="Stage 1",0,IF(BP30="Stage 3",5,IF(BP30="Stage 4",-5,0))))</f>
        <v/>
      </c>
      <c r="BR30" s="31" t="inlineStr">
        <is>
          <t>Negative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IF(B31=0,"",RANK(B31,$B$2:$B$56,0))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KICL</t>
        </is>
      </c>
      <c r="D31" s="31" t="inlineStr">
        <is>
          <t>Kalyani Investment Company Limited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smallcap</t>
        </is>
      </c>
      <c r="H31" s="32" t="n">
        <v>2400.26</v>
      </c>
      <c r="I31" s="32" t="n">
        <v>5504.5</v>
      </c>
      <c r="J31" s="32" t="n">
        <v>0.11</v>
      </c>
      <c r="K31" s="32" t="n">
        <v>1262</v>
      </c>
      <c r="L31" s="31" t="n">
        <v>42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61.1</v>
      </c>
      <c r="P31" s="32" t="n">
        <v>32.47</v>
      </c>
      <c r="Q31" s="32" t="inlineStr"/>
      <c r="R31" s="31" t="inlineStr">
        <is>
          <t>Earnings / Momentum Support</t>
        </is>
      </c>
      <c r="S31" s="31" t="inlineStr">
        <is>
          <t>Nifty Bank</t>
        </is>
      </c>
      <c r="T31" s="32" t="n">
        <v>2.96</v>
      </c>
      <c r="U31" s="32" t="n">
        <v>16.13</v>
      </c>
      <c r="V31" s="32" t="n">
        <v>12.79</v>
      </c>
      <c r="W31" s="32" t="n">
        <v>6.85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No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less than 2.5x and Growth less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20 to 40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3</t>
        </is>
      </c>
      <c r="BQ31" s="31">
        <f>IF(BP31="Stage 2",20,IF(BP31="Stage 1",0,IF(BP31="Stage 3",5,IF(BP31="Stage 4",-5,0))))</f>
        <v/>
      </c>
      <c r="BR31" s="31" t="inlineStr">
        <is>
          <t>Negative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IF(B32=0,"",RANK(B32,$B$2:$B$56,0))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ANANDRATHI</t>
        </is>
      </c>
      <c r="D32" s="31" t="inlineStr">
        <is>
          <t>Anand Rathi Wealth Ltd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largecap</t>
        </is>
      </c>
      <c r="H32" s="32" t="n">
        <v>34431.98</v>
      </c>
      <c r="I32" s="32" t="n">
        <v>2058.7</v>
      </c>
      <c r="J32" s="32" t="n">
        <v>-0.72</v>
      </c>
      <c r="K32" s="32" t="n">
        <v>121852</v>
      </c>
      <c r="L32" s="31" t="n">
        <v>66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71.05</v>
      </c>
      <c r="P32" s="32" t="n">
        <v>50.24</v>
      </c>
      <c r="Q32" s="32" t="inlineStr"/>
      <c r="R32" s="31" t="inlineStr">
        <is>
          <t>Earnings / Momentum Support</t>
        </is>
      </c>
      <c r="S32" s="31" t="inlineStr">
        <is>
          <t>Nifty Bank</t>
        </is>
      </c>
      <c r="T32" s="32" t="n">
        <v>2.96</v>
      </c>
      <c r="U32" s="32" t="n">
        <v>60.07</v>
      </c>
      <c r="V32" s="32" t="n">
        <v>55.47</v>
      </c>
      <c r="W32" s="32" t="n">
        <v>13.57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No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above 5x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Above 40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3</t>
        </is>
      </c>
      <c r="BQ32" s="31">
        <f>IF(BP32="Stage 2",20,IF(BP32="Stage 1",0,IF(BP32="Stage 3",5,IF(BP32="Stage 4",-5,0))))</f>
        <v/>
      </c>
      <c r="BR32" s="31" t="inlineStr">
        <is>
          <t>Negative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IF(B33=0,"",RANK(B33,$B$2:$B$56,0))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SMCGLOBAL</t>
        </is>
      </c>
      <c r="D33" s="31" t="inlineStr">
        <is>
          <t>SMC Global Securities Ltd</t>
        </is>
      </c>
      <c r="E33" s="31" t="inlineStr">
        <is>
          <t>financials</t>
        </is>
      </c>
      <c r="F33" s="31" t="inlineStr">
        <is>
          <t>finance &amp; investments</t>
        </is>
      </c>
      <c r="G33" s="31" t="inlineStr">
        <is>
          <t>smallcap</t>
        </is>
      </c>
      <c r="H33" s="32" t="n">
        <v>1692.58</v>
      </c>
      <c r="I33" s="32" t="n">
        <v>79.73</v>
      </c>
      <c r="J33" s="32" t="n">
        <v>-1.36</v>
      </c>
      <c r="K33" s="32" t="n">
        <v>606572</v>
      </c>
      <c r="L33" s="31" t="n">
        <v>48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59.95</v>
      </c>
      <c r="P33" s="32" t="n">
        <v>17.62</v>
      </c>
      <c r="Q33" s="32" t="inlineStr"/>
      <c r="R33" s="31" t="inlineStr">
        <is>
          <t>Earnings / Momentum Support</t>
        </is>
      </c>
      <c r="S33" s="31" t="inlineStr">
        <is>
          <t>Nifty Bank</t>
        </is>
      </c>
      <c r="T33" s="32" t="n">
        <v>2.96</v>
      </c>
      <c r="U33" s="32" t="n">
        <v>16.73</v>
      </c>
      <c r="V33" s="32" t="n">
        <v>13.37</v>
      </c>
      <c r="W33" s="32" t="n">
        <v>7.89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No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less than 2.5x and Growth more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0 to 20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3</t>
        </is>
      </c>
      <c r="BQ33" s="31">
        <f>IF(BP33="Stage 2",20,IF(BP33="Stage 1",0,IF(BP33="Stage 3",5,IF(BP33="Stage 4",-5,0))))</f>
        <v/>
      </c>
      <c r="BR33" s="31" t="inlineStr">
        <is>
          <t>Negative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IF(B34=0,"",RANK(B34,$B$2:$B$56,0))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MANAPPURAM</t>
        </is>
      </c>
      <c r="D34" s="31" t="inlineStr">
        <is>
          <t>Manappuram Finance Limited</t>
        </is>
      </c>
      <c r="E34" s="31" t="inlineStr">
        <is>
          <t>financials</t>
        </is>
      </c>
      <c r="F34" s="31" t="inlineStr">
        <is>
          <t>finance &amp; investments</t>
        </is>
      </c>
      <c r="G34" s="31" t="inlineStr">
        <is>
          <t>largecap</t>
        </is>
      </c>
      <c r="H34" s="32" t="n">
        <v>34929.21</v>
      </c>
      <c r="I34" s="32" t="n">
        <v>365</v>
      </c>
      <c r="J34" s="32" t="n">
        <v>-1.84</v>
      </c>
      <c r="K34" s="32" t="n">
        <v>52515165</v>
      </c>
      <c r="L34" s="31" t="n">
        <v>69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69.26000000000001</v>
      </c>
      <c r="P34" s="32" t="n">
        <v>19.3</v>
      </c>
      <c r="Q34" s="32" t="inlineStr"/>
      <c r="R34" s="31" t="inlineStr">
        <is>
          <t>Earnings / Momentum Support</t>
        </is>
      </c>
      <c r="S34" s="31" t="inlineStr">
        <is>
          <t>Nifty Bank</t>
        </is>
      </c>
      <c r="T34" s="32" t="n">
        <v>2.96</v>
      </c>
      <c r="U34" s="32" t="n">
        <v>51.06</v>
      </c>
      <c r="V34" s="32" t="n">
        <v>46.72</v>
      </c>
      <c r="W34" s="32" t="n">
        <v>14.31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No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less than 2.5x and Growth more than 20%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0 to 20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3</t>
        </is>
      </c>
      <c r="BQ34" s="31">
        <f>IF(BP34="Stage 2",20,IF(BP34="Stage 1",0,IF(BP34="Stage 3",5,IF(BP34="Stage 4",-5,0))))</f>
        <v/>
      </c>
      <c r="BR34" s="31" t="inlineStr">
        <is>
          <t>Negative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IF(B35=0,"",RANK(B35,$B$2:$B$56,0))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OFSS</t>
        </is>
      </c>
      <c r="D35" s="31" t="inlineStr">
        <is>
          <t>Oracle Financial Services Software Limited</t>
        </is>
      </c>
      <c r="E35" s="31" t="inlineStr">
        <is>
          <t>i.t</t>
        </is>
      </c>
      <c r="F35" s="31" t="inlineStr">
        <is>
          <t>computers - software - large</t>
        </is>
      </c>
      <c r="G35" s="31" t="inlineStr">
        <is>
          <t>largecap</t>
        </is>
      </c>
      <c r="H35" s="32" t="n">
        <v>97398.89</v>
      </c>
      <c r="I35" s="32" t="n">
        <v>11332</v>
      </c>
      <c r="J35" s="32" t="n">
        <v>1.31</v>
      </c>
      <c r="K35" s="32" t="n">
        <v>482773</v>
      </c>
      <c r="L35" s="31" t="n">
        <v>60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65.73</v>
      </c>
      <c r="P35" s="32" t="n">
        <v>32.24</v>
      </c>
      <c r="Q35" s="32" t="inlineStr"/>
      <c r="R35" s="31" t="inlineStr">
        <is>
          <t>Earnings / Momentum Support</t>
        </is>
      </c>
      <c r="S35" s="31" t="inlineStr">
        <is>
          <t>Nifty IT</t>
        </is>
      </c>
      <c r="T35" s="32" t="n">
        <v>-11.37</v>
      </c>
      <c r="U35" s="32" t="n">
        <v>39.46</v>
      </c>
      <c r="V35" s="32" t="n">
        <v>57.36</v>
      </c>
      <c r="W35" s="32" t="n">
        <v>11.23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No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No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above 5x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20 to 40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3</t>
        </is>
      </c>
      <c r="BQ35" s="31">
        <f>IF(BP35="Stage 2",20,IF(BP35="Stage 1",0,IF(BP35="Stage 3",5,IF(BP35="Stage 4",-5,0))))</f>
        <v/>
      </c>
      <c r="BR35" s="31" t="inlineStr">
        <is>
          <t>Negative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IF(B36=0,"",RANK(B36,$B$2:$B$56,0))</f>
        <v/>
      </c>
      <c r="B36" s="32">
        <f>SUM(N36,Y36,AA36,AC36,AE36,AG36,AI36,AK36,AM36,AO36,AQ36,AS36,AU36,AW36,AY36,BA36,BC36,BE36,BG36,BI36,BK36,BM36,BO36,BQ36,BS36,BU36,BW36,BY36,CA36)</f>
        <v/>
      </c>
      <c r="C36" s="31" t="inlineStr">
        <is>
          <t>SHRIRAMFIN</t>
        </is>
      </c>
      <c r="D36" s="31" t="inlineStr">
        <is>
          <t>Shriram Finance Ltd</t>
        </is>
      </c>
      <c r="E36" s="31" t="inlineStr">
        <is>
          <t>financials</t>
        </is>
      </c>
      <c r="F36" s="31" t="inlineStr">
        <is>
          <t>finance &amp; investments</t>
        </is>
      </c>
      <c r="G36" s="31" t="inlineStr">
        <is>
          <t>largecap</t>
        </is>
      </c>
      <c r="H36" s="32" t="n">
        <v>246279.63</v>
      </c>
      <c r="I36" s="32" t="n">
        <v>1090.2</v>
      </c>
      <c r="J36" s="32" t="n">
        <v>4.16</v>
      </c>
      <c r="K36" s="32" t="n">
        <v>20489846</v>
      </c>
      <c r="L36" s="31" t="n">
        <v>71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58.87</v>
      </c>
      <c r="P36" s="32" t="n">
        <v>12.29</v>
      </c>
      <c r="Q36" s="32" t="inlineStr"/>
      <c r="R36" s="31" t="inlineStr">
        <is>
          <t>Earnings / Momentum Support</t>
        </is>
      </c>
      <c r="S36" s="31" t="inlineStr">
        <is>
          <t>Nifty Bank</t>
        </is>
      </c>
      <c r="T36" s="32" t="n">
        <v>2.96</v>
      </c>
      <c r="U36" s="32" t="n">
        <v>72.43000000000001</v>
      </c>
      <c r="V36" s="32" t="n">
        <v>67.47</v>
      </c>
      <c r="W36" s="32" t="n">
        <v>14.9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No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between 2.5x to 5x and Growth more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0 to 20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3</t>
        </is>
      </c>
      <c r="BQ36" s="31">
        <f>IF(BP36="Stage 2",20,IF(BP36="Stage 1",0,IF(BP36="Stage 3",5,IF(BP36="Stage 4",-5,0))))</f>
        <v/>
      </c>
      <c r="BR36" s="31" t="inlineStr">
        <is>
          <t>Negative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IF(B37=0,"",RANK(B37,$B$2:$B$56,0))</f>
        <v/>
      </c>
      <c r="B37" s="32">
        <f>SUM(N37,Y37,AA37,AC37,AE37,AG37,AI37,AK37,AM37,AO37,AQ37,AS37,AU37,AW37,AY37,BA37,BC37,BE37,BG37,BI37,BK37,BM37,BO37,BQ37,BS37,BU37,BW37,BY37,CA37)</f>
        <v/>
      </c>
      <c r="C37" s="31" t="inlineStr">
        <is>
          <t>POONAWALLA</t>
        </is>
      </c>
      <c r="D37" s="31" t="inlineStr">
        <is>
          <t>Poonawalla Fincorp Ltd</t>
        </is>
      </c>
      <c r="E37" s="31" t="inlineStr">
        <is>
          <t>financials</t>
        </is>
      </c>
      <c r="F37" s="31" t="inlineStr">
        <is>
          <t>finance &amp; investments</t>
        </is>
      </c>
      <c r="G37" s="31" t="inlineStr">
        <is>
          <t>largecap</t>
        </is>
      </c>
      <c r="H37" s="32" t="n">
        <v>40815.52</v>
      </c>
      <c r="I37" s="32" t="n">
        <v>471.9</v>
      </c>
      <c r="J37" s="32" t="n">
        <v>1.8</v>
      </c>
      <c r="K37" s="32" t="n">
        <v>855278</v>
      </c>
      <c r="L37" s="31" t="n">
        <v>33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56.71</v>
      </c>
      <c r="P37" s="32" t="n">
        <v>14.76</v>
      </c>
      <c r="Q37" s="32" t="inlineStr"/>
      <c r="R37" s="31" t="inlineStr">
        <is>
          <t>Earnings / Momentum Support</t>
        </is>
      </c>
      <c r="S37" s="31" t="inlineStr">
        <is>
          <t>Nifty Bank</t>
        </is>
      </c>
      <c r="T37" s="32" t="n">
        <v>2.96</v>
      </c>
      <c r="U37" s="32" t="n">
        <v>10.54</v>
      </c>
      <c r="V37" s="32" t="n">
        <v>7.36</v>
      </c>
      <c r="W37" s="32" t="n">
        <v>5.01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No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between 2.5x to 5x and Growth more than 20%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0 to 20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3</t>
        </is>
      </c>
      <c r="BQ37" s="31">
        <f>IF(BP37="Stage 2",20,IF(BP37="Stage 1",0,IF(BP37="Stage 3",5,IF(BP37="Stage 4",-5,0))))</f>
        <v/>
      </c>
      <c r="BR37" s="31" t="inlineStr">
        <is>
          <t>Negative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Close to 52 week high or retracement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IF(B38=0,"",RANK(B38,$B$2:$B$56,0))</f>
        <v/>
      </c>
      <c r="B38" s="32">
        <f>SUM(N38,Y38,AA38,AC38,AE38,AG38,AI38,AK38,AM38,AO38,AQ38,AS38,AU38,AW38,AY38,BA38,BC38,BE38,BG38,BI38,BK38,BM38,BO38,BQ38,BS38,BU38,BW38,BY38,CA38)</f>
        <v/>
      </c>
      <c r="C38" s="31" t="inlineStr">
        <is>
          <t>PRUDENT</t>
        </is>
      </c>
      <c r="D38" s="31" t="inlineStr">
        <is>
          <t>Prudent Corporate Advisory Services Ltd</t>
        </is>
      </c>
      <c r="E38" s="31" t="inlineStr">
        <is>
          <t>financials</t>
        </is>
      </c>
      <c r="F38" s="31" t="inlineStr">
        <is>
          <t>finance &amp; investments</t>
        </is>
      </c>
      <c r="G38" s="31" t="inlineStr">
        <is>
          <t>midcap</t>
        </is>
      </c>
      <c r="H38" s="32" t="n">
        <v>13631.08</v>
      </c>
      <c r="I38" s="32" t="n">
        <v>3349</v>
      </c>
      <c r="J38" s="32" t="n">
        <v>1.73</v>
      </c>
      <c r="K38" s="32" t="n">
        <v>27699</v>
      </c>
      <c r="L38" s="31" t="n">
        <v>50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69.04000000000001</v>
      </c>
      <c r="P38" s="32" t="n">
        <v>28.01</v>
      </c>
      <c r="Q38" s="32" t="inlineStr"/>
      <c r="R38" s="31" t="inlineStr">
        <is>
          <t>Earnings / Momentum Support</t>
        </is>
      </c>
      <c r="S38" s="31" t="inlineStr">
        <is>
          <t>Nifty Bank</t>
        </is>
      </c>
      <c r="T38" s="32" t="n">
        <v>2.96</v>
      </c>
      <c r="U38" s="32" t="n">
        <v>23.49</v>
      </c>
      <c r="V38" s="32" t="n">
        <v>19.94</v>
      </c>
      <c r="W38" s="32" t="n">
        <v>8.19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No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above 5x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20 to 40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3</t>
        </is>
      </c>
      <c r="BQ38" s="31">
        <f>IF(BP38="Stage 2",20,IF(BP38="Stage 1",0,IF(BP38="Stage 3",5,IF(BP38="Stage 4",-5,0))))</f>
        <v/>
      </c>
      <c r="BR38" s="31" t="inlineStr">
        <is>
          <t>Negative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Close to 52 week high or retracement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IF(B39=0,"",RANK(B39,$B$2:$B$56,0))</f>
        <v/>
      </c>
      <c r="B39" s="32">
        <f>SUM(N39,Y39,AA39,AC39,AE39,AG39,AI39,AK39,AM39,AO39,AQ39,AS39,AU39,AW39,AY39,BA39,BC39,BE39,BG39,BI39,BK39,BM39,BO39,BQ39,BS39,BU39,BW39,BY39,CA39)</f>
        <v/>
      </c>
      <c r="C39" s="31" t="inlineStr">
        <is>
          <t>TVSHLTD</t>
        </is>
      </c>
      <c r="D39" s="31" t="inlineStr">
        <is>
          <t>TVS Holdings Ltd</t>
        </is>
      </c>
      <c r="E39" s="31" t="inlineStr">
        <is>
          <t>financials</t>
        </is>
      </c>
      <c r="F39" s="31" t="inlineStr">
        <is>
          <t>finance &amp; investments</t>
        </is>
      </c>
      <c r="G39" s="31" t="inlineStr">
        <is>
          <t>largecap</t>
        </is>
      </c>
      <c r="H39" s="32" t="n">
        <v>29767.49</v>
      </c>
      <c r="I39" s="32" t="n">
        <v>14837</v>
      </c>
      <c r="J39" s="32" t="n">
        <v>0.84</v>
      </c>
      <c r="K39" s="32" t="n">
        <v>2983</v>
      </c>
      <c r="L39" s="31" t="n">
        <v>40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59.11</v>
      </c>
      <c r="P39" s="32" t="n">
        <v>15.35</v>
      </c>
      <c r="Q39" s="32" t="inlineStr"/>
      <c r="R39" s="31" t="inlineStr">
        <is>
          <t>Earnings / Momentum Support</t>
        </is>
      </c>
      <c r="S39" s="31" t="inlineStr">
        <is>
          <t>Nifty Bank</t>
        </is>
      </c>
      <c r="T39" s="32" t="n">
        <v>2.96</v>
      </c>
      <c r="U39" s="32" t="n">
        <v>27.02</v>
      </c>
      <c r="V39" s="32" t="n">
        <v>23.36</v>
      </c>
      <c r="W39" s="32" t="n">
        <v>6.21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No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between 2.5x to 5x and Growth more than 20%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0 to 20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3</t>
        </is>
      </c>
      <c r="BQ39" s="31">
        <f>IF(BP39="Stage 2",20,IF(BP39="Stage 1",0,IF(BP39="Stage 3",5,IF(BP39="Stage 4",-5,0))))</f>
        <v/>
      </c>
      <c r="BR39" s="31" t="inlineStr">
        <is>
          <t>Negative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Close to 52 week high or retracement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IF(B40=0,"",RANK(B40,$B$2:$B$56,0))</f>
        <v/>
      </c>
      <c r="B40" s="32">
        <f>SUM(N40,Y40,AA40,AC40,AE40,AG40,AI40,AK40,AM40,AO40,AQ40,AS40,AU40,AW40,AY40,BA40,BC40,BE40,BG40,BI40,BK40,BM40,BO40,BQ40,BS40,BU40,BW40,BY40,CA40)</f>
        <v/>
      </c>
      <c r="C40" s="31" t="inlineStr">
        <is>
          <t>CHOICEIN</t>
        </is>
      </c>
      <c r="D40" s="31" t="inlineStr">
        <is>
          <t>Choice International Ltd</t>
        </is>
      </c>
      <c r="E40" s="31" t="inlineStr">
        <is>
          <t>financials</t>
        </is>
      </c>
      <c r="F40" s="31" t="inlineStr">
        <is>
          <t>finance &amp; investments</t>
        </is>
      </c>
      <c r="G40" s="31" t="inlineStr">
        <is>
          <t>midcap</t>
        </is>
      </c>
      <c r="H40" s="32" t="n">
        <v>18333.39</v>
      </c>
      <c r="I40" s="32" t="n">
        <v>828.1</v>
      </c>
      <c r="J40" s="32" t="n">
        <v>0.63</v>
      </c>
      <c r="K40" s="32" t="n">
        <v>550388</v>
      </c>
      <c r="L40" s="31" t="n">
        <v>46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61.82</v>
      </c>
      <c r="P40" s="32" t="n">
        <v>21.34</v>
      </c>
      <c r="Q40" s="32" t="inlineStr"/>
      <c r="R40" s="31" t="inlineStr">
        <is>
          <t>Earnings / Momentum Support</t>
        </is>
      </c>
      <c r="S40" s="31" t="inlineStr">
        <is>
          <t>Nifty Bank</t>
        </is>
      </c>
      <c r="T40" s="32" t="n">
        <v>2.96</v>
      </c>
      <c r="U40" s="32" t="n">
        <v>9.32</v>
      </c>
      <c r="V40" s="32" t="n">
        <v>6.17</v>
      </c>
      <c r="W40" s="32" t="n">
        <v>7.47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n"/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No</t>
        </is>
      </c>
      <c r="AQ40" s="31">
        <f>IF(AP40="Yes",10,0)</f>
        <v/>
      </c>
      <c r="AR40" s="31" t="inlineStr">
        <is>
          <t>Yes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Yes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above 5x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20 to 40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3</t>
        </is>
      </c>
      <c r="BQ40" s="31">
        <f>IF(BP40="Stage 2",20,IF(BP40="Stage 1",0,IF(BP40="Stage 3",5,IF(BP40="Stage 4",-5,0))))</f>
        <v/>
      </c>
      <c r="BR40" s="31" t="inlineStr">
        <is>
          <t>Negative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Close to 52 week high or retracement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  <row r="41">
      <c r="A41" s="31">
        <f>IF(B41=0,"",RANK(B41,$B$2:$B$56,0))</f>
        <v/>
      </c>
      <c r="B41" s="32">
        <f>SUM(N41,Y41,AA41,AC41,AE41,AG41,AI41,AK41,AM41,AO41,AQ41,AS41,AU41,AW41,AY41,BA41,BC41,BE41,BG41,BI41,BK41,BM41,BO41,BQ41,BS41,BU41,BW41,BY41,CA41)</f>
        <v/>
      </c>
      <c r="C41" s="31" t="inlineStr">
        <is>
          <t>CONSOFINVT</t>
        </is>
      </c>
      <c r="D41" s="31" t="inlineStr">
        <is>
          <t>Consolidated Finvest &amp; Holdings Limited</t>
        </is>
      </c>
      <c r="E41" s="31" t="inlineStr">
        <is>
          <t>financials</t>
        </is>
      </c>
      <c r="F41" s="31" t="inlineStr">
        <is>
          <t>finance &amp; investments</t>
        </is>
      </c>
      <c r="G41" s="31" t="inlineStr">
        <is>
          <t>smallcap</t>
        </is>
      </c>
      <c r="H41" s="32" t="n">
        <v>964.13</v>
      </c>
      <c r="I41" s="32" t="n">
        <v>299.8</v>
      </c>
      <c r="J41" s="32" t="n">
        <v>0.52</v>
      </c>
      <c r="K41" s="32" t="n">
        <v>6274</v>
      </c>
      <c r="L41" s="31" t="n">
        <v>77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78.22</v>
      </c>
      <c r="P41" s="32" t="n">
        <v>32.08</v>
      </c>
      <c r="Q41" s="32" t="inlineStr"/>
      <c r="R41" s="31" t="inlineStr">
        <is>
          <t>Earnings / Momentum Support</t>
        </is>
      </c>
      <c r="S41" s="31" t="inlineStr">
        <is>
          <t>Nifty Bank</t>
        </is>
      </c>
      <c r="T41" s="32" t="n">
        <v>2.96</v>
      </c>
      <c r="U41" s="32" t="n">
        <v>52.13</v>
      </c>
      <c r="V41" s="32" t="n">
        <v>47.75</v>
      </c>
      <c r="W41" s="32" t="n">
        <v>17.1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Fragmented with High ROE</t>
        </is>
      </c>
      <c r="AA41" s="31">
        <f>IF(Z41="Fragmented with Low ROE",-5,IF(Z41="Fragmented with High ROE",10,IF(Z41= "highly cyclical",5,0)))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Consistency)",15,IF(AF41="Shallow Cyclical (2 to 3 years growth)",10,IF(AF41 = "Cyclical in an Uptick",5,IF(AF41 = "Cyclical in an Downtick",-10,0))))</f>
        <v/>
      </c>
      <c r="AH41" s="31" t="inlineStr">
        <is>
          <t>Yes</t>
        </is>
      </c>
      <c r="AI41" s="31">
        <f>IF(AH41="Yes",10,0)</f>
        <v/>
      </c>
      <c r="AJ41" s="31" t="inlineStr">
        <is>
          <t>Yes</t>
        </is>
      </c>
      <c r="AK41" s="31">
        <f>IF(AJ41="Yes",10,0)</f>
        <v/>
      </c>
      <c r="AL41" s="31" t="n"/>
      <c r="AM41" s="31">
        <f>IF(AL41="No",10,0)</f>
        <v/>
      </c>
      <c r="AN41" s="31" t="inlineStr">
        <is>
          <t>Yes</t>
        </is>
      </c>
      <c r="AO41" s="31">
        <f>IF(AN41="Yes",10,0)</f>
        <v/>
      </c>
      <c r="AP41" s="31" t="inlineStr">
        <is>
          <t>No</t>
        </is>
      </c>
      <c r="AQ41" s="31">
        <f>IF(AP41="Yes",10,0)</f>
        <v/>
      </c>
      <c r="AR41" s="31" t="inlineStr">
        <is>
          <t>Yes</t>
        </is>
      </c>
      <c r="AS41" s="31">
        <f>IF(AR41="Yes",5,0)</f>
        <v/>
      </c>
      <c r="AT41" s="31" t="inlineStr">
        <is>
          <t>No</t>
        </is>
      </c>
      <c r="AU41" s="31">
        <f>IF(AT41="No",10,IF(AT41="Yes",-10,0))</f>
        <v/>
      </c>
      <c r="AV41" s="31" t="inlineStr">
        <is>
          <t>No</t>
        </is>
      </c>
      <c r="AW41" s="31">
        <f>IF(AV41="No",10,0)</f>
        <v/>
      </c>
      <c r="AX41" s="31" t="inlineStr">
        <is>
          <t>No</t>
        </is>
      </c>
      <c r="AY41" s="31">
        <f>IF(AX41="No",10,IF(AX41= "Yes CEO Resignation",-5,0))</f>
        <v/>
      </c>
      <c r="AZ41" s="31" t="inlineStr">
        <is>
          <t>No</t>
        </is>
      </c>
      <c r="BA41" s="31">
        <f>IF(AZ41="No",10,IF(AZ41="Yes",-5,0))</f>
        <v/>
      </c>
      <c r="BB41" s="31" t="inlineStr">
        <is>
          <t>No</t>
        </is>
      </c>
      <c r="BC41" s="31">
        <f>IF(BB41="No",5,IF(BB41="Yes",-5,0))</f>
        <v/>
      </c>
      <c r="BD41" s="31" t="inlineStr">
        <is>
          <t>Yes</t>
        </is>
      </c>
      <c r="BE41" s="31">
        <f>IF(BD41="Yes",10,0)</f>
        <v/>
      </c>
      <c r="BF41" s="31" t="inlineStr">
        <is>
          <t>Yes</t>
        </is>
      </c>
      <c r="BG41" s="31">
        <f>IF(BF41="Yes",10,0)</f>
        <v/>
      </c>
      <c r="BH41" s="31" t="inlineStr">
        <is>
          <t>Yes</t>
        </is>
      </c>
      <c r="BI41" s="31">
        <f>IF(BH41="Yes",10,0)</f>
        <v/>
      </c>
      <c r="BJ41" s="31" t="inlineStr">
        <is>
          <t>P/BV less than 2.5x and Growth less than 20%</t>
        </is>
      </c>
      <c r="BK41" s="31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1" t="inlineStr">
        <is>
          <t>20 to 40</t>
        </is>
      </c>
      <c r="BM41" s="31">
        <f>IF(BL41="Above 40",20,IF(BL41="20 to 40",10,IF(BL41="0 to 20",-5,0)))</f>
        <v/>
      </c>
      <c r="BN41" s="31" t="inlineStr">
        <is>
          <t>Above 75</t>
        </is>
      </c>
      <c r="BO41" s="31">
        <f>IF(BN41="Between 50 to 75",10,IF(BN41="Above 75",0,0))</f>
        <v/>
      </c>
      <c r="BP41" s="31" t="inlineStr">
        <is>
          <t>Stage 3</t>
        </is>
      </c>
      <c r="BQ41" s="31">
        <f>IF(BP41="Stage 2",20,IF(BP41="Stage 1",0,IF(BP41="Stage 3",5,IF(BP41="Stage 4",-5,0))))</f>
        <v/>
      </c>
      <c r="BR41" s="31" t="inlineStr">
        <is>
          <t>Negative Trend</t>
        </is>
      </c>
      <c r="BS41" s="31">
        <f>IF(BR41="Positive Trend",20,IF(BR41="Negative Trend",-10,0))</f>
        <v/>
      </c>
      <c r="BT41" s="31" t="inlineStr">
        <is>
          <t>Uptrend</t>
        </is>
      </c>
      <c r="BU41" s="31">
        <f>IF(BT41="Uptrend",10,IF(BT41="Sideways",5,0))</f>
        <v/>
      </c>
      <c r="BV41" s="31" t="inlineStr">
        <is>
          <t>Uptrend</t>
        </is>
      </c>
      <c r="BW41" s="31">
        <f>IF(BV41="Uptrend",10,IF(BV41="Sideways",5,0))</f>
        <v/>
      </c>
      <c r="BX41" s="31" t="inlineStr">
        <is>
          <t>Close to 52 week high or retracement</t>
        </is>
      </c>
      <c r="BY41" s="31">
        <f>IF(BX41="Overhead supply in last 2 years in last 2 years",-5,IF(BX41="Close to 52 week high or retracement",5,IF(BX41="Blue sky scenario",10,IF(BX41="Long term Downtrend",-10,0))))</f>
        <v/>
      </c>
      <c r="BZ41" s="31" t="inlineStr">
        <is>
          <t>Yes</t>
        </is>
      </c>
      <c r="CA41" s="31">
        <f>IF(BZ41="Yes",10,0)</f>
        <v/>
      </c>
    </row>
    <row r="42">
      <c r="A42" s="31">
        <f>IF(B42=0,"",RANK(B42,$B$2:$B$56,0))</f>
        <v/>
      </c>
      <c r="B42" s="32">
        <f>SUM(N42,Y42,AA42,AC42,AE42,AG42,AI42,AK42,AM42,AO42,AQ42,AS42,AU42,AW42,AY42,BA42,BC42,BE42,BG42,BI42,BK42,BM42,BO42,BQ42,BS42,BU42,BW42,BY42,CA42)</f>
        <v/>
      </c>
      <c r="C42" s="33" t="inlineStr">
        <is>
          <t>KOTAKBANK</t>
        </is>
      </c>
      <c r="D42" s="33" t="inlineStr">
        <is>
          <t>Kotak Mahindra Bank Limited</t>
        </is>
      </c>
      <c r="E42" s="31" t="inlineStr">
        <is>
          <t>bank</t>
        </is>
      </c>
      <c r="F42" s="31" t="inlineStr">
        <is>
          <t>banks - private sector</t>
        </is>
      </c>
      <c r="G42" s="31" t="inlineStr">
        <is>
          <t>largecap</t>
        </is>
      </c>
      <c r="H42" s="32" t="n">
        <v>388220.06</v>
      </c>
      <c r="I42" s="32" t="n">
        <v>397.5</v>
      </c>
      <c r="J42" s="32" t="n">
        <v>1.84</v>
      </c>
      <c r="K42" s="32" t="n">
        <v>32331357</v>
      </c>
      <c r="L42" s="31" t="n">
        <v>11</v>
      </c>
      <c r="M42" s="31" t="inlineStr">
        <is>
          <t>Underperforming</t>
        </is>
      </c>
      <c r="N42" s="32">
        <f>IF(M42="Underperforming",-5,IF(L42&gt;=95,15,IF(L42&gt;=90,10,IF(L42&gt;=80,5,0))))</f>
        <v/>
      </c>
      <c r="O42" s="32" t="n">
        <v>49.14</v>
      </c>
      <c r="P42" s="32" t="n">
        <v>11.34</v>
      </c>
      <c r="Q42" s="32" t="inlineStr"/>
      <c r="R42" s="31" t="inlineStr">
        <is>
          <t>Earnings / Momentum Support</t>
        </is>
      </c>
      <c r="S42" s="31" t="inlineStr">
        <is>
          <t>Nifty Bank</t>
        </is>
      </c>
      <c r="T42" s="32" t="n">
        <v>2.96</v>
      </c>
      <c r="U42" s="32" t="n">
        <v>-1.88</v>
      </c>
      <c r="V42" s="32" t="n">
        <v>-4.71</v>
      </c>
      <c r="W42" s="32" t="n">
        <v>0.1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Fragmented with High ROE</t>
        </is>
      </c>
      <c r="AA42" s="31">
        <f>IF(Z42="Fragmented with Low ROE",-5,IF(Z42="Fragmented with High ROE",10,IF(Z42= "highly cyclical",5,0)))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Consistency)",15,IF(AF42="Shallow Cyclical (2 to 3 years growth)",10,IF(AF42 = "Cyclical in an Uptick",5,IF(AF42 = "Cyclical in an Downtick",-10,0))))</f>
        <v/>
      </c>
      <c r="AH42" s="31" t="inlineStr">
        <is>
          <t>Yes</t>
        </is>
      </c>
      <c r="AI42" s="31">
        <f>IF(AH42="Yes",10,0)</f>
        <v/>
      </c>
      <c r="AJ42" s="31" t="inlineStr">
        <is>
          <t>Yes</t>
        </is>
      </c>
      <c r="AK42" s="31">
        <f>IF(AJ42="Yes",10,0)</f>
        <v/>
      </c>
      <c r="AL42" s="31" t="n"/>
      <c r="AM42" s="31">
        <f>IF(AL42="No",10,0)</f>
        <v/>
      </c>
      <c r="AN42" s="31" t="inlineStr">
        <is>
          <t>Yes</t>
        </is>
      </c>
      <c r="AO42" s="31">
        <f>IF(AN42="Yes",10,0)</f>
        <v/>
      </c>
      <c r="AP42" s="31" t="inlineStr">
        <is>
          <t>No</t>
        </is>
      </c>
      <c r="AQ42" s="31">
        <f>IF(AP42="Yes",10,0)</f>
        <v/>
      </c>
      <c r="AR42" s="31" t="inlineStr">
        <is>
          <t>Yes</t>
        </is>
      </c>
      <c r="AS42" s="31">
        <f>IF(AR42="Yes",5,0)</f>
        <v/>
      </c>
      <c r="AT42" s="31" t="inlineStr">
        <is>
          <t>No</t>
        </is>
      </c>
      <c r="AU42" s="31">
        <f>IF(AT42="No",10,IF(AT42="Yes",-10,0))</f>
        <v/>
      </c>
      <c r="AV42" s="31" t="inlineStr">
        <is>
          <t>No</t>
        </is>
      </c>
      <c r="AW42" s="31">
        <f>IF(AV42="No",10,0)</f>
        <v/>
      </c>
      <c r="AX42" s="31" t="inlineStr">
        <is>
          <t>No</t>
        </is>
      </c>
      <c r="AY42" s="31">
        <f>IF(AX42="No",10,IF(AX42= "Yes CEO Resignation",-5,0))</f>
        <v/>
      </c>
      <c r="AZ42" s="31" t="inlineStr">
        <is>
          <t>No</t>
        </is>
      </c>
      <c r="BA42" s="31">
        <f>IF(AZ42="No",10,IF(AZ42="Yes",-5,0))</f>
        <v/>
      </c>
      <c r="BB42" s="31" t="inlineStr">
        <is>
          <t>No</t>
        </is>
      </c>
      <c r="BC42" s="31">
        <f>IF(BB42="No",5,IF(BB42="Yes",-5,0))</f>
        <v/>
      </c>
      <c r="BD42" s="31" t="inlineStr">
        <is>
          <t>Yes</t>
        </is>
      </c>
      <c r="BE42" s="31">
        <f>IF(BD42="Yes",10,0)</f>
        <v/>
      </c>
      <c r="BF42" s="31" t="inlineStr">
        <is>
          <t>Yes</t>
        </is>
      </c>
      <c r="BG42" s="31">
        <f>IF(BF42="Yes",10,0)</f>
        <v/>
      </c>
      <c r="BH42" s="31" t="inlineStr">
        <is>
          <t>Yes</t>
        </is>
      </c>
      <c r="BI42" s="31">
        <f>IF(BH42="Yes",10,0)</f>
        <v/>
      </c>
      <c r="BJ42" s="31" t="inlineStr">
        <is>
          <t>P/BV less than 2.5x and Growth more than 20%</t>
        </is>
      </c>
      <c r="BK42" s="31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1" t="inlineStr">
        <is>
          <t>0 to 20</t>
        </is>
      </c>
      <c r="BM42" s="31">
        <f>IF(BL42="Above 40",20,IF(BL42="20 to 40",10,IF(BL42="0 to 20",-5,0)))</f>
        <v/>
      </c>
      <c r="BN42" s="31" t="inlineStr">
        <is>
          <t>Below 45</t>
        </is>
      </c>
      <c r="BO42" s="31">
        <f>IF(BN42="Between 50 to 75",10,IF(BN42="Above 75",0,0))</f>
        <v/>
      </c>
      <c r="BP42" s="31" t="inlineStr">
        <is>
          <t>Stage 3</t>
        </is>
      </c>
      <c r="BQ42" s="31">
        <f>IF(BP42="Stage 2",20,IF(BP42="Stage 1",0,IF(BP42="Stage 3",5,IF(BP42="Stage 4",-5,0))))</f>
        <v/>
      </c>
      <c r="BR42" s="31" t="inlineStr">
        <is>
          <t>Negative Trend</t>
        </is>
      </c>
      <c r="BS42" s="31">
        <f>IF(BR42="Positive Trend",20,IF(BR42="Negative Trend",-10,0))</f>
        <v/>
      </c>
      <c r="BT42" s="31" t="inlineStr">
        <is>
          <t>Uptrend</t>
        </is>
      </c>
      <c r="BU42" s="31">
        <f>IF(BT42="Uptrend",10,IF(BT42="Sideways",5,0))</f>
        <v/>
      </c>
      <c r="BV42" s="31" t="inlineStr">
        <is>
          <t>Uptrend</t>
        </is>
      </c>
      <c r="BW42" s="31">
        <f>IF(BV42="Uptrend",10,IF(BV42="Sideways",5,0))</f>
        <v/>
      </c>
      <c r="BX42" s="31" t="inlineStr">
        <is>
          <t>Close to 52 week high or retracement</t>
        </is>
      </c>
      <c r="BY42" s="31">
        <f>IF(BX42="Overhead supply in last 2 years in last 2 years",-5,IF(BX42="Close to 52 week high or retracement",5,IF(BX42="Blue sky scenario",10,IF(BX42="Long term Downtrend",-10,0))))</f>
        <v/>
      </c>
      <c r="BZ42" s="31" t="inlineStr">
        <is>
          <t>Yes</t>
        </is>
      </c>
      <c r="CA42" s="31">
        <f>IF(BZ42="Yes",10,0)</f>
        <v/>
      </c>
    </row>
    <row r="43">
      <c r="A43" s="31">
        <f>IF(B43=0,"",RANK(B43,$B$2:$B$56,0))</f>
        <v/>
      </c>
      <c r="B43" s="32">
        <f>SUM(N43,Y43,AA43,AC43,AE43,AG43,AI43,AK43,AM43,AO43,AQ43,AS43,AU43,AW43,AY43,BA43,BC43,BE43,BG43,BI43,BK43,BM43,BO43,BQ43,BS43,BU43,BW43,BY43,CA43)</f>
        <v/>
      </c>
      <c r="C43" s="31" t="inlineStr">
        <is>
          <t>SBIN</t>
        </is>
      </c>
      <c r="D43" s="31" t="inlineStr">
        <is>
          <t>State Bank Of India Ltd</t>
        </is>
      </c>
      <c r="E43" s="31" t="inlineStr">
        <is>
          <t>bank</t>
        </is>
      </c>
      <c r="F43" s="31" t="inlineStr">
        <is>
          <t>banks - public sector</t>
        </is>
      </c>
      <c r="G43" s="31" t="inlineStr">
        <is>
          <t>largecap</t>
        </is>
      </c>
      <c r="H43" s="32" t="n">
        <v>948353.65</v>
      </c>
      <c r="I43" s="32" t="n">
        <v>1045</v>
      </c>
      <c r="J43" s="32" t="n">
        <v>1.71</v>
      </c>
      <c r="K43" s="32" t="n">
        <v>31058970</v>
      </c>
      <c r="L43" s="31" t="n">
        <v>36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52.37</v>
      </c>
      <c r="P43" s="32" t="n">
        <v>7.24</v>
      </c>
      <c r="Q43" s="32" t="inlineStr"/>
      <c r="R43" s="31" t="inlineStr">
        <is>
          <t>Earnings / Momentum Support</t>
        </is>
      </c>
      <c r="S43" s="31" t="inlineStr">
        <is>
          <t>Nifty Bank</t>
        </is>
      </c>
      <c r="T43" s="32" t="n">
        <v>2.96</v>
      </c>
      <c r="U43" s="32" t="n">
        <v>31.73</v>
      </c>
      <c r="V43" s="32" t="n">
        <v>27.94</v>
      </c>
      <c r="W43" s="32" t="n">
        <v>5.48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Fragmented with High ROE</t>
        </is>
      </c>
      <c r="AA43" s="31">
        <f>IF(Z43="Fragmented with Low ROE",-5,IF(Z43="Fragmented with High ROE",10,IF(Z43= "highly cyclical",5,0)))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Consistency)",15,IF(AF43="Shallow Cyclical (2 to 3 years growth)",10,IF(AF43 = "Cyclical in an Uptick",5,IF(AF43 = "Cyclical in an Downtick",-10,0))))</f>
        <v/>
      </c>
      <c r="AH43" s="31" t="inlineStr">
        <is>
          <t>Yes</t>
        </is>
      </c>
      <c r="AI43" s="31">
        <f>IF(AH43="Yes",10,0)</f>
        <v/>
      </c>
      <c r="AJ43" s="31" t="inlineStr">
        <is>
          <t>Yes</t>
        </is>
      </c>
      <c r="AK43" s="31">
        <f>IF(AJ43="Yes",10,0)</f>
        <v/>
      </c>
      <c r="AL43" s="31" t="n"/>
      <c r="AM43" s="31">
        <f>IF(AL43="No",10,0)</f>
        <v/>
      </c>
      <c r="AN43" s="31" t="inlineStr">
        <is>
          <t>Yes</t>
        </is>
      </c>
      <c r="AO43" s="31">
        <f>IF(AN43="Yes",10,0)</f>
        <v/>
      </c>
      <c r="AP43" s="31" t="inlineStr">
        <is>
          <t>No</t>
        </is>
      </c>
      <c r="AQ43" s="31">
        <f>IF(AP43="Yes",10,0)</f>
        <v/>
      </c>
      <c r="AR43" s="31" t="inlineStr">
        <is>
          <t>Yes</t>
        </is>
      </c>
      <c r="AS43" s="31">
        <f>IF(AR43="Yes",5,0)</f>
        <v/>
      </c>
      <c r="AT43" s="31" t="inlineStr">
        <is>
          <t>No</t>
        </is>
      </c>
      <c r="AU43" s="31">
        <f>IF(AT43="No",10,IF(AT43="Yes",-10,0))</f>
        <v/>
      </c>
      <c r="AV43" s="31" t="inlineStr">
        <is>
          <t>No</t>
        </is>
      </c>
      <c r="AW43" s="31">
        <f>IF(AV43="No",10,0)</f>
        <v/>
      </c>
      <c r="AX43" s="31" t="inlineStr">
        <is>
          <t>No</t>
        </is>
      </c>
      <c r="AY43" s="31">
        <f>IF(AX43="No",10,IF(AX43= "Yes CEO Resignation",-5,0))</f>
        <v/>
      </c>
      <c r="AZ43" s="31" t="inlineStr">
        <is>
          <t>No</t>
        </is>
      </c>
      <c r="BA43" s="31">
        <f>IF(AZ43="No",10,IF(AZ43="Yes",-5,0))</f>
        <v/>
      </c>
      <c r="BB43" s="31" t="inlineStr">
        <is>
          <t>No</t>
        </is>
      </c>
      <c r="BC43" s="31">
        <f>IF(BB43="No",5,IF(BB43="Yes",-5,0))</f>
        <v/>
      </c>
      <c r="BD43" s="31" t="inlineStr">
        <is>
          <t>Yes</t>
        </is>
      </c>
      <c r="BE43" s="31">
        <f>IF(BD43="Yes",10,0)</f>
        <v/>
      </c>
      <c r="BF43" s="31" t="inlineStr">
        <is>
          <t>Yes</t>
        </is>
      </c>
      <c r="BG43" s="31">
        <f>IF(BF43="Yes",10,0)</f>
        <v/>
      </c>
      <c r="BH43" s="31" t="inlineStr">
        <is>
          <t>Yes</t>
        </is>
      </c>
      <c r="BI43" s="31">
        <f>IF(BH43="Yes",10,0)</f>
        <v/>
      </c>
      <c r="BJ43" s="31" t="inlineStr">
        <is>
          <t>P/BV less than 2.5x and Growth less than 20%</t>
        </is>
      </c>
      <c r="BK43" s="31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1" t="inlineStr">
        <is>
          <t>0 to 20</t>
        </is>
      </c>
      <c r="BM43" s="31">
        <f>IF(BL43="Above 40",20,IF(BL43="20 to 40",10,IF(BL43="0 to 20",-5,0)))</f>
        <v/>
      </c>
      <c r="BN43" s="31" t="inlineStr">
        <is>
          <t>Between 50 to 75</t>
        </is>
      </c>
      <c r="BO43" s="31">
        <f>IF(BN43="Between 50 to 75",10,IF(BN43="Above 75",0,0))</f>
        <v/>
      </c>
      <c r="BP43" s="31" t="inlineStr">
        <is>
          <t>Stage 3</t>
        </is>
      </c>
      <c r="BQ43" s="31">
        <f>IF(BP43="Stage 2",20,IF(BP43="Stage 1",0,IF(BP43="Stage 3",5,IF(BP43="Stage 4",-5,0))))</f>
        <v/>
      </c>
      <c r="BR43" s="31" t="inlineStr">
        <is>
          <t>Negative Trend</t>
        </is>
      </c>
      <c r="BS43" s="31">
        <f>IF(BR43="Positive Trend",20,IF(BR43="Negative Trend",-10,0))</f>
        <v/>
      </c>
      <c r="BT43" s="31" t="inlineStr">
        <is>
          <t>Uptrend</t>
        </is>
      </c>
      <c r="BU43" s="31">
        <f>IF(BT43="Uptrend",10,IF(BT43="Sideways",5,0))</f>
        <v/>
      </c>
      <c r="BV43" s="31" t="inlineStr">
        <is>
          <t>Uptrend</t>
        </is>
      </c>
      <c r="BW43" s="31">
        <f>IF(BV43="Uptrend",10,IF(BV43="Sideways",5,0))</f>
        <v/>
      </c>
      <c r="BX43" s="31" t="inlineStr">
        <is>
          <t>Close to 52 week high or retracement</t>
        </is>
      </c>
      <c r="BY43" s="31">
        <f>IF(BX43="Overhead supply in last 2 years in last 2 years",-5,IF(BX43="Close to 52 week high or retracement",5,IF(BX43="Blue sky scenario",10,IF(BX43="Long term Downtrend",-10,0))))</f>
        <v/>
      </c>
      <c r="BZ43" s="31" t="inlineStr">
        <is>
          <t>Yes</t>
        </is>
      </c>
      <c r="CA43" s="31">
        <f>IF(BZ43="Yes",10,0)</f>
        <v/>
      </c>
    </row>
    <row r="44">
      <c r="A44" s="31">
        <f>IF(B44=0,"",RANK(B44,$B$2:$B$56,0))</f>
        <v/>
      </c>
      <c r="B44" s="32">
        <f>SUM(N44,Y44,AA44,AC44,AE44,AG44,AI44,AK44,AM44,AO44,AQ44,AS44,AU44,AW44,AY44,BA44,BC44,BE44,BG44,BI44,BK44,BM44,BO44,BQ44,BS44,BU44,BW44,BY44,CA44)</f>
        <v/>
      </c>
      <c r="C44" s="31" t="inlineStr">
        <is>
          <t>UNIONBANK</t>
        </is>
      </c>
      <c r="D44" s="31" t="inlineStr">
        <is>
          <t>Union Bank Of India Ltd</t>
        </is>
      </c>
      <c r="E44" s="31" t="inlineStr">
        <is>
          <t>bank</t>
        </is>
      </c>
      <c r="F44" s="31" t="inlineStr">
        <is>
          <t>banks - public sector</t>
        </is>
      </c>
      <c r="G44" s="31" t="inlineStr">
        <is>
          <t>largecap</t>
        </is>
      </c>
      <c r="H44" s="32" t="n">
        <v>130717.86</v>
      </c>
      <c r="I44" s="32" t="n">
        <v>174</v>
      </c>
      <c r="J44" s="32" t="n">
        <v>1.61</v>
      </c>
      <c r="K44" s="32" t="n">
        <v>24699262</v>
      </c>
      <c r="L44" s="31" t="n">
        <v>49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55.26</v>
      </c>
      <c r="P44" s="32" t="n">
        <v>14.82</v>
      </c>
      <c r="Q44" s="32" t="inlineStr"/>
      <c r="R44" s="31" t="inlineStr">
        <is>
          <t>Earnings / Momentum Support</t>
        </is>
      </c>
      <c r="S44" s="31" t="inlineStr">
        <is>
          <t>Nifty Bank</t>
        </is>
      </c>
      <c r="T44" s="32" t="n">
        <v>2.96</v>
      </c>
      <c r="U44" s="32" t="n">
        <v>37.62</v>
      </c>
      <c r="V44" s="32" t="n">
        <v>33.66</v>
      </c>
      <c r="W44" s="32" t="n">
        <v>8.09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Fragmented with High ROE</t>
        </is>
      </c>
      <c r="AA44" s="31">
        <f>IF(Z44="Fragmented with Low ROE",-5,IF(Z44="Fragmented with High ROE",10,IF(Z44= "highly cyclical",5,0)))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Consistency)",15,IF(AF44="Shallow Cyclical (2 to 3 years growth)",10,IF(AF44 = "Cyclical in an Uptick",5,IF(AF44 = "Cyclical in an Downtick",-10,0))))</f>
        <v/>
      </c>
      <c r="AH44" s="31" t="inlineStr">
        <is>
          <t>Yes</t>
        </is>
      </c>
      <c r="AI44" s="31">
        <f>IF(AH44="Yes",10,0)</f>
        <v/>
      </c>
      <c r="AJ44" s="31" t="inlineStr">
        <is>
          <t>Yes</t>
        </is>
      </c>
      <c r="AK44" s="31">
        <f>IF(AJ44="Yes",10,0)</f>
        <v/>
      </c>
      <c r="AL44" s="31" t="n"/>
      <c r="AM44" s="31">
        <f>IF(AL44="No",10,0)</f>
        <v/>
      </c>
      <c r="AN44" s="31" t="inlineStr">
        <is>
          <t>Yes</t>
        </is>
      </c>
      <c r="AO44" s="31">
        <f>IF(AN44="Yes",10,0)</f>
        <v/>
      </c>
      <c r="AP44" s="31" t="inlineStr">
        <is>
          <t>No</t>
        </is>
      </c>
      <c r="AQ44" s="31">
        <f>IF(AP44="Yes",10,0)</f>
        <v/>
      </c>
      <c r="AR44" s="31" t="inlineStr">
        <is>
          <t>Yes</t>
        </is>
      </c>
      <c r="AS44" s="31">
        <f>IF(AR44="Yes",5,0)</f>
        <v/>
      </c>
      <c r="AT44" s="31" t="inlineStr">
        <is>
          <t>No</t>
        </is>
      </c>
      <c r="AU44" s="31">
        <f>IF(AT44="No",10,IF(AT44="Yes",-10,0))</f>
        <v/>
      </c>
      <c r="AV44" s="31" t="inlineStr">
        <is>
          <t>No</t>
        </is>
      </c>
      <c r="AW44" s="31">
        <f>IF(AV44="No",10,0)</f>
        <v/>
      </c>
      <c r="AX44" s="31" t="inlineStr">
        <is>
          <t>No</t>
        </is>
      </c>
      <c r="AY44" s="31">
        <f>IF(AX44="No",10,IF(AX44= "Yes CEO Resignation",-5,0))</f>
        <v/>
      </c>
      <c r="AZ44" s="31" t="inlineStr">
        <is>
          <t>No</t>
        </is>
      </c>
      <c r="BA44" s="31">
        <f>IF(AZ44="No",10,IF(AZ44="Yes",-5,0))</f>
        <v/>
      </c>
      <c r="BB44" s="31" t="inlineStr">
        <is>
          <t>No</t>
        </is>
      </c>
      <c r="BC44" s="31">
        <f>IF(BB44="No",5,IF(BB44="Yes",-5,0))</f>
        <v/>
      </c>
      <c r="BD44" s="31" t="inlineStr">
        <is>
          <t>Yes</t>
        </is>
      </c>
      <c r="BE44" s="31">
        <f>IF(BD44="Yes",10,0)</f>
        <v/>
      </c>
      <c r="BF44" s="31" t="inlineStr">
        <is>
          <t>Yes</t>
        </is>
      </c>
      <c r="BG44" s="31">
        <f>IF(BF44="Yes",10,0)</f>
        <v/>
      </c>
      <c r="BH44" s="31" t="inlineStr">
        <is>
          <t>Yes</t>
        </is>
      </c>
      <c r="BI44" s="31">
        <f>IF(BH44="Yes",10,0)</f>
        <v/>
      </c>
      <c r="BJ44" s="31" t="inlineStr">
        <is>
          <t>P/BV less than 2.5x and Growth less than 20%</t>
        </is>
      </c>
      <c r="BK44" s="31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1" t="inlineStr">
        <is>
          <t>0 to 20</t>
        </is>
      </c>
      <c r="BM44" s="31">
        <f>IF(BL44="Above 40",20,IF(BL44="20 to 40",10,IF(BL44="0 to 20",-5,0)))</f>
        <v/>
      </c>
      <c r="BN44" s="31" t="inlineStr">
        <is>
          <t>Between 50 to 75</t>
        </is>
      </c>
      <c r="BO44" s="31">
        <f>IF(BN44="Between 50 to 75",10,IF(BN44="Above 75",0,0))</f>
        <v/>
      </c>
      <c r="BP44" s="31" t="inlineStr">
        <is>
          <t>Stage 3</t>
        </is>
      </c>
      <c r="BQ44" s="31">
        <f>IF(BP44="Stage 2",20,IF(BP44="Stage 1",0,IF(BP44="Stage 3",5,IF(BP44="Stage 4",-5,0))))</f>
        <v/>
      </c>
      <c r="BR44" s="31" t="inlineStr">
        <is>
          <t>Negative Trend</t>
        </is>
      </c>
      <c r="BS44" s="31">
        <f>IF(BR44="Positive Trend",20,IF(BR44="Negative Trend",-10,0))</f>
        <v/>
      </c>
      <c r="BT44" s="31" t="inlineStr">
        <is>
          <t>Uptrend</t>
        </is>
      </c>
      <c r="BU44" s="31">
        <f>IF(BT44="Uptrend",10,IF(BT44="Sideways",5,0))</f>
        <v/>
      </c>
      <c r="BV44" s="31" t="inlineStr">
        <is>
          <t>Uptrend</t>
        </is>
      </c>
      <c r="BW44" s="31">
        <f>IF(BV44="Uptrend",10,IF(BV44="Sideways",5,0))</f>
        <v/>
      </c>
      <c r="BX44" s="31" t="inlineStr">
        <is>
          <t>Close to 52 week high or retracement</t>
        </is>
      </c>
      <c r="BY44" s="31">
        <f>IF(BX44="Overhead supply in last 2 years in last 2 years",-5,IF(BX44="Close to 52 week high or retracement",5,IF(BX44="Blue sky scenario",10,IF(BX44="Long term Downtrend",-10,0))))</f>
        <v/>
      </c>
      <c r="BZ44" s="31" t="inlineStr">
        <is>
          <t>Yes</t>
        </is>
      </c>
      <c r="CA44" s="31">
        <f>IF(BZ44="Yes",10,0)</f>
        <v/>
      </c>
    </row>
    <row r="45">
      <c r="A45" s="31">
        <f>IF(B45=0,"",RANK(B45,$B$2:$B$56,0))</f>
        <v/>
      </c>
      <c r="B45" s="32">
        <f>SUM(N45,Y45,AA45,AC45,AE45,AG45,AI45,AK45,AM45,AO45,AQ45,AS45,AU45,AW45,AY45,BA45,BC45,BE45,BG45,BI45,BK45,BM45,BO45,BQ45,BS45,BU45,BW45,BY45,CA45)</f>
        <v/>
      </c>
      <c r="C45" s="31" t="inlineStr">
        <is>
          <t>PNB</t>
        </is>
      </c>
      <c r="D45" s="31" t="inlineStr">
        <is>
          <t>Punjab National Bank Ltd</t>
        </is>
      </c>
      <c r="E45" s="31" t="inlineStr">
        <is>
          <t>bank</t>
        </is>
      </c>
      <c r="F45" s="31" t="inlineStr">
        <is>
          <t>banks - public sector</t>
        </is>
      </c>
      <c r="G45" s="31" t="inlineStr">
        <is>
          <t>largecap</t>
        </is>
      </c>
      <c r="H45" s="32" t="n">
        <v>129536.96</v>
      </c>
      <c r="I45" s="32" t="n">
        <v>113</v>
      </c>
      <c r="J45" s="32" t="n">
        <v>0.26</v>
      </c>
      <c r="K45" s="32" t="n">
        <v>35587161</v>
      </c>
      <c r="L45" s="31" t="n">
        <v>27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55.72</v>
      </c>
      <c r="P45" s="32" t="n">
        <v>9.220000000000001</v>
      </c>
      <c r="Q45" s="32" t="inlineStr"/>
      <c r="R45" s="31" t="inlineStr">
        <is>
          <t>Earnings / Momentum Support</t>
        </is>
      </c>
      <c r="S45" s="31" t="inlineStr">
        <is>
          <t>Nifty Bank</t>
        </is>
      </c>
      <c r="T45" s="32" t="n">
        <v>2.96</v>
      </c>
      <c r="U45" s="32" t="n">
        <v>12.41</v>
      </c>
      <c r="V45" s="32" t="n">
        <v>9.18</v>
      </c>
      <c r="W45" s="32" t="n">
        <v>4.02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Fragmented with High ROE</t>
        </is>
      </c>
      <c r="AA45" s="31">
        <f>IF(Z45="Fragmented with Low ROE",-5,IF(Z45="Fragmented with High ROE",10,IF(Z45= "highly cyclical",5,0)))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Consistency)",15,IF(AF45="Shallow Cyclical (2 to 3 years growth)",10,IF(AF45 = "Cyclical in an Uptick",5,IF(AF45 = "Cyclical in an Downtick",-10,0))))</f>
        <v/>
      </c>
      <c r="AH45" s="31" t="inlineStr">
        <is>
          <t>Yes</t>
        </is>
      </c>
      <c r="AI45" s="31">
        <f>IF(AH45="Yes",10,0)</f>
        <v/>
      </c>
      <c r="AJ45" s="31" t="inlineStr">
        <is>
          <t>Yes</t>
        </is>
      </c>
      <c r="AK45" s="31">
        <f>IF(AJ45="Yes",10,0)</f>
        <v/>
      </c>
      <c r="AL45" s="31" t="n"/>
      <c r="AM45" s="31">
        <f>IF(AL45="No",10,0)</f>
        <v/>
      </c>
      <c r="AN45" s="31" t="inlineStr">
        <is>
          <t>Yes</t>
        </is>
      </c>
      <c r="AO45" s="31">
        <f>IF(AN45="Yes",10,0)</f>
        <v/>
      </c>
      <c r="AP45" s="31" t="inlineStr">
        <is>
          <t>No</t>
        </is>
      </c>
      <c r="AQ45" s="31">
        <f>IF(AP45="Yes",10,0)</f>
        <v/>
      </c>
      <c r="AR45" s="31" t="inlineStr">
        <is>
          <t>Yes</t>
        </is>
      </c>
      <c r="AS45" s="31">
        <f>IF(AR45="Yes",5,0)</f>
        <v/>
      </c>
      <c r="AT45" s="31" t="inlineStr">
        <is>
          <t>No</t>
        </is>
      </c>
      <c r="AU45" s="31">
        <f>IF(AT45="No",10,IF(AT45="Yes",-10,0))</f>
        <v/>
      </c>
      <c r="AV45" s="31" t="inlineStr">
        <is>
          <t>No</t>
        </is>
      </c>
      <c r="AW45" s="31">
        <f>IF(AV45="No",10,0)</f>
        <v/>
      </c>
      <c r="AX45" s="31" t="inlineStr">
        <is>
          <t>No</t>
        </is>
      </c>
      <c r="AY45" s="31">
        <f>IF(AX45="No",10,IF(AX45= "Yes CEO Resignation",-5,0))</f>
        <v/>
      </c>
      <c r="AZ45" s="31" t="inlineStr">
        <is>
          <t>No</t>
        </is>
      </c>
      <c r="BA45" s="31">
        <f>IF(AZ45="No",10,IF(AZ45="Yes",-5,0))</f>
        <v/>
      </c>
      <c r="BB45" s="31" t="inlineStr">
        <is>
          <t>No</t>
        </is>
      </c>
      <c r="BC45" s="31">
        <f>IF(BB45="No",5,IF(BB45="Yes",-5,0))</f>
        <v/>
      </c>
      <c r="BD45" s="31" t="inlineStr">
        <is>
          <t>Yes</t>
        </is>
      </c>
      <c r="BE45" s="31">
        <f>IF(BD45="Yes",10,0)</f>
        <v/>
      </c>
      <c r="BF45" s="31" t="inlineStr">
        <is>
          <t>Yes</t>
        </is>
      </c>
      <c r="BG45" s="31">
        <f>IF(BF45="Yes",10,0)</f>
        <v/>
      </c>
      <c r="BH45" s="31" t="inlineStr">
        <is>
          <t>Yes</t>
        </is>
      </c>
      <c r="BI45" s="31">
        <f>IF(BH45="Yes",10,0)</f>
        <v/>
      </c>
      <c r="BJ45" s="31" t="inlineStr">
        <is>
          <t>P/BV less than 2.5x and Growth less than 20%</t>
        </is>
      </c>
      <c r="BK45" s="31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1" t="inlineStr">
        <is>
          <t>0 to 20</t>
        </is>
      </c>
      <c r="BM45" s="31">
        <f>IF(BL45="Above 40",20,IF(BL45="20 to 40",10,IF(BL45="0 to 20",-5,0)))</f>
        <v/>
      </c>
      <c r="BN45" s="31" t="inlineStr">
        <is>
          <t>Between 50 to 75</t>
        </is>
      </c>
      <c r="BO45" s="31">
        <f>IF(BN45="Between 50 to 75",10,IF(BN45="Above 75",0,0))</f>
        <v/>
      </c>
      <c r="BP45" s="31" t="inlineStr">
        <is>
          <t>Stage 3</t>
        </is>
      </c>
      <c r="BQ45" s="31">
        <f>IF(BP45="Stage 2",20,IF(BP45="Stage 1",0,IF(BP45="Stage 3",5,IF(BP45="Stage 4",-5,0))))</f>
        <v/>
      </c>
      <c r="BR45" s="31" t="inlineStr">
        <is>
          <t>Negative Trend</t>
        </is>
      </c>
      <c r="BS45" s="31">
        <f>IF(BR45="Positive Trend",20,IF(BR45="Negative Trend",-10,0))</f>
        <v/>
      </c>
      <c r="BT45" s="31" t="inlineStr">
        <is>
          <t>Uptrend</t>
        </is>
      </c>
      <c r="BU45" s="31">
        <f>IF(BT45="Uptrend",10,IF(BT45="Sideways",5,0))</f>
        <v/>
      </c>
      <c r="BV45" s="31" t="inlineStr">
        <is>
          <t>Uptrend</t>
        </is>
      </c>
      <c r="BW45" s="31">
        <f>IF(BV45="Uptrend",10,IF(BV45="Sideways",5,0))</f>
        <v/>
      </c>
      <c r="BX45" s="31" t="inlineStr">
        <is>
          <t>Close to 52 week high or retracement</t>
        </is>
      </c>
      <c r="BY45" s="31">
        <f>IF(BX45="Overhead supply in last 2 years in last 2 years",-5,IF(BX45="Close to 52 week high or retracement",5,IF(BX45="Blue sky scenario",10,IF(BX45="Long term Downtrend",-10,0))))</f>
        <v/>
      </c>
      <c r="BZ45" s="31" t="inlineStr">
        <is>
          <t>Yes</t>
        </is>
      </c>
      <c r="CA45" s="31">
        <f>IF(BZ45="Yes",10,0)</f>
        <v/>
      </c>
    </row>
    <row r="46">
      <c r="A46" s="31">
        <f>IF(B46=0,"",RANK(B46,$B$2:$B$56,0))</f>
        <v/>
      </c>
      <c r="B46" s="32">
        <f>SUM(N46,Y46,AA46,AC46,AE46,AG46,AI46,AK46,AM46,AO46,AQ46,AS46,AU46,AW46,AY46,BA46,BC46,BE46,BG46,BI46,BK46,BM46,BO46,BQ46,BS46,BU46,BW46,BY46,CA46)</f>
        <v/>
      </c>
      <c r="C46" s="33" t="inlineStr">
        <is>
          <t>CREST</t>
        </is>
      </c>
      <c r="D46" s="33" t="inlineStr">
        <is>
          <t>Crest Ventures Limited</t>
        </is>
      </c>
      <c r="E46" s="31" t="inlineStr">
        <is>
          <t>financials</t>
        </is>
      </c>
      <c r="F46" s="31" t="inlineStr">
        <is>
          <t>finance &amp; investments</t>
        </is>
      </c>
      <c r="G46" s="31" t="inlineStr">
        <is>
          <t>smallcap</t>
        </is>
      </c>
      <c r="H46" s="32" t="n">
        <v>1070.28</v>
      </c>
      <c r="I46" s="32" t="n">
        <v>393.95</v>
      </c>
      <c r="J46" s="32" t="n">
        <v>4.72</v>
      </c>
      <c r="K46" s="32" t="n">
        <v>15908</v>
      </c>
      <c r="L46" s="31" t="n">
        <v>15</v>
      </c>
      <c r="M46" s="31" t="inlineStr">
        <is>
          <t>Underperforming</t>
        </is>
      </c>
      <c r="N46" s="32">
        <f>IF(M46="Underperforming",-5,IF(L46&gt;=95,15,IF(L46&gt;=90,10,IF(L46&gt;=80,5,0))))</f>
        <v/>
      </c>
      <c r="O46" s="32" t="n">
        <v>52.33</v>
      </c>
      <c r="P46" s="32" t="n">
        <v>19.43</v>
      </c>
      <c r="Q46" s="32" t="inlineStr"/>
      <c r="R46" s="31" t="inlineStr">
        <is>
          <t>Earnings / Momentum Support</t>
        </is>
      </c>
      <c r="S46" s="31" t="inlineStr">
        <is>
          <t>Nifty Bank</t>
        </is>
      </c>
      <c r="T46" s="32" t="n">
        <v>2.96</v>
      </c>
      <c r="U46" s="32" t="n">
        <v>2.9</v>
      </c>
      <c r="V46" s="32" t="n">
        <v>-0.06</v>
      </c>
      <c r="W46" s="32" t="n">
        <v>1.2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Fragmented with High ROE</t>
        </is>
      </c>
      <c r="AA46" s="31">
        <f>IF(Z46="Fragmented with Low ROE",-5,IF(Z46="Fragmented with High ROE",10,IF(Z46= "highly cyclical",5,0)))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Consistency)",15,IF(AF46="Shallow Cyclical (2 to 3 years growth)",10,IF(AF46 = "Cyclical in an Uptick",5,IF(AF46 = "Cyclical in an Downtick",-10,0))))</f>
        <v/>
      </c>
      <c r="AH46" s="31" t="inlineStr">
        <is>
          <t>Yes</t>
        </is>
      </c>
      <c r="AI46" s="31">
        <f>IF(AH46="Yes",10,0)</f>
        <v/>
      </c>
      <c r="AJ46" s="31" t="inlineStr">
        <is>
          <t>Yes</t>
        </is>
      </c>
      <c r="AK46" s="31">
        <f>IF(AJ46="Yes",10,0)</f>
        <v/>
      </c>
      <c r="AL46" s="31" t="n"/>
      <c r="AM46" s="31">
        <f>IF(AL46="No",10,0)</f>
        <v/>
      </c>
      <c r="AN46" s="31" t="inlineStr">
        <is>
          <t>Yes</t>
        </is>
      </c>
      <c r="AO46" s="31">
        <f>IF(AN46="Yes",10,0)</f>
        <v/>
      </c>
      <c r="AP46" s="31" t="inlineStr">
        <is>
          <t>No</t>
        </is>
      </c>
      <c r="AQ46" s="31">
        <f>IF(AP46="Yes",10,0)</f>
        <v/>
      </c>
      <c r="AR46" s="31" t="inlineStr">
        <is>
          <t>Yes</t>
        </is>
      </c>
      <c r="AS46" s="31">
        <f>IF(AR46="Yes",5,0)</f>
        <v/>
      </c>
      <c r="AT46" s="31" t="inlineStr">
        <is>
          <t>No</t>
        </is>
      </c>
      <c r="AU46" s="31">
        <f>IF(AT46="No",10,IF(AT46="Yes",-10,0))</f>
        <v/>
      </c>
      <c r="AV46" s="31" t="inlineStr">
        <is>
          <t>No</t>
        </is>
      </c>
      <c r="AW46" s="31">
        <f>IF(AV46="No",10,0)</f>
        <v/>
      </c>
      <c r="AX46" s="31" t="inlineStr">
        <is>
          <t>No</t>
        </is>
      </c>
      <c r="AY46" s="31">
        <f>IF(AX46="No",10,IF(AX46= "Yes CEO Resignation",-5,0))</f>
        <v/>
      </c>
      <c r="AZ46" s="31" t="inlineStr">
        <is>
          <t>No</t>
        </is>
      </c>
      <c r="BA46" s="31">
        <f>IF(AZ46="No",10,IF(AZ46="Yes",-5,0))</f>
        <v/>
      </c>
      <c r="BB46" s="31" t="inlineStr">
        <is>
          <t>No</t>
        </is>
      </c>
      <c r="BC46" s="31">
        <f>IF(BB46="No",5,IF(BB46="Yes",-5,0))</f>
        <v/>
      </c>
      <c r="BD46" s="31" t="inlineStr">
        <is>
          <t>Yes</t>
        </is>
      </c>
      <c r="BE46" s="31">
        <f>IF(BD46="Yes",10,0)</f>
        <v/>
      </c>
      <c r="BF46" s="31" t="inlineStr">
        <is>
          <t>Yes</t>
        </is>
      </c>
      <c r="BG46" s="31">
        <f>IF(BF46="Yes",10,0)</f>
        <v/>
      </c>
      <c r="BH46" s="31" t="inlineStr">
        <is>
          <t>Yes</t>
        </is>
      </c>
      <c r="BI46" s="31">
        <f>IF(BH46="Yes",10,0)</f>
        <v/>
      </c>
      <c r="BJ46" s="31" t="inlineStr">
        <is>
          <t>P/BV less than 2.5x and Growth less than 20%</t>
        </is>
      </c>
      <c r="BK46" s="31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1" t="inlineStr">
        <is>
          <t>0 to 20</t>
        </is>
      </c>
      <c r="BM46" s="31">
        <f>IF(BL46="Above 40",20,IF(BL46="20 to 40",10,IF(BL46="0 to 20",-5,0)))</f>
        <v/>
      </c>
      <c r="BN46" s="31" t="inlineStr">
        <is>
          <t>Between 50 to 75</t>
        </is>
      </c>
      <c r="BO46" s="31">
        <f>IF(BN46="Between 50 to 75",10,IF(BN46="Above 75",0,0))</f>
        <v/>
      </c>
      <c r="BP46" s="31" t="inlineStr">
        <is>
          <t>Stage 3</t>
        </is>
      </c>
      <c r="BQ46" s="31">
        <f>IF(BP46="Stage 2",20,IF(BP46="Stage 1",0,IF(BP46="Stage 3",5,IF(BP46="Stage 4",-5,0))))</f>
        <v/>
      </c>
      <c r="BR46" s="31" t="inlineStr">
        <is>
          <t>Negative Trend</t>
        </is>
      </c>
      <c r="BS46" s="31">
        <f>IF(BR46="Positive Trend",20,IF(BR46="Negative Trend",-10,0))</f>
        <v/>
      </c>
      <c r="BT46" s="31" t="inlineStr">
        <is>
          <t>Uptrend</t>
        </is>
      </c>
      <c r="BU46" s="31">
        <f>IF(BT46="Uptrend",10,IF(BT46="Sideways",5,0))</f>
        <v/>
      </c>
      <c r="BV46" s="31" t="inlineStr">
        <is>
          <t>Uptrend</t>
        </is>
      </c>
      <c r="BW46" s="31">
        <f>IF(BV46="Uptrend",10,IF(BV46="Sideways",5,0))</f>
        <v/>
      </c>
      <c r="BX46" s="31" t="inlineStr">
        <is>
          <t>Close to 52 week high or retracement</t>
        </is>
      </c>
      <c r="BY46" s="31">
        <f>IF(BX46="Overhead supply in last 2 years in last 2 years",-5,IF(BX46="Close to 52 week high or retracement",5,IF(BX46="Blue sky scenario",10,IF(BX46="Long term Downtrend",-10,0))))</f>
        <v/>
      </c>
      <c r="BZ46" s="31" t="inlineStr">
        <is>
          <t>Yes</t>
        </is>
      </c>
      <c r="CA46" s="31">
        <f>IF(BZ46="Yes",10,0)</f>
        <v/>
      </c>
    </row>
    <row r="47">
      <c r="A47" s="31">
        <f>IF(B47=0,"",RANK(B47,$B$2:$B$56,0))</f>
        <v/>
      </c>
      <c r="B47" s="32">
        <f>SUM(N47,Y47,AA47,AC47,AE47,AG47,AI47,AK47,AM47,AO47,AQ47,AS47,AU47,AW47,AY47,BA47,BC47,BE47,BG47,BI47,BK47,BM47,BO47,BQ47,BS47,BU47,BW47,BY47,CA47)</f>
        <v/>
      </c>
      <c r="C47" s="33" t="inlineStr">
        <is>
          <t>RECLTD</t>
        </is>
      </c>
      <c r="D47" s="33" t="inlineStr">
        <is>
          <t>REC Ltd</t>
        </is>
      </c>
      <c r="E47" s="31" t="inlineStr">
        <is>
          <t>financials</t>
        </is>
      </c>
      <c r="F47" s="31" t="inlineStr">
        <is>
          <t>finance - term-lending institutions</t>
        </is>
      </c>
      <c r="G47" s="31" t="inlineStr">
        <is>
          <t>largecap</t>
        </is>
      </c>
      <c r="H47" s="32" t="n">
        <v>98206.09</v>
      </c>
      <c r="I47" s="32" t="n">
        <v>368.1</v>
      </c>
      <c r="J47" s="32" t="n">
        <v>-1.3</v>
      </c>
      <c r="K47" s="32" t="n">
        <v>10314512</v>
      </c>
      <c r="L47" s="31" t="n">
        <v>15</v>
      </c>
      <c r="M47" s="31" t="inlineStr">
        <is>
          <t>Underperforming</t>
        </is>
      </c>
      <c r="N47" s="32">
        <f>IF(M47="Underperforming",-5,IF(L47&gt;=95,15,IF(L47&gt;=90,10,IF(L47&gt;=80,5,0))))</f>
        <v/>
      </c>
      <c r="O47" s="32" t="n">
        <v>59.56</v>
      </c>
      <c r="P47" s="32" t="n">
        <v>8.44</v>
      </c>
      <c r="Q47" s="32" t="inlineStr"/>
      <c r="R47" s="31" t="inlineStr">
        <is>
          <t>Earnings / Momentum Support</t>
        </is>
      </c>
      <c r="S47" s="31" t="inlineStr">
        <is>
          <t>Nifty Bank</t>
        </is>
      </c>
      <c r="T47" s="32" t="n">
        <v>2.96</v>
      </c>
      <c r="U47" s="32" t="n">
        <v>1.1</v>
      </c>
      <c r="V47" s="32" t="n">
        <v>-1.81</v>
      </c>
      <c r="W47" s="32" t="n">
        <v>1.57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Fragmented with High ROE</t>
        </is>
      </c>
      <c r="AA47" s="31">
        <f>IF(Z47="Fragmented with Low ROE",-5,IF(Z47="Fragmented with High ROE",10,IF(Z47= "highly cyclical",5,0)))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Consistency)",15,IF(AF47="Shallow Cyclical (2 to 3 years growth)",10,IF(AF47 = "Cyclical in an Uptick",5,IF(AF47 = "Cyclical in an Downtick",-10,0))))</f>
        <v/>
      </c>
      <c r="AH47" s="31" t="inlineStr">
        <is>
          <t>Yes</t>
        </is>
      </c>
      <c r="AI47" s="31">
        <f>IF(AH47="Yes",10,0)</f>
        <v/>
      </c>
      <c r="AJ47" s="31" t="inlineStr">
        <is>
          <t>Yes</t>
        </is>
      </c>
      <c r="AK47" s="31">
        <f>IF(AJ47="Yes",10,0)</f>
        <v/>
      </c>
      <c r="AL47" s="31" t="n"/>
      <c r="AM47" s="31">
        <f>IF(AL47="No",10,0)</f>
        <v/>
      </c>
      <c r="AN47" s="31" t="inlineStr">
        <is>
          <t>Yes</t>
        </is>
      </c>
      <c r="AO47" s="31">
        <f>IF(AN47="Yes",10,0)</f>
        <v/>
      </c>
      <c r="AP47" s="31" t="inlineStr">
        <is>
          <t>No</t>
        </is>
      </c>
      <c r="AQ47" s="31">
        <f>IF(AP47="Yes",10,0)</f>
        <v/>
      </c>
      <c r="AR47" s="31" t="inlineStr">
        <is>
          <t>Yes</t>
        </is>
      </c>
      <c r="AS47" s="31">
        <f>IF(AR47="Yes",5,0)</f>
        <v/>
      </c>
      <c r="AT47" s="31" t="inlineStr">
        <is>
          <t>No</t>
        </is>
      </c>
      <c r="AU47" s="31">
        <f>IF(AT47="No",10,IF(AT47="Yes",-10,0))</f>
        <v/>
      </c>
      <c r="AV47" s="31" t="inlineStr">
        <is>
          <t>No</t>
        </is>
      </c>
      <c r="AW47" s="31">
        <f>IF(AV47="No",10,0)</f>
        <v/>
      </c>
      <c r="AX47" s="31" t="inlineStr">
        <is>
          <t>No</t>
        </is>
      </c>
      <c r="AY47" s="31">
        <f>IF(AX47="No",10,IF(AX47= "Yes CEO Resignation",-5,0))</f>
        <v/>
      </c>
      <c r="AZ47" s="31" t="inlineStr">
        <is>
          <t>No</t>
        </is>
      </c>
      <c r="BA47" s="31">
        <f>IF(AZ47="No",10,IF(AZ47="Yes",-5,0))</f>
        <v/>
      </c>
      <c r="BB47" s="31" t="inlineStr">
        <is>
          <t>No</t>
        </is>
      </c>
      <c r="BC47" s="31">
        <f>IF(BB47="No",5,IF(BB47="Yes",-5,0))</f>
        <v/>
      </c>
      <c r="BD47" s="31" t="inlineStr">
        <is>
          <t>Yes</t>
        </is>
      </c>
      <c r="BE47" s="31">
        <f>IF(BD47="Yes",10,0)</f>
        <v/>
      </c>
      <c r="BF47" s="31" t="inlineStr">
        <is>
          <t>Yes</t>
        </is>
      </c>
      <c r="BG47" s="31">
        <f>IF(BF47="Yes",10,0)</f>
        <v/>
      </c>
      <c r="BH47" s="31" t="inlineStr">
        <is>
          <t>Yes</t>
        </is>
      </c>
      <c r="BI47" s="31">
        <f>IF(BH47="Yes",10,0)</f>
        <v/>
      </c>
      <c r="BJ47" s="31" t="inlineStr">
        <is>
          <t>P/BV less than 2.5x and Growth less than 20%</t>
        </is>
      </c>
      <c r="BK47" s="31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1" t="inlineStr">
        <is>
          <t>0 to 20</t>
        </is>
      </c>
      <c r="BM47" s="31">
        <f>IF(BL47="Above 40",20,IF(BL47="20 to 40",10,IF(BL47="0 to 20",-5,0)))</f>
        <v/>
      </c>
      <c r="BN47" s="31" t="inlineStr">
        <is>
          <t>Between 50 to 75</t>
        </is>
      </c>
      <c r="BO47" s="31">
        <f>IF(BN47="Between 50 to 75",10,IF(BN47="Above 75",0,0))</f>
        <v/>
      </c>
      <c r="BP47" s="31" t="inlineStr">
        <is>
          <t>Stage 3</t>
        </is>
      </c>
      <c r="BQ47" s="31">
        <f>IF(BP47="Stage 2",20,IF(BP47="Stage 1",0,IF(BP47="Stage 3",5,IF(BP47="Stage 4",-5,0))))</f>
        <v/>
      </c>
      <c r="BR47" s="31" t="inlineStr">
        <is>
          <t>Negative Trend</t>
        </is>
      </c>
      <c r="BS47" s="31">
        <f>IF(BR47="Positive Trend",20,IF(BR47="Negative Trend",-10,0))</f>
        <v/>
      </c>
      <c r="BT47" s="31" t="inlineStr">
        <is>
          <t>Uptrend</t>
        </is>
      </c>
      <c r="BU47" s="31">
        <f>IF(BT47="Uptrend",10,IF(BT47="Sideways",5,0))</f>
        <v/>
      </c>
      <c r="BV47" s="31" t="inlineStr">
        <is>
          <t>Uptrend</t>
        </is>
      </c>
      <c r="BW47" s="31">
        <f>IF(BV47="Uptrend",10,IF(BV47="Sideways",5,0))</f>
        <v/>
      </c>
      <c r="BX47" s="31" t="inlineStr">
        <is>
          <t>Close to 52 week high or retracement</t>
        </is>
      </c>
      <c r="BY47" s="31">
        <f>IF(BX47="Overhead supply in last 2 years in last 2 years",-5,IF(BX47="Close to 52 week high or retracement",5,IF(BX47="Blue sky scenario",10,IF(BX47="Long term Downtrend",-10,0))))</f>
        <v/>
      </c>
      <c r="BZ47" s="31" t="inlineStr">
        <is>
          <t>Yes</t>
        </is>
      </c>
      <c r="CA47" s="31">
        <f>IF(BZ47="Yes",10,0)</f>
        <v/>
      </c>
    </row>
    <row r="48">
      <c r="A48" s="31">
        <f>IF(B48=0,"",RANK(B48,$B$2:$B$56,0))</f>
        <v/>
      </c>
      <c r="B48" s="32">
        <f>SUM(N48,Y48,AA48,AC48,AE48,AG48,AI48,AK48,AM48,AO48,AQ48,AS48,AU48,AW48,AY48,BA48,BC48,BE48,BG48,BI48,BK48,BM48,BO48,BQ48,BS48,BU48,BW48,BY48,CA48)</f>
        <v/>
      </c>
      <c r="C48" s="31" t="inlineStr">
        <is>
          <t>BAJAJFINSV</t>
        </is>
      </c>
      <c r="D48" s="31" t="inlineStr">
        <is>
          <t>Bajaj Finserv Limited</t>
        </is>
      </c>
      <c r="E48" s="31" t="inlineStr">
        <is>
          <t>financials</t>
        </is>
      </c>
      <c r="F48" s="31" t="inlineStr">
        <is>
          <t>finance &amp; investments</t>
        </is>
      </c>
      <c r="G48" s="31" t="inlineStr">
        <is>
          <t>largecap</t>
        </is>
      </c>
      <c r="H48" s="32" t="n">
        <v>324767.6</v>
      </c>
      <c r="I48" s="32" t="n">
        <v>2096</v>
      </c>
      <c r="J48" s="32" t="n">
        <v>3.3</v>
      </c>
      <c r="K48" s="32" t="n">
        <v>8499184</v>
      </c>
      <c r="L48" s="31" t="n">
        <v>32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61.31</v>
      </c>
      <c r="P48" s="32" t="n">
        <v>14.9</v>
      </c>
      <c r="Q48" s="32" t="inlineStr"/>
      <c r="R48" s="31" t="inlineStr">
        <is>
          <t>Earnings / Momentum Support</t>
        </is>
      </c>
      <c r="S48" s="31" t="inlineStr">
        <is>
          <t>Nifty Bank</t>
        </is>
      </c>
      <c r="T48" s="32" t="n">
        <v>2.96</v>
      </c>
      <c r="U48" s="32" t="n">
        <v>5.98</v>
      </c>
      <c r="V48" s="32" t="n">
        <v>2.93</v>
      </c>
      <c r="W48" s="32" t="n">
        <v>4.88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Fragmented with High ROE</t>
        </is>
      </c>
      <c r="AA48" s="31">
        <f>IF(Z48="Fragmented with Low ROE",-5,IF(Z48="Fragmented with High ROE",10,IF(Z48= "highly cyclical",5,0)))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Consistency)",15,IF(AF48="Shallow Cyclical (2 to 3 years growth)",10,IF(AF48 = "Cyclical in an Uptick",5,IF(AF48 = "Cyclical in an Downtick",-10,0))))</f>
        <v/>
      </c>
      <c r="AH48" s="31" t="inlineStr">
        <is>
          <t>Yes</t>
        </is>
      </c>
      <c r="AI48" s="31">
        <f>IF(AH48="Yes",10,0)</f>
        <v/>
      </c>
      <c r="AJ48" s="31" t="inlineStr">
        <is>
          <t>Yes</t>
        </is>
      </c>
      <c r="AK48" s="31">
        <f>IF(AJ48="Yes",10,0)</f>
        <v/>
      </c>
      <c r="AL48" s="31" t="n"/>
      <c r="AM48" s="31">
        <f>IF(AL48="No",10,0)</f>
        <v/>
      </c>
      <c r="AN48" s="31" t="inlineStr">
        <is>
          <t>Yes</t>
        </is>
      </c>
      <c r="AO48" s="31">
        <f>IF(AN48="Yes",10,0)</f>
        <v/>
      </c>
      <c r="AP48" s="31" t="inlineStr">
        <is>
          <t>No</t>
        </is>
      </c>
      <c r="AQ48" s="31">
        <f>IF(AP48="Yes",10,0)</f>
        <v/>
      </c>
      <c r="AR48" s="31" t="inlineStr">
        <is>
          <t>Yes</t>
        </is>
      </c>
      <c r="AS48" s="31">
        <f>IF(AR48="Yes",5,0)</f>
        <v/>
      </c>
      <c r="AT48" s="31" t="inlineStr">
        <is>
          <t>No</t>
        </is>
      </c>
      <c r="AU48" s="31">
        <f>IF(AT48="No",10,IF(AT48="Yes",-10,0))</f>
        <v/>
      </c>
      <c r="AV48" s="31" t="inlineStr">
        <is>
          <t>No</t>
        </is>
      </c>
      <c r="AW48" s="31">
        <f>IF(AV48="No",10,0)</f>
        <v/>
      </c>
      <c r="AX48" s="31" t="inlineStr">
        <is>
          <t>No</t>
        </is>
      </c>
      <c r="AY48" s="31">
        <f>IF(AX48="No",10,IF(AX48= "Yes CEO Resignation",-5,0))</f>
        <v/>
      </c>
      <c r="AZ48" s="31" t="inlineStr">
        <is>
          <t>No</t>
        </is>
      </c>
      <c r="BA48" s="31">
        <f>IF(AZ48="No",10,IF(AZ48="Yes",-5,0))</f>
        <v/>
      </c>
      <c r="BB48" s="31" t="inlineStr">
        <is>
          <t>No</t>
        </is>
      </c>
      <c r="BC48" s="31">
        <f>IF(BB48="No",5,IF(BB48="Yes",-5,0))</f>
        <v/>
      </c>
      <c r="BD48" s="31" t="inlineStr">
        <is>
          <t>Yes</t>
        </is>
      </c>
      <c r="BE48" s="31">
        <f>IF(BD48="Yes",10,0)</f>
        <v/>
      </c>
      <c r="BF48" s="31" t="inlineStr">
        <is>
          <t>Yes</t>
        </is>
      </c>
      <c r="BG48" s="31">
        <f>IF(BF48="Yes",10,0)</f>
        <v/>
      </c>
      <c r="BH48" s="31" t="inlineStr">
        <is>
          <t>Yes</t>
        </is>
      </c>
      <c r="BI48" s="31">
        <f>IF(BH48="Yes",10,0)</f>
        <v/>
      </c>
      <c r="BJ48" s="31" t="inlineStr">
        <is>
          <t>P/BV between 2.5x to 5x and Growth less than 20%</t>
        </is>
      </c>
      <c r="BK48" s="31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1" t="inlineStr">
        <is>
          <t>0 to 20</t>
        </is>
      </c>
      <c r="BM48" s="31">
        <f>IF(BL48="Above 40",20,IF(BL48="20 to 40",10,IF(BL48="0 to 20",-5,0)))</f>
        <v/>
      </c>
      <c r="BN48" s="31" t="inlineStr">
        <is>
          <t>Between 50 to 75</t>
        </is>
      </c>
      <c r="BO48" s="31">
        <f>IF(BN48="Between 50 to 75",10,IF(BN48="Above 75",0,0))</f>
        <v/>
      </c>
      <c r="BP48" s="31" t="inlineStr">
        <is>
          <t>Stage 3</t>
        </is>
      </c>
      <c r="BQ48" s="31">
        <f>IF(BP48="Stage 2",20,IF(BP48="Stage 1",0,IF(BP48="Stage 3",5,IF(BP48="Stage 4",-5,0))))</f>
        <v/>
      </c>
      <c r="BR48" s="31" t="inlineStr">
        <is>
          <t>Negative Trend</t>
        </is>
      </c>
      <c r="BS48" s="31">
        <f>IF(BR48="Positive Trend",20,IF(BR48="Negative Trend",-10,0))</f>
        <v/>
      </c>
      <c r="BT48" s="31" t="inlineStr">
        <is>
          <t>Uptrend</t>
        </is>
      </c>
      <c r="BU48" s="31">
        <f>IF(BT48="Uptrend",10,IF(BT48="Sideways",5,0))</f>
        <v/>
      </c>
      <c r="BV48" s="31" t="inlineStr">
        <is>
          <t>Uptrend</t>
        </is>
      </c>
      <c r="BW48" s="31">
        <f>IF(BV48="Uptrend",10,IF(BV48="Sideways",5,0))</f>
        <v/>
      </c>
      <c r="BX48" s="31" t="inlineStr">
        <is>
          <t>Close to 52 week high or retracement</t>
        </is>
      </c>
      <c r="BY48" s="31">
        <f>IF(BX48="Overhead supply in last 2 years in last 2 years",-5,IF(BX48="Close to 52 week high or retracement",5,IF(BX48="Blue sky scenario",10,IF(BX48="Long term Downtrend",-10,0))))</f>
        <v/>
      </c>
      <c r="BZ48" s="31" t="inlineStr">
        <is>
          <t>Yes</t>
        </is>
      </c>
      <c r="CA48" s="31">
        <f>IF(BZ48="Yes",10,0)</f>
        <v/>
      </c>
    </row>
    <row r="49">
      <c r="A49" s="31">
        <f>IF(B49=0,"",RANK(B49,$B$2:$B$56,0))</f>
        <v/>
      </c>
      <c r="B49" s="32">
        <f>SUM(N49,Y49,AA49,AC49,AE49,AG49,AI49,AK49,AM49,AO49,AQ49,AS49,AU49,AW49,AY49,BA49,BC49,BE49,BG49,BI49,BK49,BM49,BO49,BQ49,BS49,BU49,BW49,BY49,CA49)</f>
        <v/>
      </c>
      <c r="C49" s="31" t="inlineStr">
        <is>
          <t>CHOLAFIN</t>
        </is>
      </c>
      <c r="D49" s="31" t="inlineStr">
        <is>
          <t>Cholamandalam Investment And Finance Company Limited</t>
        </is>
      </c>
      <c r="E49" s="31" t="inlineStr">
        <is>
          <t>financials</t>
        </is>
      </c>
      <c r="F49" s="31" t="inlineStr">
        <is>
          <t>finance &amp; investments</t>
        </is>
      </c>
      <c r="G49" s="31" t="inlineStr">
        <is>
          <t>largecap</t>
        </is>
      </c>
      <c r="H49" s="32" t="n">
        <v>157720</v>
      </c>
      <c r="I49" s="32" t="n">
        <v>1888.2</v>
      </c>
      <c r="J49" s="32" t="n">
        <v>2.07</v>
      </c>
      <c r="K49" s="32" t="n">
        <v>6750207</v>
      </c>
      <c r="L49" s="31" t="n">
        <v>55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61.94</v>
      </c>
      <c r="P49" s="32" t="n">
        <v>14.87</v>
      </c>
      <c r="Q49" s="32" t="inlineStr"/>
      <c r="R49" s="31" t="inlineStr">
        <is>
          <t>Earnings / Momentum Support</t>
        </is>
      </c>
      <c r="S49" s="31" t="inlineStr">
        <is>
          <t>Nifty Bank</t>
        </is>
      </c>
      <c r="T49" s="32" t="n">
        <v>2.96</v>
      </c>
      <c r="U49" s="32" t="n">
        <v>30.19</v>
      </c>
      <c r="V49" s="32" t="n">
        <v>26.45</v>
      </c>
      <c r="W49" s="32" t="n">
        <v>9.640000000000001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Fragmented with High ROE</t>
        </is>
      </c>
      <c r="AA49" s="31">
        <f>IF(Z49="Fragmented with Low ROE",-5,IF(Z49="Fragmented with High ROE",10,IF(Z49= "highly cyclical",5,0)))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Consistency)",15,IF(AF49="Shallow Cyclical (2 to 3 years growth)",10,IF(AF49 = "Cyclical in an Uptick",5,IF(AF49 = "Cyclical in an Downtick",-10,0))))</f>
        <v/>
      </c>
      <c r="AH49" s="31" t="inlineStr">
        <is>
          <t>Yes</t>
        </is>
      </c>
      <c r="AI49" s="31">
        <f>IF(AH49="Yes",10,0)</f>
        <v/>
      </c>
      <c r="AJ49" s="31" t="inlineStr">
        <is>
          <t>Yes</t>
        </is>
      </c>
      <c r="AK49" s="31">
        <f>IF(AJ49="Yes",10,0)</f>
        <v/>
      </c>
      <c r="AL49" s="31" t="n"/>
      <c r="AM49" s="31">
        <f>IF(AL49="No",10,0)</f>
        <v/>
      </c>
      <c r="AN49" s="31" t="inlineStr">
        <is>
          <t>Yes</t>
        </is>
      </c>
      <c r="AO49" s="31">
        <f>IF(AN49="Yes",10,0)</f>
        <v/>
      </c>
      <c r="AP49" s="31" t="inlineStr">
        <is>
          <t>No</t>
        </is>
      </c>
      <c r="AQ49" s="31">
        <f>IF(AP49="Yes",10,0)</f>
        <v/>
      </c>
      <c r="AR49" s="31" t="inlineStr">
        <is>
          <t>Yes</t>
        </is>
      </c>
      <c r="AS49" s="31">
        <f>IF(AR49="Yes",5,0)</f>
        <v/>
      </c>
      <c r="AT49" s="31" t="inlineStr">
        <is>
          <t>No</t>
        </is>
      </c>
      <c r="AU49" s="31">
        <f>IF(AT49="No",10,IF(AT49="Yes",-10,0))</f>
        <v/>
      </c>
      <c r="AV49" s="31" t="inlineStr">
        <is>
          <t>No</t>
        </is>
      </c>
      <c r="AW49" s="31">
        <f>IF(AV49="No",10,0)</f>
        <v/>
      </c>
      <c r="AX49" s="31" t="inlineStr">
        <is>
          <t>No</t>
        </is>
      </c>
      <c r="AY49" s="31">
        <f>IF(AX49="No",10,IF(AX49= "Yes CEO Resignation",-5,0))</f>
        <v/>
      </c>
      <c r="AZ49" s="31" t="inlineStr">
        <is>
          <t>No</t>
        </is>
      </c>
      <c r="BA49" s="31">
        <f>IF(AZ49="No",10,IF(AZ49="Yes",-5,0))</f>
        <v/>
      </c>
      <c r="BB49" s="31" t="inlineStr">
        <is>
          <t>No</t>
        </is>
      </c>
      <c r="BC49" s="31">
        <f>IF(BB49="No",5,IF(BB49="Yes",-5,0))</f>
        <v/>
      </c>
      <c r="BD49" s="31" t="inlineStr">
        <is>
          <t>Yes</t>
        </is>
      </c>
      <c r="BE49" s="31">
        <f>IF(BD49="Yes",10,0)</f>
        <v/>
      </c>
      <c r="BF49" s="31" t="inlineStr">
        <is>
          <t>Yes</t>
        </is>
      </c>
      <c r="BG49" s="31">
        <f>IF(BF49="Yes",10,0)</f>
        <v/>
      </c>
      <c r="BH49" s="31" t="inlineStr">
        <is>
          <t>Yes</t>
        </is>
      </c>
      <c r="BI49" s="31">
        <f>IF(BH49="Yes",10,0)</f>
        <v/>
      </c>
      <c r="BJ49" s="31" t="inlineStr">
        <is>
          <t>P/BV above 5x</t>
        </is>
      </c>
      <c r="BK49" s="31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1" t="inlineStr">
        <is>
          <t>0 to 20</t>
        </is>
      </c>
      <c r="BM49" s="31">
        <f>IF(BL49="Above 40",20,IF(BL49="20 to 40",10,IF(BL49="0 to 20",-5,0)))</f>
        <v/>
      </c>
      <c r="BN49" s="31" t="inlineStr">
        <is>
          <t>Between 50 to 75</t>
        </is>
      </c>
      <c r="BO49" s="31">
        <f>IF(BN49="Between 50 to 75",10,IF(BN49="Above 75",0,0))</f>
        <v/>
      </c>
      <c r="BP49" s="31" t="inlineStr">
        <is>
          <t>Stage 3</t>
        </is>
      </c>
      <c r="BQ49" s="31">
        <f>IF(BP49="Stage 2",20,IF(BP49="Stage 1",0,IF(BP49="Stage 3",5,IF(BP49="Stage 4",-5,0))))</f>
        <v/>
      </c>
      <c r="BR49" s="31" t="inlineStr">
        <is>
          <t>Negative Trend</t>
        </is>
      </c>
      <c r="BS49" s="31">
        <f>IF(BR49="Positive Trend",20,IF(BR49="Negative Trend",-10,0))</f>
        <v/>
      </c>
      <c r="BT49" s="31" t="inlineStr">
        <is>
          <t>Uptrend</t>
        </is>
      </c>
      <c r="BU49" s="31">
        <f>IF(BT49="Uptrend",10,IF(BT49="Sideways",5,0))</f>
        <v/>
      </c>
      <c r="BV49" s="31" t="inlineStr">
        <is>
          <t>Uptrend</t>
        </is>
      </c>
      <c r="BW49" s="31">
        <f>IF(BV49="Uptrend",10,IF(BV49="Sideways",5,0))</f>
        <v/>
      </c>
      <c r="BX49" s="31" t="inlineStr">
        <is>
          <t>Close to 52 week high or retracement</t>
        </is>
      </c>
      <c r="BY49" s="31">
        <f>IF(BX49="Overhead supply in last 2 years in last 2 years",-5,IF(BX49="Close to 52 week high or retracement",5,IF(BX49="Blue sky scenario",10,IF(BX49="Long term Downtrend",-10,0))))</f>
        <v/>
      </c>
      <c r="BZ49" s="31" t="inlineStr">
        <is>
          <t>Yes</t>
        </is>
      </c>
      <c r="CA49" s="31">
        <f>IF(BZ49="Yes",10,0)</f>
        <v/>
      </c>
    </row>
    <row r="50">
      <c r="A50" s="31">
        <f>IF(B50=0,"",RANK(B50,$B$2:$B$56,0))</f>
        <v/>
      </c>
      <c r="B50" s="32">
        <f>SUM(N50,Y50,AA50,AC50,AE50,AG50,AI50,AK50,AM50,AO50,AQ50,AS50,AU50,AW50,AY50,BA50,BC50,BE50,BG50,BI50,BK50,BM50,BO50,BQ50,BS50,BU50,BW50,BY50,CA50)</f>
        <v/>
      </c>
      <c r="C50" s="31" t="inlineStr">
        <is>
          <t>SBILIFE</t>
        </is>
      </c>
      <c r="D50" s="31" t="inlineStr">
        <is>
          <t>SBI Life Insurance Company Ltd</t>
        </is>
      </c>
      <c r="E50" s="31" t="inlineStr">
        <is>
          <t>financials</t>
        </is>
      </c>
      <c r="F50" s="31" t="inlineStr">
        <is>
          <t>finance &amp; investments</t>
        </is>
      </c>
      <c r="G50" s="31" t="inlineStr">
        <is>
          <t>largecap</t>
        </is>
      </c>
      <c r="H50" s="32" t="n">
        <v>188809.87</v>
      </c>
      <c r="I50" s="32" t="n">
        <v>1915</v>
      </c>
      <c r="J50" s="32" t="n">
        <v>1.75</v>
      </c>
      <c r="K50" s="32" t="n">
        <v>2597290</v>
      </c>
      <c r="L50" s="31" t="n">
        <v>16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51.84</v>
      </c>
      <c r="P50" s="32" t="n">
        <v>9.529999999999999</v>
      </c>
      <c r="Q50" s="32" t="inlineStr"/>
      <c r="R50" s="31" t="inlineStr">
        <is>
          <t>Earnings / Momentum Support</t>
        </is>
      </c>
      <c r="S50" s="31" t="inlineStr">
        <is>
          <t>Nifty Bank</t>
        </is>
      </c>
      <c r="T50" s="32" t="n">
        <v>2.96</v>
      </c>
      <c r="U50" s="32" t="n">
        <v>4.92</v>
      </c>
      <c r="V50" s="32" t="n">
        <v>1.9</v>
      </c>
      <c r="W50" s="32" t="n">
        <v>1.8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Fragmented with High ROE</t>
        </is>
      </c>
      <c r="AA50" s="31">
        <f>IF(Z50="Fragmented with Low ROE",-5,IF(Z50="Fragmented with High ROE",10,IF(Z50= "highly cyclical",5,0)))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Consistency)",15,IF(AF50="Shallow Cyclical (2 to 3 years growth)",10,IF(AF50 = "Cyclical in an Uptick",5,IF(AF50 = "Cyclical in an Downtick",-10,0))))</f>
        <v/>
      </c>
      <c r="AH50" s="31" t="inlineStr">
        <is>
          <t>Yes</t>
        </is>
      </c>
      <c r="AI50" s="31">
        <f>IF(AH50="Yes",10,0)</f>
        <v/>
      </c>
      <c r="AJ50" s="31" t="inlineStr">
        <is>
          <t>Yes</t>
        </is>
      </c>
      <c r="AK50" s="31">
        <f>IF(AJ50="Yes",10,0)</f>
        <v/>
      </c>
      <c r="AL50" s="31" t="n"/>
      <c r="AM50" s="31">
        <f>IF(AL50="No",10,0)</f>
        <v/>
      </c>
      <c r="AN50" s="31" t="inlineStr">
        <is>
          <t>Yes</t>
        </is>
      </c>
      <c r="AO50" s="31">
        <f>IF(AN50="Yes",10,0)</f>
        <v/>
      </c>
      <c r="AP50" s="31" t="inlineStr">
        <is>
          <t>No</t>
        </is>
      </c>
      <c r="AQ50" s="31">
        <f>IF(AP50="Yes",10,0)</f>
        <v/>
      </c>
      <c r="AR50" s="31" t="inlineStr">
        <is>
          <t>Yes</t>
        </is>
      </c>
      <c r="AS50" s="31">
        <f>IF(AR50="Yes",5,0)</f>
        <v/>
      </c>
      <c r="AT50" s="31" t="inlineStr">
        <is>
          <t>No</t>
        </is>
      </c>
      <c r="AU50" s="31">
        <f>IF(AT50="No",10,IF(AT50="Yes",-10,0))</f>
        <v/>
      </c>
      <c r="AV50" s="31" t="inlineStr">
        <is>
          <t>No</t>
        </is>
      </c>
      <c r="AW50" s="31">
        <f>IF(AV50="No",10,0)</f>
        <v/>
      </c>
      <c r="AX50" s="31" t="inlineStr">
        <is>
          <t>No</t>
        </is>
      </c>
      <c r="AY50" s="31">
        <f>IF(AX50="No",10,IF(AX50= "Yes CEO Resignation",-5,0))</f>
        <v/>
      </c>
      <c r="AZ50" s="31" t="inlineStr">
        <is>
          <t>No</t>
        </is>
      </c>
      <c r="BA50" s="31">
        <f>IF(AZ50="No",10,IF(AZ50="Yes",-5,0))</f>
        <v/>
      </c>
      <c r="BB50" s="31" t="inlineStr">
        <is>
          <t>No</t>
        </is>
      </c>
      <c r="BC50" s="31">
        <f>IF(BB50="No",5,IF(BB50="Yes",-5,0))</f>
        <v/>
      </c>
      <c r="BD50" s="31" t="inlineStr">
        <is>
          <t>Yes</t>
        </is>
      </c>
      <c r="BE50" s="31">
        <f>IF(BD50="Yes",10,0)</f>
        <v/>
      </c>
      <c r="BF50" s="31" t="inlineStr">
        <is>
          <t>Yes</t>
        </is>
      </c>
      <c r="BG50" s="31">
        <f>IF(BF50="Yes",10,0)</f>
        <v/>
      </c>
      <c r="BH50" s="31" t="inlineStr">
        <is>
          <t>Yes</t>
        </is>
      </c>
      <c r="BI50" s="31">
        <f>IF(BH50="Yes",10,0)</f>
        <v/>
      </c>
      <c r="BJ50" s="31" t="inlineStr">
        <is>
          <t>P/BV above 5x</t>
        </is>
      </c>
      <c r="BK50" s="31">
        <f>IF(BJ50="P/BV less than 2.5x and Growth more than 20%",20,IF(BJ50 = "P/BV less than 2.5x and Growth less than 20%",5,IF(BJ50="P/BV between 2.5x to 5x and Growth more than 20%",10,IF(BJ50= "P/BV between 2.5x to 5x and Growth less than 20%",-5,IF(BJ50= "P/BV above 5x",-5,0)))))</f>
        <v/>
      </c>
      <c r="BL50" s="31" t="inlineStr">
        <is>
          <t>0 to 20</t>
        </is>
      </c>
      <c r="BM50" s="31">
        <f>IF(BL50="Above 40",20,IF(BL50="20 to 40",10,IF(BL50="0 to 20",-5,0)))</f>
        <v/>
      </c>
      <c r="BN50" s="31" t="inlineStr">
        <is>
          <t>Between 50 to 75</t>
        </is>
      </c>
      <c r="BO50" s="31">
        <f>IF(BN50="Between 50 to 75",10,IF(BN50="Above 75",0,0))</f>
        <v/>
      </c>
      <c r="BP50" s="31" t="inlineStr">
        <is>
          <t>Stage 3</t>
        </is>
      </c>
      <c r="BQ50" s="31">
        <f>IF(BP50="Stage 2",20,IF(BP50="Stage 1",0,IF(BP50="Stage 3",5,IF(BP50="Stage 4",-5,0))))</f>
        <v/>
      </c>
      <c r="BR50" s="31" t="inlineStr">
        <is>
          <t>Negative Trend</t>
        </is>
      </c>
      <c r="BS50" s="31">
        <f>IF(BR50="Positive Trend",20,IF(BR50="Negative Trend",-10,0))</f>
        <v/>
      </c>
      <c r="BT50" s="31" t="inlineStr">
        <is>
          <t>Uptrend</t>
        </is>
      </c>
      <c r="BU50" s="31">
        <f>IF(BT50="Uptrend",10,IF(BT50="Sideways",5,0))</f>
        <v/>
      </c>
      <c r="BV50" s="31" t="inlineStr">
        <is>
          <t>Uptrend</t>
        </is>
      </c>
      <c r="BW50" s="31">
        <f>IF(BV50="Uptrend",10,IF(BV50="Sideways",5,0))</f>
        <v/>
      </c>
      <c r="BX50" s="31" t="inlineStr">
        <is>
          <t>Close to 52 week high or retracement</t>
        </is>
      </c>
      <c r="BY50" s="31">
        <f>IF(BX50="Overhead supply in last 2 years in last 2 years",-5,IF(BX50="Close to 52 week high or retracement",5,IF(BX50="Blue sky scenario",10,IF(BX50="Long term Downtrend",-10,0))))</f>
        <v/>
      </c>
      <c r="BZ50" s="31" t="inlineStr">
        <is>
          <t>Yes</t>
        </is>
      </c>
      <c r="CA50" s="31">
        <f>IF(BZ50="Yes",10,0)</f>
        <v/>
      </c>
    </row>
    <row r="51">
      <c r="A51" s="31">
        <f>IF(B51=0,"",RANK(B51,$B$2:$B$56,0))</f>
        <v/>
      </c>
      <c r="B51" s="32">
        <f>SUM(N51,Y51,AA51,AC51,AE51,AG51,AI51,AK51,AM51,AO51,AQ51,AS51,AU51,AW51,AY51,BA51,BC51,BE51,BG51,BI51,BK51,BM51,BO51,BQ51,BS51,BU51,BW51,BY51,CA51)</f>
        <v/>
      </c>
      <c r="C51" s="31" t="inlineStr">
        <is>
          <t>360ONE</t>
        </is>
      </c>
      <c r="D51" s="31" t="inlineStr">
        <is>
          <t>360 ONE WAM Ltd</t>
        </is>
      </c>
      <c r="E51" s="31" t="inlineStr">
        <is>
          <t>financials</t>
        </is>
      </c>
      <c r="F51" s="31" t="inlineStr">
        <is>
          <t>finance &amp; investments</t>
        </is>
      </c>
      <c r="G51" s="31" t="inlineStr">
        <is>
          <t>largecap</t>
        </is>
      </c>
      <c r="H51" s="32" t="n">
        <v>46170.95</v>
      </c>
      <c r="I51" s="32" t="n">
        <v>1147.8</v>
      </c>
      <c r="J51" s="32" t="n">
        <v>1.1</v>
      </c>
      <c r="K51" s="32" t="n">
        <v>1080457</v>
      </c>
      <c r="L51" s="31" t="n">
        <v>26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54.71</v>
      </c>
      <c r="P51" s="32" t="n">
        <v>13.76</v>
      </c>
      <c r="Q51" s="32" t="inlineStr"/>
      <c r="R51" s="31" t="inlineStr">
        <is>
          <t>Earnings / Momentum Support</t>
        </is>
      </c>
      <c r="S51" s="31" t="inlineStr">
        <is>
          <t>Nifty Bank</t>
        </is>
      </c>
      <c r="T51" s="32" t="n">
        <v>2.96</v>
      </c>
      <c r="U51" s="32" t="n">
        <v>9.039999999999999</v>
      </c>
      <c r="V51" s="32" t="n">
        <v>5.91</v>
      </c>
      <c r="W51" s="32" t="n">
        <v>3.81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Fragmented with High ROE</t>
        </is>
      </c>
      <c r="AA51" s="31">
        <f>IF(Z51="Fragmented with Low ROE",-5,IF(Z51="Fragmented with High ROE",10,IF(Z51= "highly cyclical",5,0)))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Consistency)",15,IF(AF51="Shallow Cyclical (2 to 3 years growth)",10,IF(AF51 = "Cyclical in an Uptick",5,IF(AF51 = "Cyclical in an Downtick",-10,0))))</f>
        <v/>
      </c>
      <c r="AH51" s="31" t="inlineStr">
        <is>
          <t>Yes</t>
        </is>
      </c>
      <c r="AI51" s="31">
        <f>IF(AH51="Yes",10,0)</f>
        <v/>
      </c>
      <c r="AJ51" s="31" t="inlineStr">
        <is>
          <t>Yes</t>
        </is>
      </c>
      <c r="AK51" s="31">
        <f>IF(AJ51="Yes",10,0)</f>
        <v/>
      </c>
      <c r="AL51" s="31" t="n"/>
      <c r="AM51" s="31">
        <f>IF(AL51="No",10,0)</f>
        <v/>
      </c>
      <c r="AN51" s="31" t="inlineStr">
        <is>
          <t>Yes</t>
        </is>
      </c>
      <c r="AO51" s="31">
        <f>IF(AN51="Yes",10,0)</f>
        <v/>
      </c>
      <c r="AP51" s="31" t="inlineStr">
        <is>
          <t>No</t>
        </is>
      </c>
      <c r="AQ51" s="31">
        <f>IF(AP51="Yes",10,0)</f>
        <v/>
      </c>
      <c r="AR51" s="31" t="inlineStr">
        <is>
          <t>Yes</t>
        </is>
      </c>
      <c r="AS51" s="31">
        <f>IF(AR51="Yes",5,0)</f>
        <v/>
      </c>
      <c r="AT51" s="31" t="inlineStr">
        <is>
          <t>No</t>
        </is>
      </c>
      <c r="AU51" s="31">
        <f>IF(AT51="No",10,IF(AT51="Yes",-10,0))</f>
        <v/>
      </c>
      <c r="AV51" s="31" t="inlineStr">
        <is>
          <t>No</t>
        </is>
      </c>
      <c r="AW51" s="31">
        <f>IF(AV51="No",10,0)</f>
        <v/>
      </c>
      <c r="AX51" s="31" t="inlineStr">
        <is>
          <t>No</t>
        </is>
      </c>
      <c r="AY51" s="31">
        <f>IF(AX51="No",10,IF(AX51= "Yes CEO Resignation",-5,0))</f>
        <v/>
      </c>
      <c r="AZ51" s="31" t="inlineStr">
        <is>
          <t>No</t>
        </is>
      </c>
      <c r="BA51" s="31">
        <f>IF(AZ51="No",10,IF(AZ51="Yes",-5,0))</f>
        <v/>
      </c>
      <c r="BB51" s="31" t="inlineStr">
        <is>
          <t>No</t>
        </is>
      </c>
      <c r="BC51" s="31">
        <f>IF(BB51="No",5,IF(BB51="Yes",-5,0))</f>
        <v/>
      </c>
      <c r="BD51" s="31" t="inlineStr">
        <is>
          <t>Yes</t>
        </is>
      </c>
      <c r="BE51" s="31">
        <f>IF(BD51="Yes",10,0)</f>
        <v/>
      </c>
      <c r="BF51" s="31" t="inlineStr">
        <is>
          <t>Yes</t>
        </is>
      </c>
      <c r="BG51" s="31">
        <f>IF(BF51="Yes",10,0)</f>
        <v/>
      </c>
      <c r="BH51" s="31" t="inlineStr">
        <is>
          <t>Yes</t>
        </is>
      </c>
      <c r="BI51" s="31">
        <f>IF(BH51="Yes",10,0)</f>
        <v/>
      </c>
      <c r="BJ51" s="31" t="inlineStr">
        <is>
          <t>P/BV between 2.5x to 5x and Growth less than 20%</t>
        </is>
      </c>
      <c r="BK51" s="31">
        <f>IF(BJ51="P/BV less than 2.5x and Growth more than 20%",20,IF(BJ51 = "P/BV less than 2.5x and Growth less than 20%",5,IF(BJ51="P/BV between 2.5x to 5x and Growth more than 20%",10,IF(BJ51= "P/BV between 2.5x to 5x and Growth less than 20%",-5,IF(BJ51= "P/BV above 5x",-5,0)))))</f>
        <v/>
      </c>
      <c r="BL51" s="31" t="inlineStr">
        <is>
          <t>0 to 20</t>
        </is>
      </c>
      <c r="BM51" s="31">
        <f>IF(BL51="Above 40",20,IF(BL51="20 to 40",10,IF(BL51="0 to 20",-5,0)))</f>
        <v/>
      </c>
      <c r="BN51" s="31" t="inlineStr">
        <is>
          <t>Between 50 to 75</t>
        </is>
      </c>
      <c r="BO51" s="31">
        <f>IF(BN51="Between 50 to 75",10,IF(BN51="Above 75",0,0))</f>
        <v/>
      </c>
      <c r="BP51" s="31" t="inlineStr">
        <is>
          <t>Stage 3</t>
        </is>
      </c>
      <c r="BQ51" s="31">
        <f>IF(BP51="Stage 2",20,IF(BP51="Stage 1",0,IF(BP51="Stage 3",5,IF(BP51="Stage 4",-5,0))))</f>
        <v/>
      </c>
      <c r="BR51" s="31" t="inlineStr">
        <is>
          <t>Negative Trend</t>
        </is>
      </c>
      <c r="BS51" s="31">
        <f>IF(BR51="Positive Trend",20,IF(BR51="Negative Trend",-10,0))</f>
        <v/>
      </c>
      <c r="BT51" s="31" t="inlineStr">
        <is>
          <t>Uptrend</t>
        </is>
      </c>
      <c r="BU51" s="31">
        <f>IF(BT51="Uptrend",10,IF(BT51="Sideways",5,0))</f>
        <v/>
      </c>
      <c r="BV51" s="31" t="inlineStr">
        <is>
          <t>Uptrend</t>
        </is>
      </c>
      <c r="BW51" s="31">
        <f>IF(BV51="Uptrend",10,IF(BV51="Sideways",5,0))</f>
        <v/>
      </c>
      <c r="BX51" s="31" t="inlineStr">
        <is>
          <t>Close to 52 week high or retracement</t>
        </is>
      </c>
      <c r="BY51" s="31">
        <f>IF(BX51="Overhead supply in last 2 years in last 2 years",-5,IF(BX51="Close to 52 week high or retracement",5,IF(BX51="Blue sky scenario",10,IF(BX51="Long term Downtrend",-10,0))))</f>
        <v/>
      </c>
      <c r="BZ51" s="31" t="inlineStr">
        <is>
          <t>Yes</t>
        </is>
      </c>
      <c r="CA51" s="31">
        <f>IF(BZ51="Yes",10,0)</f>
        <v/>
      </c>
    </row>
    <row r="52">
      <c r="A52" s="31">
        <f>IF(B52=0,"",RANK(B52,$B$2:$B$56,0))</f>
        <v/>
      </c>
      <c r="B52" s="32">
        <f>SUM(N52,Y52,AA52,AC52,AE52,AG52,AI52,AK52,AM52,AO52,AQ52,AS52,AU52,AW52,AY52,BA52,BC52,BE52,BG52,BI52,BK52,BM52,BO52,BQ52,BS52,BU52,BW52,BY52,CA52)</f>
        <v/>
      </c>
      <c r="C52" s="31" t="inlineStr">
        <is>
          <t>BAJFINANCE</t>
        </is>
      </c>
      <c r="D52" s="31" t="inlineStr">
        <is>
          <t>Bajaj Finance Limited</t>
        </is>
      </c>
      <c r="E52" s="31" t="inlineStr">
        <is>
          <t>financials</t>
        </is>
      </c>
      <c r="F52" s="31" t="inlineStr">
        <is>
          <t>finance &amp; investments</t>
        </is>
      </c>
      <c r="G52" s="31" t="inlineStr">
        <is>
          <t>largecap</t>
        </is>
      </c>
      <c r="H52" s="32" t="n">
        <v>710505.91</v>
      </c>
      <c r="I52" s="32" t="n">
        <v>1153</v>
      </c>
      <c r="J52" s="32" t="n">
        <v>1.03</v>
      </c>
      <c r="K52" s="32" t="n">
        <v>40512609</v>
      </c>
      <c r="L52" s="31" t="n">
        <v>59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68.01000000000001</v>
      </c>
      <c r="P52" s="32" t="n">
        <v>17.81</v>
      </c>
      <c r="Q52" s="32" t="inlineStr"/>
      <c r="R52" s="31" t="inlineStr">
        <is>
          <t>Earnings / Momentum Support</t>
        </is>
      </c>
      <c r="S52" s="31" t="inlineStr">
        <is>
          <t>Nifty Bank</t>
        </is>
      </c>
      <c r="T52" s="32" t="n">
        <v>2.96</v>
      </c>
      <c r="U52" s="32" t="n">
        <v>31.13</v>
      </c>
      <c r="V52" s="32" t="n">
        <v>27.36</v>
      </c>
      <c r="W52" s="32" t="n">
        <v>10.91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Fragmented with High ROE</t>
        </is>
      </c>
      <c r="AA52" s="31">
        <f>IF(Z52="Fragmented with Low ROE",-5,IF(Z52="Fragmented with High ROE",10,IF(Z52= "highly cyclical",5,0)))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Consistency)",15,IF(AF52="Shallow Cyclical (2 to 3 years growth)",10,IF(AF52 = "Cyclical in an Uptick",5,IF(AF52 = "Cyclical in an Downtick",-10,0))))</f>
        <v/>
      </c>
      <c r="AH52" s="31" t="inlineStr">
        <is>
          <t>Yes</t>
        </is>
      </c>
      <c r="AI52" s="31">
        <f>IF(AH52="Yes",10,0)</f>
        <v/>
      </c>
      <c r="AJ52" s="31" t="inlineStr">
        <is>
          <t>Yes</t>
        </is>
      </c>
      <c r="AK52" s="31">
        <f>IF(AJ52="Yes",10,0)</f>
        <v/>
      </c>
      <c r="AL52" s="31" t="n"/>
      <c r="AM52" s="31">
        <f>IF(AL52="No",10,0)</f>
        <v/>
      </c>
      <c r="AN52" s="31" t="inlineStr">
        <is>
          <t>Yes</t>
        </is>
      </c>
      <c r="AO52" s="31">
        <f>IF(AN52="Yes",10,0)</f>
        <v/>
      </c>
      <c r="AP52" s="31" t="inlineStr">
        <is>
          <t>No</t>
        </is>
      </c>
      <c r="AQ52" s="31">
        <f>IF(AP52="Yes",10,0)</f>
        <v/>
      </c>
      <c r="AR52" s="31" t="inlineStr">
        <is>
          <t>Yes</t>
        </is>
      </c>
      <c r="AS52" s="31">
        <f>IF(AR52="Yes",5,0)</f>
        <v/>
      </c>
      <c r="AT52" s="31" t="inlineStr">
        <is>
          <t>No</t>
        </is>
      </c>
      <c r="AU52" s="31">
        <f>IF(AT52="No",10,IF(AT52="Yes",-10,0))</f>
        <v/>
      </c>
      <c r="AV52" s="31" t="inlineStr">
        <is>
          <t>No</t>
        </is>
      </c>
      <c r="AW52" s="31">
        <f>IF(AV52="No",10,0)</f>
        <v/>
      </c>
      <c r="AX52" s="31" t="inlineStr">
        <is>
          <t>No</t>
        </is>
      </c>
      <c r="AY52" s="31">
        <f>IF(AX52="No",10,IF(AX52= "Yes CEO Resignation",-5,0))</f>
        <v/>
      </c>
      <c r="AZ52" s="31" t="inlineStr">
        <is>
          <t>No</t>
        </is>
      </c>
      <c r="BA52" s="31">
        <f>IF(AZ52="No",10,IF(AZ52="Yes",-5,0))</f>
        <v/>
      </c>
      <c r="BB52" s="31" t="inlineStr">
        <is>
          <t>No</t>
        </is>
      </c>
      <c r="BC52" s="31">
        <f>IF(BB52="No",5,IF(BB52="Yes",-5,0))</f>
        <v/>
      </c>
      <c r="BD52" s="31" t="inlineStr">
        <is>
          <t>Yes</t>
        </is>
      </c>
      <c r="BE52" s="31">
        <f>IF(BD52="Yes",10,0)</f>
        <v/>
      </c>
      <c r="BF52" s="31" t="inlineStr">
        <is>
          <t>Yes</t>
        </is>
      </c>
      <c r="BG52" s="31">
        <f>IF(BF52="Yes",10,0)</f>
        <v/>
      </c>
      <c r="BH52" s="31" t="inlineStr">
        <is>
          <t>Yes</t>
        </is>
      </c>
      <c r="BI52" s="31">
        <f>IF(BH52="Yes",10,0)</f>
        <v/>
      </c>
      <c r="BJ52" s="31" t="inlineStr">
        <is>
          <t>P/BV above 5x</t>
        </is>
      </c>
      <c r="BK52" s="31">
        <f>IF(BJ52="P/BV less than 2.5x and Growth more than 20%",20,IF(BJ52 = "P/BV less than 2.5x and Growth less than 20%",5,IF(BJ52="P/BV between 2.5x to 5x and Growth more than 20%",10,IF(BJ52= "P/BV between 2.5x to 5x and Growth less than 20%",-5,IF(BJ52= "P/BV above 5x",-5,0)))))</f>
        <v/>
      </c>
      <c r="BL52" s="31" t="inlineStr">
        <is>
          <t>0 to 20</t>
        </is>
      </c>
      <c r="BM52" s="31">
        <f>IF(BL52="Above 40",20,IF(BL52="20 to 40",10,IF(BL52="0 to 20",-5,0)))</f>
        <v/>
      </c>
      <c r="BN52" s="31" t="inlineStr">
        <is>
          <t>Between 50 to 75</t>
        </is>
      </c>
      <c r="BO52" s="31">
        <f>IF(BN52="Between 50 to 75",10,IF(BN52="Above 75",0,0))</f>
        <v/>
      </c>
      <c r="BP52" s="31" t="inlineStr">
        <is>
          <t>Stage 3</t>
        </is>
      </c>
      <c r="BQ52" s="31">
        <f>IF(BP52="Stage 2",20,IF(BP52="Stage 1",0,IF(BP52="Stage 3",5,IF(BP52="Stage 4",-5,0))))</f>
        <v/>
      </c>
      <c r="BR52" s="31" t="inlineStr">
        <is>
          <t>Negative Trend</t>
        </is>
      </c>
      <c r="BS52" s="31">
        <f>IF(BR52="Positive Trend",20,IF(BR52="Negative Trend",-10,0))</f>
        <v/>
      </c>
      <c r="BT52" s="31" t="inlineStr">
        <is>
          <t>Uptrend</t>
        </is>
      </c>
      <c r="BU52" s="31">
        <f>IF(BT52="Uptrend",10,IF(BT52="Sideways",5,0))</f>
        <v/>
      </c>
      <c r="BV52" s="31" t="inlineStr">
        <is>
          <t>Uptrend</t>
        </is>
      </c>
      <c r="BW52" s="31">
        <f>IF(BV52="Uptrend",10,IF(BV52="Sideways",5,0))</f>
        <v/>
      </c>
      <c r="BX52" s="31" t="inlineStr">
        <is>
          <t>Close to 52 week high or retracement</t>
        </is>
      </c>
      <c r="BY52" s="31">
        <f>IF(BX52="Overhead supply in last 2 years in last 2 years",-5,IF(BX52="Close to 52 week high or retracement",5,IF(BX52="Blue sky scenario",10,IF(BX52="Long term Downtrend",-10,0))))</f>
        <v/>
      </c>
      <c r="BZ52" s="31" t="inlineStr">
        <is>
          <t>Yes</t>
        </is>
      </c>
      <c r="CA52" s="31">
        <f>IF(BZ52="Yes",10,0)</f>
        <v/>
      </c>
    </row>
    <row r="53">
      <c r="A53" s="31">
        <f>IF(B53=0,"",RANK(B53,$B$2:$B$56,0))</f>
        <v/>
      </c>
      <c r="B53" s="32">
        <f>SUM(N53,Y53,AA53,AC53,AE53,AG53,AI53,AK53,AM53,AO53,AQ53,AS53,AU53,AW53,AY53,BA53,BC53,BE53,BG53,BI53,BK53,BM53,BO53,BQ53,BS53,BU53,BW53,BY53,CA53)</f>
        <v/>
      </c>
      <c r="C53" s="31" t="inlineStr">
        <is>
          <t>CARERATING</t>
        </is>
      </c>
      <c r="D53" s="31" t="inlineStr">
        <is>
          <t>CARE Ratings Ltd</t>
        </is>
      </c>
      <c r="E53" s="31" t="inlineStr">
        <is>
          <t>financials</t>
        </is>
      </c>
      <c r="F53" s="31" t="inlineStr">
        <is>
          <t>miscellaneous</t>
        </is>
      </c>
      <c r="G53" s="31" t="inlineStr">
        <is>
          <t>midcap</t>
        </is>
      </c>
      <c r="H53" s="32" t="n">
        <v>5138.83</v>
      </c>
      <c r="I53" s="32" t="n">
        <v>1722</v>
      </c>
      <c r="J53" s="32" t="n">
        <v>0.73</v>
      </c>
      <c r="K53" s="32" t="n">
        <v>50880</v>
      </c>
      <c r="L53" s="31" t="n">
        <v>15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57.79</v>
      </c>
      <c r="P53" s="32" t="n">
        <v>18.87</v>
      </c>
      <c r="Q53" s="32" t="inlineStr"/>
      <c r="R53" s="31" t="inlineStr">
        <is>
          <t>Earnings / Momentum Support</t>
        </is>
      </c>
      <c r="S53" s="31" t="inlineStr">
        <is>
          <t>Nifty Bank</t>
        </is>
      </c>
      <c r="T53" s="32" t="n">
        <v>2.96</v>
      </c>
      <c r="U53" s="32" t="n">
        <v>3.97</v>
      </c>
      <c r="V53" s="32" t="n">
        <v>0.98</v>
      </c>
      <c r="W53" s="32" t="n">
        <v>1.46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Fragmented with High ROE</t>
        </is>
      </c>
      <c r="AA53" s="31">
        <f>IF(Z53="Fragmented with Low ROE",-5,IF(Z53="Fragmented with High ROE",10,IF(Z53= "highly cyclical",5,0)))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Consistency)",15,IF(AF53="Shallow Cyclical (2 to 3 years growth)",10,IF(AF53 = "Cyclical in an Uptick",5,IF(AF53 = "Cyclical in an Downtick",-10,0))))</f>
        <v/>
      </c>
      <c r="AH53" s="31" t="inlineStr">
        <is>
          <t>Yes</t>
        </is>
      </c>
      <c r="AI53" s="31">
        <f>IF(AH53="Yes",10,0)</f>
        <v/>
      </c>
      <c r="AJ53" s="31" t="inlineStr">
        <is>
          <t>Yes</t>
        </is>
      </c>
      <c r="AK53" s="31">
        <f>IF(AJ53="Yes",10,0)</f>
        <v/>
      </c>
      <c r="AL53" s="31" t="n"/>
      <c r="AM53" s="31">
        <f>IF(AL53="No",10,0)</f>
        <v/>
      </c>
      <c r="AN53" s="31" t="inlineStr">
        <is>
          <t>Yes</t>
        </is>
      </c>
      <c r="AO53" s="31">
        <f>IF(AN53="Yes",10,0)</f>
        <v/>
      </c>
      <c r="AP53" s="31" t="inlineStr">
        <is>
          <t>No</t>
        </is>
      </c>
      <c r="AQ53" s="31">
        <f>IF(AP53="Yes",10,0)</f>
        <v/>
      </c>
      <c r="AR53" s="31" t="inlineStr">
        <is>
          <t>Yes</t>
        </is>
      </c>
      <c r="AS53" s="31">
        <f>IF(AR53="Yes",5,0)</f>
        <v/>
      </c>
      <c r="AT53" s="31" t="inlineStr">
        <is>
          <t>No</t>
        </is>
      </c>
      <c r="AU53" s="31">
        <f>IF(AT53="No",10,IF(AT53="Yes",-10,0))</f>
        <v/>
      </c>
      <c r="AV53" s="31" t="inlineStr">
        <is>
          <t>No</t>
        </is>
      </c>
      <c r="AW53" s="31">
        <f>IF(AV53="No",10,0)</f>
        <v/>
      </c>
      <c r="AX53" s="31" t="inlineStr">
        <is>
          <t>No</t>
        </is>
      </c>
      <c r="AY53" s="31">
        <f>IF(AX53="No",10,IF(AX53= "Yes CEO Resignation",-5,0))</f>
        <v/>
      </c>
      <c r="AZ53" s="31" t="inlineStr">
        <is>
          <t>No</t>
        </is>
      </c>
      <c r="BA53" s="31">
        <f>IF(AZ53="No",10,IF(AZ53="Yes",-5,0))</f>
        <v/>
      </c>
      <c r="BB53" s="31" t="inlineStr">
        <is>
          <t>No</t>
        </is>
      </c>
      <c r="BC53" s="31">
        <f>IF(BB53="No",5,IF(BB53="Yes",-5,0))</f>
        <v/>
      </c>
      <c r="BD53" s="31" t="inlineStr">
        <is>
          <t>Yes</t>
        </is>
      </c>
      <c r="BE53" s="31">
        <f>IF(BD53="Yes",10,0)</f>
        <v/>
      </c>
      <c r="BF53" s="31" t="inlineStr">
        <is>
          <t>Yes</t>
        </is>
      </c>
      <c r="BG53" s="31">
        <f>IF(BF53="Yes",10,0)</f>
        <v/>
      </c>
      <c r="BH53" s="31" t="inlineStr">
        <is>
          <t>Yes</t>
        </is>
      </c>
      <c r="BI53" s="31">
        <f>IF(BH53="Yes",10,0)</f>
        <v/>
      </c>
      <c r="BJ53" s="31" t="inlineStr">
        <is>
          <t>P/BV above 5x</t>
        </is>
      </c>
      <c r="BK53" s="31">
        <f>IF(BJ53="P/BV less than 2.5x and Growth more than 20%",20,IF(BJ53 = "P/BV less than 2.5x and Growth less than 20%",5,IF(BJ53="P/BV between 2.5x to 5x and Growth more than 20%",10,IF(BJ53= "P/BV between 2.5x to 5x and Growth less than 20%",-5,IF(BJ53= "P/BV above 5x",-5,0)))))</f>
        <v/>
      </c>
      <c r="BL53" s="31" t="inlineStr">
        <is>
          <t>0 to 20</t>
        </is>
      </c>
      <c r="BM53" s="31">
        <f>IF(BL53="Above 40",20,IF(BL53="20 to 40",10,IF(BL53="0 to 20",-5,0)))</f>
        <v/>
      </c>
      <c r="BN53" s="31" t="inlineStr">
        <is>
          <t>Between 50 to 75</t>
        </is>
      </c>
      <c r="BO53" s="31">
        <f>IF(BN53="Between 50 to 75",10,IF(BN53="Above 75",0,0))</f>
        <v/>
      </c>
      <c r="BP53" s="31" t="inlineStr">
        <is>
          <t>Stage 3</t>
        </is>
      </c>
      <c r="BQ53" s="31">
        <f>IF(BP53="Stage 2",20,IF(BP53="Stage 1",0,IF(BP53="Stage 3",5,IF(BP53="Stage 4",-5,0))))</f>
        <v/>
      </c>
      <c r="BR53" s="31" t="inlineStr">
        <is>
          <t>Negative Trend</t>
        </is>
      </c>
      <c r="BS53" s="31">
        <f>IF(BR53="Positive Trend",20,IF(BR53="Negative Trend",-10,0))</f>
        <v/>
      </c>
      <c r="BT53" s="31" t="inlineStr">
        <is>
          <t>Uptrend</t>
        </is>
      </c>
      <c r="BU53" s="31">
        <f>IF(BT53="Uptrend",10,IF(BT53="Sideways",5,0))</f>
        <v/>
      </c>
      <c r="BV53" s="31" t="inlineStr">
        <is>
          <t>Uptrend</t>
        </is>
      </c>
      <c r="BW53" s="31">
        <f>IF(BV53="Uptrend",10,IF(BV53="Sideways",5,0))</f>
        <v/>
      </c>
      <c r="BX53" s="31" t="inlineStr">
        <is>
          <t>Close to 52 week high or retracement</t>
        </is>
      </c>
      <c r="BY53" s="31">
        <f>IF(BX53="Overhead supply in last 2 years in last 2 years",-5,IF(BX53="Close to 52 week high or retracement",5,IF(BX53="Blue sky scenario",10,IF(BX53="Long term Downtrend",-10,0))))</f>
        <v/>
      </c>
      <c r="BZ53" s="31" t="inlineStr">
        <is>
          <t>Yes</t>
        </is>
      </c>
      <c r="CA53" s="31">
        <f>IF(BZ53="Yes",10,0)</f>
        <v/>
      </c>
    </row>
    <row r="54">
      <c r="A54" s="31">
        <f>IF(B54=0,"",RANK(B54,$B$2:$B$56,0))</f>
        <v/>
      </c>
      <c r="B54" s="32">
        <f>SUM(N54,Y54,AA54,AC54,AE54,AG54,AI54,AK54,AM54,AO54,AQ54,AS54,AU54,AW54,AY54,BA54,BC54,BE54,BG54,BI54,BK54,BM54,BO54,BQ54,BS54,BU54,BW54,BY54,CA54)</f>
        <v/>
      </c>
      <c r="C54" s="33" t="inlineStr">
        <is>
          <t>AIIL</t>
        </is>
      </c>
      <c r="D54" s="33" t="inlineStr">
        <is>
          <t>Authum Investment &amp; Infrastructure Ltd</t>
        </is>
      </c>
      <c r="E54" s="31" t="inlineStr">
        <is>
          <t>financials</t>
        </is>
      </c>
      <c r="F54" s="31" t="inlineStr">
        <is>
          <t>finance &amp; investments</t>
        </is>
      </c>
      <c r="G54" s="31" t="inlineStr">
        <is>
          <t>largecap</t>
        </is>
      </c>
      <c r="H54" s="32" t="n">
        <v>45798.73</v>
      </c>
      <c r="I54" s="32" t="n">
        <v>548.8</v>
      </c>
      <c r="J54" s="32" t="n">
        <v>1.76</v>
      </c>
      <c r="K54" s="32" t="n">
        <v>105935</v>
      </c>
      <c r="L54" s="31" t="n">
        <v>23</v>
      </c>
      <c r="M54" s="31" t="inlineStr">
        <is>
          <t>Underperforming</t>
        </is>
      </c>
      <c r="N54" s="32">
        <f>IF(M54="Underperforming",-5,IF(L54&gt;=95,15,IF(L54&gt;=90,10,IF(L54&gt;=80,5,0))))</f>
        <v/>
      </c>
      <c r="O54" s="32" t="n">
        <v>53.71</v>
      </c>
      <c r="P54" s="32" t="n">
        <v>12.97</v>
      </c>
      <c r="Q54" s="32" t="inlineStr"/>
      <c r="R54" s="31" t="inlineStr">
        <is>
          <t>Earnings / Momentum Support</t>
        </is>
      </c>
      <c r="S54" s="31" t="inlineStr">
        <is>
          <t>Nifty Bank</t>
        </is>
      </c>
      <c r="T54" s="32" t="n">
        <v>2.96</v>
      </c>
      <c r="U54" s="32" t="n">
        <v>-2.17</v>
      </c>
      <c r="V54" s="32" t="n">
        <v>-4.98</v>
      </c>
      <c r="W54" s="32" t="n">
        <v>2.91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Fragmented with High ROE</t>
        </is>
      </c>
      <c r="AA54" s="31">
        <f>IF(Z54="Fragmented with Low ROE",-5,IF(Z54="Fragmented with High ROE",10,IF(Z54= "highly cyclical",5,0)))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Consistency)",15,IF(AF54="Shallow Cyclical (2 to 3 years growth)",10,IF(AF54 = "Cyclical in an Uptick",5,IF(AF54 = "Cyclical in an Downtick",-10,0))))</f>
        <v/>
      </c>
      <c r="AH54" s="31" t="inlineStr">
        <is>
          <t>Yes</t>
        </is>
      </c>
      <c r="AI54" s="31">
        <f>IF(AH54="Yes",10,0)</f>
        <v/>
      </c>
      <c r="AJ54" s="31" t="inlineStr">
        <is>
          <t>Yes</t>
        </is>
      </c>
      <c r="AK54" s="31">
        <f>IF(AJ54="Yes",10,0)</f>
        <v/>
      </c>
      <c r="AL54" s="31" t="n"/>
      <c r="AM54" s="31">
        <f>IF(AL54="No",10,0)</f>
        <v/>
      </c>
      <c r="AN54" s="31" t="inlineStr">
        <is>
          <t>Yes</t>
        </is>
      </c>
      <c r="AO54" s="31">
        <f>IF(AN54="Yes",10,0)</f>
        <v/>
      </c>
      <c r="AP54" s="31" t="inlineStr">
        <is>
          <t>No</t>
        </is>
      </c>
      <c r="AQ54" s="31">
        <f>IF(AP54="Yes",10,0)</f>
        <v/>
      </c>
      <c r="AR54" s="31" t="inlineStr">
        <is>
          <t>Yes</t>
        </is>
      </c>
      <c r="AS54" s="31">
        <f>IF(AR54="Yes",5,0)</f>
        <v/>
      </c>
      <c r="AT54" s="31" t="inlineStr">
        <is>
          <t>No</t>
        </is>
      </c>
      <c r="AU54" s="31">
        <f>IF(AT54="No",10,IF(AT54="Yes",-10,0))</f>
        <v/>
      </c>
      <c r="AV54" s="31" t="inlineStr">
        <is>
          <t>No</t>
        </is>
      </c>
      <c r="AW54" s="31">
        <f>IF(AV54="No",10,0)</f>
        <v/>
      </c>
      <c r="AX54" s="31" t="inlineStr">
        <is>
          <t>No</t>
        </is>
      </c>
      <c r="AY54" s="31">
        <f>IF(AX54="No",10,IF(AX54= "Yes CEO Resignation",-5,0))</f>
        <v/>
      </c>
      <c r="AZ54" s="31" t="inlineStr">
        <is>
          <t>No</t>
        </is>
      </c>
      <c r="BA54" s="31">
        <f>IF(AZ54="No",10,IF(AZ54="Yes",-5,0))</f>
        <v/>
      </c>
      <c r="BB54" s="31" t="inlineStr">
        <is>
          <t>No</t>
        </is>
      </c>
      <c r="BC54" s="31">
        <f>IF(BB54="No",5,IF(BB54="Yes",-5,0))</f>
        <v/>
      </c>
      <c r="BD54" s="31" t="inlineStr">
        <is>
          <t>Yes</t>
        </is>
      </c>
      <c r="BE54" s="31">
        <f>IF(BD54="Yes",10,0)</f>
        <v/>
      </c>
      <c r="BF54" s="31" t="inlineStr">
        <is>
          <t>Yes</t>
        </is>
      </c>
      <c r="BG54" s="31">
        <f>IF(BF54="Yes",10,0)</f>
        <v/>
      </c>
      <c r="BH54" s="31" t="inlineStr">
        <is>
          <t>Yes</t>
        </is>
      </c>
      <c r="BI54" s="31">
        <f>IF(BH54="Yes",10,0)</f>
        <v/>
      </c>
      <c r="BJ54" s="31" t="inlineStr">
        <is>
          <t>P/BV between 2.5x to 5x and Growth less than 20%</t>
        </is>
      </c>
      <c r="BK54" s="31">
        <f>IF(BJ54="P/BV less than 2.5x and Growth more than 20%",20,IF(BJ54 = "P/BV less than 2.5x and Growth less than 20%",5,IF(BJ54="P/BV between 2.5x to 5x and Growth more than 20%",10,IF(BJ54= "P/BV between 2.5x to 5x and Growth less than 20%",-5,IF(BJ54= "P/BV above 5x",-5,0)))))</f>
        <v/>
      </c>
      <c r="BL54" s="31" t="inlineStr">
        <is>
          <t>0 to 20</t>
        </is>
      </c>
      <c r="BM54" s="31">
        <f>IF(BL54="Above 40",20,IF(BL54="20 to 40",10,IF(BL54="0 to 20",-5,0)))</f>
        <v/>
      </c>
      <c r="BN54" s="31" t="inlineStr">
        <is>
          <t>Between 50 to 75</t>
        </is>
      </c>
      <c r="BO54" s="31">
        <f>IF(BN54="Between 50 to 75",10,IF(BN54="Above 75",0,0))</f>
        <v/>
      </c>
      <c r="BP54" s="31" t="inlineStr">
        <is>
          <t>Stage 3</t>
        </is>
      </c>
      <c r="BQ54" s="31">
        <f>IF(BP54="Stage 2",20,IF(BP54="Stage 1",0,IF(BP54="Stage 3",5,IF(BP54="Stage 4",-5,0))))</f>
        <v/>
      </c>
      <c r="BR54" s="31" t="inlineStr">
        <is>
          <t>Negative Trend</t>
        </is>
      </c>
      <c r="BS54" s="31">
        <f>IF(BR54="Positive Trend",20,IF(BR54="Negative Trend",-10,0))</f>
        <v/>
      </c>
      <c r="BT54" s="31" t="inlineStr">
        <is>
          <t>Uptrend</t>
        </is>
      </c>
      <c r="BU54" s="31">
        <f>IF(BT54="Uptrend",10,IF(BT54="Sideways",5,0))</f>
        <v/>
      </c>
      <c r="BV54" s="31" t="inlineStr">
        <is>
          <t>Uptrend</t>
        </is>
      </c>
      <c r="BW54" s="31">
        <f>IF(BV54="Uptrend",10,IF(BV54="Sideways",5,0))</f>
        <v/>
      </c>
      <c r="BX54" s="31" t="inlineStr">
        <is>
          <t>Close to 52 week high or retracement</t>
        </is>
      </c>
      <c r="BY54" s="31">
        <f>IF(BX54="Overhead supply in last 2 years in last 2 years",-5,IF(BX54="Close to 52 week high or retracement",5,IF(BX54="Blue sky scenario",10,IF(BX54="Long term Downtrend",-10,0))))</f>
        <v/>
      </c>
      <c r="BZ54" s="31" t="inlineStr">
        <is>
          <t>Yes</t>
        </is>
      </c>
      <c r="CA54" s="31">
        <f>IF(BZ54="Yes",10,0)</f>
        <v/>
      </c>
    </row>
    <row r="55">
      <c r="A55" s="31">
        <f>IF(B55=0,"",RANK(B55,$B$2:$B$56,0))</f>
        <v/>
      </c>
      <c r="B55" s="32">
        <f>SUM(N55,Y55,AA55,AC55,AE55,AG55,AI55,AK55,AM55,AO55,AQ55,AS55,AU55,AW55,AY55,BA55,BC55,BE55,BG55,BI55,BK55,BM55,BO55,BQ55,BS55,BU55,BW55,BY55,CA55)</f>
        <v/>
      </c>
      <c r="C55" s="33" t="inlineStr">
        <is>
          <t>ICICIBANK</t>
        </is>
      </c>
      <c r="D55" s="33" t="inlineStr">
        <is>
          <t>Icici Bank Limited</t>
        </is>
      </c>
      <c r="E55" s="31" t="inlineStr">
        <is>
          <t>bank</t>
        </is>
      </c>
      <c r="F55" s="31" t="inlineStr">
        <is>
          <t>banks - private sector</t>
        </is>
      </c>
      <c r="G55" s="31" t="inlineStr">
        <is>
          <t>largecap</t>
        </is>
      </c>
      <c r="H55" s="32" t="n">
        <v>1029700.8</v>
      </c>
      <c r="I55" s="32" t="n">
        <v>1460</v>
      </c>
      <c r="J55" s="32" t="n">
        <v>1.71</v>
      </c>
      <c r="K55" s="32" t="n">
        <v>21988499</v>
      </c>
      <c r="L55" s="31" t="n">
        <v>21</v>
      </c>
      <c r="M55" s="31" t="inlineStr">
        <is>
          <t>Underperforming</t>
        </is>
      </c>
      <c r="N55" s="32">
        <f>IF(M55="Underperforming",-5,IF(L55&gt;=95,15,IF(L55&gt;=90,10,IF(L55&gt;=80,5,0))))</f>
        <v/>
      </c>
      <c r="O55" s="32" t="n">
        <v>62.51</v>
      </c>
      <c r="P55" s="32" t="n">
        <v>18.72</v>
      </c>
      <c r="Q55" s="32" t="inlineStr"/>
      <c r="R55" s="31" t="inlineStr">
        <is>
          <t>Earnings / Momentum Support</t>
        </is>
      </c>
      <c r="S55" s="31" t="inlineStr">
        <is>
          <t>Nifty Bank</t>
        </is>
      </c>
      <c r="T55" s="32" t="n">
        <v>2.96</v>
      </c>
      <c r="U55" s="32" t="n">
        <v>-1.71</v>
      </c>
      <c r="V55" s="32" t="n">
        <v>-4.53</v>
      </c>
      <c r="W55" s="32" t="n">
        <v>2.64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Fragmented with High ROE</t>
        </is>
      </c>
      <c r="AA55" s="31">
        <f>IF(Z55="Fragmented with Low ROE",-5,IF(Z55="Fragmented with High ROE",10,IF(Z55= "highly cyclical",5,0)))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Consistency)",15,IF(AF55="Shallow Cyclical (2 to 3 years growth)",10,IF(AF55 = "Cyclical in an Uptick",5,IF(AF55 = "Cyclical in an Downtick",-10,0))))</f>
        <v/>
      </c>
      <c r="AH55" s="31" t="inlineStr">
        <is>
          <t>Yes</t>
        </is>
      </c>
      <c r="AI55" s="31">
        <f>IF(AH55="Yes",10,0)</f>
        <v/>
      </c>
      <c r="AJ55" s="31" t="inlineStr">
        <is>
          <t>Yes</t>
        </is>
      </c>
      <c r="AK55" s="31">
        <f>IF(AJ55="Yes",10,0)</f>
        <v/>
      </c>
      <c r="AL55" s="31" t="n"/>
      <c r="AM55" s="31">
        <f>IF(AL55="No",10,0)</f>
        <v/>
      </c>
      <c r="AN55" s="31" t="inlineStr">
        <is>
          <t>Yes</t>
        </is>
      </c>
      <c r="AO55" s="31">
        <f>IF(AN55="Yes",10,0)</f>
        <v/>
      </c>
      <c r="AP55" s="31" t="inlineStr">
        <is>
          <t>No</t>
        </is>
      </c>
      <c r="AQ55" s="31">
        <f>IF(AP55="Yes",10,0)</f>
        <v/>
      </c>
      <c r="AR55" s="31" t="inlineStr">
        <is>
          <t>Yes</t>
        </is>
      </c>
      <c r="AS55" s="31">
        <f>IF(AR55="Yes",5,0)</f>
        <v/>
      </c>
      <c r="AT55" s="31" t="inlineStr">
        <is>
          <t>No</t>
        </is>
      </c>
      <c r="AU55" s="31">
        <f>IF(AT55="No",10,IF(AT55="Yes",-10,0))</f>
        <v/>
      </c>
      <c r="AV55" s="31" t="inlineStr">
        <is>
          <t>No</t>
        </is>
      </c>
      <c r="AW55" s="31">
        <f>IF(AV55="No",10,0)</f>
        <v/>
      </c>
      <c r="AX55" s="31" t="inlineStr">
        <is>
          <t>No</t>
        </is>
      </c>
      <c r="AY55" s="31">
        <f>IF(AX55="No",10,IF(AX55= "Yes CEO Resignation",-5,0))</f>
        <v/>
      </c>
      <c r="AZ55" s="31" t="inlineStr">
        <is>
          <t>No</t>
        </is>
      </c>
      <c r="BA55" s="31">
        <f>IF(AZ55="No",10,IF(AZ55="Yes",-5,0))</f>
        <v/>
      </c>
      <c r="BB55" s="31" t="inlineStr">
        <is>
          <t>No</t>
        </is>
      </c>
      <c r="BC55" s="31">
        <f>IF(BB55="No",5,IF(BB55="Yes",-5,0))</f>
        <v/>
      </c>
      <c r="BD55" s="31" t="inlineStr">
        <is>
          <t>Yes</t>
        </is>
      </c>
      <c r="BE55" s="31">
        <f>IF(BD55="Yes",10,0)</f>
        <v/>
      </c>
      <c r="BF55" s="31" t="inlineStr">
        <is>
          <t>Yes</t>
        </is>
      </c>
      <c r="BG55" s="31">
        <f>IF(BF55="Yes",10,0)</f>
        <v/>
      </c>
      <c r="BH55" s="31" t="inlineStr">
        <is>
          <t>Yes</t>
        </is>
      </c>
      <c r="BI55" s="31">
        <f>IF(BH55="Yes",10,0)</f>
        <v/>
      </c>
      <c r="BJ55" s="31" t="inlineStr">
        <is>
          <t>P/BV between 2.5x to 5x and Growth less than 20%</t>
        </is>
      </c>
      <c r="BK55" s="31">
        <f>IF(BJ55="P/BV less than 2.5x and Growth more than 20%",20,IF(BJ55 = "P/BV less than 2.5x and Growth less than 20%",5,IF(BJ55="P/BV between 2.5x to 5x and Growth more than 20%",10,IF(BJ55= "P/BV between 2.5x to 5x and Growth less than 20%",-5,IF(BJ55= "P/BV above 5x",-5,0)))))</f>
        <v/>
      </c>
      <c r="BL55" s="31" t="inlineStr">
        <is>
          <t>0 to 20</t>
        </is>
      </c>
      <c r="BM55" s="31">
        <f>IF(BL55="Above 40",20,IF(BL55="20 to 40",10,IF(BL55="0 to 20",-5,0)))</f>
        <v/>
      </c>
      <c r="BN55" s="31" t="inlineStr">
        <is>
          <t>Between 50 to 75</t>
        </is>
      </c>
      <c r="BO55" s="31">
        <f>IF(BN55="Between 50 to 75",10,IF(BN55="Above 75",0,0))</f>
        <v/>
      </c>
      <c r="BP55" s="31" t="inlineStr">
        <is>
          <t>Stage 3</t>
        </is>
      </c>
      <c r="BQ55" s="31">
        <f>IF(BP55="Stage 2",20,IF(BP55="Stage 1",0,IF(BP55="Stage 3",5,IF(BP55="Stage 4",-5,0))))</f>
        <v/>
      </c>
      <c r="BR55" s="31" t="inlineStr">
        <is>
          <t>Negative Trend</t>
        </is>
      </c>
      <c r="BS55" s="31">
        <f>IF(BR55="Positive Trend",20,IF(BR55="Negative Trend",-10,0))</f>
        <v/>
      </c>
      <c r="BT55" s="31" t="inlineStr">
        <is>
          <t>Uptrend</t>
        </is>
      </c>
      <c r="BU55" s="31">
        <f>IF(BT55="Uptrend",10,IF(BT55="Sideways",5,0))</f>
        <v/>
      </c>
      <c r="BV55" s="31" t="inlineStr">
        <is>
          <t>Uptrend</t>
        </is>
      </c>
      <c r="BW55" s="31">
        <f>IF(BV55="Uptrend",10,IF(BV55="Sideways",5,0))</f>
        <v/>
      </c>
      <c r="BX55" s="31" t="inlineStr">
        <is>
          <t>Close to 52 week high or retracement</t>
        </is>
      </c>
      <c r="BY55" s="31">
        <f>IF(BX55="Overhead supply in last 2 years in last 2 years",-5,IF(BX55="Close to 52 week high or retracement",5,IF(BX55="Blue sky scenario",10,IF(BX55="Long term Downtrend",-10,0))))</f>
        <v/>
      </c>
      <c r="BZ55" s="31" t="inlineStr">
        <is>
          <t>Yes</t>
        </is>
      </c>
      <c r="CA55" s="31">
        <f>IF(BZ55="Yes",10,0)</f>
        <v/>
      </c>
    </row>
    <row r="56">
      <c r="A56" s="31">
        <f>IF(B56=0,"",RANK(B56,$B$2:$B$56,0))</f>
        <v/>
      </c>
      <c r="B56" s="32">
        <f>SUM(N56,Y56,AA56,AC56,AE56,AG56,AI56,AK56,AM56,AO56,AQ56,AS56,AU56,AW56,AY56,BA56,BC56,BE56,BG56,BI56,BK56,BM56,BO56,BQ56,BS56,BU56,BW56,BY56,CA56)</f>
        <v/>
      </c>
      <c r="C56" s="31" t="inlineStr">
        <is>
          <t>SUNDARMFIN</t>
        </is>
      </c>
      <c r="D56" s="31" t="inlineStr">
        <is>
          <t>Sundaram Finance Limited</t>
        </is>
      </c>
      <c r="E56" s="31" t="inlineStr">
        <is>
          <t>financials</t>
        </is>
      </c>
      <c r="F56" s="31" t="inlineStr">
        <is>
          <t>finance &amp; investments</t>
        </is>
      </c>
      <c r="G56" s="31" t="inlineStr">
        <is>
          <t>largecap</t>
        </is>
      </c>
      <c r="H56" s="32" t="n">
        <v>51836.62</v>
      </c>
      <c r="I56" s="32" t="n">
        <v>4828.7</v>
      </c>
      <c r="J56" s="32" t="n">
        <v>3.5</v>
      </c>
      <c r="K56" s="32" t="n">
        <v>309684</v>
      </c>
      <c r="L56" s="31" t="n">
        <v>15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51.17</v>
      </c>
      <c r="P56" s="32" t="n">
        <v>13.29</v>
      </c>
      <c r="Q56" s="32" t="inlineStr"/>
      <c r="R56" s="31" t="inlineStr">
        <is>
          <t>Earnings / Momentum Support</t>
        </is>
      </c>
      <c r="S56" s="31" t="inlineStr">
        <is>
          <t>Nifty Bank</t>
        </is>
      </c>
      <c r="T56" s="32" t="n">
        <v>2.96</v>
      </c>
      <c r="U56" s="32" t="n">
        <v>2.97</v>
      </c>
      <c r="V56" s="32" t="n">
        <v>0.01</v>
      </c>
      <c r="W56" s="32" t="n">
        <v>1.41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Fragmented with High ROE</t>
        </is>
      </c>
      <c r="AA56" s="31">
        <f>IF(Z56="Fragmented with Low ROE",-5,IF(Z56="Fragmented with High ROE",10,IF(Z56= "highly cyclical",5,0)))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Consistency)",15,IF(AF56="Shallow Cyclical (2 to 3 years growth)",10,IF(AF56 = "Cyclical in an Uptick",5,IF(AF56 = "Cyclical in an Downtick",-10,0))))</f>
        <v/>
      </c>
      <c r="AH56" s="31" t="inlineStr">
        <is>
          <t>Yes</t>
        </is>
      </c>
      <c r="AI56" s="31">
        <f>IF(AH56="Yes",10,0)</f>
        <v/>
      </c>
      <c r="AJ56" s="31" t="inlineStr">
        <is>
          <t>Yes</t>
        </is>
      </c>
      <c r="AK56" s="31">
        <f>IF(AJ56="Yes",10,0)</f>
        <v/>
      </c>
      <c r="AL56" s="31" t="n"/>
      <c r="AM56" s="31">
        <f>IF(AL56="No",10,0)</f>
        <v/>
      </c>
      <c r="AN56" s="31" t="inlineStr">
        <is>
          <t>Yes</t>
        </is>
      </c>
      <c r="AO56" s="31">
        <f>IF(AN56="Yes",10,0)</f>
        <v/>
      </c>
      <c r="AP56" s="31" t="inlineStr">
        <is>
          <t>No</t>
        </is>
      </c>
      <c r="AQ56" s="31">
        <f>IF(AP56="Yes",10,0)</f>
        <v/>
      </c>
      <c r="AR56" s="31" t="inlineStr">
        <is>
          <t>Yes</t>
        </is>
      </c>
      <c r="AS56" s="31">
        <f>IF(AR56="Yes",5,0)</f>
        <v/>
      </c>
      <c r="AT56" s="31" t="inlineStr">
        <is>
          <t>No</t>
        </is>
      </c>
      <c r="AU56" s="31">
        <f>IF(AT56="No",10,IF(AT56="Yes",-10,0))</f>
        <v/>
      </c>
      <c r="AV56" s="31" t="inlineStr">
        <is>
          <t>No</t>
        </is>
      </c>
      <c r="AW56" s="31">
        <f>IF(AV56="No",10,0)</f>
        <v/>
      </c>
      <c r="AX56" s="31" t="inlineStr">
        <is>
          <t>No</t>
        </is>
      </c>
      <c r="AY56" s="31">
        <f>IF(AX56="No",10,IF(AX56= "Yes CEO Resignation",-5,0))</f>
        <v/>
      </c>
      <c r="AZ56" s="31" t="inlineStr">
        <is>
          <t>No</t>
        </is>
      </c>
      <c r="BA56" s="31">
        <f>IF(AZ56="No",10,IF(AZ56="Yes",-5,0))</f>
        <v/>
      </c>
      <c r="BB56" s="31" t="inlineStr">
        <is>
          <t>No</t>
        </is>
      </c>
      <c r="BC56" s="31">
        <f>IF(BB56="No",5,IF(BB56="Yes",-5,0))</f>
        <v/>
      </c>
      <c r="BD56" s="31" t="inlineStr">
        <is>
          <t>Yes</t>
        </is>
      </c>
      <c r="BE56" s="31">
        <f>IF(BD56="Yes",10,0)</f>
        <v/>
      </c>
      <c r="BF56" s="31" t="inlineStr">
        <is>
          <t>Yes</t>
        </is>
      </c>
      <c r="BG56" s="31">
        <f>IF(BF56="Yes",10,0)</f>
        <v/>
      </c>
      <c r="BH56" s="31" t="inlineStr">
        <is>
          <t>Yes</t>
        </is>
      </c>
      <c r="BI56" s="31">
        <f>IF(BH56="Yes",10,0)</f>
        <v/>
      </c>
      <c r="BJ56" s="31" t="inlineStr">
        <is>
          <t>P/BV between 2.5x to 5x and Growth less than 20%</t>
        </is>
      </c>
      <c r="BK56" s="31">
        <f>IF(BJ56="P/BV less than 2.5x and Growth more than 20%",20,IF(BJ56 = "P/BV less than 2.5x and Growth less than 20%",5,IF(BJ56="P/BV between 2.5x to 5x and Growth more than 20%",10,IF(BJ56= "P/BV between 2.5x to 5x and Growth less than 20%",-5,IF(BJ56= "P/BV above 5x",-5,0)))))</f>
        <v/>
      </c>
      <c r="BL56" s="31" t="inlineStr">
        <is>
          <t>0 to 20</t>
        </is>
      </c>
      <c r="BM56" s="31">
        <f>IF(BL56="Above 40",20,IF(BL56="20 to 40",10,IF(BL56="0 to 20",-5,0)))</f>
        <v/>
      </c>
      <c r="BN56" s="31" t="inlineStr">
        <is>
          <t>Between 50 to 75</t>
        </is>
      </c>
      <c r="BO56" s="31">
        <f>IF(BN56="Between 50 to 75",10,IF(BN56="Above 75",0,0))</f>
        <v/>
      </c>
      <c r="BP56" s="31" t="inlineStr">
        <is>
          <t>Stage 4</t>
        </is>
      </c>
      <c r="BQ56" s="31">
        <f>IF(BP56="Stage 2",20,IF(BP56="Stage 1",0,IF(BP56="Stage 3",5,IF(BP56="Stage 4",-5,0))))</f>
        <v/>
      </c>
      <c r="BR56" s="31" t="inlineStr">
        <is>
          <t>Negative Trend</t>
        </is>
      </c>
      <c r="BS56" s="31">
        <f>IF(BR56="Positive Trend",20,IF(BR56="Negative Trend",-10,0))</f>
        <v/>
      </c>
      <c r="BT56" s="31" t="inlineStr">
        <is>
          <t>Uptrend</t>
        </is>
      </c>
      <c r="BU56" s="31">
        <f>IF(BT56="Uptrend",10,IF(BT56="Sideways",5,0))</f>
        <v/>
      </c>
      <c r="BV56" s="31" t="inlineStr">
        <is>
          <t>Uptrend</t>
        </is>
      </c>
      <c r="BW56" s="31">
        <f>IF(BV56="Uptrend",10,IF(BV56="Sideways",5,0))</f>
        <v/>
      </c>
      <c r="BX56" s="31" t="inlineStr">
        <is>
          <t>Close to 52 week high or retracement</t>
        </is>
      </c>
      <c r="BY56" s="31">
        <f>IF(BX56="Overhead supply in last 2 years in last 2 years",-5,IF(BX56="Close to 52 week high or retracement",5,IF(BX56="Blue sky scenario",10,IF(BX56="Long term Downtrend",-10,0))))</f>
        <v/>
      </c>
      <c r="BZ56" s="31" t="inlineStr">
        <is>
          <t>Yes</t>
        </is>
      </c>
      <c r="CA56" s="31">
        <f>IF(BZ56="Yes",10,0)</f>
        <v/>
      </c>
    </row>
  </sheetData>
  <autoFilter ref="A1:CA56"/>
  <conditionalFormatting sqref="B2:B5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5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5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5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5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5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5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5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5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5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5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5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5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5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5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5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5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5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5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5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5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5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5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5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5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5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5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5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5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6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56">
    <cfRule type="cellIs" priority="34" operator="equal" dxfId="3" stopIfTrue="1">
      <formula>"Underperforming"</formula>
    </cfRule>
  </conditionalFormatting>
  <conditionalFormatting sqref="N2:N56">
    <cfRule type="cellIs" priority="35" operator="equal" dxfId="3" stopIfTrue="1">
      <formula>-5</formula>
    </cfRule>
  </conditionalFormatting>
  <conditionalFormatting sqref="Q2:Q56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56" showDropDown="0" showInputMessage="0" showErrorMessage="0" allowBlank="1" type="list">
      <formula1>"Growing Industry,Stagnant Industry,Cyclical in an Upturn"</formula1>
    </dataValidation>
    <dataValidation sqref="Z2:Z56" showDropDown="0" showInputMessage="0" showErrorMessage="0" allowBlank="1" type="list">
      <formula1>"Fragmented with Low ROE,Fragmented with High ROE,Highly Cyclical"</formula1>
    </dataValidation>
    <dataValidation sqref="AB2:AB56" showDropDown="0" showInputMessage="0" showErrorMessage="0" allowBlank="1" type="list">
      <formula1>"Yes,No"</formula1>
    </dataValidation>
    <dataValidation sqref="AD2:AD56" showDropDown="0" showInputMessage="0" showErrorMessage="0" allowBlank="1" type="list">
      <formula1>"Tailwind,Headwind"</formula1>
    </dataValidation>
    <dataValidation sqref="AF2:AF5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56" showDropDown="0" showInputMessage="0" showErrorMessage="0" allowBlank="1" type="list">
      <formula1>"Yes,No"</formula1>
    </dataValidation>
    <dataValidation sqref="AJ2:AJ56" showDropDown="0" showInputMessage="0" showErrorMessage="0" allowBlank="1" type="list">
      <formula1>"Yes,No,Not Applicable"</formula1>
    </dataValidation>
    <dataValidation sqref="AL2:AL56" showDropDown="0" showInputMessage="0" showErrorMessage="0" allowBlank="1" type="list">
      <formula1>"Yes,No"</formula1>
    </dataValidation>
    <dataValidation sqref="AN2:AN56" showDropDown="0" showInputMessage="0" showErrorMessage="0" allowBlank="1" type="list">
      <formula1>"Yes,No"</formula1>
    </dataValidation>
    <dataValidation sqref="AP2:AP56" showDropDown="0" showInputMessage="0" showErrorMessage="0" allowBlank="1" type="list">
      <formula1>"Yes,No"</formula1>
    </dataValidation>
    <dataValidation sqref="AR2:AR56" showDropDown="0" showInputMessage="0" showErrorMessage="0" allowBlank="1" type="list">
      <formula1>"Yes,No"</formula1>
    </dataValidation>
    <dataValidation sqref="AT2:AT56" showDropDown="0" showInputMessage="0" showErrorMessage="0" allowBlank="1" type="list">
      <formula1>"No,Yes"</formula1>
    </dataValidation>
    <dataValidation sqref="AV2:AV56" showDropDown="0" showInputMessage="0" showErrorMessage="0" allowBlank="1" type="list">
      <formula1>"No,Yes"</formula1>
    </dataValidation>
    <dataValidation sqref="AX2:AX56" showDropDown="0" showInputMessage="0" showErrorMessage="0" allowBlank="1" type="list">
      <formula1>"No,Yes CEO Resignation,Yes CEO Retirement"</formula1>
    </dataValidation>
    <dataValidation sqref="AZ2:AZ56" showDropDown="0" showInputMessage="0" showErrorMessage="0" allowBlank="1" type="list">
      <formula1>"No,Yes"</formula1>
    </dataValidation>
    <dataValidation sqref="BB2:BB56" showDropDown="0" showInputMessage="0" showErrorMessage="0" allowBlank="1" type="list">
      <formula1>"No,Yes"</formula1>
    </dataValidation>
    <dataValidation sqref="BD2:BD56" showDropDown="0" showInputMessage="0" showErrorMessage="0" allowBlank="1" type="list">
      <formula1>"Yes,No"</formula1>
    </dataValidation>
    <dataValidation sqref="BF2:BF56" showDropDown="0" showInputMessage="0" showErrorMessage="0" allowBlank="1" type="list">
      <formula1>"Yes,No"</formula1>
    </dataValidation>
    <dataValidation sqref="BH2:BH56" showDropDown="0" showInputMessage="0" showErrorMessage="0" allowBlank="1" type="list">
      <formula1>"Yes,No"</formula1>
    </dataValidation>
    <dataValidation sqref="BJ2:BJ5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56" showDropDown="0" showInputMessage="0" showErrorMessage="0" allowBlank="1" type="list">
      <formula1>"Above 40,20 to 40,0 to 20"</formula1>
    </dataValidation>
    <dataValidation sqref="BN2:BN56" showDropDown="0" showInputMessage="0" showErrorMessage="0" allowBlank="1" type="list">
      <formula1>"Between 50 to 75,Above 75,Below 45"</formula1>
    </dataValidation>
    <dataValidation sqref="BP2:BP56" showDropDown="0" showInputMessage="0" showErrorMessage="0" allowBlank="1" type="list">
      <formula1>"Stage 1,Stage 2,Stage 3,Stage 4"</formula1>
    </dataValidation>
    <dataValidation sqref="BR2:BR56" showDropDown="0" showInputMessage="0" showErrorMessage="0" allowBlank="1" type="list">
      <formula1>"Positive Trend,Negative Trend"</formula1>
    </dataValidation>
    <dataValidation sqref="BT2:BT56" showDropDown="0" showInputMessage="0" showErrorMessage="0" allowBlank="1" type="list">
      <formula1>"Uptrend,Sideways,Downtrend"</formula1>
    </dataValidation>
    <dataValidation sqref="BV2:BV56" showDropDown="0" showInputMessage="0" showErrorMessage="0" allowBlank="1" type="list">
      <formula1>"Uptrend,Sideways,Downtrend"</formula1>
    </dataValidation>
    <dataValidation sqref="BX2:BX5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5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0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IF(B2=0,"",RANK(B2,$B$2:$B$20,0))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EMA Crossover</t>
        </is>
      </c>
      <c r="D2" s="32" t="n">
        <v>144.4</v>
      </c>
      <c r="E2" s="32" t="inlineStr">
        <is>
          <t>7%</t>
        </is>
      </c>
      <c r="F2" s="32" t="n">
        <v>70000</v>
      </c>
      <c r="G2" s="32" t="n">
        <v>36</v>
      </c>
      <c r="H2" s="33" t="inlineStr">
        <is>
          <t>APLAPOLLO</t>
        </is>
      </c>
      <c r="I2" s="33" t="inlineStr">
        <is>
          <t>Apl Apollo Tubes Limited</t>
        </is>
      </c>
      <c r="J2" s="31" t="inlineStr">
        <is>
          <t>industrials</t>
        </is>
      </c>
      <c r="K2" s="31" t="inlineStr">
        <is>
          <t>steel - large</t>
        </is>
      </c>
      <c r="L2" s="31" t="inlineStr">
        <is>
          <t>largecap</t>
        </is>
      </c>
      <c r="M2" s="32" t="n">
        <v>50519.95</v>
      </c>
      <c r="N2" s="32" t="n">
        <v>1941.5</v>
      </c>
      <c r="O2" s="32" t="n">
        <v>6.71</v>
      </c>
      <c r="P2" s="32" t="n">
        <v>12712232</v>
      </c>
      <c r="Q2" s="31" t="n">
        <v>7</v>
      </c>
      <c r="R2" s="31" t="inlineStr">
        <is>
          <t>Underperforming</t>
        </is>
      </c>
      <c r="S2" s="32">
        <f>IF(R2="Underperforming",-5,IF(Q2&gt;=95,15,IF(Q2&gt;=90,10,IF(Q2&gt;=80,5,0))))</f>
        <v/>
      </c>
      <c r="T2" s="32" t="n">
        <v>45.25</v>
      </c>
      <c r="U2" s="32" t="n">
        <v>9.130000000000001</v>
      </c>
      <c r="V2" s="32" t="inlineStr"/>
      <c r="W2" s="31" t="inlineStr">
        <is>
          <t>Earnings / Momentum Support</t>
        </is>
      </c>
      <c r="X2" s="31" t="inlineStr">
        <is>
          <t>Nifty Metal</t>
        </is>
      </c>
      <c r="Y2" s="32" t="n">
        <v>31.49</v>
      </c>
      <c r="Z2" s="32" t="n">
        <v>8.119999999999999</v>
      </c>
      <c r="AA2" s="32" t="n">
        <v>-17.78</v>
      </c>
      <c r="AB2" s="32" t="n">
        <v>-0.9399999999999999</v>
      </c>
      <c r="AC2" s="31" t="inlineStr">
        <is>
          <t>Cyclical in an Upturn</t>
        </is>
      </c>
      <c r="AD2" s="31">
        <f>IF(AC2="Growing Industry",10,IF(AC2="Cyclical in an Upturn",5,0))</f>
        <v/>
      </c>
      <c r="AE2" s="31" t="inlineStr">
        <is>
          <t>Oligopoly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Cyclical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B2C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Fully One Time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Above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Close to 52 week high or retracement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Yes</t>
        </is>
      </c>
      <c r="BV2" s="31">
        <f>IF(BU2="No",10,0)</f>
        <v/>
      </c>
      <c r="BW2" s="31" t="inlineStr">
        <is>
          <t>Yes</t>
        </is>
      </c>
      <c r="BX2" s="31">
        <f>IF(BW2="NO",5,0)</f>
        <v/>
      </c>
      <c r="BY2" s="31" t="inlineStr">
        <is>
          <t>Between 1.5 to 2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IF(B3=0,"",RANK(B3,$B$2:$B$20,0))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139.4</v>
      </c>
      <c r="E3" s="32" t="inlineStr">
        <is>
          <t>5%</t>
        </is>
      </c>
      <c r="F3" s="32" t="n">
        <v>50000</v>
      </c>
      <c r="G3" s="32" t="n">
        <v>56</v>
      </c>
      <c r="H3" s="31" t="inlineStr">
        <is>
          <t>RPTECH</t>
        </is>
      </c>
      <c r="I3" s="31" t="inlineStr">
        <is>
          <t>Rashi Peripherals Ltd</t>
        </is>
      </c>
      <c r="J3" s="31" t="inlineStr">
        <is>
          <t>services</t>
        </is>
      </c>
      <c r="K3" s="31" t="inlineStr">
        <is>
          <t>trading</t>
        </is>
      </c>
      <c r="L3" s="31" t="inlineStr">
        <is>
          <t>midcap</t>
        </is>
      </c>
      <c r="M3" s="32" t="n">
        <v>5493.07</v>
      </c>
      <c r="N3" s="32" t="n">
        <v>883.65</v>
      </c>
      <c r="O3" s="32" t="n">
        <v>6.01</v>
      </c>
      <c r="P3" s="32" t="n">
        <v>1212673</v>
      </c>
      <c r="Q3" s="31" t="n">
        <v>97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80.53</v>
      </c>
      <c r="U3" s="32" t="n">
        <v>77.25</v>
      </c>
      <c r="V3" s="32" t="inlineStr"/>
      <c r="W3" s="31" t="inlineStr">
        <is>
          <t>Earnings / Momentum Support</t>
        </is>
      </c>
      <c r="X3" s="31" t="inlineStr">
        <is>
          <t>Nifty 50</t>
        </is>
      </c>
      <c r="Y3" s="32" t="n">
        <v>-0.74</v>
      </c>
      <c r="Z3" s="32" t="n">
        <v>190.15</v>
      </c>
      <c r="AA3" s="32" t="n">
        <v>192.31</v>
      </c>
      <c r="AB3" s="32" t="n">
        <v>42.97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Headwind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No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3</t>
        </is>
      </c>
      <c r="BH3" s="31">
        <f>IF(BG3="Stage 2",20,IF(BG3="Stage 1",0,IF(BG3="Stage 3",5,IF(BG3="Stage 4",-5,0))))</f>
        <v/>
      </c>
      <c r="BI3" s="31" t="inlineStr">
        <is>
          <t>Negative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Close to 52 week high or retracement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Less than 50%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IF(B4=0,"",RANK(B4,$B$2:$B$20,0))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139.4</v>
      </c>
      <c r="E4" s="32" t="inlineStr">
        <is>
          <t>5%</t>
        </is>
      </c>
      <c r="F4" s="32" t="n">
        <v>50000</v>
      </c>
      <c r="G4" s="32" t="n">
        <v>20</v>
      </c>
      <c r="H4" s="31" t="inlineStr">
        <is>
          <t>SJS</t>
        </is>
      </c>
      <c r="I4" s="31" t="inlineStr">
        <is>
          <t>S J S Enterprises Ltd</t>
        </is>
      </c>
      <c r="J4" s="31" t="inlineStr">
        <is>
          <t>auto</t>
        </is>
      </c>
      <c r="K4" s="31" t="inlineStr">
        <is>
          <t>plastics products</t>
        </is>
      </c>
      <c r="L4" s="31" t="inlineStr">
        <is>
          <t>midcap</t>
        </is>
      </c>
      <c r="M4" s="32" t="n">
        <v>7654.67</v>
      </c>
      <c r="N4" s="32" t="n">
        <v>2483.4</v>
      </c>
      <c r="O4" s="32" t="n">
        <v>3.83</v>
      </c>
      <c r="P4" s="32" t="n">
        <v>156038</v>
      </c>
      <c r="Q4" s="31" t="n">
        <v>78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70.20999999999999</v>
      </c>
      <c r="U4" s="32" t="n">
        <v>41.6</v>
      </c>
      <c r="V4" s="32" t="inlineStr"/>
      <c r="W4" s="31" t="inlineStr">
        <is>
          <t>Earnings / Momentum Support</t>
        </is>
      </c>
      <c r="X4" s="31" t="inlineStr">
        <is>
          <t>Nifty Auto</t>
        </is>
      </c>
      <c r="Y4" s="32" t="n">
        <v>13.41</v>
      </c>
      <c r="Z4" s="32" t="n">
        <v>76.45</v>
      </c>
      <c r="AA4" s="32" t="n">
        <v>55.58</v>
      </c>
      <c r="AB4" s="32" t="n">
        <v>18.09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Headwind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No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Between 50 to 75</t>
        </is>
      </c>
      <c r="BF4" s="31">
        <f>IF(BE4="Between 50 to 75",10,IF(BE4="Above 75",0,0))</f>
        <v/>
      </c>
      <c r="BG4" s="31" t="inlineStr">
        <is>
          <t>Stage 3</t>
        </is>
      </c>
      <c r="BH4" s="31">
        <f>IF(BG4="Stage 2",20,IF(BG4="Stage 1",0,IF(BG4="Stage 3",5,IF(BG4="Stage 4",-5,0))))</f>
        <v/>
      </c>
      <c r="BI4" s="31" t="inlineStr">
        <is>
          <t>Negative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Close to 52 week high or retracement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Yes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IF(B5=0,"",RANK(B5,$B$2:$B$20,0))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139.8</v>
      </c>
      <c r="E5" s="32" t="inlineStr">
        <is>
          <t>5%</t>
        </is>
      </c>
      <c r="F5" s="32" t="n">
        <v>50000</v>
      </c>
      <c r="G5" s="32" t="n">
        <v>32</v>
      </c>
      <c r="H5" s="31" t="inlineStr">
        <is>
          <t>NESTLEIND</t>
        </is>
      </c>
      <c r="I5" s="31" t="inlineStr">
        <is>
          <t>Nestle India Limited</t>
        </is>
      </c>
      <c r="J5" s="31" t="inlineStr">
        <is>
          <t>fmcg</t>
        </is>
      </c>
      <c r="K5" s="31" t="inlineStr">
        <is>
          <t>food - processing - mnc</t>
        </is>
      </c>
      <c r="L5" s="31" t="inlineStr">
        <is>
          <t>largecap</t>
        </is>
      </c>
      <c r="M5" s="32" t="n">
        <v>291098.33</v>
      </c>
      <c r="N5" s="32" t="n">
        <v>1530</v>
      </c>
      <c r="O5" s="32" t="n">
        <v>1.35</v>
      </c>
      <c r="P5" s="32" t="n">
        <v>3504036</v>
      </c>
      <c r="Q5" s="31" t="n">
        <v>36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68.63</v>
      </c>
      <c r="U5" s="32" t="n">
        <v>34.8</v>
      </c>
      <c r="V5" s="32" t="inlineStr"/>
      <c r="W5" s="31" t="inlineStr">
        <is>
          <t>Earnings / Momentum Support</t>
        </is>
      </c>
      <c r="X5" s="31" t="inlineStr">
        <is>
          <t>Nifty FMCG</t>
        </is>
      </c>
      <c r="Y5" s="32" t="n">
        <v>-13.73</v>
      </c>
      <c r="Z5" s="32" t="n">
        <v>16.64</v>
      </c>
      <c r="AA5" s="32" t="n">
        <v>35.2</v>
      </c>
      <c r="AB5" s="32" t="n">
        <v>5.54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Headwind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B2C</t>
        </is>
      </c>
      <c r="AT5" s="31">
        <f>IF(AS5="B2C",10,IF(AS5="B2B",5,0))</f>
        <v/>
      </c>
      <c r="AU5" s="31" t="inlineStr">
        <is>
          <t>No</t>
        </is>
      </c>
      <c r="AV5" s="31">
        <f>IF(AU5="Yes",10,0)</f>
        <v/>
      </c>
      <c r="AW5" s="31" t="inlineStr">
        <is>
          <t>Higher Annuity, Lower One Time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20 to 40</t>
        </is>
      </c>
      <c r="BD5" s="31">
        <f>IF(BC5="Above 40",20,IF(BC5="20 to 40",10,IF(BC5="0 to 20",-5,0)))</f>
        <v/>
      </c>
      <c r="BE5" s="31" t="inlineStr">
        <is>
          <t>Between 50 to 75</t>
        </is>
      </c>
      <c r="BF5" s="31">
        <f>IF(BE5="Between 50 to 75",10,IF(BE5="Above 75",0,0))</f>
        <v/>
      </c>
      <c r="BG5" s="31" t="inlineStr">
        <is>
          <t>Stage 3</t>
        </is>
      </c>
      <c r="BH5" s="31">
        <f>IF(BG5="Stage 2",20,IF(BG5="Stage 1",0,IF(BG5="Stage 3",5,IF(BG5="Stage 4",-5,0))))</f>
        <v/>
      </c>
      <c r="BI5" s="31" t="inlineStr">
        <is>
          <t>Negative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Close to 52 week high or retracement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Between 1.5 to 2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IF(B6=0,"",RANK(B6,$B$2:$B$20,0))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140</v>
      </c>
      <c r="E6" s="32" t="inlineStr">
        <is>
          <t>5%</t>
        </is>
      </c>
      <c r="F6" s="32" t="n">
        <v>50000</v>
      </c>
      <c r="G6" s="32" t="n">
        <v>286</v>
      </c>
      <c r="H6" s="31" t="inlineStr">
        <is>
          <t>OCCLLTD</t>
        </is>
      </c>
      <c r="I6" s="31" t="inlineStr">
        <is>
          <t>OCCL Ltd</t>
        </is>
      </c>
      <c r="J6" s="31" t="inlineStr">
        <is>
          <t>chemicals</t>
        </is>
      </c>
      <c r="K6" s="31" t="inlineStr">
        <is>
          <t>chemicals</t>
        </is>
      </c>
      <c r="L6" s="31" t="inlineStr">
        <is>
          <t>smallcap</t>
        </is>
      </c>
      <c r="M6" s="32" t="n">
        <v>829.28</v>
      </c>
      <c r="N6" s="32" t="n">
        <v>174.32</v>
      </c>
      <c r="O6" s="32" t="n">
        <v>5</v>
      </c>
      <c r="P6" s="32" t="n">
        <v>30139</v>
      </c>
      <c r="Q6" s="31" t="n">
        <v>82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80</v>
      </c>
      <c r="U6" s="32" t="n">
        <v>35.53</v>
      </c>
      <c r="V6" s="32" t="inlineStr"/>
      <c r="W6" s="31" t="inlineStr">
        <is>
          <t>Earnings / Momentum Support</t>
        </is>
      </c>
      <c r="X6" s="31" t="inlineStr">
        <is>
          <t>Nifty 50</t>
        </is>
      </c>
      <c r="Y6" s="32" t="n">
        <v>-0.74</v>
      </c>
      <c r="Z6" s="32" t="n">
        <v>9.82</v>
      </c>
      <c r="AA6" s="32" t="n">
        <v>10.64</v>
      </c>
      <c r="AB6" s="32" t="n">
        <v>19.49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Headwind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No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20 to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3</t>
        </is>
      </c>
      <c r="BH6" s="31">
        <f>IF(BG6="Stage 2",20,IF(BG6="Stage 1",0,IF(BG6="Stage 3",5,IF(BG6="Stage 4",-5,0))))</f>
        <v/>
      </c>
      <c r="BI6" s="31" t="inlineStr">
        <is>
          <t>Negative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Close to 52 week high or retracement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No</t>
        </is>
      </c>
      <c r="BX6" s="31">
        <f>IF(BW6="NO",5,0)</f>
        <v/>
      </c>
      <c r="BY6" s="31" t="inlineStr">
        <is>
          <t>Less than 1.5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IF(B7=0,"",RANK(B7,$B$2:$B$20,0))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140</v>
      </c>
      <c r="E7" s="32" t="inlineStr">
        <is>
          <t>5%</t>
        </is>
      </c>
      <c r="F7" s="32" t="n">
        <v>50000</v>
      </c>
      <c r="G7" s="32" t="n">
        <v>322</v>
      </c>
      <c r="H7" s="31" t="inlineStr">
        <is>
          <t>MOTHERSON</t>
        </is>
      </c>
      <c r="I7" s="31" t="inlineStr">
        <is>
          <t>Samvardhana Motherson International Ltd</t>
        </is>
      </c>
      <c r="J7" s="31" t="inlineStr">
        <is>
          <t>auto</t>
        </is>
      </c>
      <c r="K7" s="31" t="inlineStr">
        <is>
          <t>auto ancillaries</t>
        </is>
      </c>
      <c r="L7" s="31" t="inlineStr">
        <is>
          <t>largecap</t>
        </is>
      </c>
      <c r="M7" s="32" t="n">
        <v>159108.22</v>
      </c>
      <c r="N7" s="32" t="n">
        <v>155.01</v>
      </c>
      <c r="O7" s="32" t="n">
        <v>2.83</v>
      </c>
      <c r="P7" s="32" t="n">
        <v>52302690</v>
      </c>
      <c r="Q7" s="31" t="n">
        <v>58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66.18000000000001</v>
      </c>
      <c r="U7" s="32" t="n">
        <v>33.91</v>
      </c>
      <c r="V7" s="32" t="inlineStr"/>
      <c r="W7" s="31" t="inlineStr">
        <is>
          <t>Earnings / Momentum Support</t>
        </is>
      </c>
      <c r="X7" s="31" t="inlineStr">
        <is>
          <t>Nifty Auto</t>
        </is>
      </c>
      <c r="Y7" s="32" t="n">
        <v>13.41</v>
      </c>
      <c r="Z7" s="32" t="n">
        <v>43.48</v>
      </c>
      <c r="AA7" s="32" t="n">
        <v>26.51</v>
      </c>
      <c r="AB7" s="32" t="n">
        <v>10.72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Headwind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No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20 to 40</t>
        </is>
      </c>
      <c r="BD7" s="31">
        <f>IF(BC7="Above 40",20,IF(BC7="20 to 40",10,IF(BC7="0 to 20",-5,0)))</f>
        <v/>
      </c>
      <c r="BE7" s="31" t="inlineStr">
        <is>
          <t>Between 50 to 75</t>
        </is>
      </c>
      <c r="BF7" s="31">
        <f>IF(BE7="Between 50 to 75",10,IF(BE7="Above 75",0,0))</f>
        <v/>
      </c>
      <c r="BG7" s="31" t="inlineStr">
        <is>
          <t>Stage 3</t>
        </is>
      </c>
      <c r="BH7" s="31">
        <f>IF(BG7="Stage 2",20,IF(BG7="Stage 1",0,IF(BG7="Stage 3",5,IF(BG7="Stage 4",-5,0))))</f>
        <v/>
      </c>
      <c r="BI7" s="31" t="inlineStr">
        <is>
          <t>Negative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Close to 52 week high or retracement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Less than 1.5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IF(B8=0,"",RANK(B8,$B$2:$B$20,0))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140</v>
      </c>
      <c r="E8" s="32" t="inlineStr">
        <is>
          <t>5%</t>
        </is>
      </c>
      <c r="F8" s="32" t="n">
        <v>50000</v>
      </c>
      <c r="G8" s="32" t="n">
        <v>76</v>
      </c>
      <c r="H8" s="31" t="inlineStr">
        <is>
          <t>SIGMAADV</t>
        </is>
      </c>
      <c r="I8" s="31" t="inlineStr">
        <is>
          <t>Sigma Advanced System Ltd</t>
        </is>
      </c>
      <c r="J8" s="31" t="inlineStr">
        <is>
          <t>aerospace &amp; defence</t>
        </is>
      </c>
      <c r="K8" s="31" t="inlineStr">
        <is>
          <t>electronics - components</t>
        </is>
      </c>
      <c r="L8" s="31" t="inlineStr">
        <is>
          <t>midcap</t>
        </is>
      </c>
      <c r="M8" s="32" t="n">
        <v>11816.03</v>
      </c>
      <c r="N8" s="32" t="n">
        <v>654.7</v>
      </c>
      <c r="O8" s="32" t="n">
        <v>5</v>
      </c>
      <c r="P8" s="32" t="n">
        <v>146018</v>
      </c>
      <c r="Q8" s="31" t="n">
        <v>99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74.83</v>
      </c>
      <c r="U8" s="32" t="n">
        <v>66.72</v>
      </c>
      <c r="V8" s="32" t="inlineStr"/>
      <c r="W8" s="31" t="inlineStr">
        <is>
          <t>Earnings / Momentum Support</t>
        </is>
      </c>
      <c r="X8" s="31" t="inlineStr">
        <is>
          <t>Nifty 50</t>
        </is>
      </c>
      <c r="Y8" s="32" t="n">
        <v>-0.74</v>
      </c>
      <c r="Z8" s="32" t="n">
        <v>437.96</v>
      </c>
      <c r="AA8" s="32" t="n">
        <v>441.97</v>
      </c>
      <c r="AB8" s="32" t="n">
        <v>73.23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Headwind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No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Between 50 to 75</t>
        </is>
      </c>
      <c r="BF8" s="31">
        <f>IF(BE8="Between 50 to 75",10,IF(BE8="Above 75",0,0))</f>
        <v/>
      </c>
      <c r="BG8" s="31" t="inlineStr">
        <is>
          <t>Stage 3</t>
        </is>
      </c>
      <c r="BH8" s="31">
        <f>IF(BG8="Stage 2",20,IF(BG8="Stage 1",0,IF(BG8="Stage 3",5,IF(BG8="Stage 4",-5,0))))</f>
        <v/>
      </c>
      <c r="BI8" s="31" t="inlineStr">
        <is>
          <t>Negative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Close to 52 week high or retracement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Less than 1.5</t>
        </is>
      </c>
      <c r="BZ8" s="31">
        <f>IF(BY8="Above 2",0,IF(BY8="Between 1.5 to 2",5,IF(BY8="Less than 1.5",10,0)))</f>
        <v/>
      </c>
      <c r="CA8" s="31" t="inlineStr">
        <is>
          <t>Negative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Between 0.7 to 1.2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IF(B9=0,"",RANK(B9,$B$2:$B$20,0))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140</v>
      </c>
      <c r="E9" s="32" t="inlineStr">
        <is>
          <t>5%</t>
        </is>
      </c>
      <c r="F9" s="32" t="n">
        <v>50000</v>
      </c>
      <c r="G9" s="32" t="n">
        <v>63</v>
      </c>
      <c r="H9" s="31" t="inlineStr">
        <is>
          <t>SONACOMS</t>
        </is>
      </c>
      <c r="I9" s="31" t="inlineStr">
        <is>
          <t>Sona BLW Precision Forgings Ltd</t>
        </is>
      </c>
      <c r="J9" s="31" t="inlineStr">
        <is>
          <t>auto</t>
        </is>
      </c>
      <c r="K9" s="31" t="inlineStr">
        <is>
          <t>auto ancillaries</t>
        </is>
      </c>
      <c r="L9" s="31" t="inlineStr">
        <is>
          <t>largecap</t>
        </is>
      </c>
      <c r="M9" s="32" t="n">
        <v>47859.36</v>
      </c>
      <c r="N9" s="32" t="n">
        <v>785</v>
      </c>
      <c r="O9" s="32" t="n">
        <v>2.03</v>
      </c>
      <c r="P9" s="32" t="n">
        <v>7488346</v>
      </c>
      <c r="Q9" s="31" t="n">
        <v>64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80.03</v>
      </c>
      <c r="U9" s="32" t="n">
        <v>46.46</v>
      </c>
      <c r="V9" s="32" t="inlineStr"/>
      <c r="W9" s="31" t="inlineStr">
        <is>
          <t>Earnings / Momentum Support</t>
        </is>
      </c>
      <c r="X9" s="31" t="inlineStr">
        <is>
          <t>Nifty Auto</t>
        </is>
      </c>
      <c r="Y9" s="32" t="n">
        <v>13.41</v>
      </c>
      <c r="Z9" s="32" t="n">
        <v>47.83</v>
      </c>
      <c r="AA9" s="32" t="n">
        <v>30.34</v>
      </c>
      <c r="AB9" s="32" t="n">
        <v>12.69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Headwind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No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3</t>
        </is>
      </c>
      <c r="BH9" s="31">
        <f>IF(BG9="Stage 2",20,IF(BG9="Stage 1",0,IF(BG9="Stage 3",5,IF(BG9="Stage 4",-5,0))))</f>
        <v/>
      </c>
      <c r="BI9" s="31" t="inlineStr">
        <is>
          <t>Negative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Close to 52 week high or retracement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Between 1.5 to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IF(B10=0,"",RANK(B10,$B$2:$B$20,0))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139.5</v>
      </c>
      <c r="E10" s="32" t="inlineStr">
        <is>
          <t>5%</t>
        </is>
      </c>
      <c r="F10" s="32" t="n">
        <v>50000</v>
      </c>
      <c r="G10" s="32" t="n">
        <v>11</v>
      </c>
      <c r="H10" s="31" t="inlineStr">
        <is>
          <t>SHRIPISTON</t>
        </is>
      </c>
      <c r="I10" s="31" t="inlineStr">
        <is>
          <t>Shriram Pistons &amp; Rings Limited</t>
        </is>
      </c>
      <c r="J10" s="31" t="inlineStr">
        <is>
          <t>auto</t>
        </is>
      </c>
      <c r="K10" s="31" t="inlineStr">
        <is>
          <t>auto ancillaries</t>
        </is>
      </c>
      <c r="L10" s="31" t="inlineStr">
        <is>
          <t>midcap</t>
        </is>
      </c>
      <c r="M10" s="32" t="n">
        <v>19360.78</v>
      </c>
      <c r="N10" s="32" t="n">
        <v>4524.4</v>
      </c>
      <c r="O10" s="32" t="n">
        <v>2.94</v>
      </c>
      <c r="P10" s="32" t="n">
        <v>66254</v>
      </c>
      <c r="Q10" s="31" t="n">
        <v>69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72.92</v>
      </c>
      <c r="U10" s="32" t="n">
        <v>40.83</v>
      </c>
      <c r="V10" s="32" t="inlineStr"/>
      <c r="W10" s="31" t="inlineStr">
        <is>
          <t>Earnings / Momentum Support</t>
        </is>
      </c>
      <c r="X10" s="31" t="inlineStr">
        <is>
          <t>Nifty Auto</t>
        </is>
      </c>
      <c r="Y10" s="32" t="n">
        <v>13.41</v>
      </c>
      <c r="Z10" s="32" t="n">
        <v>71.08</v>
      </c>
      <c r="AA10" s="32" t="n">
        <v>50.84</v>
      </c>
      <c r="AB10" s="32" t="n">
        <v>14.07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Headwind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No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3</t>
        </is>
      </c>
      <c r="BH10" s="31">
        <f>IF(BG10="Stage 2",20,IF(BG10="Stage 1",0,IF(BG10="Stage 3",5,IF(BG10="Stage 4",-5,0))))</f>
        <v/>
      </c>
      <c r="BI10" s="31" t="inlineStr">
        <is>
          <t>Negative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Close to 52 week high or retracement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Less than 12%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No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IF(B11=0,"",RANK(B11,$B$2:$B$20,0))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139.5</v>
      </c>
      <c r="E11" s="32" t="inlineStr">
        <is>
          <t>5%</t>
        </is>
      </c>
      <c r="F11" s="32" t="n">
        <v>50000</v>
      </c>
      <c r="G11" s="32" t="n">
        <v>14</v>
      </c>
      <c r="H11" s="31" t="inlineStr">
        <is>
          <t>SANSERA</t>
        </is>
      </c>
      <c r="I11" s="31" t="inlineStr">
        <is>
          <t>Sansera Engineering Ltd</t>
        </is>
      </c>
      <c r="J11" s="31" t="inlineStr">
        <is>
          <t>auto</t>
        </is>
      </c>
      <c r="K11" s="31" t="inlineStr">
        <is>
          <t>auto ancillaries</t>
        </is>
      </c>
      <c r="L11" s="31" t="inlineStr">
        <is>
          <t>largecap</t>
        </is>
      </c>
      <c r="M11" s="32" t="n">
        <v>20885.85</v>
      </c>
      <c r="N11" s="32" t="n">
        <v>3452.7</v>
      </c>
      <c r="O11" s="32" t="n">
        <v>3.16</v>
      </c>
      <c r="P11" s="32" t="n">
        <v>174571</v>
      </c>
      <c r="Q11" s="31" t="n">
        <v>91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76.08</v>
      </c>
      <c r="U11" s="32" t="n">
        <v>53.13</v>
      </c>
      <c r="V11" s="32" t="inlineStr"/>
      <c r="W11" s="31" t="inlineStr">
        <is>
          <t>Earnings / Momentum Support</t>
        </is>
      </c>
      <c r="X11" s="31" t="inlineStr">
        <is>
          <t>Nifty Auto</t>
        </is>
      </c>
      <c r="Y11" s="32" t="n">
        <v>13.41</v>
      </c>
      <c r="Z11" s="32" t="n">
        <v>137.65</v>
      </c>
      <c r="AA11" s="32" t="n">
        <v>109.54</v>
      </c>
      <c r="AB11" s="32" t="n">
        <v>26.81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Headwind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No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3</t>
        </is>
      </c>
      <c r="BH11" s="31">
        <f>IF(BG11="Stage 2",20,IF(BG11="Stage 1",0,IF(BG11="Stage 3",5,IF(BG11="Stage 4",-5,0))))</f>
        <v/>
      </c>
      <c r="BI11" s="31" t="inlineStr">
        <is>
          <t>Negative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Close to 52 week high or retracement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Between 50% to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IF(B12=0,"",RANK(B12,$B$2:$B$20,0))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139.3</v>
      </c>
      <c r="E12" s="32" t="inlineStr">
        <is>
          <t>5%</t>
        </is>
      </c>
      <c r="F12" s="32" t="n">
        <v>50000</v>
      </c>
      <c r="G12" s="32" t="n">
        <v>29</v>
      </c>
      <c r="H12" s="31" t="inlineStr">
        <is>
          <t>HAPPYFORGE</t>
        </is>
      </c>
      <c r="I12" s="31" t="inlineStr">
        <is>
          <t>Happy Forgings Ltd</t>
        </is>
      </c>
      <c r="J12" s="31" t="inlineStr">
        <is>
          <t>industrials</t>
        </is>
      </c>
      <c r="K12" s="31" t="inlineStr">
        <is>
          <t>castings &amp; forgings</t>
        </is>
      </c>
      <c r="L12" s="31" t="inlineStr">
        <is>
          <t>midcap</t>
        </is>
      </c>
      <c r="M12" s="32" t="n">
        <v>15597.97</v>
      </c>
      <c r="N12" s="32" t="n">
        <v>1699.2</v>
      </c>
      <c r="O12" s="32" t="n">
        <v>2.81</v>
      </c>
      <c r="P12" s="32" t="n">
        <v>56505</v>
      </c>
      <c r="Q12" s="31" t="n">
        <v>77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74.42</v>
      </c>
      <c r="U12" s="32" t="n">
        <v>49.91</v>
      </c>
      <c r="V12" s="32" t="inlineStr"/>
      <c r="W12" s="31" t="inlineStr">
        <is>
          <t>Earnings / Momentum Support</t>
        </is>
      </c>
      <c r="X12" s="31" t="inlineStr">
        <is>
          <t>Nifty 50</t>
        </is>
      </c>
      <c r="Y12" s="32" t="n">
        <v>-0.74</v>
      </c>
      <c r="Z12" s="32" t="n">
        <v>76.09999999999999</v>
      </c>
      <c r="AA12" s="32" t="n">
        <v>77.41</v>
      </c>
      <c r="AB12" s="32" t="n">
        <v>17.2</v>
      </c>
      <c r="AC12" s="31" t="inlineStr">
        <is>
          <t>Cyclical in an Upturn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Headwind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No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3</t>
        </is>
      </c>
      <c r="BH12" s="31">
        <f>IF(BG12="Stage 2",20,IF(BG12="Stage 1",0,IF(BG12="Stage 3",5,IF(BG12="Stage 4",-5,0))))</f>
        <v/>
      </c>
      <c r="BI12" s="31" t="inlineStr">
        <is>
          <t>Negative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Close to 52 week high or retracement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IF(B13=0,"",RANK(B13,$B$2:$B$20,0))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140</v>
      </c>
      <c r="E13" s="32" t="inlineStr">
        <is>
          <t>5%</t>
        </is>
      </c>
      <c r="F13" s="32" t="n">
        <v>50000</v>
      </c>
      <c r="G13" s="32" t="n">
        <v>144</v>
      </c>
      <c r="H13" s="31" t="inlineStr">
        <is>
          <t>NYKAA</t>
        </is>
      </c>
      <c r="I13" s="31" t="inlineStr">
        <is>
          <t>FSN E-Commerce Ventures Ltd</t>
        </is>
      </c>
      <c r="J13" s="31" t="inlineStr">
        <is>
          <t>i.t</t>
        </is>
      </c>
      <c r="K13" s="31" t="inlineStr">
        <is>
          <t>trading</t>
        </is>
      </c>
      <c r="L13" s="31" t="inlineStr">
        <is>
          <t>largecap</t>
        </is>
      </c>
      <c r="M13" s="32" t="n">
        <v>95479.89999999999</v>
      </c>
      <c r="N13" s="32" t="n">
        <v>344.9</v>
      </c>
      <c r="O13" s="32" t="n">
        <v>3.45</v>
      </c>
      <c r="P13" s="32" t="n">
        <v>20553807</v>
      </c>
      <c r="Q13" s="31" t="n">
        <v>72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72.44</v>
      </c>
      <c r="U13" s="32" t="n">
        <v>40.72</v>
      </c>
      <c r="V13" s="32" t="inlineStr"/>
      <c r="W13" s="31" t="inlineStr">
        <is>
          <t>Earnings / Momentum Support</t>
        </is>
      </c>
      <c r="X13" s="31" t="inlineStr">
        <is>
          <t>Nifty IT</t>
        </is>
      </c>
      <c r="Y13" s="32" t="n">
        <v>-11.37</v>
      </c>
      <c r="Z13" s="32" t="n">
        <v>58.72</v>
      </c>
      <c r="AA13" s="32" t="n">
        <v>79.08</v>
      </c>
      <c r="AB13" s="32" t="n">
        <v>15.4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Headwind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No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Between 50 to 75</t>
        </is>
      </c>
      <c r="BF13" s="31">
        <f>IF(BE13="Between 50 to 75",10,IF(BE13="Above 75",0,0))</f>
        <v/>
      </c>
      <c r="BG13" s="31" t="inlineStr">
        <is>
          <t>Stage 3</t>
        </is>
      </c>
      <c r="BH13" s="31">
        <f>IF(BG13="Stage 2",20,IF(BG13="Stage 1",0,IF(BG13="Stage 3",5,IF(BG13="Stage 4",-5,0))))</f>
        <v/>
      </c>
      <c r="BI13" s="31" t="inlineStr">
        <is>
          <t>Negative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Close to 52 week high or retracement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Between 0.7 to 1.2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IF(B14=0,"",RANK(B14,$B$2:$B$20,0))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139.4</v>
      </c>
      <c r="E14" s="32" t="inlineStr">
        <is>
          <t>5%</t>
        </is>
      </c>
      <c r="F14" s="32" t="n">
        <v>50000</v>
      </c>
      <c r="G14" s="32" t="n">
        <v>4</v>
      </c>
      <c r="H14" s="31" t="inlineStr">
        <is>
          <t>CRAFTSMAN</t>
        </is>
      </c>
      <c r="I14" s="31" t="inlineStr">
        <is>
          <t>Craftsman Automation Ltd</t>
        </is>
      </c>
      <c r="J14" s="31" t="inlineStr">
        <is>
          <t>auto</t>
        </is>
      </c>
      <c r="K14" s="31" t="inlineStr">
        <is>
          <t>auto ancillaries</t>
        </is>
      </c>
      <c r="L14" s="31" t="inlineStr">
        <is>
          <t>largecap</t>
        </is>
      </c>
      <c r="M14" s="32" t="n">
        <v>25823.58</v>
      </c>
      <c r="N14" s="32" t="n">
        <v>10228.5</v>
      </c>
      <c r="O14" s="32" t="n">
        <v>3.6</v>
      </c>
      <c r="P14" s="32" t="n">
        <v>85274</v>
      </c>
      <c r="Q14" s="31" t="n">
        <v>60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66.69</v>
      </c>
      <c r="U14" s="32" t="n">
        <v>61.29</v>
      </c>
      <c r="V14" s="32" t="inlineStr"/>
      <c r="W14" s="31" t="inlineStr">
        <is>
          <t>Earnings / Momentum Support</t>
        </is>
      </c>
      <c r="X14" s="31" t="inlineStr">
        <is>
          <t>Nifty Auto</t>
        </is>
      </c>
      <c r="Y14" s="32" t="n">
        <v>13.41</v>
      </c>
      <c r="Z14" s="32" t="n">
        <v>42.38</v>
      </c>
      <c r="AA14" s="32" t="n">
        <v>25.54</v>
      </c>
      <c r="AB14" s="32" t="n">
        <v>11.32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Headwind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No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Above 40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3</t>
        </is>
      </c>
      <c r="BH14" s="31">
        <f>IF(BG14="Stage 2",20,IF(BG14="Stage 1",0,IF(BG14="Stage 3",5,IF(BG14="Stage 4",-5,0))))</f>
        <v/>
      </c>
      <c r="BI14" s="31" t="inlineStr">
        <is>
          <t>Negative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Close to 52 week high or retracement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Between 0.7 to 1.2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IF(B15=0,"",RANK(B15,$B$2:$B$20,0))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140</v>
      </c>
      <c r="E15" s="32" t="inlineStr">
        <is>
          <t>5%</t>
        </is>
      </c>
      <c r="F15" s="32" t="n">
        <v>50000</v>
      </c>
      <c r="G15" s="32" t="n">
        <v>5</v>
      </c>
      <c r="H15" s="31" t="inlineStr">
        <is>
          <t>DIVISLAB</t>
        </is>
      </c>
      <c r="I15" s="31" t="inlineStr">
        <is>
          <t>Divi's Laboratories Limited</t>
        </is>
      </c>
      <c r="J15" s="31" t="inlineStr">
        <is>
          <t>healthcare</t>
        </is>
      </c>
      <c r="K15" s="31" t="inlineStr">
        <is>
          <t>pharmaceuticals - indian - bulk drugs</t>
        </is>
      </c>
      <c r="L15" s="31" t="inlineStr">
        <is>
          <t>largecap</t>
        </is>
      </c>
      <c r="M15" s="32" t="n">
        <v>213861.49</v>
      </c>
      <c r="N15" s="32" t="n">
        <v>8585</v>
      </c>
      <c r="O15" s="32" t="n">
        <v>6.57</v>
      </c>
      <c r="P15" s="32" t="n">
        <v>5325340</v>
      </c>
      <c r="Q15" s="31" t="n">
        <v>57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80.41</v>
      </c>
      <c r="U15" s="32" t="n">
        <v>27.64</v>
      </c>
      <c r="V15" s="32" t="inlineStr"/>
      <c r="W15" s="31" t="inlineStr">
        <is>
          <t>Earnings / Momentum Support</t>
        </is>
      </c>
      <c r="X15" s="31" t="inlineStr">
        <is>
          <t>Nifty Pharma</t>
        </is>
      </c>
      <c r="Y15" s="32" t="n">
        <v>20.55</v>
      </c>
      <c r="Z15" s="32" t="n">
        <v>27.16</v>
      </c>
      <c r="AA15" s="32" t="n">
        <v>5.48</v>
      </c>
      <c r="AB15" s="32" t="n">
        <v>10.39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Yes</t>
        </is>
      </c>
      <c r="AH15" s="31">
        <f>IF(AG15="No",5,0)</f>
        <v/>
      </c>
      <c r="AI15" s="31" t="inlineStr">
        <is>
          <t>Headwind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No</t>
        </is>
      </c>
      <c r="AV15" s="31">
        <f>IF(AU15="Yes",10,0)</f>
        <v/>
      </c>
      <c r="AW15" s="31" t="inlineStr">
        <is>
          <t>Higher Annuity, Lower One Time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3</t>
        </is>
      </c>
      <c r="BH15" s="31">
        <f>IF(BG15="Stage 2",20,IF(BG15="Stage 1",0,IF(BG15="Stage 3",5,IF(BG15="Stage 4",-5,0))))</f>
        <v/>
      </c>
      <c r="BI15" s="31" t="inlineStr">
        <is>
          <t>Negative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Close to 52 week high or retracement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Less than 1.5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IF(B16=0,"",RANK(B16,$B$2:$B$20,0))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139.8</v>
      </c>
      <c r="E16" s="32" t="inlineStr">
        <is>
          <t>5%</t>
        </is>
      </c>
      <c r="F16" s="32" t="n">
        <v>50000</v>
      </c>
      <c r="G16" s="32" t="n">
        <v>34</v>
      </c>
      <c r="H16" s="31" t="inlineStr">
        <is>
          <t>UNIVCABLES</t>
        </is>
      </c>
      <c r="I16" s="31" t="inlineStr">
        <is>
          <t>Universal Cables Limited</t>
        </is>
      </c>
      <c r="J16" s="31" t="inlineStr">
        <is>
          <t>industrials</t>
        </is>
      </c>
      <c r="K16" s="31" t="inlineStr">
        <is>
          <t>cables - power</t>
        </is>
      </c>
      <c r="L16" s="31" t="inlineStr">
        <is>
          <t>smallcap</t>
        </is>
      </c>
      <c r="M16" s="32" t="n">
        <v>4713.02</v>
      </c>
      <c r="N16" s="32" t="n">
        <v>1431.8</v>
      </c>
      <c r="O16" s="32" t="n">
        <v>5.4</v>
      </c>
      <c r="P16" s="32" t="n">
        <v>252946</v>
      </c>
      <c r="Q16" s="31" t="n">
        <v>77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68.89</v>
      </c>
      <c r="U16" s="32" t="n">
        <v>57.42</v>
      </c>
      <c r="V16" s="32" t="inlineStr"/>
      <c r="W16" s="31" t="inlineStr">
        <is>
          <t>Earnings / Momentum Support</t>
        </is>
      </c>
      <c r="X16" s="31" t="inlineStr">
        <is>
          <t>Nifty Energy</t>
        </is>
      </c>
      <c r="Y16" s="32" t="n">
        <v>8.41</v>
      </c>
      <c r="Z16" s="32" t="n">
        <v>52.2</v>
      </c>
      <c r="AA16" s="32" t="n">
        <v>40.4</v>
      </c>
      <c r="AB16" s="32" t="n">
        <v>17.73</v>
      </c>
      <c r="AC16" s="31" t="inlineStr">
        <is>
          <t>Cyclical in an Upturn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Headwind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No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Above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3</t>
        </is>
      </c>
      <c r="BH16" s="31">
        <f>IF(BG16="Stage 2",20,IF(BG16="Stage 1",0,IF(BG16="Stage 3",5,IF(BG16="Stage 4",-5,0))))</f>
        <v/>
      </c>
      <c r="BI16" s="31" t="inlineStr">
        <is>
          <t>Negative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Close to 52 week high or retracement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Less than 12%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No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Less than 50%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IF(B17=0,"",RANK(B17,$B$2:$B$20,0))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140</v>
      </c>
      <c r="E17" s="32" t="inlineStr">
        <is>
          <t>5%</t>
        </is>
      </c>
      <c r="F17" s="32" t="n">
        <v>50000</v>
      </c>
      <c r="G17" s="32" t="n">
        <v>10</v>
      </c>
      <c r="H17" s="31" t="inlineStr">
        <is>
          <t>TITAN</t>
        </is>
      </c>
      <c r="I17" s="31" t="inlineStr">
        <is>
          <t>Titan Company Limited</t>
        </is>
      </c>
      <c r="J17" s="31" t="inlineStr">
        <is>
          <t>consumer discretionary</t>
        </is>
      </c>
      <c r="K17" s="31" t="inlineStr">
        <is>
          <t>diamond cutting / jewellery</t>
        </is>
      </c>
      <c r="L17" s="31" t="inlineStr">
        <is>
          <t>largecap</t>
        </is>
      </c>
      <c r="M17" s="32" t="n">
        <v>432813.51</v>
      </c>
      <c r="N17" s="32" t="n">
        <v>5000</v>
      </c>
      <c r="O17" s="32" t="n">
        <v>2.56</v>
      </c>
      <c r="P17" s="32" t="n">
        <v>1442659</v>
      </c>
      <c r="Q17" s="31" t="n">
        <v>58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68.25</v>
      </c>
      <c r="U17" s="32" t="n">
        <v>20.29</v>
      </c>
      <c r="V17" s="32" t="inlineStr"/>
      <c r="W17" s="31" t="inlineStr">
        <is>
          <t>Earnings / Momentum Support</t>
        </is>
      </c>
      <c r="X17" s="31" t="inlineStr">
        <is>
          <t>Nifty 50</t>
        </is>
      </c>
      <c r="Y17" s="32" t="n">
        <v>-0.74</v>
      </c>
      <c r="Z17" s="32" t="n">
        <v>47.5</v>
      </c>
      <c r="AA17" s="32" t="n">
        <v>48.6</v>
      </c>
      <c r="AB17" s="32" t="n">
        <v>10.49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Headwind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No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20 to 40</t>
        </is>
      </c>
      <c r="BD17" s="31">
        <f>IF(BC17="Above 40",20,IF(BC17="20 to 40",10,IF(BC17="0 to 20",-5,0)))</f>
        <v/>
      </c>
      <c r="BE17" s="31" t="inlineStr">
        <is>
          <t>Between 50 to 75</t>
        </is>
      </c>
      <c r="BF17" s="31">
        <f>IF(BE17="Between 50 to 75",10,IF(BE17="Above 75",0,0))</f>
        <v/>
      </c>
      <c r="BG17" s="31" t="inlineStr">
        <is>
          <t>Stage 3</t>
        </is>
      </c>
      <c r="BH17" s="31">
        <f>IF(BG17="Stage 2",20,IF(BG17="Stage 1",0,IF(BG17="Stage 3",5,IF(BG17="Stage 4",-5,0))))</f>
        <v/>
      </c>
      <c r="BI17" s="31" t="inlineStr">
        <is>
          <t>Negative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Close to 52 week high or retracement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More than 1.2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IF(B18=0,"",RANK(B18,$B$2:$B$20,0))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139.3</v>
      </c>
      <c r="E18" s="32" t="inlineStr">
        <is>
          <t>5%</t>
        </is>
      </c>
      <c r="F18" s="32" t="n">
        <v>50000</v>
      </c>
      <c r="G18" s="32" t="n">
        <v>276</v>
      </c>
      <c r="H18" s="31" t="inlineStr">
        <is>
          <t>GAEL</t>
        </is>
      </c>
      <c r="I18" s="31" t="inlineStr">
        <is>
          <t>Gujarat Ambuja Exports Limited</t>
        </is>
      </c>
      <c r="J18" s="31" t="inlineStr">
        <is>
          <t>fmcg</t>
        </is>
      </c>
      <c r="K18" s="31" t="inlineStr">
        <is>
          <t>miscellaneous</t>
        </is>
      </c>
      <c r="L18" s="31" t="inlineStr">
        <is>
          <t>midcap</t>
        </is>
      </c>
      <c r="M18" s="32" t="n">
        <v>7894.18</v>
      </c>
      <c r="N18" s="32" t="n">
        <v>180.68</v>
      </c>
      <c r="O18" s="32" t="n">
        <v>4.98</v>
      </c>
      <c r="P18" s="32" t="n">
        <v>8639340</v>
      </c>
      <c r="Q18" s="31" t="n">
        <v>38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63.81</v>
      </c>
      <c r="U18" s="32" t="n">
        <v>37.37</v>
      </c>
      <c r="V18" s="32" t="inlineStr"/>
      <c r="W18" s="31" t="inlineStr">
        <is>
          <t>Earnings / Momentum Support</t>
        </is>
      </c>
      <c r="X18" s="31" t="inlineStr">
        <is>
          <t>Nifty FMCG</t>
        </is>
      </c>
      <c r="Y18" s="32" t="n">
        <v>-13.73</v>
      </c>
      <c r="Z18" s="32" t="n">
        <v>30.8</v>
      </c>
      <c r="AA18" s="32" t="n">
        <v>51.62</v>
      </c>
      <c r="AB18" s="32" t="n">
        <v>5.8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Oligopoly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Shallow Cyclical (2 to 3 Years Growth)</t>
        </is>
      </c>
      <c r="AL18" s="31">
        <f>IF(AK18="Structural (10 Years Consistency)",10,IF(AK18="Shallow Cyclical (2 to 3 years growth)",5,0))</f>
        <v/>
      </c>
      <c r="AM18" s="31" t="inlineStr">
        <is>
          <t>Yes due to Product Mix change or Operating Leverage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Volatile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Allocated capital in Non-core Areas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Above 40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3</t>
        </is>
      </c>
      <c r="BH18" s="31">
        <f>IF(BG18="Stage 2",20,IF(BG18="Stage 1",0,IF(BG18="Stage 3",5,IF(BG18="Stage 4",-5,0))))</f>
        <v/>
      </c>
      <c r="BI18" s="31" t="inlineStr">
        <is>
          <t>Negative Trend</t>
        </is>
      </c>
      <c r="BJ18" s="31">
        <f>IF(BI18="Positive Trend",20,IF(BI18="Negative Trend",-10,0))</f>
        <v/>
      </c>
      <c r="BK18" s="31" t="inlineStr">
        <is>
          <t>Sideways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Overhead supply in last 2 years in last 2 years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No</t>
        </is>
      </c>
      <c r="BX18" s="31">
        <f>IF(BW18="NO",5,0)</f>
        <v/>
      </c>
      <c r="BY18" s="31" t="inlineStr">
        <is>
          <t>Less than 1.5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More than 15%</t>
        </is>
      </c>
      <c r="CH18" s="31">
        <f>IF(CG18="More than 15%",-10,IF(CG18="Less than 15%",10,0))</f>
        <v/>
      </c>
      <c r="CI18" s="31" t="inlineStr">
        <is>
          <t>Yes Upto 10%</t>
        </is>
      </c>
      <c r="CJ18" s="31">
        <f>IF(CI18="Yes, more than 10%",-10,IF(CI18="No",10,0))</f>
        <v/>
      </c>
    </row>
    <row r="19">
      <c r="A19" s="31">
        <f>IF(B19=0,"",RANK(B19,$B$2:$B$20,0))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140</v>
      </c>
      <c r="E19" s="32" t="inlineStr">
        <is>
          <t>5%</t>
        </is>
      </c>
      <c r="F19" s="32" t="n">
        <v>50000</v>
      </c>
      <c r="G19" s="32" t="n">
        <v>11</v>
      </c>
      <c r="H19" s="31" t="inlineStr">
        <is>
          <t>TVSMOTOR</t>
        </is>
      </c>
      <c r="I19" s="31" t="inlineStr">
        <is>
          <t>Tvs Motor Company Limited</t>
        </is>
      </c>
      <c r="J19" s="31" t="inlineStr">
        <is>
          <t>auto</t>
        </is>
      </c>
      <c r="K19" s="31" t="inlineStr">
        <is>
          <t>automobiles - motorcycles / mopeds</t>
        </is>
      </c>
      <c r="L19" s="31" t="inlineStr">
        <is>
          <t>largecap</t>
        </is>
      </c>
      <c r="M19" s="32" t="n">
        <v>204909.82</v>
      </c>
      <c r="N19" s="32" t="n">
        <v>4389</v>
      </c>
      <c r="O19" s="32" t="n">
        <v>1.76</v>
      </c>
      <c r="P19" s="32" t="n">
        <v>4755005</v>
      </c>
      <c r="Q19" s="31" t="n">
        <v>33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70.56</v>
      </c>
      <c r="U19" s="32" t="n">
        <v>16</v>
      </c>
      <c r="V19" s="32" t="inlineStr"/>
      <c r="W19" s="31" t="inlineStr">
        <is>
          <t>Earnings / Momentum Support</t>
        </is>
      </c>
      <c r="X19" s="31" t="inlineStr">
        <is>
          <t>Nifty Auto</t>
        </is>
      </c>
      <c r="Y19" s="32" t="n">
        <v>13.41</v>
      </c>
      <c r="Z19" s="32" t="n">
        <v>27.43</v>
      </c>
      <c r="AA19" s="32" t="n">
        <v>12.36</v>
      </c>
      <c r="AB19" s="32" t="n">
        <v>4.91</v>
      </c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Headwind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No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0 to 20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3</t>
        </is>
      </c>
      <c r="BH19" s="31">
        <f>IF(BG19="Stage 2",20,IF(BG19="Stage 1",0,IF(BG19="Stage 3",5,IF(BG19="Stage 4",-5,0))))</f>
        <v/>
      </c>
      <c r="BI19" s="31" t="inlineStr">
        <is>
          <t>Negative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Close to 52 week high or retracement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Yes</t>
        </is>
      </c>
      <c r="BX19" s="31">
        <f>IF(BW19="NO",5,0)</f>
        <v/>
      </c>
      <c r="BY19" s="31" t="inlineStr">
        <is>
          <t>Less than 1.5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More than 1.2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IF(B20=0,"",RANK(B20,$B$2:$B$20,0))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140</v>
      </c>
      <c r="E20" s="32" t="inlineStr">
        <is>
          <t>5%</t>
        </is>
      </c>
      <c r="F20" s="32" t="n">
        <v>50000</v>
      </c>
      <c r="G20" s="32" t="n">
        <v>15</v>
      </c>
      <c r="H20" s="31" t="inlineStr">
        <is>
          <t>GRASIM</t>
        </is>
      </c>
      <c r="I20" s="31" t="inlineStr">
        <is>
          <t>Grasim Industries Limited</t>
        </is>
      </c>
      <c r="J20" s="31" t="inlineStr">
        <is>
          <t>textiles</t>
        </is>
      </c>
      <c r="K20" s="31" t="inlineStr">
        <is>
          <t>textiles - manmade</t>
        </is>
      </c>
      <c r="L20" s="31" t="inlineStr">
        <is>
          <t>largecap</t>
        </is>
      </c>
      <c r="M20" s="32" t="n">
        <v>211034.43</v>
      </c>
      <c r="N20" s="32" t="n">
        <v>3260</v>
      </c>
      <c r="O20" s="32" t="n">
        <v>5.13</v>
      </c>
      <c r="P20" s="32" t="n">
        <v>1112791</v>
      </c>
      <c r="Q20" s="31" t="n">
        <v>34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59.06</v>
      </c>
      <c r="U20" s="32" t="n">
        <v>33.26</v>
      </c>
      <c r="V20" s="32" t="inlineStr"/>
      <c r="W20" s="31" t="inlineStr">
        <is>
          <t>Earnings / Momentum Support</t>
        </is>
      </c>
      <c r="X20" s="31" t="inlineStr">
        <is>
          <t>Nifty 50</t>
        </is>
      </c>
      <c r="Y20" s="32" t="n">
        <v>-0.74</v>
      </c>
      <c r="Z20" s="32" t="n">
        <v>14.32</v>
      </c>
      <c r="AA20" s="32" t="n">
        <v>15.17</v>
      </c>
      <c r="AB20" s="32" t="n">
        <v>5.06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Headwind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No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20 to 40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3</t>
        </is>
      </c>
      <c r="BH20" s="31">
        <f>IF(BG20="Stage 2",20,IF(BG20="Stage 1",0,IF(BG20="Stage 3",5,IF(BG20="Stage 4",-5,0))))</f>
        <v/>
      </c>
      <c r="BI20" s="31" t="inlineStr">
        <is>
          <t>Negative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Close to 52 week high or retracement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More than 20%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Yes</t>
        </is>
      </c>
      <c r="BX20" s="31">
        <f>IF(BW20="NO",5,0)</f>
        <v/>
      </c>
      <c r="BY20" s="31" t="inlineStr">
        <is>
          <t>Less than 1.5</t>
        </is>
      </c>
      <c r="BZ20" s="31">
        <f>IF(BY20="Above 2",0,IF(BY20="Between 1.5 to 2",5,IF(BY20="Less than 1.5",10,0)))</f>
        <v/>
      </c>
      <c r="CA20" s="31" t="inlineStr">
        <is>
          <t>Negative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More than 1.2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</sheetData>
  <autoFilter ref="A1:CJ20"/>
  <conditionalFormatting sqref="B2:B2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0">
    <cfRule type="cellIs" priority="36" operator="equal" dxfId="3" stopIfTrue="1">
      <formula>"Underperforming"</formula>
    </cfRule>
  </conditionalFormatting>
  <conditionalFormatting sqref="S2:S20">
    <cfRule type="cellIs" priority="37" operator="equal" dxfId="3" stopIfTrue="1">
      <formula>-5</formula>
    </cfRule>
  </conditionalFormatting>
  <conditionalFormatting sqref="V2:V20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0" showDropDown="0" showInputMessage="0" showErrorMessage="0" allowBlank="1" type="list">
      <formula1>"Growing Industry,Stagnant Industry,Cyclical in an Upturn"</formula1>
    </dataValidation>
    <dataValidation sqref="AE2:AE2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0" showDropDown="0" showInputMessage="0" showErrorMessage="0" allowBlank="1" type="list">
      <formula1>"Yes,No"</formula1>
    </dataValidation>
    <dataValidation sqref="AI2:AI20" showDropDown="0" showInputMessage="0" showErrorMessage="0" allowBlank="1" type="list">
      <formula1>"Tailwind,Headwind"</formula1>
    </dataValidation>
    <dataValidation sqref="AK2:AK20" showDropDown="0" showInputMessage="0" showErrorMessage="0" allowBlank="1" type="list">
      <formula1>"Structural (10 Years Consistency),Shallow Cyclical (2 to 3 Years Growth),Cyclical"</formula1>
    </dataValidation>
    <dataValidation sqref="AM2:AM20" showDropDown="0" showInputMessage="0" showErrorMessage="0" allowBlank="1" type="list">
      <formula1>"Yes due to Product Mix change or Operating Leverage,Yes, these are peak margins,No"</formula1>
    </dataValidation>
    <dataValidation sqref="AO2:AO20" showDropDown="0" showInputMessage="0" showErrorMessage="0" allowBlank="1" type="list">
      <formula1>"Stable,Volatile"</formula1>
    </dataValidation>
    <dataValidation sqref="AQ2:AQ20" showDropDown="0" showInputMessage="0" showErrorMessage="0" allowBlank="1" type="list">
      <formula1>"Yes,No"</formula1>
    </dataValidation>
    <dataValidation sqref="AS2:AS20" showDropDown="0" showInputMessage="0" showErrorMessage="0" allowBlank="1" type="list">
      <formula1>"B2C,B2B,B2G"</formula1>
    </dataValidation>
    <dataValidation sqref="AU2:AU20" showDropDown="0" showInputMessage="0" showErrorMessage="0" allowBlank="1" type="list">
      <formula1>"Yes,No"</formula1>
    </dataValidation>
    <dataValidation sqref="AW2:AW20" showDropDown="0" showInputMessage="0" showErrorMessage="0" allowBlank="1" type="list">
      <formula1>"Fully Annuity,Higher Annuity, Lower One time,Higher One Time, Lower Annuity,Fully One Time"</formula1>
    </dataValidation>
    <dataValidation sqref="AY2:AY20" showDropDown="0" showInputMessage="0" showErrorMessage="0" allowBlank="1" type="list">
      <formula1>"Good,Allocated capital in Non-core Areas"</formula1>
    </dataValidation>
    <dataValidation sqref="BA2:BA20" showDropDown="0" showInputMessage="0" showErrorMessage="0" allowBlank="1" type="list">
      <formula1>"Yes for more than 2 years,Yes only for next 1 to 2 years,No"</formula1>
    </dataValidation>
    <dataValidation sqref="BC2:BC20" showDropDown="0" showInputMessage="0" showErrorMessage="0" allowBlank="1" type="list">
      <formula1>"Above 40,20 to 40,0 to 20"</formula1>
    </dataValidation>
    <dataValidation sqref="BE2:BE20" showDropDown="0" showInputMessage="0" showErrorMessage="0" allowBlank="1" type="list">
      <formula1>"Between 50 to 75,Above 75,Below 45"</formula1>
    </dataValidation>
    <dataValidation sqref="BG2:BG20" showDropDown="0" showInputMessage="0" showErrorMessage="0" allowBlank="1" type="list">
      <formula1>"Stage 1,Stage 2,Stage 3,Stage 4"</formula1>
    </dataValidation>
    <dataValidation sqref="BI2:BI20" showDropDown="0" showInputMessage="0" showErrorMessage="0" allowBlank="1" type="list">
      <formula1>"Positive Trend,Negative Trend"</formula1>
    </dataValidation>
    <dataValidation sqref="BK2:BK20" showDropDown="0" showInputMessage="0" showErrorMessage="0" allowBlank="1" type="list">
      <formula1>"Uptrend,Sideways,Downtrend"</formula1>
    </dataValidation>
    <dataValidation sqref="BM2:BM20" showDropDown="0" showInputMessage="0" showErrorMessage="0" allowBlank="1" type="list">
      <formula1>"Uptrend,Sideways,Downtrend"</formula1>
    </dataValidation>
    <dataValidation sqref="BO2:BO2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0" showDropDown="0" showInputMessage="0" showErrorMessage="0" allowBlank="1" type="list">
      <formula1>"Yes,No"</formula1>
    </dataValidation>
    <dataValidation sqref="BS2:BS20" showDropDown="0" showInputMessage="0" showErrorMessage="0" allowBlank="1" type="list">
      <formula1>"More than 20%,Between 12 to 20%,Less than 12%"</formula1>
    </dataValidation>
    <dataValidation sqref="BU2:BU20" showDropDown="0" showInputMessage="0" showErrorMessage="0" allowBlank="1" type="list">
      <formula1>"Yes,No"</formula1>
    </dataValidation>
    <dataValidation sqref="BW2:BW20" showDropDown="0" showInputMessage="0" showErrorMessage="0" allowBlank="1" type="list">
      <formula1>"Yes,No"</formula1>
    </dataValidation>
    <dataValidation sqref="BY2:BY20" showDropDown="0" showInputMessage="0" showErrorMessage="0" allowBlank="1" type="list">
      <formula1>"Above 2,Between 1.5 to 2,Less than 1.5"</formula1>
    </dataValidation>
    <dataValidation sqref="CA2:CA20" showDropDown="0" showInputMessage="0" showErrorMessage="0" allowBlank="1" type="list">
      <formula1>"Above 70%,Between 50% to 70%,Less than 50%,Less than 50% and Borrowings are increasing,Negative"</formula1>
    </dataValidation>
    <dataValidation sqref="CC2:CC20" showDropDown="0" showInputMessage="0" showErrorMessage="0" allowBlank="1" type="list">
      <formula1>"More than 1.2,Between 0.7 to 1.2,Less than 0.7"</formula1>
    </dataValidation>
    <dataValidation sqref="CE2:CE20" showDropDown="0" showInputMessage="0" showErrorMessage="0" allowBlank="1" type="list">
      <formula1>"Yes,No"</formula1>
    </dataValidation>
    <dataValidation sqref="CG2:CG20" showDropDown="0" showInputMessage="0" showErrorMessage="0" allowBlank="1" type="list">
      <formula1>"More than 15%,Less than 15%"</formula1>
    </dataValidation>
    <dataValidation sqref="CI2:CI2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4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IF(B2=0,"",RANK(B2,$B$2:$B$4,0))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140</v>
      </c>
      <c r="E2" s="32" t="inlineStr">
        <is>
          <t>5%</t>
        </is>
      </c>
      <c r="F2" s="32" t="n">
        <v>50000</v>
      </c>
      <c r="G2" s="32" t="n">
        <v>134</v>
      </c>
      <c r="H2" s="31" t="inlineStr">
        <is>
          <t>FEDERALBNK</t>
        </is>
      </c>
      <c r="I2" s="31" t="inlineStr">
        <is>
          <t>The Federal Bank  Limited</t>
        </is>
      </c>
      <c r="J2" s="31" t="inlineStr">
        <is>
          <t>bank</t>
        </is>
      </c>
      <c r="K2" s="31" t="inlineStr">
        <is>
          <t>banks - private sector</t>
        </is>
      </c>
      <c r="L2" s="31" t="inlineStr">
        <is>
          <t>largecap</t>
        </is>
      </c>
      <c r="M2" s="32" t="n">
        <v>88565.58</v>
      </c>
      <c r="N2" s="32" t="n">
        <v>371.7</v>
      </c>
      <c r="O2" s="32" t="n">
        <v>3.58</v>
      </c>
      <c r="P2" s="32" t="n">
        <v>12420780</v>
      </c>
      <c r="Q2" s="31" t="n">
        <v>79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78.83</v>
      </c>
      <c r="U2" s="32" t="n">
        <v>34.02</v>
      </c>
      <c r="V2" s="32" t="inlineStr"/>
      <c r="W2" s="31" t="inlineStr">
        <is>
          <t>Earnings / Momentum Support</t>
        </is>
      </c>
      <c r="X2" s="31" t="inlineStr">
        <is>
          <t>Nifty Bank</t>
        </is>
      </c>
      <c r="Y2" s="32" t="n">
        <v>2.96</v>
      </c>
      <c r="Z2" s="32" t="n">
        <v>84.14</v>
      </c>
      <c r="AA2" s="32" t="n">
        <v>78.84</v>
      </c>
      <c r="AB2" s="32" t="n">
        <v>18.53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Headwind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No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Above 75</t>
        </is>
      </c>
      <c r="BT2" s="31">
        <f>IF(BS2="Between 50 to 75",10,IF(BS2="Above 75",0,0))</f>
        <v/>
      </c>
      <c r="BU2" s="31" t="inlineStr">
        <is>
          <t>Stage 3</t>
        </is>
      </c>
      <c r="BV2" s="31">
        <f>IF(BU2="Stage 2",20,IF(BU2="Stage 1",0,IF(BU2="Stage 3",5,IF(BU2="Stage 4",-5,0))))</f>
        <v/>
      </c>
      <c r="BW2" s="31" t="inlineStr">
        <is>
          <t>Negative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Close to 52 week high or retracement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IF(B3=0,"",RANK(B3,$B$2:$B$4,0))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EMA Crossover</t>
        </is>
      </c>
      <c r="D3" s="32" t="n">
        <v>146.6</v>
      </c>
      <c r="E3" s="32" t="inlineStr">
        <is>
          <t>7%</t>
        </is>
      </c>
      <c r="F3" s="32" t="n">
        <v>70000</v>
      </c>
      <c r="G3" s="32" t="n">
        <v>176</v>
      </c>
      <c r="H3" s="33" t="inlineStr">
        <is>
          <t>KOTAKBANK</t>
        </is>
      </c>
      <c r="I3" s="33" t="inlineStr">
        <is>
          <t>Kotak Mahindra Bank Limited</t>
        </is>
      </c>
      <c r="J3" s="31" t="inlineStr">
        <is>
          <t>bank</t>
        </is>
      </c>
      <c r="K3" s="31" t="inlineStr">
        <is>
          <t>banks - private sector</t>
        </is>
      </c>
      <c r="L3" s="31" t="inlineStr">
        <is>
          <t>largecap</t>
        </is>
      </c>
      <c r="M3" s="32" t="n">
        <v>388220.06</v>
      </c>
      <c r="N3" s="32" t="n">
        <v>397.5</v>
      </c>
      <c r="O3" s="32" t="n">
        <v>1.84</v>
      </c>
      <c r="P3" s="32" t="n">
        <v>32331357</v>
      </c>
      <c r="Q3" s="31" t="n">
        <v>11</v>
      </c>
      <c r="R3" s="31" t="inlineStr">
        <is>
          <t>Underperforming</t>
        </is>
      </c>
      <c r="S3" s="32">
        <f>IF(R3="Underperforming",-5,IF(Q3&gt;=95,15,IF(Q3&gt;=90,10,IF(Q3&gt;=80,5,0))))</f>
        <v/>
      </c>
      <c r="T3" s="32" t="n">
        <v>49.14</v>
      </c>
      <c r="U3" s="32" t="n">
        <v>11.34</v>
      </c>
      <c r="V3" s="32" t="inlineStr"/>
      <c r="W3" s="31" t="inlineStr">
        <is>
          <t>Earnings / Momentum Support</t>
        </is>
      </c>
      <c r="X3" s="31" t="inlineStr">
        <is>
          <t>Nifty Bank</t>
        </is>
      </c>
      <c r="Y3" s="32" t="n">
        <v>2.96</v>
      </c>
      <c r="Z3" s="32" t="n">
        <v>-1.88</v>
      </c>
      <c r="AA3" s="32" t="n">
        <v>-4.71</v>
      </c>
      <c r="AB3" s="32" t="n">
        <v>0.1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Headwind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No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less than 2.5x and Growth more than 20%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0 to 20</t>
        </is>
      </c>
      <c r="BR3" s="31">
        <f>IF(BQ3="Above 40",20,IF(BQ3="20 to 40",10,IF(BQ3="0 to 20",-5,0)))</f>
        <v/>
      </c>
      <c r="BS3" s="31" t="inlineStr">
        <is>
          <t>Below 45</t>
        </is>
      </c>
      <c r="BT3" s="31">
        <f>IF(BS3="Between 50 to 75",10,IF(BS3="Above 75",0,0))</f>
        <v/>
      </c>
      <c r="BU3" s="31" t="inlineStr">
        <is>
          <t>Stage 3</t>
        </is>
      </c>
      <c r="BV3" s="31">
        <f>IF(BU3="Stage 2",20,IF(BU3="Stage 1",0,IF(BU3="Stage 3",5,IF(BU3="Stage 4",-5,0))))</f>
        <v/>
      </c>
      <c r="BW3" s="31" t="inlineStr">
        <is>
          <t>Negative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Close to 52 week high or retracement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  <row r="4">
      <c r="A4" s="31">
        <f>IF(B4=0,"",RANK(B4,$B$2:$B$4,0))</f>
        <v/>
      </c>
      <c r="B4" s="32">
        <f>SUM(S4,AD4,AF4,AH4,AJ4,AL4,AN4,AP4,AR4,AT4,AV4,AX4,AZ4,BB4,BD4,BF4,BH4,BJ4,BL4,BN4,BP4,BR4,BT4,BV4,BX4,BZ4,CB4,CD4,CF4)</f>
        <v/>
      </c>
      <c r="C4" s="31" t="inlineStr">
        <is>
          <t>EMA Crossover</t>
        </is>
      </c>
      <c r="D4" s="32" t="n">
        <v>146</v>
      </c>
      <c r="E4" s="32" t="inlineStr">
        <is>
          <t>7%</t>
        </is>
      </c>
      <c r="F4" s="32" t="n">
        <v>70000</v>
      </c>
      <c r="G4" s="32" t="n">
        <v>14</v>
      </c>
      <c r="H4" s="31" t="inlineStr">
        <is>
          <t>SUNDARMFIN</t>
        </is>
      </c>
      <c r="I4" s="31" t="inlineStr">
        <is>
          <t>Sundaram Finance Limited</t>
        </is>
      </c>
      <c r="J4" s="31" t="inlineStr">
        <is>
          <t>financials</t>
        </is>
      </c>
      <c r="K4" s="31" t="inlineStr">
        <is>
          <t>finance &amp; investments</t>
        </is>
      </c>
      <c r="L4" s="31" t="inlineStr">
        <is>
          <t>largecap</t>
        </is>
      </c>
      <c r="M4" s="32" t="n">
        <v>51836.62</v>
      </c>
      <c r="N4" s="32" t="n">
        <v>4828.7</v>
      </c>
      <c r="O4" s="32" t="n">
        <v>3.5</v>
      </c>
      <c r="P4" s="32" t="n">
        <v>309684</v>
      </c>
      <c r="Q4" s="31" t="n">
        <v>15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51.17</v>
      </c>
      <c r="U4" s="32" t="n">
        <v>13.29</v>
      </c>
      <c r="V4" s="32" t="inlineStr"/>
      <c r="W4" s="31" t="inlineStr">
        <is>
          <t>Earnings / Momentum Support</t>
        </is>
      </c>
      <c r="X4" s="31" t="inlineStr">
        <is>
          <t>Nifty Bank</t>
        </is>
      </c>
      <c r="Y4" s="32" t="n">
        <v>2.96</v>
      </c>
      <c r="Z4" s="32" t="n">
        <v>2.97</v>
      </c>
      <c r="AA4" s="32" t="n">
        <v>0.01</v>
      </c>
      <c r="AB4" s="32" t="n">
        <v>1.41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Fragmented with High ROE</t>
        </is>
      </c>
      <c r="AF4" s="31">
        <f>IF(AE4="Fragmented with Low ROE",-5,IF(AE4="Fragmented with High ROE",10,IF(AE4= "highly cyclical",5,0)))</f>
        <v/>
      </c>
      <c r="AG4" s="31" t="inlineStr">
        <is>
          <t>Yes</t>
        </is>
      </c>
      <c r="AH4" s="31">
        <f>IF(AG4="No",5,0)</f>
        <v/>
      </c>
      <c r="AI4" s="31" t="inlineStr">
        <is>
          <t>Headwind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Consistency)",15,IF(AK4="Shallow Cyclical (2 to 3 years growth)",10,IF(AK4 = "Cyclical in an Uptick",5,IF(AK4 = "Cyclical in an Downtick",-10,0))))</f>
        <v/>
      </c>
      <c r="AM4" s="31" t="inlineStr">
        <is>
          <t>Yes</t>
        </is>
      </c>
      <c r="AN4" s="31">
        <f>IF(AM4="Yes",10,0)</f>
        <v/>
      </c>
      <c r="AO4" s="31" t="inlineStr">
        <is>
          <t>Yes</t>
        </is>
      </c>
      <c r="AP4" s="31">
        <f>IF(AO4="Yes",10,0)</f>
        <v/>
      </c>
      <c r="AQ4" s="31" t="n"/>
      <c r="AR4" s="31">
        <f>IF(AQ4="No",10,0)</f>
        <v/>
      </c>
      <c r="AS4" s="31" t="inlineStr">
        <is>
          <t>Yes</t>
        </is>
      </c>
      <c r="AT4" s="31">
        <f>IF(AS4="Yes",10,0)</f>
        <v/>
      </c>
      <c r="AU4" s="31" t="inlineStr">
        <is>
          <t>No</t>
        </is>
      </c>
      <c r="AV4" s="31">
        <f>IF(AU4="Yes",10,0)</f>
        <v/>
      </c>
      <c r="AW4" s="31" t="inlineStr">
        <is>
          <t>Yes</t>
        </is>
      </c>
      <c r="AX4" s="31">
        <f>IF(AW4="Yes",5,0)</f>
        <v/>
      </c>
      <c r="AY4" s="31" t="inlineStr">
        <is>
          <t>No</t>
        </is>
      </c>
      <c r="AZ4" s="31">
        <f>IF(AY4="No",10,IF(AY4="Yes",-10,0))</f>
        <v/>
      </c>
      <c r="BA4" s="31" t="inlineStr">
        <is>
          <t>No</t>
        </is>
      </c>
      <c r="BB4" s="31">
        <f>IF(BA4="No",10,0)</f>
        <v/>
      </c>
      <c r="BC4" s="31" t="inlineStr">
        <is>
          <t>No</t>
        </is>
      </c>
      <c r="BD4" s="31">
        <f>IF(BC4="No",10,IF(BC4= "Yes CEO Resignation",-5,0))</f>
        <v/>
      </c>
      <c r="BE4" s="31" t="inlineStr">
        <is>
          <t>No</t>
        </is>
      </c>
      <c r="BF4" s="31">
        <f>IF(BE4="No",10,IF(BE4="Yes",-5,0))</f>
        <v/>
      </c>
      <c r="BG4" s="31" t="inlineStr">
        <is>
          <t>No</t>
        </is>
      </c>
      <c r="BH4" s="31">
        <f>IF(BG4="No",5,IF(BG4="Yes",-5,0))</f>
        <v/>
      </c>
      <c r="BI4" s="31" t="inlineStr">
        <is>
          <t>Yes</t>
        </is>
      </c>
      <c r="BJ4" s="31">
        <f>IF(BI4="Yes",10,0)</f>
        <v/>
      </c>
      <c r="BK4" s="31" t="inlineStr">
        <is>
          <t>Yes</t>
        </is>
      </c>
      <c r="BL4" s="31">
        <f>IF(BK4="Yes",10,0)</f>
        <v/>
      </c>
      <c r="BM4" s="31" t="inlineStr">
        <is>
          <t>Yes</t>
        </is>
      </c>
      <c r="BN4" s="31">
        <f>IF(BM4="Yes",10,0)</f>
        <v/>
      </c>
      <c r="BO4" s="31" t="inlineStr">
        <is>
          <t>P/BV between 2.5x to 5x and Growth less than 20%</t>
        </is>
      </c>
      <c r="BP4" s="31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1" t="inlineStr">
        <is>
          <t>0 to 20</t>
        </is>
      </c>
      <c r="BR4" s="31">
        <f>IF(BQ4="Above 40",20,IF(BQ4="20 to 40",10,IF(BQ4="0 to 20",-5,0)))</f>
        <v/>
      </c>
      <c r="BS4" s="31" t="inlineStr">
        <is>
          <t>Between 50 to 75</t>
        </is>
      </c>
      <c r="BT4" s="31">
        <f>IF(BS4="Between 50 to 75",10,IF(BS4="Above 75",0,0))</f>
        <v/>
      </c>
      <c r="BU4" s="31" t="inlineStr">
        <is>
          <t>Stage 4</t>
        </is>
      </c>
      <c r="BV4" s="31">
        <f>IF(BU4="Stage 2",20,IF(BU4="Stage 1",0,IF(BU4="Stage 3",5,IF(BU4="Stage 4",-5,0))))</f>
        <v/>
      </c>
      <c r="BW4" s="31" t="inlineStr">
        <is>
          <t>Negative Trend</t>
        </is>
      </c>
      <c r="BX4" s="31">
        <f>IF(BW4="Positive Trend",20,IF(BW4="Negative Trend",-10,0))</f>
        <v/>
      </c>
      <c r="BY4" s="31" t="inlineStr">
        <is>
          <t>Uptrend</t>
        </is>
      </c>
      <c r="BZ4" s="31">
        <f>IF(BY4="Uptrend",10,IF(BY4="Sideways",5,0))</f>
        <v/>
      </c>
      <c r="CA4" s="31" t="inlineStr">
        <is>
          <t>Uptrend</t>
        </is>
      </c>
      <c r="CB4" s="31">
        <f>IF(CA4="Uptrend",10,IF(CA4="Sideways",5,0))</f>
        <v/>
      </c>
      <c r="CC4" s="31" t="inlineStr">
        <is>
          <t>Close to 52 week high or retracement</t>
        </is>
      </c>
      <c r="CD4" s="31">
        <f>IF(CC4="Overhead supply in last 2 years in last 2 years",-5,IF(CC4="Close to 52 week high or retracement",5,IF(CC4="Blue sky scenario",10,IF(CC4="Long term Downtrend",-10,0))))</f>
        <v/>
      </c>
      <c r="CE4" s="31" t="inlineStr">
        <is>
          <t>Yes</t>
        </is>
      </c>
      <c r="CF4" s="31">
        <f>IF(CE4="Yes",10,0)</f>
        <v/>
      </c>
    </row>
  </sheetData>
  <autoFilter ref="A1:CF4"/>
  <conditionalFormatting sqref="B2:B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4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4">
    <cfRule type="cellIs" priority="34" operator="equal" dxfId="3" stopIfTrue="1">
      <formula>"Underperforming"</formula>
    </cfRule>
  </conditionalFormatting>
  <conditionalFormatting sqref="S2:S4">
    <cfRule type="cellIs" priority="35" operator="equal" dxfId="3" stopIfTrue="1">
      <formula>-5</formula>
    </cfRule>
  </conditionalFormatting>
  <conditionalFormatting sqref="V2:V4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4" showDropDown="0" showInputMessage="0" showErrorMessage="0" allowBlank="1" type="list">
      <formula1>"Growing Industry,Stagnant Industry,Cyclical in an Upturn"</formula1>
    </dataValidation>
    <dataValidation sqref="AE2:AE4" showDropDown="0" showInputMessage="0" showErrorMessage="0" allowBlank="1" type="list">
      <formula1>"Fragmented with Low ROE,Fragmented with High ROE,Highly Cyclical"</formula1>
    </dataValidation>
    <dataValidation sqref="AG2:AG4" showDropDown="0" showInputMessage="0" showErrorMessage="0" allowBlank="1" type="list">
      <formula1>"Yes,No"</formula1>
    </dataValidation>
    <dataValidation sqref="AI2:AI4" showDropDown="0" showInputMessage="0" showErrorMessage="0" allowBlank="1" type="list">
      <formula1>"Tailwind,Headwind"</formula1>
    </dataValidation>
    <dataValidation sqref="AK2:AK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4" showDropDown="0" showInputMessage="0" showErrorMessage="0" allowBlank="1" type="list">
      <formula1>"Yes,No"</formula1>
    </dataValidation>
    <dataValidation sqref="AO2:AO4" showDropDown="0" showInputMessage="0" showErrorMessage="0" allowBlank="1" type="list">
      <formula1>"Yes,No,Not Applicable"</formula1>
    </dataValidation>
    <dataValidation sqref="AQ2:AQ4" showDropDown="0" showInputMessage="0" showErrorMessage="0" allowBlank="1" type="list">
      <formula1>"Yes,No"</formula1>
    </dataValidation>
    <dataValidation sqref="AS2:AS4" showDropDown="0" showInputMessage="0" showErrorMessage="0" allowBlank="1" type="list">
      <formula1>"Yes,No"</formula1>
    </dataValidation>
    <dataValidation sqref="AU2:AU4" showDropDown="0" showInputMessage="0" showErrorMessage="0" allowBlank="1" type="list">
      <formula1>"Yes,No"</formula1>
    </dataValidation>
    <dataValidation sqref="AW2:AW4" showDropDown="0" showInputMessage="0" showErrorMessage="0" allowBlank="1" type="list">
      <formula1>"Yes,No"</formula1>
    </dataValidation>
    <dataValidation sqref="AY2:AY4" showDropDown="0" showInputMessage="0" showErrorMessage="0" allowBlank="1" type="list">
      <formula1>"No,Yes"</formula1>
    </dataValidation>
    <dataValidation sqref="BA2:BA4" showDropDown="0" showInputMessage="0" showErrorMessage="0" allowBlank="1" type="list">
      <formula1>"No,Yes"</formula1>
    </dataValidation>
    <dataValidation sqref="BC2:BC4" showDropDown="0" showInputMessage="0" showErrorMessage="0" allowBlank="1" type="list">
      <formula1>"No,Yes CEO Resignation,Yes CEO Retirement"</formula1>
    </dataValidation>
    <dataValidation sqref="BE2:BE4" showDropDown="0" showInputMessage="0" showErrorMessage="0" allowBlank="1" type="list">
      <formula1>"No,Yes"</formula1>
    </dataValidation>
    <dataValidation sqref="BG2:BG4" showDropDown="0" showInputMessage="0" showErrorMessage="0" allowBlank="1" type="list">
      <formula1>"No,Yes"</formula1>
    </dataValidation>
    <dataValidation sqref="BI2:BI4" showDropDown="0" showInputMessage="0" showErrorMessage="0" allowBlank="1" type="list">
      <formula1>"Yes,No"</formula1>
    </dataValidation>
    <dataValidation sqref="BK2:BK4" showDropDown="0" showInputMessage="0" showErrorMessage="0" allowBlank="1" type="list">
      <formula1>"Yes,No"</formula1>
    </dataValidation>
    <dataValidation sqref="BM2:BM4" showDropDown="0" showInputMessage="0" showErrorMessage="0" allowBlank="1" type="list">
      <formula1>"Yes,No"</formula1>
    </dataValidation>
    <dataValidation sqref="BO2:BO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4" showDropDown="0" showInputMessage="0" showErrorMessage="0" allowBlank="1" type="list">
      <formula1>"Above 40,20 to 40,0 to 20"</formula1>
    </dataValidation>
    <dataValidation sqref="BS2:BS4" showDropDown="0" showInputMessage="0" showErrorMessage="0" allowBlank="1" type="list">
      <formula1>"Between 50 to 75,Above 75,Below 45"</formula1>
    </dataValidation>
    <dataValidation sqref="BU2:BU4" showDropDown="0" showInputMessage="0" showErrorMessage="0" allowBlank="1" type="list">
      <formula1>"Stage 1,Stage 2,Stage 3,Stage 4"</formula1>
    </dataValidation>
    <dataValidation sqref="BW2:BW4" showDropDown="0" showInputMessage="0" showErrorMessage="0" allowBlank="1" type="list">
      <formula1>"Positive Trend,Negative Trend"</formula1>
    </dataValidation>
    <dataValidation sqref="BY2:BY4" showDropDown="0" showInputMessage="0" showErrorMessage="0" allowBlank="1" type="list">
      <formula1>"Uptrend,Sideways,Downtrend"</formula1>
    </dataValidation>
    <dataValidation sqref="CA2:CA4" showDropDown="0" showInputMessage="0" showErrorMessage="0" allowBlank="1" type="list">
      <formula1>"Uptrend,Sideways,Downtrend"</formula1>
    </dataValidation>
    <dataValidation sqref="CC2:CC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8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IF(B2=0,"",RANK(B2,$B$2:$B$88,0))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APCOTEXIND</t>
        </is>
      </c>
      <c r="D2" s="31" t="inlineStr">
        <is>
          <t>Apcotex Industries Ltd</t>
        </is>
      </c>
      <c r="E2" s="31" t="inlineStr">
        <is>
          <t>chemicals</t>
        </is>
      </c>
      <c r="F2" s="31" t="inlineStr">
        <is>
          <t>Rubber Processing/Rubber Products</t>
        </is>
      </c>
      <c r="G2" s="31" t="inlineStr">
        <is>
          <t>smallcap</t>
        </is>
      </c>
      <c r="H2" s="32" t="n">
        <v>3188.47</v>
      </c>
      <c r="I2" s="32" t="n">
        <v>615</v>
      </c>
      <c r="J2" s="32" t="n">
        <v>0.6</v>
      </c>
      <c r="K2" s="32" t="n">
        <v>0</v>
      </c>
      <c r="L2" s="31" t="n">
        <v>83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73.54000000000001</v>
      </c>
      <c r="P2" s="32" t="n">
        <v>63.36</v>
      </c>
      <c r="Q2" s="32" t="inlineStr"/>
      <c r="R2" s="31" t="inlineStr">
        <is>
          <t>Earnings / Momentum Support</t>
        </is>
      </c>
      <c r="S2" s="31" t="inlineStr">
        <is>
          <t>Nifty 50</t>
        </is>
      </c>
      <c r="T2" s="32" t="n">
        <v>-0.74</v>
      </c>
      <c r="U2" s="32" t="n">
        <v>46.64</v>
      </c>
      <c r="V2" s="32" t="n">
        <v>47.73</v>
      </c>
      <c r="W2" s="32" t="n">
        <v>20.92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Oligopoly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Cyclical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Fully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1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Sideways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Overhead supply in last 2 years in last 2 years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Between 50% to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22</t>
        </is>
      </c>
      <c r="CG2" s="31">
        <f>IF(CF2&gt;20,10,IF(CF2&gt;=10,5,2))</f>
        <v/>
      </c>
    </row>
    <row r="3">
      <c r="A3" s="31">
        <f>IF(B3=0,"",RANK(B3,$B$2:$B$88,0))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AEGISLOG</t>
        </is>
      </c>
      <c r="D3" s="31" t="inlineStr">
        <is>
          <t>Aegis Logistics Ltd</t>
        </is>
      </c>
      <c r="E3" s="31" t="inlineStr">
        <is>
          <t>services</t>
        </is>
      </c>
      <c r="F3" s="31" t="inlineStr">
        <is>
          <t>Logistics</t>
        </is>
      </c>
      <c r="G3" s="31" t="inlineStr">
        <is>
          <t>largecap</t>
        </is>
      </c>
      <c r="H3" s="32" t="n">
        <v>48609.99</v>
      </c>
      <c r="I3" s="32" t="n">
        <v>1384.9</v>
      </c>
      <c r="J3" s="32" t="n">
        <v>8.130000000000001</v>
      </c>
      <c r="K3" s="32" t="n">
        <v>0</v>
      </c>
      <c r="L3" s="31" t="n">
        <v>95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73.26000000000001</v>
      </c>
      <c r="P3" s="32" t="n">
        <v>48.76</v>
      </c>
      <c r="Q3" s="32" t="inlineStr"/>
      <c r="R3" s="31" t="inlineStr">
        <is>
          <t>Earnings / Momentum Support</t>
        </is>
      </c>
      <c r="S3" s="31" t="inlineStr">
        <is>
          <t>Nifty 50</t>
        </is>
      </c>
      <c r="T3" s="32" t="n">
        <v>-0.74</v>
      </c>
      <c r="U3" s="32" t="n">
        <v>82.11</v>
      </c>
      <c r="V3" s="32" t="n">
        <v>83.47</v>
      </c>
      <c r="W3" s="32" t="n">
        <v>33.39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No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3</t>
        </is>
      </c>
      <c r="BC3" s="31">
        <f>IF(BB3="Stage 2",20,IF(BB3="Stage 1",0,IF(BB3="Stage 3",5,IF(BB3="Stage 4",-5,0))))</f>
        <v/>
      </c>
      <c r="BD3" s="31" t="inlineStr">
        <is>
          <t>Negative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Close to 52 week high or retracement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Yes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18</t>
        </is>
      </c>
      <c r="CG3" s="31">
        <f>IF(CF3&gt;20,10,IF(CF3&gt;=10,5,2))</f>
        <v/>
      </c>
    </row>
    <row r="4">
      <c r="A4" s="31">
        <f>IF(B4=0,"",RANK(B4,$B$2:$B$88,0))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TIMEX</t>
        </is>
      </c>
      <c r="D4" s="31" t="inlineStr">
        <is>
          <t>Timex Group India Ltd</t>
        </is>
      </c>
      <c r="E4" s="31" t="inlineStr">
        <is>
          <t>Consumer Cyclical</t>
        </is>
      </c>
      <c r="F4" s="31" t="inlineStr">
        <is>
          <t>Watches</t>
        </is>
      </c>
      <c r="G4" s="31" t="inlineStr">
        <is>
          <t>midcap</t>
        </is>
      </c>
      <c r="H4" s="32" t="n">
        <v>5507.83</v>
      </c>
      <c r="I4" s="32" t="n">
        <v>545.6</v>
      </c>
      <c r="J4" s="32" t="n">
        <v>3.07</v>
      </c>
      <c r="K4" s="32" t="n">
        <v>0</v>
      </c>
      <c r="L4" s="31" t="n">
        <v>94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65.31</v>
      </c>
      <c r="P4" s="32" t="n">
        <v>51.38</v>
      </c>
      <c r="Q4" s="32" t="inlineStr"/>
      <c r="R4" s="31" t="inlineStr">
        <is>
          <t>Earnings / Momentum Support</t>
        </is>
      </c>
      <c r="S4" s="31" t="inlineStr">
        <is>
          <t>Nifty 50</t>
        </is>
      </c>
      <c r="T4" s="32" t="n">
        <v>-0.74</v>
      </c>
      <c r="U4" s="32" t="n">
        <v>117.65</v>
      </c>
      <c r="V4" s="32" t="n">
        <v>119.27</v>
      </c>
      <c r="W4" s="32" t="n">
        <v>32.49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No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3</t>
        </is>
      </c>
      <c r="BC4" s="31">
        <f>IF(BB4="Stage 2",20,IF(BB4="Stage 1",0,IF(BB4="Stage 3",5,IF(BB4="Stage 4",-5,0))))</f>
        <v/>
      </c>
      <c r="BD4" s="31" t="inlineStr">
        <is>
          <t>Negative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Yes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18</t>
        </is>
      </c>
      <c r="CG4" s="31">
        <f>IF(CF4&gt;20,10,IF(CF4&gt;=10,5,2))</f>
        <v/>
      </c>
    </row>
    <row r="5">
      <c r="A5" s="31">
        <f>IF(B5=0,"",RANK(B5,$B$2:$B$88,0))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PRICOLLTD</t>
        </is>
      </c>
      <c r="D5" s="31" t="inlineStr">
        <is>
          <t>Pricol Ltd</t>
        </is>
      </c>
      <c r="E5" s="31" t="inlineStr">
        <is>
          <t>auto</t>
        </is>
      </c>
      <c r="F5" s="31" t="inlineStr">
        <is>
          <t>Auto Ancillaries - 2 Wheelers</t>
        </is>
      </c>
      <c r="G5" s="31" t="inlineStr">
        <is>
          <t>midcap</t>
        </is>
      </c>
      <c r="H5" s="32" t="n">
        <v>9019.23</v>
      </c>
      <c r="I5" s="32" t="n">
        <v>740</v>
      </c>
      <c r="J5" s="32" t="n">
        <v>6.22</v>
      </c>
      <c r="K5" s="32" t="n">
        <v>0</v>
      </c>
      <c r="L5" s="31" t="n">
        <v>47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67.2</v>
      </c>
      <c r="P5" s="32" t="n">
        <v>23.11</v>
      </c>
      <c r="Q5" s="32" t="inlineStr"/>
      <c r="R5" s="31" t="inlineStr">
        <is>
          <t>Earnings / Momentum Support</t>
        </is>
      </c>
      <c r="S5" s="31" t="inlineStr">
        <is>
          <t>Nifty Auto</t>
        </is>
      </c>
      <c r="T5" s="32" t="n">
        <v>13.41</v>
      </c>
      <c r="U5" s="32" t="n">
        <v>36.08</v>
      </c>
      <c r="V5" s="32" t="n">
        <v>19.98</v>
      </c>
      <c r="W5" s="32" t="n">
        <v>7.62</v>
      </c>
      <c r="X5" s="31" t="inlineStr">
        <is>
          <t>Cyclical in an Upturn</t>
        </is>
      </c>
      <c r="Y5" s="31">
        <f>IF(X5="Growing Industry",10,IF(X5="Cyclical in an Upturn",5,0))</f>
        <v/>
      </c>
      <c r="Z5" s="31" t="inlineStr">
        <is>
          <t>Oligopoly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Shallow Cyclical (2 to 3 Years Growth)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Fully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Allocated capital in Non-core Areas</t>
        </is>
      </c>
      <c r="AU5" s="31">
        <f>IF(AT5="Good",10,0)</f>
        <v/>
      </c>
      <c r="AV5" s="31" t="inlineStr">
        <is>
          <t>Yes only for next 1 to 2 years</t>
        </is>
      </c>
      <c r="AW5" s="31">
        <f>IF(AV5="Yes for more than 2 years",10,IF(AV5="Yes only for next 1 to 2 years",5,0))</f>
        <v/>
      </c>
      <c r="AX5" s="31" t="inlineStr">
        <is>
          <t>20 to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Between 12 to 20%</t>
        </is>
      </c>
      <c r="BO5" s="31">
        <f>IF(BN5="More than 20%",10,IF(BN5="Between 12 to 20%",5,IF(BN5="Less than 12%",0,0)))</f>
        <v/>
      </c>
      <c r="BP5" s="31" t="inlineStr">
        <is>
          <t>Yes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Between 1.5 to 2</t>
        </is>
      </c>
      <c r="BU5" s="31">
        <f>IF(BT5="Above 2",0,IF(BT5="Between 1.5 to 2",5,IF(BT5="Less than 1.5",10,0)))</f>
        <v/>
      </c>
      <c r="BV5" s="31" t="inlineStr">
        <is>
          <t>Between 50% to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24</t>
        </is>
      </c>
      <c r="CG5" s="31">
        <f>IF(CF5&gt;20,10,IF(CF5&gt;=10,5,2))</f>
        <v/>
      </c>
    </row>
    <row r="6">
      <c r="A6" s="31">
        <f>IF(B6=0,"",RANK(B6,$B$2:$B$88,0))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SPORTKING</t>
        </is>
      </c>
      <c r="D6" s="31" t="inlineStr">
        <is>
          <t>Sportking India Ltd</t>
        </is>
      </c>
      <c r="E6" s="31" t="inlineStr">
        <is>
          <t>textiles</t>
        </is>
      </c>
      <c r="F6" s="31" t="inlineStr">
        <is>
          <t>Textiles - Spinning</t>
        </is>
      </c>
      <c r="G6" s="31" t="inlineStr">
        <is>
          <t>smallcap</t>
        </is>
      </c>
      <c r="H6" s="32" t="n">
        <v>2945.66</v>
      </c>
      <c r="I6" s="32" t="n">
        <v>231.81</v>
      </c>
      <c r="J6" s="32" t="n">
        <v>15.18</v>
      </c>
      <c r="K6" s="32" t="n">
        <v>0</v>
      </c>
      <c r="L6" s="31" t="n">
        <v>87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74.01000000000001</v>
      </c>
      <c r="P6" s="32" t="n">
        <v>70.79000000000001</v>
      </c>
      <c r="Q6" s="32" t="inlineStr"/>
      <c r="R6" s="31" t="inlineStr">
        <is>
          <t>Volume Spike / Accumulation</t>
        </is>
      </c>
      <c r="S6" s="31" t="inlineStr">
        <is>
          <t>Nifty 50</t>
        </is>
      </c>
      <c r="T6" s="32" t="n">
        <v>-0.74</v>
      </c>
      <c r="U6" s="32" t="n">
        <v>83.14</v>
      </c>
      <c r="V6" s="32" t="n">
        <v>84.51000000000001</v>
      </c>
      <c r="W6" s="32" t="n">
        <v>23.4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3</t>
        </is>
      </c>
      <c r="BC6" s="31">
        <f>IF(BB6="Stage 2",20,IF(BB6="Stage 1",0,IF(BB6="Stage 3",5,IF(BB6="Stage 4",-5,0))))</f>
        <v/>
      </c>
      <c r="BD6" s="31" t="inlineStr">
        <is>
          <t>Negative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26</t>
        </is>
      </c>
      <c r="CG6" s="31">
        <f>IF(CF6&gt;20,10,IF(CF6&gt;=10,5,2))</f>
        <v/>
      </c>
    </row>
    <row r="7">
      <c r="A7" s="31">
        <f>IF(B7=0,"",RANK(B7,$B$2:$B$88,0))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REDINGTON</t>
        </is>
      </c>
      <c r="D7" s="31" t="inlineStr">
        <is>
          <t>Redington Ltd</t>
        </is>
      </c>
      <c r="E7" s="31" t="inlineStr">
        <is>
          <t>services</t>
        </is>
      </c>
      <c r="F7" s="31" t="inlineStr">
        <is>
          <t>Computer - Hardware</t>
        </is>
      </c>
      <c r="G7" s="31" t="inlineStr">
        <is>
          <t>largecap</t>
        </is>
      </c>
      <c r="H7" s="32" t="n">
        <v>27143.21</v>
      </c>
      <c r="I7" s="32" t="n">
        <v>347.2</v>
      </c>
      <c r="J7" s="32" t="n">
        <v>7.94</v>
      </c>
      <c r="K7" s="32" t="n">
        <v>0</v>
      </c>
      <c r="L7" s="31" t="n">
        <v>79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68.05</v>
      </c>
      <c r="P7" s="32" t="n">
        <v>27.51</v>
      </c>
      <c r="Q7" s="32" t="inlineStr"/>
      <c r="R7" s="31" t="inlineStr">
        <is>
          <t>Volume Spike / Accumulation</t>
        </is>
      </c>
      <c r="S7" s="31" t="inlineStr">
        <is>
          <t>Nifty 50</t>
        </is>
      </c>
      <c r="T7" s="32" t="n">
        <v>-0.74</v>
      </c>
      <c r="U7" s="32" t="n">
        <v>31.78</v>
      </c>
      <c r="V7" s="32" t="n">
        <v>32.76</v>
      </c>
      <c r="W7" s="32" t="n">
        <v>18.46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20 to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3</t>
        </is>
      </c>
      <c r="BC7" s="31">
        <f>IF(BB7="Stage 2",20,IF(BB7="Stage 1",0,IF(BB7="Stage 3",5,IF(BB7="Stage 4",-5,0))))</f>
        <v/>
      </c>
      <c r="BD7" s="31" t="inlineStr">
        <is>
          <t>Negative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24</t>
        </is>
      </c>
      <c r="CG7" s="31">
        <f>IF(CF7&gt;20,10,IF(CF7&gt;=10,5,2))</f>
        <v/>
      </c>
    </row>
    <row r="8">
      <c r="A8" s="31">
        <f>IF(B8=0,"",RANK(B8,$B$2:$B$88,0))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E2E</t>
        </is>
      </c>
      <c r="D8" s="31" t="inlineStr">
        <is>
          <t>E2E Networks Ltd</t>
        </is>
      </c>
      <c r="E8" s="31" t="inlineStr">
        <is>
          <t>i.t</t>
        </is>
      </c>
      <c r="F8" s="31" t="inlineStr">
        <is>
          <t>Data Centre</t>
        </is>
      </c>
      <c r="G8" s="31" t="inlineStr">
        <is>
          <t>midcap</t>
        </is>
      </c>
      <c r="H8" s="32" t="n">
        <v>11162.17</v>
      </c>
      <c r="I8" s="32" t="n">
        <v>543</v>
      </c>
      <c r="J8" s="32" t="n">
        <v>5</v>
      </c>
      <c r="K8" s="32" t="n">
        <v>0</v>
      </c>
      <c r="L8" s="31" t="n">
        <v>96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71.2</v>
      </c>
      <c r="P8" s="32" t="n">
        <v>46.49</v>
      </c>
      <c r="Q8" s="32" t="inlineStr"/>
      <c r="R8" s="31" t="inlineStr">
        <is>
          <t>Earnings / Momentum Support</t>
        </is>
      </c>
      <c r="S8" s="31" t="inlineStr">
        <is>
          <t>Nifty IT</t>
        </is>
      </c>
      <c r="T8" s="32" t="n">
        <v>-11.37</v>
      </c>
      <c r="U8" s="32" t="n">
        <v>150.34</v>
      </c>
      <c r="V8" s="32" t="n">
        <v>182.46</v>
      </c>
      <c r="W8" s="32" t="n">
        <v>41.64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No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3</t>
        </is>
      </c>
      <c r="BC8" s="31">
        <f>IF(BB8="Stage 2",20,IF(BB8="Stage 1",0,IF(BB8="Stage 3",5,IF(BB8="Stage 4",-5,0))))</f>
        <v/>
      </c>
      <c r="BD8" s="31" t="inlineStr">
        <is>
          <t>Negative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Yes</t>
        </is>
      </c>
      <c r="BS8" s="31">
        <f>IF(BR8="NO",5,0)</f>
        <v/>
      </c>
      <c r="BT8" s="31" t="inlineStr">
        <is>
          <t>Above 2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22</t>
        </is>
      </c>
      <c r="CG8" s="31">
        <f>IF(CF8&gt;20,10,IF(CF8&gt;=10,5,2))</f>
        <v/>
      </c>
    </row>
    <row r="9">
      <c r="A9" s="31">
        <f>IF(B9=0,"",RANK(B9,$B$2:$B$88,0))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HUHTAMAKI</t>
        </is>
      </c>
      <c r="D9" s="31" t="inlineStr">
        <is>
          <t>Huhtamaki India Ltd</t>
        </is>
      </c>
      <c r="E9" s="31" t="inlineStr">
        <is>
          <t>industrials</t>
        </is>
      </c>
      <c r="F9" s="31" t="inlineStr">
        <is>
          <t>Packaging - FMCG/Consumers</t>
        </is>
      </c>
      <c r="G9" s="31" t="inlineStr">
        <is>
          <t>smallcap</t>
        </is>
      </c>
      <c r="H9" s="32" t="n">
        <v>2263.39</v>
      </c>
      <c r="I9" s="32" t="n">
        <v>299.7</v>
      </c>
      <c r="J9" s="32" t="n">
        <v>0.52</v>
      </c>
      <c r="K9" s="32" t="n">
        <v>0</v>
      </c>
      <c r="L9" s="31" t="n">
        <v>50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73.53</v>
      </c>
      <c r="P9" s="32" t="n">
        <v>28.66</v>
      </c>
      <c r="Q9" s="32" t="inlineStr"/>
      <c r="R9" s="31" t="inlineStr">
        <is>
          <t>Earnings / Momentum Support</t>
        </is>
      </c>
      <c r="S9" s="31" t="inlineStr">
        <is>
          <t>Nifty Infra</t>
        </is>
      </c>
      <c r="T9" s="32" t="n">
        <v>1.74</v>
      </c>
      <c r="U9" s="32" t="n">
        <v>5.47</v>
      </c>
      <c r="V9" s="32" t="n">
        <v>3.66</v>
      </c>
      <c r="W9" s="32" t="n">
        <v>8.24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B2C</t>
        </is>
      </c>
      <c r="AO9" s="31">
        <f>IF(AN9="B2C",10,IF(AN9="B2B",5,0))</f>
        <v/>
      </c>
      <c r="AP9" s="31" t="inlineStr">
        <is>
          <t>No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20 to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3</t>
        </is>
      </c>
      <c r="BC9" s="31">
        <f>IF(BB9="Stage 2",20,IF(BB9="Stage 1",0,IF(BB9="Stage 3",5,IF(BB9="Stage 4",-5,0))))</f>
        <v/>
      </c>
      <c r="BD9" s="31" t="inlineStr">
        <is>
          <t>Negative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25</t>
        </is>
      </c>
      <c r="CG9" s="31">
        <f>IF(CF9&gt;20,10,IF(CF9&gt;=10,5,2))</f>
        <v/>
      </c>
    </row>
    <row r="10">
      <c r="A10" s="31">
        <f>IF(B10=0,"",RANK(B10,$B$2:$B$88,0))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HFCL</t>
        </is>
      </c>
      <c r="D10" s="31" t="inlineStr">
        <is>
          <t>HFCL Ltd</t>
        </is>
      </c>
      <c r="E10" s="31" t="inlineStr">
        <is>
          <t>Technology</t>
        </is>
      </c>
      <c r="F10" s="31" t="inlineStr">
        <is>
          <t>Telecom Services</t>
        </is>
      </c>
      <c r="G10" s="31" t="inlineStr">
        <is>
          <t>largecap</t>
        </is>
      </c>
      <c r="H10" s="32" t="n">
        <v>30765.11</v>
      </c>
      <c r="I10" s="32" t="n">
        <v>201</v>
      </c>
      <c r="J10" s="32" t="n">
        <v>3.65</v>
      </c>
      <c r="K10" s="32" t="n">
        <v>0</v>
      </c>
      <c r="L10" s="31" t="n">
        <v>96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70.02</v>
      </c>
      <c r="P10" s="32" t="n">
        <v>67.75</v>
      </c>
      <c r="Q10" s="32" t="inlineStr"/>
      <c r="R10" s="31" t="inlineStr">
        <is>
          <t>Earnings / Momentum Support</t>
        </is>
      </c>
      <c r="S10" s="31" t="inlineStr">
        <is>
          <t>Nifty 50</t>
        </is>
      </c>
      <c r="T10" s="32" t="n">
        <v>-0.74</v>
      </c>
      <c r="U10" s="32" t="n">
        <v>165.08</v>
      </c>
      <c r="V10" s="32" t="n">
        <v>167.06</v>
      </c>
      <c r="W10" s="32" t="n">
        <v>40.11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Oligopoly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No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3</t>
        </is>
      </c>
      <c r="BC10" s="31">
        <f>IF(BB10="Stage 2",20,IF(BB10="Stage 1",0,IF(BB10="Stage 3",5,IF(BB10="Stage 4",-5,0))))</f>
        <v/>
      </c>
      <c r="BD10" s="31" t="inlineStr">
        <is>
          <t>Negative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Above 2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20</t>
        </is>
      </c>
      <c r="CG10" s="31">
        <f>IF(CF10&gt;20,10,IF(CF10&gt;=10,5,2))</f>
        <v/>
      </c>
    </row>
    <row r="11">
      <c r="A11" s="31">
        <f>IF(B11=0,"",RANK(B11,$B$2:$B$88,0))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SENORES</t>
        </is>
      </c>
      <c r="D11" s="31" t="inlineStr">
        <is>
          <t>Senores Pharmaceuticals Ltd</t>
        </is>
      </c>
      <c r="E11" s="31" t="inlineStr">
        <is>
          <t>Healthcare</t>
        </is>
      </c>
      <c r="F11" s="31" t="inlineStr">
        <is>
          <t>Pharma - API</t>
        </is>
      </c>
      <c r="G11" s="31" t="inlineStr">
        <is>
          <t>midcap</t>
        </is>
      </c>
      <c r="H11" s="32" t="n">
        <v>6263.29</v>
      </c>
      <c r="I11" s="32" t="n">
        <v>1360</v>
      </c>
      <c r="J11" s="32" t="n">
        <v>4.16</v>
      </c>
      <c r="K11" s="32" t="n">
        <v>0</v>
      </c>
      <c r="L11" s="31" t="n">
        <v>89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66.28</v>
      </c>
      <c r="P11" s="32" t="n">
        <v>61.87</v>
      </c>
      <c r="Q11" s="32" t="inlineStr"/>
      <c r="R11" s="31" t="inlineStr">
        <is>
          <t>Earnings / Momentum Support</t>
        </is>
      </c>
      <c r="S11" s="31" t="inlineStr">
        <is>
          <t>Nifty Pharma</t>
        </is>
      </c>
      <c r="T11" s="32" t="n">
        <v>20.55</v>
      </c>
      <c r="U11" s="32" t="n">
        <v>96.23999999999999</v>
      </c>
      <c r="V11" s="32" t="n">
        <v>62.79</v>
      </c>
      <c r="W11" s="32" t="n">
        <v>24.53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No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3</t>
        </is>
      </c>
      <c r="BC11" s="31">
        <f>IF(BB11="Stage 2",20,IF(BB11="Stage 1",0,IF(BB11="Stage 3",5,IF(BB11="Stage 4",-5,0))))</f>
        <v/>
      </c>
      <c r="BD11" s="31" t="inlineStr">
        <is>
          <t>Negative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20</t>
        </is>
      </c>
      <c r="CG11" s="31">
        <f>IF(CF11&gt;20,10,IF(CF11&gt;=10,5,2))</f>
        <v/>
      </c>
    </row>
    <row r="12">
      <c r="A12" s="31">
        <f>IF(B12=0,"",RANK(B12,$B$2:$B$88,0))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QUESS</t>
        </is>
      </c>
      <c r="D12" s="31" t="inlineStr">
        <is>
          <t>Quess Corp Ltd</t>
        </is>
      </c>
      <c r="E12" s="31" t="inlineStr">
        <is>
          <t>miscellaneous</t>
        </is>
      </c>
      <c r="F12" s="31" t="inlineStr">
        <is>
          <t>Facility Management</t>
        </is>
      </c>
      <c r="G12" s="31" t="inlineStr">
        <is>
          <t>midcap</t>
        </is>
      </c>
      <c r="H12" s="32" t="n">
        <v>5167.85</v>
      </c>
      <c r="I12" s="32" t="n">
        <v>346</v>
      </c>
      <c r="J12" s="32" t="n">
        <v>4.04</v>
      </c>
      <c r="K12" s="32" t="n">
        <v>0</v>
      </c>
      <c r="L12" s="31" t="n">
        <v>84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79.34999999999999</v>
      </c>
      <c r="P12" s="32" t="n">
        <v>46.36</v>
      </c>
      <c r="Q12" s="32" t="inlineStr"/>
      <c r="R12" s="31" t="inlineStr">
        <is>
          <t>Earnings / Momentum Support</t>
        </is>
      </c>
      <c r="S12" s="31" t="inlineStr">
        <is>
          <t>Nifty 50</t>
        </is>
      </c>
      <c r="T12" s="32" t="n">
        <v>-0.74</v>
      </c>
      <c r="U12" s="32" t="n">
        <v>21.31</v>
      </c>
      <c r="V12" s="32" t="n">
        <v>22.21</v>
      </c>
      <c r="W12" s="32" t="n">
        <v>21.84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No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3</t>
        </is>
      </c>
      <c r="BC12" s="31">
        <f>IF(BB12="Stage 2",20,IF(BB12="Stage 1",0,IF(BB12="Stage 3",5,IF(BB12="Stage 4",-5,0))))</f>
        <v/>
      </c>
      <c r="BD12" s="31" t="inlineStr">
        <is>
          <t>Negative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23</t>
        </is>
      </c>
      <c r="CG12" s="31">
        <f>IF(CF12&gt;20,10,IF(CF12&gt;=10,5,2))</f>
        <v/>
      </c>
    </row>
    <row r="13">
      <c r="A13" s="31">
        <f>IF(B13=0,"",RANK(B13,$B$2:$B$88,0))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RPTECH</t>
        </is>
      </c>
      <c r="D13" s="31" t="inlineStr">
        <is>
          <t>Rashi Peripherals Ltd</t>
        </is>
      </c>
      <c r="E13" s="31" t="inlineStr">
        <is>
          <t>services</t>
        </is>
      </c>
      <c r="F13" s="31" t="inlineStr">
        <is>
          <t>Trading</t>
        </is>
      </c>
      <c r="G13" s="31" t="inlineStr">
        <is>
          <t>midcap</t>
        </is>
      </c>
      <c r="H13" s="32" t="n">
        <v>5799.17</v>
      </c>
      <c r="I13" s="32" t="n">
        <v>880</v>
      </c>
      <c r="J13" s="32" t="n">
        <v>5.57</v>
      </c>
      <c r="K13" s="32" t="n">
        <v>0</v>
      </c>
      <c r="L13" s="31" t="n">
        <v>97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80.53</v>
      </c>
      <c r="P13" s="32" t="n">
        <v>77.25</v>
      </c>
      <c r="Q13" s="32" t="inlineStr"/>
      <c r="R13" s="31" t="inlineStr">
        <is>
          <t>Earnings / Momentum Support</t>
        </is>
      </c>
      <c r="S13" s="31" t="inlineStr">
        <is>
          <t>Nifty 50</t>
        </is>
      </c>
      <c r="T13" s="32" t="n">
        <v>-0.74</v>
      </c>
      <c r="U13" s="32" t="n">
        <v>190.15</v>
      </c>
      <c r="V13" s="32" t="n">
        <v>192.31</v>
      </c>
      <c r="W13" s="32" t="n">
        <v>42.97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No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3</t>
        </is>
      </c>
      <c r="BC13" s="31">
        <f>IF(BB13="Stage 2",20,IF(BB13="Stage 1",0,IF(BB13="Stage 3",5,IF(BB13="Stage 4",-5,0))))</f>
        <v/>
      </c>
      <c r="BD13" s="31" t="inlineStr">
        <is>
          <t>Negative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Less than 50%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22</t>
        </is>
      </c>
      <c r="CG13" s="31">
        <f>IF(CF13&gt;20,10,IF(CF13&gt;=10,5,2))</f>
        <v/>
      </c>
    </row>
    <row r="14">
      <c r="A14" s="31">
        <f>IF(B14=0,"",RANK(B14,$B$2:$B$88,0))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MENONBE</t>
        </is>
      </c>
      <c r="D14" s="31" t="inlineStr">
        <is>
          <t>Menon Bearings Ltd</t>
        </is>
      </c>
      <c r="E14" s="31" t="inlineStr">
        <is>
          <t>auto</t>
        </is>
      </c>
      <c r="F14" s="31" t="inlineStr">
        <is>
          <t>Auto Ancillaries - Bearings</t>
        </is>
      </c>
      <c r="G14" s="31" t="inlineStr">
        <is>
          <t>smallcap</t>
        </is>
      </c>
      <c r="H14" s="32" t="n">
        <v>1239.1</v>
      </c>
      <c r="I14" s="32" t="n">
        <v>221.11</v>
      </c>
      <c r="J14" s="32" t="n">
        <v>5</v>
      </c>
      <c r="K14" s="32" t="n">
        <v>0</v>
      </c>
      <c r="L14" s="31" t="n">
        <v>87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75.02</v>
      </c>
      <c r="P14" s="32" t="n">
        <v>51.77</v>
      </c>
      <c r="Q14" s="32" t="inlineStr"/>
      <c r="R14" s="31" t="inlineStr">
        <is>
          <t>Earnings / Momentum Support</t>
        </is>
      </c>
      <c r="S14" s="31" t="inlineStr">
        <is>
          <t>Nifty Auto</t>
        </is>
      </c>
      <c r="T14" s="32" t="n">
        <v>13.41</v>
      </c>
      <c r="U14" s="32" t="n">
        <v>59.56</v>
      </c>
      <c r="V14" s="32" t="n">
        <v>40.68</v>
      </c>
      <c r="W14" s="32" t="n">
        <v>23.69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No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3</t>
        </is>
      </c>
      <c r="BC14" s="31">
        <f>IF(BB14="Stage 2",20,IF(BB14="Stage 1",0,IF(BB14="Stage 3",5,IF(BB14="Stage 4",-5,0))))</f>
        <v/>
      </c>
      <c r="BD14" s="31" t="inlineStr">
        <is>
          <t>Negative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21</t>
        </is>
      </c>
      <c r="CG14" s="31">
        <f>IF(CF14&gt;20,10,IF(CF14&gt;=10,5,2))</f>
        <v/>
      </c>
    </row>
    <row r="15">
      <c r="A15" s="31">
        <f>IF(B15=0,"",RANK(B15,$B$2:$B$88,0))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UNIPARTS</t>
        </is>
      </c>
      <c r="D15" s="31" t="inlineStr">
        <is>
          <t>Uniparts India Ltd</t>
        </is>
      </c>
      <c r="E15" s="31" t="inlineStr">
        <is>
          <t>industrials</t>
        </is>
      </c>
      <c r="F15" s="31" t="inlineStr">
        <is>
          <t>Castings, Forgings &amp; Fastners</t>
        </is>
      </c>
      <c r="G15" s="31" t="inlineStr">
        <is>
          <t>smallcap</t>
        </is>
      </c>
      <c r="H15" s="32" t="n">
        <v>3363.16</v>
      </c>
      <c r="I15" s="32" t="n">
        <v>745</v>
      </c>
      <c r="J15" s="32" t="n">
        <v>2.34</v>
      </c>
      <c r="K15" s="32" t="n">
        <v>0</v>
      </c>
      <c r="L15" s="31" t="n">
        <v>91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73.05</v>
      </c>
      <c r="P15" s="32" t="n">
        <v>59.13</v>
      </c>
      <c r="Q15" s="32" t="inlineStr"/>
      <c r="R15" s="31" t="inlineStr">
        <is>
          <t>Earnings / Momentum Support</t>
        </is>
      </c>
      <c r="S15" s="31" t="inlineStr">
        <is>
          <t>Nifty 50</t>
        </is>
      </c>
      <c r="T15" s="32" t="n">
        <v>-0.74</v>
      </c>
      <c r="U15" s="32" t="n">
        <v>125.54</v>
      </c>
      <c r="V15" s="32" t="n">
        <v>127.22</v>
      </c>
      <c r="W15" s="32" t="n">
        <v>27.33</v>
      </c>
      <c r="X15" s="31" t="inlineStr">
        <is>
          <t>Cyclical in an Upturn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Headwind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No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3</t>
        </is>
      </c>
      <c r="BC15" s="31">
        <f>IF(BB15="Stage 2",20,IF(BB15="Stage 1",0,IF(BB15="Stage 3",5,IF(BB15="Stage 4",-5,0))))</f>
        <v/>
      </c>
      <c r="BD15" s="31" t="inlineStr">
        <is>
          <t>Negative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20</t>
        </is>
      </c>
      <c r="CG15" s="31">
        <f>IF(CF15&gt;20,10,IF(CF15&gt;=10,5,2))</f>
        <v/>
      </c>
    </row>
    <row r="16">
      <c r="A16" s="31">
        <f>IF(B16=0,"",RANK(B16,$B$2:$B$88,0))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SJS</t>
        </is>
      </c>
      <c r="D16" s="31" t="inlineStr">
        <is>
          <t>S J S Enterprises Ltd</t>
        </is>
      </c>
      <c r="E16" s="31" t="inlineStr">
        <is>
          <t>auto</t>
        </is>
      </c>
      <c r="F16" s="31" t="inlineStr">
        <is>
          <t>Auto Ancillaries - Diversified</t>
        </is>
      </c>
      <c r="G16" s="31" t="inlineStr">
        <is>
          <t>midcap</t>
        </is>
      </c>
      <c r="H16" s="32" t="n">
        <v>7922.75</v>
      </c>
      <c r="I16" s="32" t="n">
        <v>2473.8</v>
      </c>
      <c r="J16" s="32" t="n">
        <v>3.43</v>
      </c>
      <c r="K16" s="32" t="n">
        <v>0</v>
      </c>
      <c r="L16" s="31" t="n">
        <v>78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70.20999999999999</v>
      </c>
      <c r="P16" s="32" t="n">
        <v>41.6</v>
      </c>
      <c r="Q16" s="32" t="inlineStr"/>
      <c r="R16" s="31" t="inlineStr">
        <is>
          <t>Earnings / Momentum Support</t>
        </is>
      </c>
      <c r="S16" s="31" t="inlineStr">
        <is>
          <t>Nifty Auto</t>
        </is>
      </c>
      <c r="T16" s="32" t="n">
        <v>13.41</v>
      </c>
      <c r="U16" s="32" t="n">
        <v>76.45</v>
      </c>
      <c r="V16" s="32" t="n">
        <v>55.58</v>
      </c>
      <c r="W16" s="32" t="n">
        <v>18.09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Headwind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No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3</t>
        </is>
      </c>
      <c r="BC16" s="31">
        <f>IF(BB16="Stage 2",20,IF(BB16="Stage 1",0,IF(BB16="Stage 3",5,IF(BB16="Stage 4",-5,0))))</f>
        <v/>
      </c>
      <c r="BD16" s="31" t="inlineStr">
        <is>
          <t>Negative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20</t>
        </is>
      </c>
      <c r="CG16" s="31">
        <f>IF(CF16&gt;20,10,IF(CF16&gt;=10,5,2))</f>
        <v/>
      </c>
    </row>
    <row r="17">
      <c r="A17" s="31">
        <f>IF(B17=0,"",RANK(B17,$B$2:$B$88,0))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ATHERENERG</t>
        </is>
      </c>
      <c r="D17" s="31" t="inlineStr">
        <is>
          <t>Ather Energy Ltd</t>
        </is>
      </c>
      <c r="E17" s="31" t="inlineStr">
        <is>
          <t>auto</t>
        </is>
      </c>
      <c r="F17" s="31" t="inlineStr">
        <is>
          <t>Auto - 2 &amp; 3 Wheelers</t>
        </is>
      </c>
      <c r="G17" s="31" t="inlineStr">
        <is>
          <t>largecap</t>
        </is>
      </c>
      <c r="H17" s="32" t="n">
        <v>50448.04</v>
      </c>
      <c r="I17" s="32" t="n">
        <v>1280</v>
      </c>
      <c r="J17" s="32" t="n">
        <v>1.56</v>
      </c>
      <c r="K17" s="32" t="n">
        <v>0</v>
      </c>
      <c r="L17" s="31" t="n">
        <v>97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73.38</v>
      </c>
      <c r="P17" s="32" t="n">
        <v>57.88</v>
      </c>
      <c r="Q17" s="32" t="inlineStr"/>
      <c r="R17" s="31" t="inlineStr">
        <is>
          <t>Earnings / Momentum Support</t>
        </is>
      </c>
      <c r="S17" s="31" t="inlineStr">
        <is>
          <t>Nifty Auto</t>
        </is>
      </c>
      <c r="T17" s="32" t="n">
        <v>13.41</v>
      </c>
      <c r="U17" s="32" t="n">
        <v>275.68</v>
      </c>
      <c r="V17" s="32" t="n">
        <v>231.25</v>
      </c>
      <c r="W17" s="32" t="n">
        <v>46.25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Headwind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3</t>
        </is>
      </c>
      <c r="BC17" s="31">
        <f>IF(BB17="Stage 2",20,IF(BB17="Stage 1",0,IF(BB17="Stage 3",5,IF(BB17="Stage 4",-5,0))))</f>
        <v/>
      </c>
      <c r="BD17" s="31" t="inlineStr">
        <is>
          <t>Negative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Negative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19</t>
        </is>
      </c>
      <c r="CG17" s="31">
        <f>IF(CF17&gt;20,10,IF(CF17&gt;=10,5,2))</f>
        <v/>
      </c>
    </row>
    <row r="18">
      <c r="A18" s="31">
        <f>IF(B18=0,"",RANK(B18,$B$2:$B$88,0))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SAKAR</t>
        </is>
      </c>
      <c r="D18" s="31" t="inlineStr">
        <is>
          <t>Sakar Healthcare Ltd</t>
        </is>
      </c>
      <c r="E18" s="31" t="inlineStr">
        <is>
          <t>healthcare</t>
        </is>
      </c>
      <c r="F18" s="31" t="inlineStr">
        <is>
          <t>Hospitals</t>
        </is>
      </c>
      <c r="G18" s="31" t="inlineStr">
        <is>
          <t>smallcap</t>
        </is>
      </c>
      <c r="H18" s="32" t="n">
        <v>2056.11</v>
      </c>
      <c r="I18" s="32" t="n">
        <v>924.1</v>
      </c>
      <c r="J18" s="32" t="n">
        <v>4.39</v>
      </c>
      <c r="K18" s="32" t="n">
        <v>0</v>
      </c>
      <c r="L18" s="31" t="n">
        <v>94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69.37</v>
      </c>
      <c r="P18" s="32" t="n">
        <v>53.77</v>
      </c>
      <c r="Q18" s="32" t="inlineStr"/>
      <c r="R18" s="31" t="inlineStr">
        <is>
          <t>Earnings / Momentum Support</t>
        </is>
      </c>
      <c r="S18" s="31" t="inlineStr">
        <is>
          <t>Nifty Pharma</t>
        </is>
      </c>
      <c r="T18" s="32" t="n">
        <v>20.55</v>
      </c>
      <c r="U18" s="32" t="n">
        <v>158.17</v>
      </c>
      <c r="V18" s="32" t="n">
        <v>114.16</v>
      </c>
      <c r="W18" s="32" t="n">
        <v>31.4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Headwind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3</t>
        </is>
      </c>
      <c r="BC18" s="31">
        <f>IF(BB18="Stage 2",20,IF(BB18="Stage 1",0,IF(BB18="Stage 3",5,IF(BB18="Stage 4",-5,0))))</f>
        <v/>
      </c>
      <c r="BD18" s="31" t="inlineStr">
        <is>
          <t>Negative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22</t>
        </is>
      </c>
      <c r="CG18" s="31">
        <f>IF(CF18&gt;20,10,IF(CF18&gt;=10,5,2))</f>
        <v/>
      </c>
    </row>
    <row r="19">
      <c r="A19" s="31">
        <f>IF(B19=0,"",RANK(B19,$B$2:$B$88,0))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MPSLTD</t>
        </is>
      </c>
      <c r="D19" s="31" t="inlineStr">
        <is>
          <t>MPS Ltd</t>
        </is>
      </c>
      <c r="E19" s="31" t="inlineStr">
        <is>
          <t>i.t</t>
        </is>
      </c>
      <c r="F19" s="31" t="inlineStr">
        <is>
          <t>E-Commerce - Platform - Utility</t>
        </is>
      </c>
      <c r="G19" s="31" t="inlineStr">
        <is>
          <t>smallcap</t>
        </is>
      </c>
      <c r="H19" s="32" t="n">
        <v>4704.1</v>
      </c>
      <c r="I19" s="32" t="n">
        <v>2750</v>
      </c>
      <c r="J19" s="32" t="n">
        <v>2</v>
      </c>
      <c r="K19" s="32" t="n">
        <v>0</v>
      </c>
      <c r="L19" s="31" t="n">
        <v>81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75</v>
      </c>
      <c r="P19" s="32" t="n">
        <v>30.46</v>
      </c>
      <c r="Q19" s="32" t="inlineStr"/>
      <c r="R19" s="31" t="inlineStr">
        <is>
          <t>Earnings / Momentum Support</t>
        </is>
      </c>
      <c r="S19" s="31" t="inlineStr">
        <is>
          <t>Nifty IT</t>
        </is>
      </c>
      <c r="T19" s="32" t="n">
        <v>-11.37</v>
      </c>
      <c r="U19" s="32" t="n">
        <v>19.6</v>
      </c>
      <c r="V19" s="32" t="n">
        <v>34.95</v>
      </c>
      <c r="W19" s="32" t="n">
        <v>19.28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Oligopoly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No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3</t>
        </is>
      </c>
      <c r="BC19" s="31">
        <f>IF(BB19="Stage 2",20,IF(BB19="Stage 1",0,IF(BB19="Stage 3",5,IF(BB19="Stage 4",-5,0))))</f>
        <v/>
      </c>
      <c r="BD19" s="31" t="inlineStr">
        <is>
          <t>Negative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26</t>
        </is>
      </c>
      <c r="CG19" s="31">
        <f>IF(CF19&gt;20,10,IF(CF19&gt;=10,5,2))</f>
        <v/>
      </c>
    </row>
    <row r="20">
      <c r="A20" s="31">
        <f>IF(B20=0,"",RANK(B20,$B$2:$B$88,0))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CENTENKA</t>
        </is>
      </c>
      <c r="D20" s="31" t="inlineStr">
        <is>
          <t>Century Enka Ltd</t>
        </is>
      </c>
      <c r="E20" s="31" t="inlineStr">
        <is>
          <t>textiles</t>
        </is>
      </c>
      <c r="F20" s="31" t="inlineStr">
        <is>
          <t>Textiles - Manmade Fibre - PFY/PSF</t>
        </is>
      </c>
      <c r="G20" s="31" t="inlineStr">
        <is>
          <t>smallcap</t>
        </is>
      </c>
      <c r="H20" s="32" t="n">
        <v>1364.35</v>
      </c>
      <c r="I20" s="32" t="n">
        <v>624.4</v>
      </c>
      <c r="J20" s="32" t="n">
        <v>2.29</v>
      </c>
      <c r="K20" s="32" t="n">
        <v>0</v>
      </c>
      <c r="L20" s="31" t="n">
        <v>72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70.95999999999999</v>
      </c>
      <c r="P20" s="32" t="n">
        <v>60.76</v>
      </c>
      <c r="Q20" s="32" t="inlineStr"/>
      <c r="R20" s="31" t="inlineStr">
        <is>
          <t>Earnings / Momentum Support</t>
        </is>
      </c>
      <c r="S20" s="31" t="inlineStr">
        <is>
          <t>Nifty 50</t>
        </is>
      </c>
      <c r="T20" s="32" t="n">
        <v>-0.74</v>
      </c>
      <c r="U20" s="32" t="n">
        <v>26.9</v>
      </c>
      <c r="V20" s="32" t="n">
        <v>27.85</v>
      </c>
      <c r="W20" s="32" t="n">
        <v>15.39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Headwind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No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3</t>
        </is>
      </c>
      <c r="BC20" s="31">
        <f>IF(BB20="Stage 2",20,IF(BB20="Stage 1",0,IF(BB20="Stage 3",5,IF(BB20="Stage 4",-5,0))))</f>
        <v/>
      </c>
      <c r="BD20" s="31" t="inlineStr">
        <is>
          <t>Negative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24</t>
        </is>
      </c>
      <c r="CG20" s="31">
        <f>IF(CF20&gt;20,10,IF(CF20&gt;=10,5,2))</f>
        <v/>
      </c>
    </row>
    <row r="21">
      <c r="A21" s="31">
        <f>IF(B21=0,"",RANK(B21,$B$2:$B$88,0))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BHEL</t>
        </is>
      </c>
      <c r="D21" s="31" t="inlineStr">
        <is>
          <t>Bharat Heavy Electricals Ltd</t>
        </is>
      </c>
      <c r="E21" s="31" t="inlineStr">
        <is>
          <t>Industrials</t>
        </is>
      </c>
      <c r="F21" s="31" t="inlineStr">
        <is>
          <t>Capital Goods - Engineering Heavy</t>
        </is>
      </c>
      <c r="G21" s="31" t="inlineStr">
        <is>
          <t>largecap</t>
        </is>
      </c>
      <c r="H21" s="32" t="n">
        <v>143165.03</v>
      </c>
      <c r="I21" s="32" t="n">
        <v>411.15</v>
      </c>
      <c r="J21" s="32" t="n">
        <v>1.02</v>
      </c>
      <c r="K21" s="32" t="n">
        <v>0</v>
      </c>
      <c r="L21" s="31" t="n">
        <v>74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63.21</v>
      </c>
      <c r="P21" s="32" t="n">
        <v>44.31</v>
      </c>
      <c r="Q21" s="32" t="inlineStr"/>
      <c r="R21" s="31" t="inlineStr">
        <is>
          <t>Earnings / Momentum Support</t>
        </is>
      </c>
      <c r="S21" s="31" t="inlineStr">
        <is>
          <t>Nifty 50</t>
        </is>
      </c>
      <c r="T21" s="32" t="n">
        <v>-0.74</v>
      </c>
      <c r="U21" s="32" t="n">
        <v>76.3</v>
      </c>
      <c r="V21" s="32" t="n">
        <v>77.62</v>
      </c>
      <c r="W21" s="32" t="n">
        <v>16.22</v>
      </c>
      <c r="X21" s="31" t="inlineStr">
        <is>
          <t>Cyclical in an Upturn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Headwind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No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3</t>
        </is>
      </c>
      <c r="BC21" s="31">
        <f>IF(BB21="Stage 2",20,IF(BB21="Stage 1",0,IF(BB21="Stage 3",5,IF(BB21="Stage 4",-5,0))))</f>
        <v/>
      </c>
      <c r="BD21" s="31" t="inlineStr">
        <is>
          <t>Negative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19</t>
        </is>
      </c>
      <c r="CG21" s="31">
        <f>IF(CF21&gt;20,10,IF(CF21&gt;=10,5,2))</f>
        <v/>
      </c>
    </row>
    <row r="22">
      <c r="A22" s="31">
        <f>IF(B22=0,"",RANK(B22,$B$2:$B$88,0))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RAIN</t>
        </is>
      </c>
      <c r="D22" s="31" t="inlineStr">
        <is>
          <t>Rain Industries Ltd</t>
        </is>
      </c>
      <c r="E22" s="31" t="inlineStr">
        <is>
          <t>miscellaneous</t>
        </is>
      </c>
      <c r="F22" s="31" t="inlineStr">
        <is>
          <t>Cement</t>
        </is>
      </c>
      <c r="G22" s="31" t="inlineStr">
        <is>
          <t>midcap</t>
        </is>
      </c>
      <c r="H22" s="32" t="n">
        <v>7682.14</v>
      </c>
      <c r="I22" s="32" t="n">
        <v>228.4</v>
      </c>
      <c r="J22" s="32" t="n">
        <v>2.44</v>
      </c>
      <c r="K22" s="32" t="n">
        <v>0</v>
      </c>
      <c r="L22" s="31" t="n">
        <v>92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74.23999999999999</v>
      </c>
      <c r="P22" s="32" t="n">
        <v>47.49</v>
      </c>
      <c r="Q22" s="32" t="inlineStr"/>
      <c r="R22" s="31" t="inlineStr">
        <is>
          <t>Earnings / Momentum Support</t>
        </is>
      </c>
      <c r="S22" s="31" t="inlineStr">
        <is>
          <t>Nifty 50</t>
        </is>
      </c>
      <c r="T22" s="32" t="n">
        <v>-0.74</v>
      </c>
      <c r="U22" s="32" t="n">
        <v>46.85</v>
      </c>
      <c r="V22" s="32" t="n">
        <v>47.95</v>
      </c>
      <c r="W22" s="32" t="n">
        <v>27.78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Headwind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No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3</t>
        </is>
      </c>
      <c r="BC22" s="31">
        <f>IF(BB22="Stage 2",20,IF(BB22="Stage 1",0,IF(BB22="Stage 3",5,IF(BB22="Stage 4",-5,0))))</f>
        <v/>
      </c>
      <c r="BD22" s="31" t="inlineStr">
        <is>
          <t>Negative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Close to 52 week high or retracement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More than 1.2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19</t>
        </is>
      </c>
      <c r="CG22" s="31">
        <f>IF(CF22&gt;20,10,IF(CF22&gt;=10,5,2))</f>
        <v/>
      </c>
    </row>
    <row r="23">
      <c r="A23" s="31">
        <f>IF(B23=0,"",RANK(B23,$B$2:$B$88,0))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THYROCARE</t>
        </is>
      </c>
      <c r="D23" s="31" t="inlineStr">
        <is>
          <t>Thyrocare Technologies Ltd</t>
        </is>
      </c>
      <c r="E23" s="31" t="inlineStr">
        <is>
          <t>healthcare</t>
        </is>
      </c>
      <c r="F23" s="31" t="inlineStr">
        <is>
          <t>Diagnostics</t>
        </is>
      </c>
      <c r="G23" s="31" t="inlineStr">
        <is>
          <t>midcap</t>
        </is>
      </c>
      <c r="H23" s="32" t="n">
        <v>9463.969999999999</v>
      </c>
      <c r="I23" s="32" t="n">
        <v>594.6</v>
      </c>
      <c r="J23" s="32" t="n">
        <v>2.69</v>
      </c>
      <c r="K23" s="32" t="n">
        <v>0</v>
      </c>
      <c r="L23" s="31" t="n">
        <v>76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68.92</v>
      </c>
      <c r="P23" s="32" t="n">
        <v>55.75</v>
      </c>
      <c r="Q23" s="32" t="inlineStr"/>
      <c r="R23" s="31" t="inlineStr">
        <is>
          <t>Earnings / Momentum Support</t>
        </is>
      </c>
      <c r="S23" s="31" t="inlineStr">
        <is>
          <t>Nifty Pharma</t>
        </is>
      </c>
      <c r="T23" s="32" t="n">
        <v>20.55</v>
      </c>
      <c r="U23" s="32" t="n">
        <v>33.97</v>
      </c>
      <c r="V23" s="32" t="n">
        <v>11.14</v>
      </c>
      <c r="W23" s="32" t="n">
        <v>17.08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No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3</t>
        </is>
      </c>
      <c r="BC23" s="31">
        <f>IF(BB23="Stage 2",20,IF(BB23="Stage 1",0,IF(BB23="Stage 3",5,IF(BB23="Stage 4",-5,0))))</f>
        <v/>
      </c>
      <c r="BD23" s="31" t="inlineStr">
        <is>
          <t>Negative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Between 1.5 to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20</t>
        </is>
      </c>
      <c r="CG23" s="31">
        <f>IF(CF23&gt;20,10,IF(CF23&gt;=10,5,2))</f>
        <v/>
      </c>
    </row>
    <row r="24">
      <c r="A24" s="31">
        <f>IF(B24=0,"",RANK(B24,$B$2:$B$88,0))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CUPID</t>
        </is>
      </c>
      <c r="D24" s="31" t="inlineStr">
        <is>
          <t>Cupid Ltd</t>
        </is>
      </c>
      <c r="E24" s="31" t="inlineStr">
        <is>
          <t>fmcg</t>
        </is>
      </c>
      <c r="F24" s="31" t="inlineStr">
        <is>
          <t>Contraceptives/Protectives</t>
        </is>
      </c>
      <c r="G24" s="31" t="inlineStr">
        <is>
          <t>largecap</t>
        </is>
      </c>
      <c r="H24" s="32" t="n">
        <v>31102</v>
      </c>
      <c r="I24" s="32" t="n">
        <v>231.3</v>
      </c>
      <c r="J24" s="32" t="n">
        <v>0.29</v>
      </c>
      <c r="K24" s="32" t="n">
        <v>0</v>
      </c>
      <c r="L24" s="31" t="n">
        <v>99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89.55</v>
      </c>
      <c r="P24" s="32" t="n">
        <v>69.11</v>
      </c>
      <c r="Q24" s="32" t="inlineStr"/>
      <c r="R24" s="31" t="inlineStr">
        <is>
          <t>Earnings / Momentum Support</t>
        </is>
      </c>
      <c r="S24" s="31" t="inlineStr">
        <is>
          <t>Nifty FMCG</t>
        </is>
      </c>
      <c r="T24" s="32" t="n">
        <v>-13.73</v>
      </c>
      <c r="U24" s="32" t="n">
        <v>631.6900000000001</v>
      </c>
      <c r="V24" s="32" t="n">
        <v>748.13</v>
      </c>
      <c r="W24" s="32" t="n">
        <v>76.51000000000001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B2C</t>
        </is>
      </c>
      <c r="AO24" s="31">
        <f>IF(AN24="B2C",10,IF(AN24="B2B",5,0))</f>
        <v/>
      </c>
      <c r="AP24" s="31" t="inlineStr">
        <is>
          <t>No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3</t>
        </is>
      </c>
      <c r="BC24" s="31">
        <f>IF(BB24="Stage 2",20,IF(BB24="Stage 1",0,IF(BB24="Stage 3",5,IF(BB24="Stage 4",-5,0))))</f>
        <v/>
      </c>
      <c r="BD24" s="31" t="inlineStr">
        <is>
          <t>Negative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Less than 50%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18</t>
        </is>
      </c>
      <c r="CG24" s="31">
        <f>IF(CF24&gt;20,10,IF(CF24&gt;=10,5,2))</f>
        <v/>
      </c>
    </row>
    <row r="25">
      <c r="A25" s="31">
        <f>IF(B25=0,"",RANK(B25,$B$2:$B$88,0))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RRKABEL</t>
        </is>
      </c>
      <c r="D25" s="31" t="inlineStr">
        <is>
          <t>R R Kabel Ltd</t>
        </is>
      </c>
      <c r="E25" s="31" t="inlineStr">
        <is>
          <t>industrials</t>
        </is>
      </c>
      <c r="F25" s="31" t="inlineStr">
        <is>
          <t>Cables - Power</t>
        </is>
      </c>
      <c r="G25" s="31" t="inlineStr">
        <is>
          <t>largecap</t>
        </is>
      </c>
      <c r="H25" s="32" t="n">
        <v>29712.82</v>
      </c>
      <c r="I25" s="32" t="n">
        <v>2627</v>
      </c>
      <c r="J25" s="32" t="n">
        <v>0.93</v>
      </c>
      <c r="K25" s="32" t="n">
        <v>0</v>
      </c>
      <c r="L25" s="31" t="n">
        <v>86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74.28</v>
      </c>
      <c r="P25" s="32" t="n">
        <v>66.37</v>
      </c>
      <c r="Q25" s="32" t="inlineStr"/>
      <c r="R25" s="31" t="inlineStr">
        <is>
          <t>Earnings / Momentum Support</t>
        </is>
      </c>
      <c r="S25" s="31" t="inlineStr">
        <is>
          <t>Nifty Energy</t>
        </is>
      </c>
      <c r="T25" s="32" t="n">
        <v>8.41</v>
      </c>
      <c r="U25" s="32" t="n">
        <v>56.69</v>
      </c>
      <c r="V25" s="32" t="n">
        <v>44.54</v>
      </c>
      <c r="W25" s="32" t="n">
        <v>22.92</v>
      </c>
      <c r="X25" s="31" t="inlineStr">
        <is>
          <t>Cyclical in an Upturn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Headwind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No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3</t>
        </is>
      </c>
      <c r="BC25" s="31">
        <f>IF(BB25="Stage 2",20,IF(BB25="Stage 1",0,IF(BB25="Stage 3",5,IF(BB25="Stage 4",-5,0))))</f>
        <v/>
      </c>
      <c r="BD25" s="31" t="inlineStr">
        <is>
          <t>Negative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26</t>
        </is>
      </c>
      <c r="CG25" s="31">
        <f>IF(CF25&gt;20,10,IF(CF25&gt;=10,5,2))</f>
        <v/>
      </c>
    </row>
    <row r="26">
      <c r="A26" s="31">
        <f>IF(B26=0,"",RANK(B26,$B$2:$B$88,0))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ADOR</t>
        </is>
      </c>
      <c r="D26" s="31" t="inlineStr">
        <is>
          <t>Ador Welding Ltd</t>
        </is>
      </c>
      <c r="E26" s="31" t="inlineStr">
        <is>
          <t>industrials</t>
        </is>
      </c>
      <c r="F26" s="31" t="inlineStr">
        <is>
          <t>Welding Equipments</t>
        </is>
      </c>
      <c r="G26" s="31" t="inlineStr">
        <is>
          <t>smallcap</t>
        </is>
      </c>
      <c r="H26" s="32" t="n">
        <v>2620.86</v>
      </c>
      <c r="I26" s="32" t="n">
        <v>1506</v>
      </c>
      <c r="J26" s="32" t="n">
        <v>4.24</v>
      </c>
      <c r="K26" s="32" t="n">
        <v>0</v>
      </c>
      <c r="L26" s="31" t="n">
        <v>69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75.27</v>
      </c>
      <c r="P26" s="32" t="n">
        <v>46.91</v>
      </c>
      <c r="Q26" s="32" t="inlineStr"/>
      <c r="R26" s="31" t="inlineStr">
        <is>
          <t>Earnings / Momentum Support</t>
        </is>
      </c>
      <c r="S26" s="31" t="inlineStr">
        <is>
          <t>Nifty Infra</t>
        </is>
      </c>
      <c r="T26" s="32" t="n">
        <v>1.74</v>
      </c>
      <c r="U26" s="32" t="n">
        <v>26.64</v>
      </c>
      <c r="V26" s="32" t="n">
        <v>24.47</v>
      </c>
      <c r="W26" s="32" t="n">
        <v>14.24</v>
      </c>
      <c r="X26" s="31" t="inlineStr">
        <is>
          <t>Cyclical in an Upturn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Headwind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No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3</t>
        </is>
      </c>
      <c r="BC26" s="31">
        <f>IF(BB26="Stage 2",20,IF(BB26="Stage 1",0,IF(BB26="Stage 3",5,IF(BB26="Stage 4",-5,0))))</f>
        <v/>
      </c>
      <c r="BD26" s="31" t="inlineStr">
        <is>
          <t>Negative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21</t>
        </is>
      </c>
      <c r="CG26" s="31">
        <f>IF(CF26&gt;20,10,IF(CF26&gt;=10,5,2))</f>
        <v/>
      </c>
    </row>
    <row r="27">
      <c r="A27" s="31">
        <f>IF(B27=0,"",RANK(B27,$B$2:$B$88,0))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SPECTRUM</t>
        </is>
      </c>
      <c r="D27" s="31" t="inlineStr">
        <is>
          <t>Spectrum Electrical Industries Ltd</t>
        </is>
      </c>
      <c r="E27" s="31" t="inlineStr">
        <is>
          <t>industrials</t>
        </is>
      </c>
      <c r="F27" s="31" t="inlineStr">
        <is>
          <t>Capital Goods - Electric General</t>
        </is>
      </c>
      <c r="G27" s="31" t="inlineStr">
        <is>
          <t>smallcap</t>
        </is>
      </c>
      <c r="H27" s="32" t="n">
        <v>3992.73</v>
      </c>
      <c r="I27" s="32" t="n">
        <v>2540.9</v>
      </c>
      <c r="J27" s="32" t="n">
        <v>7.53</v>
      </c>
      <c r="K27" s="32" t="n">
        <v>0</v>
      </c>
      <c r="L27" s="31" t="n">
        <v>95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76.14</v>
      </c>
      <c r="P27" s="32" t="n">
        <v>52.98</v>
      </c>
      <c r="Q27" s="32" t="inlineStr"/>
      <c r="R27" s="31" t="inlineStr">
        <is>
          <t>Earnings / Momentum Support</t>
        </is>
      </c>
      <c r="S27" s="31" t="inlineStr">
        <is>
          <t>Nifty 50</t>
        </is>
      </c>
      <c r="T27" s="32" t="n">
        <v>-0.74</v>
      </c>
      <c r="U27" s="32" t="n">
        <v>47.59</v>
      </c>
      <c r="V27" s="32" t="n">
        <v>48.69</v>
      </c>
      <c r="W27" s="32" t="n">
        <v>33.05</v>
      </c>
      <c r="X27" s="31" t="inlineStr">
        <is>
          <t>Cyclical in an Upturn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Headwind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No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3</t>
        </is>
      </c>
      <c r="BC27" s="31">
        <f>IF(BB27="Stage 2",20,IF(BB27="Stage 1",0,IF(BB27="Stage 3",5,IF(BB27="Stage 4",-5,0))))</f>
        <v/>
      </c>
      <c r="BD27" s="31" t="inlineStr">
        <is>
          <t>Negative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Between 0.7 to 1.2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19</t>
        </is>
      </c>
      <c r="CG27" s="31">
        <f>IF(CF27&gt;20,10,IF(CF27&gt;=10,5,2))</f>
        <v/>
      </c>
    </row>
    <row r="28">
      <c r="A28" s="31">
        <f>IF(B28=0,"",RANK(B28,$B$2:$B$88,0))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INDNIPPON</t>
        </is>
      </c>
      <c r="D28" s="31" t="inlineStr">
        <is>
          <t>India Nippon Electricals Ltd</t>
        </is>
      </c>
      <c r="E28" s="31" t="inlineStr">
        <is>
          <t>auto</t>
        </is>
      </c>
      <c r="F28" s="31" t="inlineStr">
        <is>
          <t>Auto Ancillaries - Engine Parts</t>
        </is>
      </c>
      <c r="G28" s="31" t="inlineStr">
        <is>
          <t>smallcap</t>
        </is>
      </c>
      <c r="H28" s="32" t="n">
        <v>2658.02</v>
      </c>
      <c r="I28" s="32" t="n">
        <v>1175</v>
      </c>
      <c r="J28" s="32" t="n">
        <v>0.39</v>
      </c>
      <c r="K28" s="32" t="n">
        <v>0</v>
      </c>
      <c r="L28" s="31" t="n">
        <v>87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72.23</v>
      </c>
      <c r="P28" s="32" t="n">
        <v>38.23</v>
      </c>
      <c r="Q28" s="32" t="inlineStr"/>
      <c r="R28" s="31" t="inlineStr">
        <is>
          <t>Earnings / Momentum Support</t>
        </is>
      </c>
      <c r="S28" s="31" t="inlineStr">
        <is>
          <t>Nifty Auto</t>
        </is>
      </c>
      <c r="T28" s="32" t="n">
        <v>13.41</v>
      </c>
      <c r="U28" s="32" t="n">
        <v>58.64</v>
      </c>
      <c r="V28" s="32" t="n">
        <v>39.88</v>
      </c>
      <c r="W28" s="32" t="n">
        <v>23.7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No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3</t>
        </is>
      </c>
      <c r="BC28" s="31">
        <f>IF(BB28="Stage 2",20,IF(BB28="Stage 1",0,IF(BB28="Stage 3",5,IF(BB28="Stage 4",-5,0))))</f>
        <v/>
      </c>
      <c r="BD28" s="31" t="inlineStr">
        <is>
          <t>Negative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Less than 50%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19</t>
        </is>
      </c>
      <c r="CG28" s="31">
        <f>IF(CF28&gt;20,10,IF(CF28&gt;=10,5,2))</f>
        <v/>
      </c>
    </row>
    <row r="29">
      <c r="A29" s="31">
        <f>IF(B29=0,"",RANK(B29,$B$2:$B$88,0))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3" t="inlineStr">
        <is>
          <t>DPABHUSHAN</t>
        </is>
      </c>
      <c r="D29" s="33" t="inlineStr">
        <is>
          <t>DP Abhushan Ltd</t>
        </is>
      </c>
      <c r="E29" s="31" t="inlineStr">
        <is>
          <t>consumer discretionary</t>
        </is>
      </c>
      <c r="F29" s="31" t="inlineStr">
        <is>
          <t>Diamond, Gems &amp; Jewellery</t>
        </is>
      </c>
      <c r="G29" s="31" t="inlineStr">
        <is>
          <t>smallcap</t>
        </is>
      </c>
      <c r="H29" s="32" t="n">
        <v>3230.15</v>
      </c>
      <c r="I29" s="32" t="n">
        <v>1415</v>
      </c>
      <c r="J29" s="32" t="n">
        <v>7.36</v>
      </c>
      <c r="K29" s="32" t="n">
        <v>0</v>
      </c>
      <c r="L29" s="31" t="n">
        <v>19</v>
      </c>
      <c r="M29" s="31" t="inlineStr">
        <is>
          <t>Underperforming</t>
        </is>
      </c>
      <c r="N29" s="32">
        <f>IF(M29="Underperforming",-5,IF(L29&gt;=95,15,IF(L29&gt;=90,10,IF(L29&gt;=80,5,0))))</f>
        <v/>
      </c>
      <c r="O29" s="32" t="n">
        <v>61.13</v>
      </c>
      <c r="P29" s="32" t="n">
        <v>31.34</v>
      </c>
      <c r="Q29" s="32" t="inlineStr"/>
      <c r="R29" s="31" t="inlineStr">
        <is>
          <t>Earnings / Momentum Support</t>
        </is>
      </c>
      <c r="S29" s="31" t="inlineStr">
        <is>
          <t>Nifty 50</t>
        </is>
      </c>
      <c r="T29" s="32" t="n">
        <v>-0.74</v>
      </c>
      <c r="U29" s="32" t="n">
        <v>-19.95</v>
      </c>
      <c r="V29" s="32" t="n">
        <v>-19.35</v>
      </c>
      <c r="W29" s="32" t="n">
        <v>2.33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No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3</t>
        </is>
      </c>
      <c r="BC29" s="31">
        <f>IF(BB29="Stage 2",20,IF(BB29="Stage 1",0,IF(BB29="Stage 3",5,IF(BB29="Stage 4",-5,0))))</f>
        <v/>
      </c>
      <c r="BD29" s="31" t="inlineStr">
        <is>
          <t>Negative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18</t>
        </is>
      </c>
      <c r="CG29" s="31">
        <f>IF(CF29&gt;20,10,IF(CF29&gt;=10,5,2))</f>
        <v/>
      </c>
    </row>
    <row r="30">
      <c r="A30" s="31">
        <f>IF(B30=0,"",RANK(B30,$B$2:$B$88,0))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CYIENTDLM</t>
        </is>
      </c>
      <c r="D30" s="31" t="inlineStr">
        <is>
          <t>Cyient DLM Ltd</t>
        </is>
      </c>
      <c r="E30" s="31" t="inlineStr">
        <is>
          <t>consumer discretionary</t>
        </is>
      </c>
      <c r="F30" s="31" t="inlineStr">
        <is>
          <t>Consumer Electronics - EMS</t>
        </is>
      </c>
      <c r="G30" s="31" t="inlineStr">
        <is>
          <t>midcap</t>
        </is>
      </c>
      <c r="H30" s="32" t="n">
        <v>5319.48</v>
      </c>
      <c r="I30" s="32" t="n">
        <v>670.1</v>
      </c>
      <c r="J30" s="32" t="n">
        <v>0.01</v>
      </c>
      <c r="K30" s="32" t="n">
        <v>0</v>
      </c>
      <c r="L30" s="31" t="n">
        <v>90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82.90000000000001</v>
      </c>
      <c r="P30" s="32" t="n">
        <v>56.97</v>
      </c>
      <c r="Q30" s="32" t="inlineStr"/>
      <c r="R30" s="31" t="inlineStr">
        <is>
          <t>Earnings / Momentum Support</t>
        </is>
      </c>
      <c r="S30" s="31" t="inlineStr">
        <is>
          <t>Nifty 50</t>
        </is>
      </c>
      <c r="T30" s="32" t="n">
        <v>-0.74</v>
      </c>
      <c r="U30" s="32" t="n">
        <v>50.34</v>
      </c>
      <c r="V30" s="32" t="n">
        <v>51.46</v>
      </c>
      <c r="W30" s="32" t="n">
        <v>26.09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No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3</t>
        </is>
      </c>
      <c r="BC30" s="31">
        <f>IF(BB30="Stage 2",20,IF(BB30="Stage 1",0,IF(BB30="Stage 3",5,IF(BB30="Stage 4",-5,0))))</f>
        <v/>
      </c>
      <c r="BD30" s="31" t="inlineStr">
        <is>
          <t>Negative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18</t>
        </is>
      </c>
      <c r="CG30" s="31">
        <f>IF(CF30&gt;20,10,IF(CF30&gt;=10,5,2))</f>
        <v/>
      </c>
    </row>
    <row r="31">
      <c r="A31" s="31">
        <f>IF(B31=0,"",RANK(B31,$B$2:$B$88,0))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LAURUSLABS</t>
        </is>
      </c>
      <c r="D31" s="31" t="inlineStr">
        <is>
          <t>Laurus Labs Ltd</t>
        </is>
      </c>
      <c r="E31" s="31" t="inlineStr">
        <is>
          <t>healthcare</t>
        </is>
      </c>
      <c r="F31" s="31" t="inlineStr">
        <is>
          <t>Pharma - API &amp; CRAMS</t>
        </is>
      </c>
      <c r="G31" s="31" t="inlineStr">
        <is>
          <t>largecap</t>
        </is>
      </c>
      <c r="H31" s="32" t="n">
        <v>97872.16</v>
      </c>
      <c r="I31" s="32" t="n">
        <v>1811.4</v>
      </c>
      <c r="J31" s="32" t="n">
        <v>-0.26</v>
      </c>
      <c r="K31" s="32" t="n">
        <v>0</v>
      </c>
      <c r="L31" s="31" t="n">
        <v>94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85.77</v>
      </c>
      <c r="P31" s="32" t="n">
        <v>62.17</v>
      </c>
      <c r="Q31" s="32" t="inlineStr"/>
      <c r="R31" s="31" t="inlineStr">
        <is>
          <t>Earnings / Momentum Support</t>
        </is>
      </c>
      <c r="S31" s="31" t="inlineStr">
        <is>
          <t>Nifty Pharma</t>
        </is>
      </c>
      <c r="T31" s="32" t="n">
        <v>20.55</v>
      </c>
      <c r="U31" s="32" t="n">
        <v>114.22</v>
      </c>
      <c r="V31" s="32" t="n">
        <v>77.70999999999999</v>
      </c>
      <c r="W31" s="32" t="n">
        <v>31.71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Headwind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3</t>
        </is>
      </c>
      <c r="BC31" s="31">
        <f>IF(BB31="Stage 2",20,IF(BB31="Stage 1",0,IF(BB31="Stage 3",5,IF(BB31="Stage 4",-5,0))))</f>
        <v/>
      </c>
      <c r="BD31" s="31" t="inlineStr">
        <is>
          <t>Negative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22</t>
        </is>
      </c>
      <c r="CG31" s="31">
        <f>IF(CF31&gt;20,10,IF(CF31&gt;=10,5,2))</f>
        <v/>
      </c>
    </row>
    <row r="32">
      <c r="A32" s="31">
        <f>IF(B32=0,"",RANK(B32,$B$2:$B$88,0))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LALPATHLAB</t>
        </is>
      </c>
      <c r="D32" s="31" t="inlineStr">
        <is>
          <t>Dr Lal Pathlabs Ltd</t>
        </is>
      </c>
      <c r="E32" s="31" t="inlineStr">
        <is>
          <t>healthcare</t>
        </is>
      </c>
      <c r="F32" s="31" t="inlineStr">
        <is>
          <t>Diagnostics</t>
        </is>
      </c>
      <c r="G32" s="31" t="inlineStr">
        <is>
          <t>largecap</t>
        </is>
      </c>
      <c r="H32" s="32" t="n">
        <v>31935</v>
      </c>
      <c r="I32" s="32" t="n">
        <v>1905</v>
      </c>
      <c r="J32" s="32" t="n">
        <v>-0.01</v>
      </c>
      <c r="K32" s="32" t="n">
        <v>0</v>
      </c>
      <c r="L32" s="31" t="n">
        <v>65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73.73999999999999</v>
      </c>
      <c r="P32" s="32" t="n">
        <v>40.4</v>
      </c>
      <c r="Q32" s="32" t="inlineStr"/>
      <c r="R32" s="31" t="inlineStr">
        <is>
          <t>Earnings / Momentum Support</t>
        </is>
      </c>
      <c r="S32" s="31" t="inlineStr">
        <is>
          <t>Nifty Pharma</t>
        </is>
      </c>
      <c r="T32" s="32" t="n">
        <v>20.55</v>
      </c>
      <c r="U32" s="32" t="n">
        <v>21.34</v>
      </c>
      <c r="V32" s="32" t="n">
        <v>0.66</v>
      </c>
      <c r="W32" s="32" t="n">
        <v>13.25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No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3</t>
        </is>
      </c>
      <c r="BC32" s="31">
        <f>IF(BB32="Stage 2",20,IF(BB32="Stage 1",0,IF(BB32="Stage 3",5,IF(BB32="Stage 4",-5,0))))</f>
        <v/>
      </c>
      <c r="BD32" s="31" t="inlineStr">
        <is>
          <t>Negative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17</t>
        </is>
      </c>
      <c r="CG32" s="31">
        <f>IF(CF32&gt;20,10,IF(CF32&gt;=10,5,2))</f>
        <v/>
      </c>
    </row>
    <row r="33">
      <c r="A33" s="31">
        <f>IF(B33=0,"",RANK(B33,$B$2:$B$88,0))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YASHO</t>
        </is>
      </c>
      <c r="D33" s="31" t="inlineStr">
        <is>
          <t>Yasho Industries Ltd</t>
        </is>
      </c>
      <c r="E33" s="31" t="inlineStr">
        <is>
          <t>chemicals</t>
        </is>
      </c>
      <c r="F33" s="31" t="inlineStr">
        <is>
          <t>Speciality Chemicals</t>
        </is>
      </c>
      <c r="G33" s="31" t="inlineStr">
        <is>
          <t>smallcap</t>
        </is>
      </c>
      <c r="H33" s="32" t="n">
        <v>4732.41</v>
      </c>
      <c r="I33" s="32" t="n">
        <v>3925</v>
      </c>
      <c r="J33" s="32" t="n">
        <v>1.72</v>
      </c>
      <c r="K33" s="32" t="n">
        <v>0</v>
      </c>
      <c r="L33" s="31" t="n">
        <v>98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90.06</v>
      </c>
      <c r="P33" s="32" t="n">
        <v>60.23</v>
      </c>
      <c r="Q33" s="32" t="inlineStr"/>
      <c r="R33" s="31" t="inlineStr">
        <is>
          <t>Volume Spike / Accumulation</t>
        </is>
      </c>
      <c r="S33" s="31" t="inlineStr">
        <is>
          <t>Nifty 50</t>
        </is>
      </c>
      <c r="T33" s="32" t="n">
        <v>-0.74</v>
      </c>
      <c r="U33" s="32" t="n">
        <v>110.63</v>
      </c>
      <c r="V33" s="32" t="n">
        <v>112.2</v>
      </c>
      <c r="W33" s="32" t="n">
        <v>60.48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3</t>
        </is>
      </c>
      <c r="BC33" s="31">
        <f>IF(BB33="Stage 2",20,IF(BB33="Stage 1",0,IF(BB33="Stage 3",5,IF(BB33="Stage 4",-5,0))))</f>
        <v/>
      </c>
      <c r="BD33" s="31" t="inlineStr">
        <is>
          <t>Negative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More than 1.2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25</t>
        </is>
      </c>
      <c r="CG33" s="31">
        <f>IF(CF33&gt;20,10,IF(CF33&gt;=10,5,2))</f>
        <v/>
      </c>
    </row>
    <row r="34">
      <c r="A34" s="31">
        <f>IF(B34=0,"",RANK(B34,$B$2:$B$88,0))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GHCLTEXTIL</t>
        </is>
      </c>
      <c r="D34" s="31" t="inlineStr">
        <is>
          <t>GHCL Textiles Ltd</t>
        </is>
      </c>
      <c r="E34" s="31" t="inlineStr">
        <is>
          <t>textiles</t>
        </is>
      </c>
      <c r="F34" s="31" t="inlineStr">
        <is>
          <t>Textiles - General</t>
        </is>
      </c>
      <c r="G34" s="31" t="inlineStr">
        <is>
          <t>smallcap</t>
        </is>
      </c>
      <c r="H34" s="32" t="n">
        <v>1092.45</v>
      </c>
      <c r="I34" s="32" t="n">
        <v>114.29</v>
      </c>
      <c r="J34" s="32" t="n">
        <v>0.59</v>
      </c>
      <c r="K34" s="32" t="n">
        <v>0</v>
      </c>
      <c r="L34" s="31" t="n">
        <v>63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69.08</v>
      </c>
      <c r="P34" s="32" t="n">
        <v>30.33</v>
      </c>
      <c r="Q34" s="32" t="inlineStr"/>
      <c r="R34" s="31" t="inlineStr">
        <is>
          <t>Earnings / Momentum Support</t>
        </is>
      </c>
      <c r="S34" s="31" t="inlineStr">
        <is>
          <t>Nifty 50</t>
        </is>
      </c>
      <c r="T34" s="32" t="n">
        <v>-0.74</v>
      </c>
      <c r="U34" s="32" t="n">
        <v>31.61</v>
      </c>
      <c r="V34" s="32" t="n">
        <v>32.59</v>
      </c>
      <c r="W34" s="32" t="n">
        <v>12.35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No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3</t>
        </is>
      </c>
      <c r="BC34" s="31">
        <f>IF(BB34="Stage 2",20,IF(BB34="Stage 1",0,IF(BB34="Stage 3",5,IF(BB34="Stage 4",-5,0))))</f>
        <v/>
      </c>
      <c r="BD34" s="31" t="inlineStr">
        <is>
          <t>Negative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22</t>
        </is>
      </c>
      <c r="CG34" s="31">
        <f>IF(CF34&gt;20,10,IF(CF34&gt;=10,5,2))</f>
        <v/>
      </c>
    </row>
    <row r="35">
      <c r="A35" s="31">
        <f>IF(B35=0,"",RANK(B35,$B$2:$B$88,0))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IRISDOREME</t>
        </is>
      </c>
      <c r="D35" s="31" t="inlineStr">
        <is>
          <t>Iris Clothings Ltd</t>
        </is>
      </c>
      <c r="E35" s="31" t="inlineStr">
        <is>
          <t>consumer discretionary</t>
        </is>
      </c>
      <c r="F35" s="31" t="inlineStr">
        <is>
          <t>Textiles - Readymade Apparel</t>
        </is>
      </c>
      <c r="G35" s="31" t="inlineStr">
        <is>
          <t>smallcap</t>
        </is>
      </c>
      <c r="H35" s="32" t="n">
        <v>1012.56</v>
      </c>
      <c r="I35" s="32" t="n">
        <v>53.2</v>
      </c>
      <c r="J35" s="32" t="n">
        <v>0.45</v>
      </c>
      <c r="K35" s="32" t="n">
        <v>0</v>
      </c>
      <c r="L35" s="31" t="n">
        <v>84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81.05</v>
      </c>
      <c r="P35" s="32" t="n">
        <v>35.56</v>
      </c>
      <c r="Q35" s="32" t="inlineStr"/>
      <c r="R35" s="31" t="inlineStr">
        <is>
          <t>Earnings / Momentum Support</t>
        </is>
      </c>
      <c r="S35" s="31" t="inlineStr">
        <is>
          <t>Nifty 50</t>
        </is>
      </c>
      <c r="T35" s="32" t="n">
        <v>-0.74</v>
      </c>
      <c r="U35" s="32" t="n">
        <v>68.93000000000001</v>
      </c>
      <c r="V35" s="32" t="n">
        <v>70.19</v>
      </c>
      <c r="W35" s="32" t="n">
        <v>21.64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No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3</t>
        </is>
      </c>
      <c r="BC35" s="31">
        <f>IF(BB35="Stage 2",20,IF(BB35="Stage 1",0,IF(BB35="Stage 3",5,IF(BB35="Stage 4",-5,0))))</f>
        <v/>
      </c>
      <c r="BD35" s="31" t="inlineStr">
        <is>
          <t>Negative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22</t>
        </is>
      </c>
      <c r="CG35" s="31">
        <f>IF(CF35&gt;20,10,IF(CF35&gt;=10,5,2))</f>
        <v/>
      </c>
    </row>
    <row r="36">
      <c r="A36" s="31">
        <f>IF(B36=0,"",RANK(B36,$B$2:$B$88,0))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SIGMAADV</t>
        </is>
      </c>
      <c r="D36" s="31" t="inlineStr">
        <is>
          <t>Sigma Advanced System Ltd</t>
        </is>
      </c>
      <c r="E36" s="31" t="inlineStr">
        <is>
          <t>aerospace &amp; defence</t>
        </is>
      </c>
      <c r="F36" s="31" t="inlineStr">
        <is>
          <t>Aerospace &amp; Defence - Equipments</t>
        </is>
      </c>
      <c r="G36" s="31" t="inlineStr">
        <is>
          <t>midcap</t>
        </is>
      </c>
      <c r="H36" s="32" t="n">
        <v>12406.31</v>
      </c>
      <c r="I36" s="32" t="n">
        <v>654.7</v>
      </c>
      <c r="J36" s="32" t="n">
        <v>5</v>
      </c>
      <c r="K36" s="32" t="n">
        <v>0</v>
      </c>
      <c r="L36" s="31" t="n">
        <v>99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74.83</v>
      </c>
      <c r="P36" s="32" t="n">
        <v>66.72</v>
      </c>
      <c r="Q36" s="32" t="inlineStr"/>
      <c r="R36" s="31" t="inlineStr">
        <is>
          <t>Earnings / Momentum Support</t>
        </is>
      </c>
      <c r="S36" s="31" t="inlineStr">
        <is>
          <t>Nifty 50</t>
        </is>
      </c>
      <c r="T36" s="32" t="n">
        <v>-0.74</v>
      </c>
      <c r="U36" s="32" t="n">
        <v>437.96</v>
      </c>
      <c r="V36" s="32" t="n">
        <v>441.97</v>
      </c>
      <c r="W36" s="32" t="n">
        <v>73.23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Headwind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No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3</t>
        </is>
      </c>
      <c r="BC36" s="31">
        <f>IF(BB36="Stage 2",20,IF(BB36="Stage 1",0,IF(BB36="Stage 3",5,IF(BB36="Stage 4",-5,0))))</f>
        <v/>
      </c>
      <c r="BD36" s="31" t="inlineStr">
        <is>
          <t>Negative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Negative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Between 0.7 to 1.2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21</t>
        </is>
      </c>
      <c r="CG36" s="31">
        <f>IF(CF36&gt;20,10,IF(CF36&gt;=10,5,2))</f>
        <v/>
      </c>
    </row>
    <row r="37">
      <c r="A37" s="31">
        <f>IF(B37=0,"",RANK(B37,$B$2:$B$88,0))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THELEELA</t>
        </is>
      </c>
      <c r="D37" s="31" t="inlineStr">
        <is>
          <t>Leela Palaces Hotels &amp; Resorts Ltd</t>
        </is>
      </c>
      <c r="E37" s="31" t="inlineStr">
        <is>
          <t>services</t>
        </is>
      </c>
      <c r="F37" s="31" t="inlineStr">
        <is>
          <t>Hotels</t>
        </is>
      </c>
      <c r="G37" s="31" t="inlineStr">
        <is>
          <t>midcap</t>
        </is>
      </c>
      <c r="H37" s="32" t="n">
        <v>16726.28</v>
      </c>
      <c r="I37" s="32" t="n">
        <v>500.85</v>
      </c>
      <c r="J37" s="32" t="n">
        <v>1.26</v>
      </c>
      <c r="K37" s="32" t="n">
        <v>0</v>
      </c>
      <c r="L37" s="31" t="n">
        <v>43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61</v>
      </c>
      <c r="P37" s="32" t="n">
        <v>22.94</v>
      </c>
      <c r="Q37" s="32" t="inlineStr"/>
      <c r="R37" s="31" t="inlineStr">
        <is>
          <t>Earnings / Momentum Support</t>
        </is>
      </c>
      <c r="S37" s="31" t="inlineStr">
        <is>
          <t>Nifty 50</t>
        </is>
      </c>
      <c r="T37" s="32" t="n">
        <v>-0.74</v>
      </c>
      <c r="U37" s="32" t="n">
        <v>19.63</v>
      </c>
      <c r="V37" s="32" t="n">
        <v>20.52</v>
      </c>
      <c r="W37" s="32" t="n">
        <v>6.93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3</t>
        </is>
      </c>
      <c r="BC37" s="31">
        <f>IF(BB37="Stage 2",20,IF(BB37="Stage 1",0,IF(BB37="Stage 3",5,IF(BB37="Stage 4",-5,0))))</f>
        <v/>
      </c>
      <c r="BD37" s="31" t="inlineStr">
        <is>
          <t>Negative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20</t>
        </is>
      </c>
      <c r="CG37" s="31">
        <f>IF(CF37&gt;20,10,IF(CF37&gt;=10,5,2))</f>
        <v/>
      </c>
    </row>
    <row r="38">
      <c r="A38" s="31">
        <f>IF(B38=0,"",RANK(B38,$B$2:$B$88,0))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NYKAA</t>
        </is>
      </c>
      <c r="D38" s="31" t="inlineStr">
        <is>
          <t>FSN E-Commerce Ventures Ltd</t>
        </is>
      </c>
      <c r="E38" s="31" t="inlineStr">
        <is>
          <t>i.t</t>
        </is>
      </c>
      <c r="F38" s="31" t="inlineStr">
        <is>
          <t>New age - Platform - E-Retail</t>
        </is>
      </c>
      <c r="G38" s="31" t="inlineStr">
        <is>
          <t>largecap</t>
        </is>
      </c>
      <c r="H38" s="32" t="n">
        <v>98775.49000000001</v>
      </c>
      <c r="I38" s="32" t="n">
        <v>344.9</v>
      </c>
      <c r="J38" s="32" t="n">
        <v>3.45</v>
      </c>
      <c r="K38" s="32" t="n">
        <v>0</v>
      </c>
      <c r="L38" s="31" t="n">
        <v>72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72.44</v>
      </c>
      <c r="P38" s="32" t="n">
        <v>40.72</v>
      </c>
      <c r="Q38" s="32" t="inlineStr"/>
      <c r="R38" s="31" t="inlineStr">
        <is>
          <t>Earnings / Momentum Support</t>
        </is>
      </c>
      <c r="S38" s="31" t="inlineStr">
        <is>
          <t>Nifty IT</t>
        </is>
      </c>
      <c r="T38" s="32" t="n">
        <v>-11.37</v>
      </c>
      <c r="U38" s="32" t="n">
        <v>58.72</v>
      </c>
      <c r="V38" s="32" t="n">
        <v>79.08</v>
      </c>
      <c r="W38" s="32" t="n">
        <v>15.4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B2C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3</t>
        </is>
      </c>
      <c r="BC38" s="31">
        <f>IF(BB38="Stage 2",20,IF(BB38="Stage 1",0,IF(BB38="Stage 3",5,IF(BB38="Stage 4",-5,0))))</f>
        <v/>
      </c>
      <c r="BD38" s="31" t="inlineStr">
        <is>
          <t>Negative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Between 0.7 to 1.2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20</t>
        </is>
      </c>
      <c r="CG38" s="31">
        <f>IF(CF38&gt;20,10,IF(CF38&gt;=10,5,2))</f>
        <v/>
      </c>
    </row>
    <row r="39">
      <c r="A39" s="31">
        <f>IF(B39=0,"",RANK(B39,$B$2:$B$88,0))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SONACOMS</t>
        </is>
      </c>
      <c r="D39" s="31" t="inlineStr">
        <is>
          <t>Sona BLW Precision Forgings Ltd</t>
        </is>
      </c>
      <c r="E39" s="31" t="inlineStr">
        <is>
          <t>auto</t>
        </is>
      </c>
      <c r="F39" s="31" t="inlineStr">
        <is>
          <t>Castings, Forgings &amp; Fastners</t>
        </is>
      </c>
      <c r="G39" s="31" t="inlineStr">
        <is>
          <t>largecap</t>
        </is>
      </c>
      <c r="H39" s="32" t="n">
        <v>48881.73</v>
      </c>
      <c r="I39" s="32" t="n">
        <v>785</v>
      </c>
      <c r="J39" s="32" t="n">
        <v>2.03</v>
      </c>
      <c r="K39" s="32" t="n">
        <v>0</v>
      </c>
      <c r="L39" s="31" t="n">
        <v>64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80.03</v>
      </c>
      <c r="P39" s="32" t="n">
        <v>46.46</v>
      </c>
      <c r="Q39" s="32" t="inlineStr"/>
      <c r="R39" s="31" t="inlineStr">
        <is>
          <t>Earnings / Momentum Support</t>
        </is>
      </c>
      <c r="S39" s="31" t="inlineStr">
        <is>
          <t>Nifty Auto</t>
        </is>
      </c>
      <c r="T39" s="32" t="n">
        <v>13.41</v>
      </c>
      <c r="U39" s="32" t="n">
        <v>47.83</v>
      </c>
      <c r="V39" s="32" t="n">
        <v>30.34</v>
      </c>
      <c r="W39" s="32" t="n">
        <v>12.69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Headwind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No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3</t>
        </is>
      </c>
      <c r="BC39" s="31">
        <f>IF(BB39="Stage 2",20,IF(BB39="Stage 1",0,IF(BB39="Stage 3",5,IF(BB39="Stage 4",-5,0))))</f>
        <v/>
      </c>
      <c r="BD39" s="31" t="inlineStr">
        <is>
          <t>Negative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Between 1.5 to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18</t>
        </is>
      </c>
      <c r="CG39" s="31">
        <f>IF(CF39&gt;20,10,IF(CF39&gt;=10,5,2))</f>
        <v/>
      </c>
    </row>
    <row r="40">
      <c r="A40" s="31">
        <f>IF(B40=0,"",RANK(B40,$B$2:$B$88,0))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STLTECH</t>
        </is>
      </c>
      <c r="D40" s="31" t="inlineStr">
        <is>
          <t>Sterlite Technologies Ltd</t>
        </is>
      </c>
      <c r="E40" s="31" t="inlineStr">
        <is>
          <t>industrials</t>
        </is>
      </c>
      <c r="F40" s="31" t="inlineStr">
        <is>
          <t>Cables - Telecom</t>
        </is>
      </c>
      <c r="G40" s="31" t="inlineStr">
        <is>
          <t>largecap</t>
        </is>
      </c>
      <c r="H40" s="32" t="n">
        <v>30058.67</v>
      </c>
      <c r="I40" s="32" t="n">
        <v>584.9</v>
      </c>
      <c r="J40" s="32" t="n">
        <v>5</v>
      </c>
      <c r="K40" s="32" t="n">
        <v>0</v>
      </c>
      <c r="L40" s="31" t="n">
        <v>98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68.54000000000001</v>
      </c>
      <c r="P40" s="32" t="n">
        <v>81.05</v>
      </c>
      <c r="Q40" s="32" t="inlineStr"/>
      <c r="R40" s="31" t="inlineStr">
        <is>
          <t>Earnings / Momentum Support</t>
        </is>
      </c>
      <c r="S40" s="31" t="inlineStr">
        <is>
          <t>Nifty Infra</t>
        </is>
      </c>
      <c r="T40" s="32" t="n">
        <v>1.74</v>
      </c>
      <c r="U40" s="32" t="n">
        <v>350.72</v>
      </c>
      <c r="V40" s="32" t="n">
        <v>343.01</v>
      </c>
      <c r="W40" s="32" t="n">
        <v>71.36</v>
      </c>
      <c r="X40" s="31" t="inlineStr">
        <is>
          <t>Cyclical in an Upturn</t>
        </is>
      </c>
      <c r="Y40" s="31">
        <f>IF(X40="Growing Industry",10,IF(X40="Cyclical in an Upturn",5,0))</f>
        <v/>
      </c>
      <c r="Z40" s="31" t="inlineStr">
        <is>
          <t>Oligopoly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Headwind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3</t>
        </is>
      </c>
      <c r="BC40" s="31">
        <f>IF(BB40="Stage 2",20,IF(BB40="Stage 1",0,IF(BB40="Stage 3",5,IF(BB40="Stage 4",-5,0))))</f>
        <v/>
      </c>
      <c r="BD40" s="31" t="inlineStr">
        <is>
          <t>Negative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Between 0.7 to 1.2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17</t>
        </is>
      </c>
      <c r="CG40" s="31">
        <f>IF(CF40&gt;20,10,IF(CF40&gt;=10,5,2))</f>
        <v/>
      </c>
    </row>
    <row r="41">
      <c r="A41" s="31">
        <f>IF(B41=0,"",RANK(B41,$B$2:$B$88,0))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COFORGE</t>
        </is>
      </c>
      <c r="D41" s="31" t="inlineStr">
        <is>
          <t>Coforge Ltd</t>
        </is>
      </c>
      <c r="E41" s="31" t="inlineStr">
        <is>
          <t>i.t</t>
        </is>
      </c>
      <c r="F41" s="31" t="inlineStr">
        <is>
          <t>IT - Software</t>
        </is>
      </c>
      <c r="G41" s="31" t="inlineStr">
        <is>
          <t>largecap</t>
        </is>
      </c>
      <c r="H41" s="32" t="n">
        <v>78308.34</v>
      </c>
      <c r="I41" s="32" t="n">
        <v>1768</v>
      </c>
      <c r="J41" s="32" t="n">
        <v>2.73</v>
      </c>
      <c r="K41" s="32" t="n">
        <v>0</v>
      </c>
      <c r="L41" s="31" t="n">
        <v>61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64.62</v>
      </c>
      <c r="P41" s="32" t="n">
        <v>9.4</v>
      </c>
      <c r="Q41" s="32" t="inlineStr"/>
      <c r="R41" s="31" t="inlineStr">
        <is>
          <t>Earnings / Momentum Support</t>
        </is>
      </c>
      <c r="S41" s="31" t="inlineStr">
        <is>
          <t>Nifty IT</t>
        </is>
      </c>
      <c r="T41" s="32" t="n">
        <v>-11.37</v>
      </c>
      <c r="U41" s="32" t="n">
        <v>1.56</v>
      </c>
      <c r="V41" s="32" t="n">
        <v>14.59</v>
      </c>
      <c r="W41" s="32" t="n">
        <v>11.7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0 to 20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3</t>
        </is>
      </c>
      <c r="BC41" s="31">
        <f>IF(BB41="Stage 2",20,IF(BB41="Stage 1",0,IF(BB41="Stage 3",5,IF(BB41="Stage 4",-5,0))))</f>
        <v/>
      </c>
      <c r="BD41" s="31" t="inlineStr">
        <is>
          <t>Negative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20</t>
        </is>
      </c>
      <c r="CG41" s="31">
        <f>IF(CF41&gt;20,10,IF(CF41&gt;=10,5,2))</f>
        <v/>
      </c>
    </row>
    <row r="42">
      <c r="A42" s="31">
        <f>IF(B42=0,"",RANK(B42,$B$2:$B$88,0))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MAHLIFE</t>
        </is>
      </c>
      <c r="D42" s="31" t="inlineStr">
        <is>
          <t>Mahindra Lifespace Developers Ltd</t>
        </is>
      </c>
      <c r="E42" s="31" t="inlineStr">
        <is>
          <t>realty</t>
        </is>
      </c>
      <c r="F42" s="31" t="inlineStr">
        <is>
          <t>Construction &amp; Contracting</t>
        </is>
      </c>
      <c r="G42" s="31" t="inlineStr">
        <is>
          <t>midcap</t>
        </is>
      </c>
      <c r="H42" s="32" t="n">
        <v>8492.110000000001</v>
      </c>
      <c r="I42" s="32" t="n">
        <v>398.05</v>
      </c>
      <c r="J42" s="32" t="n">
        <v>1.38</v>
      </c>
      <c r="K42" s="32" t="n">
        <v>0</v>
      </c>
      <c r="L42" s="31" t="n">
        <v>25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63.12</v>
      </c>
      <c r="P42" s="32" t="n">
        <v>13.72</v>
      </c>
      <c r="Q42" s="32" t="inlineStr"/>
      <c r="R42" s="31" t="inlineStr">
        <is>
          <t>Earnings / Momentum Support</t>
        </is>
      </c>
      <c r="S42" s="31" t="inlineStr">
        <is>
          <t>Nifty Realty</t>
        </is>
      </c>
      <c r="T42" s="32" t="n">
        <v>-8.119999999999999</v>
      </c>
      <c r="U42" s="32" t="n">
        <v>-1.54</v>
      </c>
      <c r="V42" s="32" t="n">
        <v>7.16</v>
      </c>
      <c r="W42" s="32" t="n">
        <v>3.28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0 to 20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3</t>
        </is>
      </c>
      <c r="BC42" s="31">
        <f>IF(BB42="Stage 2",20,IF(BB42="Stage 1",0,IF(BB42="Stage 3",5,IF(BB42="Stage 4",-5,0))))</f>
        <v/>
      </c>
      <c r="BD42" s="31" t="inlineStr">
        <is>
          <t>Negative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29</t>
        </is>
      </c>
      <c r="CG42" s="31">
        <f>IF(CF42&gt;20,10,IF(CF42&gt;=10,5,2))</f>
        <v/>
      </c>
    </row>
    <row r="43">
      <c r="A43" s="31">
        <f>IF(B43=0,"",RANK(B43,$B$2:$B$88,0))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KRISHANA</t>
        </is>
      </c>
      <c r="D43" s="31" t="inlineStr">
        <is>
          <t>Krishana Phoschem Ltd</t>
        </is>
      </c>
      <c r="E43" s="31" t="inlineStr">
        <is>
          <t>chemicals</t>
        </is>
      </c>
      <c r="F43" s="31" t="inlineStr">
        <is>
          <t>Fertilisers</t>
        </is>
      </c>
      <c r="G43" s="31" t="inlineStr">
        <is>
          <t>midcap</t>
        </is>
      </c>
      <c r="H43" s="32" t="n">
        <v>5552.12</v>
      </c>
      <c r="I43" s="32" t="n">
        <v>179.6</v>
      </c>
      <c r="J43" s="32" t="n">
        <v>-1.83</v>
      </c>
      <c r="K43" s="32" t="n">
        <v>0</v>
      </c>
      <c r="L43" s="31" t="n">
        <v>88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78.34</v>
      </c>
      <c r="P43" s="32" t="n">
        <v>45.94</v>
      </c>
      <c r="Q43" s="32" t="inlineStr"/>
      <c r="R43" s="31" t="inlineStr">
        <is>
          <t>Earnings / Momentum Support</t>
        </is>
      </c>
      <c r="S43" s="31" t="inlineStr">
        <is>
          <t>Nifty 50</t>
        </is>
      </c>
      <c r="T43" s="32" t="n">
        <v>-0.74</v>
      </c>
      <c r="U43" s="32" t="n">
        <v>70.5</v>
      </c>
      <c r="V43" s="32" t="n">
        <v>71.77</v>
      </c>
      <c r="W43" s="32" t="n">
        <v>24.01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No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3</t>
        </is>
      </c>
      <c r="BC43" s="31">
        <f>IF(BB43="Stage 2",20,IF(BB43="Stage 1",0,IF(BB43="Stage 3",5,IF(BB43="Stage 4",-5,0))))</f>
        <v/>
      </c>
      <c r="BD43" s="31" t="inlineStr">
        <is>
          <t>Negative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More than 1.2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25</t>
        </is>
      </c>
      <c r="CG43" s="31">
        <f>IF(CF43&gt;20,10,IF(CF43&gt;=10,5,2))</f>
        <v/>
      </c>
    </row>
    <row r="44">
      <c r="A44" s="31">
        <f>IF(B44=0,"",RANK(B44,$B$2:$B$88,0))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CRAFTSMAN</t>
        </is>
      </c>
      <c r="D44" s="31" t="inlineStr">
        <is>
          <t>Craftsman Automation Ltd</t>
        </is>
      </c>
      <c r="E44" s="31" t="inlineStr">
        <is>
          <t>auto</t>
        </is>
      </c>
      <c r="F44" s="31" t="inlineStr">
        <is>
          <t>Auto &amp; Auto Ancl - CV</t>
        </is>
      </c>
      <c r="G44" s="31" t="inlineStr">
        <is>
          <t>largecap</t>
        </is>
      </c>
      <c r="H44" s="32" t="n">
        <v>26752.06</v>
      </c>
      <c r="I44" s="32" t="n">
        <v>10228.5</v>
      </c>
      <c r="J44" s="32" t="n">
        <v>3.6</v>
      </c>
      <c r="K44" s="32" t="n">
        <v>0</v>
      </c>
      <c r="L44" s="31" t="n">
        <v>60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66.69</v>
      </c>
      <c r="P44" s="32" t="n">
        <v>61.29</v>
      </c>
      <c r="Q44" s="32" t="inlineStr"/>
      <c r="R44" s="31" t="inlineStr">
        <is>
          <t>Earnings / Momentum Support</t>
        </is>
      </c>
      <c r="S44" s="31" t="inlineStr">
        <is>
          <t>Nifty Auto</t>
        </is>
      </c>
      <c r="T44" s="32" t="n">
        <v>13.41</v>
      </c>
      <c r="U44" s="32" t="n">
        <v>42.38</v>
      </c>
      <c r="V44" s="32" t="n">
        <v>25.54</v>
      </c>
      <c r="W44" s="32" t="n">
        <v>11.32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No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3</t>
        </is>
      </c>
      <c r="BC44" s="31">
        <f>IF(BB44="Stage 2",20,IF(BB44="Stage 1",0,IF(BB44="Stage 3",5,IF(BB44="Stage 4",-5,0))))</f>
        <v/>
      </c>
      <c r="BD44" s="31" t="inlineStr">
        <is>
          <t>Negative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Between 0.7 to 1.2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24</t>
        </is>
      </c>
      <c r="CG44" s="31">
        <f>IF(CF44&gt;20,10,IF(CF44&gt;=10,5,2))</f>
        <v/>
      </c>
    </row>
    <row r="45">
      <c r="A45" s="31">
        <f>IF(B45=0,"",RANK(B45,$B$2:$B$88,0))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3" t="inlineStr">
        <is>
          <t>SSWL</t>
        </is>
      </c>
      <c r="D45" s="33" t="inlineStr">
        <is>
          <t>Steel Strips Wheels Ltd</t>
        </is>
      </c>
      <c r="E45" s="31" t="inlineStr">
        <is>
          <t>auto</t>
        </is>
      </c>
      <c r="F45" s="31" t="inlineStr">
        <is>
          <t>Auto Ancillaries - Wheels</t>
        </is>
      </c>
      <c r="G45" s="31" t="inlineStr">
        <is>
          <t>midcap</t>
        </is>
      </c>
      <c r="H45" s="32" t="n">
        <v>5019.12</v>
      </c>
      <c r="I45" s="32" t="n">
        <v>319.15</v>
      </c>
      <c r="J45" s="32" t="n">
        <v>2.83</v>
      </c>
      <c r="K45" s="32" t="n">
        <v>0</v>
      </c>
      <c r="L45" s="31" t="n">
        <v>38</v>
      </c>
      <c r="M45" s="31" t="inlineStr">
        <is>
          <t>Underperforming</t>
        </is>
      </c>
      <c r="N45" s="32">
        <f>IF(M45="Underperforming",-5,IF(L45&gt;=95,15,IF(L45&gt;=90,10,IF(L45&gt;=80,5,0))))</f>
        <v/>
      </c>
      <c r="O45" s="32" t="n">
        <v>76.42</v>
      </c>
      <c r="P45" s="32" t="n">
        <v>24.13</v>
      </c>
      <c r="Q45" s="32" t="inlineStr"/>
      <c r="R45" s="31" t="inlineStr">
        <is>
          <t>Earnings / Momentum Support</t>
        </is>
      </c>
      <c r="S45" s="31" t="inlineStr">
        <is>
          <t>Nifty Auto</t>
        </is>
      </c>
      <c r="T45" s="32" t="n">
        <v>13.41</v>
      </c>
      <c r="U45" s="32" t="n">
        <v>4.51</v>
      </c>
      <c r="V45" s="32" t="n">
        <v>-7.85</v>
      </c>
      <c r="W45" s="32" t="n">
        <v>5.81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No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3</t>
        </is>
      </c>
      <c r="BC45" s="31">
        <f>IF(BB45="Stage 2",20,IF(BB45="Stage 1",0,IF(BB45="Stage 3",5,IF(BB45="Stage 4",-5,0))))</f>
        <v/>
      </c>
      <c r="BD45" s="31" t="inlineStr">
        <is>
          <t>Negative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19</t>
        </is>
      </c>
      <c r="CG45" s="31">
        <f>IF(CF45&gt;20,10,IF(CF45&gt;=10,5,2))</f>
        <v/>
      </c>
    </row>
    <row r="46">
      <c r="A46" s="31">
        <f>IF(B46=0,"",RANK(B46,$B$2:$B$88,0))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KERNEX</t>
        </is>
      </c>
      <c r="D46" s="31" t="inlineStr">
        <is>
          <t>Kernex Microsystems (India) Ltd</t>
        </is>
      </c>
      <c r="E46" s="31" t="inlineStr">
        <is>
          <t>consumer discretionary</t>
        </is>
      </c>
      <c r="F46" s="31" t="inlineStr">
        <is>
          <t>Railways - Kavach/Springs</t>
        </is>
      </c>
      <c r="G46" s="31" t="inlineStr">
        <is>
          <t>smallcap</t>
        </is>
      </c>
      <c r="H46" s="32" t="n">
        <v>3864.67</v>
      </c>
      <c r="I46" s="32" t="n">
        <v>2299.9</v>
      </c>
      <c r="J46" s="32" t="n">
        <v>0.36</v>
      </c>
      <c r="K46" s="32" t="n">
        <v>0</v>
      </c>
      <c r="L46" s="31" t="n">
        <v>94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69.55</v>
      </c>
      <c r="P46" s="32" t="n">
        <v>60.13</v>
      </c>
      <c r="Q46" s="32" t="inlineStr"/>
      <c r="R46" s="31" t="inlineStr">
        <is>
          <t>Earnings / Momentum Support</t>
        </is>
      </c>
      <c r="S46" s="31" t="inlineStr">
        <is>
          <t>Nifty 50</t>
        </is>
      </c>
      <c r="T46" s="32" t="n">
        <v>-0.74</v>
      </c>
      <c r="U46" s="32" t="n">
        <v>106.85</v>
      </c>
      <c r="V46" s="32" t="n">
        <v>108.39</v>
      </c>
      <c r="W46" s="32" t="n">
        <v>32.36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No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3</t>
        </is>
      </c>
      <c r="BC46" s="31">
        <f>IF(BB46="Stage 2",20,IF(BB46="Stage 1",0,IF(BB46="Stage 3",5,IF(BB46="Stage 4",-5,0))))</f>
        <v/>
      </c>
      <c r="BD46" s="31" t="inlineStr">
        <is>
          <t>Negative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Negative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17</t>
        </is>
      </c>
      <c r="CG46" s="31">
        <f>IF(CF46&gt;20,10,IF(CF46&gt;=10,5,2))</f>
        <v/>
      </c>
    </row>
    <row r="47">
      <c r="A47" s="31">
        <f>IF(B47=0,"",RANK(B47,$B$2:$B$88,0))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FSL</t>
        </is>
      </c>
      <c r="D47" s="31" t="inlineStr">
        <is>
          <t>Firstsource Solutions Ltd</t>
        </is>
      </c>
      <c r="E47" s="31" t="inlineStr">
        <is>
          <t>i.t</t>
        </is>
      </c>
      <c r="F47" s="31" t="inlineStr">
        <is>
          <t>IT Enabled Services</t>
        </is>
      </c>
      <c r="G47" s="31" t="inlineStr">
        <is>
          <t>largecap</t>
        </is>
      </c>
      <c r="H47" s="32" t="n">
        <v>22837</v>
      </c>
      <c r="I47" s="32" t="n">
        <v>323</v>
      </c>
      <c r="J47" s="32" t="n">
        <v>6.91</v>
      </c>
      <c r="K47" s="32" t="n">
        <v>0</v>
      </c>
      <c r="L47" s="31" t="n">
        <v>52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59.51</v>
      </c>
      <c r="P47" s="32" t="n">
        <v>10.85</v>
      </c>
      <c r="Q47" s="32" t="inlineStr"/>
      <c r="R47" s="31" t="inlineStr">
        <is>
          <t>Earnings / Momentum Support</t>
        </is>
      </c>
      <c r="S47" s="31" t="inlineStr">
        <is>
          <t>Nifty IT</t>
        </is>
      </c>
      <c r="T47" s="32" t="n">
        <v>-11.37</v>
      </c>
      <c r="U47" s="32" t="n">
        <v>-8.93</v>
      </c>
      <c r="V47" s="32" t="n">
        <v>2.75</v>
      </c>
      <c r="W47" s="32" t="n">
        <v>9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Headwind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No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0 to 20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3</t>
        </is>
      </c>
      <c r="BC47" s="31">
        <f>IF(BB47="Stage 2",20,IF(BB47="Stage 1",0,IF(BB47="Stage 3",5,IF(BB47="Stage 4",-5,0))))</f>
        <v/>
      </c>
      <c r="BD47" s="31" t="inlineStr">
        <is>
          <t>Negative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17</t>
        </is>
      </c>
      <c r="CG47" s="31">
        <f>IF(CF47&gt;20,10,IF(CF47&gt;=10,5,2))</f>
        <v/>
      </c>
    </row>
    <row r="48">
      <c r="A48" s="31">
        <f>IF(B48=0,"",RANK(B48,$B$2:$B$88,0))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DIVISLAB</t>
        </is>
      </c>
      <c r="D48" s="31" t="inlineStr">
        <is>
          <t>Divis Laboratories Ltd</t>
        </is>
      </c>
      <c r="E48" s="31" t="inlineStr">
        <is>
          <t>healthcare</t>
        </is>
      </c>
      <c r="F48" s="31" t="inlineStr">
        <is>
          <t>Pharma - API &amp; CRAMS</t>
        </is>
      </c>
      <c r="G48" s="31" t="inlineStr">
        <is>
          <t>largecap</t>
        </is>
      </c>
      <c r="H48" s="32" t="n">
        <v>227904.78</v>
      </c>
      <c r="I48" s="32" t="n">
        <v>8585</v>
      </c>
      <c r="J48" s="32" t="n">
        <v>6.57</v>
      </c>
      <c r="K48" s="32" t="n">
        <v>0</v>
      </c>
      <c r="L48" s="31" t="n">
        <v>57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80.41</v>
      </c>
      <c r="P48" s="32" t="n">
        <v>27.64</v>
      </c>
      <c r="Q48" s="32" t="inlineStr"/>
      <c r="R48" s="31" t="inlineStr">
        <is>
          <t>Earnings / Momentum Support</t>
        </is>
      </c>
      <c r="S48" s="31" t="inlineStr">
        <is>
          <t>Nifty Pharma</t>
        </is>
      </c>
      <c r="T48" s="32" t="n">
        <v>20.55</v>
      </c>
      <c r="U48" s="32" t="n">
        <v>27.16</v>
      </c>
      <c r="V48" s="32" t="n">
        <v>5.48</v>
      </c>
      <c r="W48" s="32" t="n">
        <v>10.39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Headwind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No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3</t>
        </is>
      </c>
      <c r="BC48" s="31">
        <f>IF(BB48="Stage 2",20,IF(BB48="Stage 1",0,IF(BB48="Stage 3",5,IF(BB48="Stage 4",-5,0))))</f>
        <v/>
      </c>
      <c r="BD48" s="31" t="inlineStr">
        <is>
          <t>Negative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20</t>
        </is>
      </c>
      <c r="CG48" s="31">
        <f>IF(CF48&gt;20,10,IF(CF48&gt;=10,5,2))</f>
        <v/>
      </c>
    </row>
    <row r="49">
      <c r="A49" s="31">
        <f>IF(B49=0,"",RANK(B49,$B$2:$B$88,0))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ARTEMISMED</t>
        </is>
      </c>
      <c r="D49" s="31" t="inlineStr">
        <is>
          <t>Artemis Medicare Services Ltd</t>
        </is>
      </c>
      <c r="E49" s="31" t="inlineStr">
        <is>
          <t>healthcare</t>
        </is>
      </c>
      <c r="F49" s="31" t="inlineStr">
        <is>
          <t>Hospitals</t>
        </is>
      </c>
      <c r="G49" s="31" t="inlineStr">
        <is>
          <t>smallcap</t>
        </is>
      </c>
      <c r="H49" s="32" t="n">
        <v>4782.43</v>
      </c>
      <c r="I49" s="32" t="n">
        <v>302.1</v>
      </c>
      <c r="J49" s="32" t="n">
        <v>1.21</v>
      </c>
      <c r="K49" s="32" t="n">
        <v>0</v>
      </c>
      <c r="L49" s="31" t="n">
        <v>52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66.81999999999999</v>
      </c>
      <c r="P49" s="32" t="n">
        <v>24.22</v>
      </c>
      <c r="Q49" s="32" t="inlineStr"/>
      <c r="R49" s="31" t="inlineStr">
        <is>
          <t>Earnings / Momentum Support</t>
        </is>
      </c>
      <c r="S49" s="31" t="inlineStr">
        <is>
          <t>Nifty Pharma</t>
        </is>
      </c>
      <c r="T49" s="32" t="n">
        <v>20.55</v>
      </c>
      <c r="U49" s="32" t="n">
        <v>22.08</v>
      </c>
      <c r="V49" s="32" t="n">
        <v>1.27</v>
      </c>
      <c r="W49" s="32" t="n">
        <v>8.93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Headwind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3</t>
        </is>
      </c>
      <c r="BC49" s="31">
        <f>IF(BB49="Stage 2",20,IF(BB49="Stage 1",0,IF(BB49="Stage 3",5,IF(BB49="Stage 4",-5,0))))</f>
        <v/>
      </c>
      <c r="BD49" s="31" t="inlineStr">
        <is>
          <t>Negative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19</t>
        </is>
      </c>
      <c r="CG49" s="31">
        <f>IF(CF49&gt;20,10,IF(CF49&gt;=10,5,2))</f>
        <v/>
      </c>
    </row>
    <row r="50">
      <c r="A50" s="31">
        <f>IF(B50=0,"",RANK(B50,$B$2:$B$88,0))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SKYGOLD</t>
        </is>
      </c>
      <c r="D50" s="31" t="inlineStr">
        <is>
          <t>Sky Gold &amp; Diamonds Ltd</t>
        </is>
      </c>
      <c r="E50" s="31" t="inlineStr">
        <is>
          <t>consumer discretionary</t>
        </is>
      </c>
      <c r="F50" s="31" t="inlineStr">
        <is>
          <t>Diamond, Gems &amp; Jewellery</t>
        </is>
      </c>
      <c r="G50" s="31" t="inlineStr">
        <is>
          <t>midcap</t>
        </is>
      </c>
      <c r="H50" s="32" t="n">
        <v>10624.35</v>
      </c>
      <c r="I50" s="32" t="n">
        <v>686</v>
      </c>
      <c r="J50" s="32" t="n">
        <v>6.57</v>
      </c>
      <c r="K50" s="32" t="n">
        <v>0</v>
      </c>
      <c r="L50" s="31" t="n">
        <v>93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72.59999999999999</v>
      </c>
      <c r="P50" s="32" t="n">
        <v>59.57</v>
      </c>
      <c r="Q50" s="32" t="inlineStr"/>
      <c r="R50" s="31" t="inlineStr">
        <is>
          <t>Earnings / Momentum Support</t>
        </is>
      </c>
      <c r="S50" s="31" t="inlineStr">
        <is>
          <t>Nifty 50</t>
        </is>
      </c>
      <c r="T50" s="32" t="n">
        <v>-0.74</v>
      </c>
      <c r="U50" s="32" t="n">
        <v>134.58</v>
      </c>
      <c r="V50" s="32" t="n">
        <v>136.33</v>
      </c>
      <c r="W50" s="32" t="n">
        <v>29.4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Headwind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No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3</t>
        </is>
      </c>
      <c r="BC50" s="31">
        <f>IF(BB50="Stage 2",20,IF(BB50="Stage 1",0,IF(BB50="Stage 3",5,IF(BB50="Stage 4",-5,0))))</f>
        <v/>
      </c>
      <c r="BD50" s="31" t="inlineStr">
        <is>
          <t>Negative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Negative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Between 0.7 to 1.2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25</t>
        </is>
      </c>
      <c r="CG50" s="31">
        <f>IF(CF50&gt;20,10,IF(CF50&gt;=10,5,2))</f>
        <v/>
      </c>
    </row>
    <row r="51">
      <c r="A51" s="31">
        <f>IF(B51=0,"",RANK(B51,$B$2:$B$88,0))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CHENNPETRO</t>
        </is>
      </c>
      <c r="D51" s="31" t="inlineStr">
        <is>
          <t>Chennai Petroleum Corporation Ltd</t>
        </is>
      </c>
      <c r="E51" s="31" t="inlineStr">
        <is>
          <t>energy</t>
        </is>
      </c>
      <c r="F51" s="31" t="inlineStr">
        <is>
          <t>Refineries</t>
        </is>
      </c>
      <c r="G51" s="31" t="inlineStr">
        <is>
          <t>midcap</t>
        </is>
      </c>
      <c r="H51" s="32" t="n">
        <v>19671.2</v>
      </c>
      <c r="I51" s="32" t="n">
        <v>1321</v>
      </c>
      <c r="J51" s="32" t="n">
        <v>4.79</v>
      </c>
      <c r="K51" s="32" t="n">
        <v>0</v>
      </c>
      <c r="L51" s="31" t="n">
        <v>65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66.77</v>
      </c>
      <c r="P51" s="32" t="n">
        <v>48.14</v>
      </c>
      <c r="Q51" s="32" t="inlineStr"/>
      <c r="R51" s="31" t="inlineStr">
        <is>
          <t>Earnings / Momentum Support</t>
        </is>
      </c>
      <c r="S51" s="31" t="inlineStr">
        <is>
          <t>Nifty Energy</t>
        </is>
      </c>
      <c r="T51" s="32" t="n">
        <v>8.41</v>
      </c>
      <c r="U51" s="32" t="n">
        <v>56.41</v>
      </c>
      <c r="V51" s="32" t="n">
        <v>44.28</v>
      </c>
      <c r="W51" s="32" t="n">
        <v>12.99</v>
      </c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Oligopoly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Headwind</t>
        </is>
      </c>
      <c r="AE51" s="31">
        <f>IF(AD51="Tailwind",10,0)</f>
        <v/>
      </c>
      <c r="AF51" s="31" t="inlineStr">
        <is>
          <t>Cyclical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Volatile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No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3</t>
        </is>
      </c>
      <c r="BC51" s="31">
        <f>IF(BB51="Stage 2",20,IF(BB51="Stage 1",0,IF(BB51="Stage 3",5,IF(BB51="Stage 4",-5,0))))</f>
        <v/>
      </c>
      <c r="BD51" s="31" t="inlineStr">
        <is>
          <t>Negative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24</t>
        </is>
      </c>
      <c r="CG51" s="31">
        <f>IF(CF51&gt;20,10,IF(CF51&gt;=10,5,2))</f>
        <v/>
      </c>
    </row>
    <row r="52">
      <c r="A52" s="31">
        <f>IF(B52=0,"",RANK(B52,$B$2:$B$88,0))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MACPOWER</t>
        </is>
      </c>
      <c r="D52" s="31" t="inlineStr">
        <is>
          <t>Macpower CNC Machines Ltd</t>
        </is>
      </c>
      <c r="E52" s="31" t="inlineStr">
        <is>
          <t>industrials</t>
        </is>
      </c>
      <c r="F52" s="31" t="inlineStr">
        <is>
          <t>CNC - Machines</t>
        </is>
      </c>
      <c r="G52" s="31" t="inlineStr">
        <is>
          <t>smallcap</t>
        </is>
      </c>
      <c r="H52" s="32" t="n">
        <v>1450.6</v>
      </c>
      <c r="I52" s="32" t="n">
        <v>1450</v>
      </c>
      <c r="J52" s="32" t="n">
        <v>-0.5600000000000001</v>
      </c>
      <c r="K52" s="32" t="n">
        <v>0</v>
      </c>
      <c r="L52" s="31" t="n">
        <v>70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67.26000000000001</v>
      </c>
      <c r="P52" s="32" t="n">
        <v>29.78</v>
      </c>
      <c r="Q52" s="32" t="inlineStr"/>
      <c r="R52" s="31" t="inlineStr">
        <is>
          <t>Earnings / Momentum Support</t>
        </is>
      </c>
      <c r="S52" s="31" t="inlineStr">
        <is>
          <t>Nifty 50</t>
        </is>
      </c>
      <c r="T52" s="32" t="n">
        <v>-0.74</v>
      </c>
      <c r="U52" s="32" t="n">
        <v>40.31</v>
      </c>
      <c r="V52" s="32" t="n">
        <v>41.36</v>
      </c>
      <c r="W52" s="32" t="n">
        <v>14.48</v>
      </c>
      <c r="X52" s="31" t="inlineStr">
        <is>
          <t>Cyclical in an Upturn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Headwind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No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3</t>
        </is>
      </c>
      <c r="BC52" s="31">
        <f>IF(BB52="Stage 2",20,IF(BB52="Stage 1",0,IF(BB52="Stage 3",5,IF(BB52="Stage 4",-5,0))))</f>
        <v/>
      </c>
      <c r="BD52" s="31" t="inlineStr">
        <is>
          <t>Negative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22</t>
        </is>
      </c>
      <c r="CG52" s="31">
        <f>IF(CF52&gt;20,10,IF(CF52&gt;=10,5,2))</f>
        <v/>
      </c>
    </row>
    <row r="53">
      <c r="A53" s="31">
        <f>IF(B53=0,"",RANK(B53,$B$2:$B$88,0))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SOTL</t>
        </is>
      </c>
      <c r="D53" s="31" t="inlineStr">
        <is>
          <t>Savita Oil Technologies Ltd</t>
        </is>
      </c>
      <c r="E53" s="31" t="inlineStr">
        <is>
          <t>energy</t>
        </is>
      </c>
      <c r="F53" s="31" t="inlineStr">
        <is>
          <t>Petrochem - Others</t>
        </is>
      </c>
      <c r="G53" s="31" t="inlineStr">
        <is>
          <t>smallcap</t>
        </is>
      </c>
      <c r="H53" s="32" t="n">
        <v>4305.59</v>
      </c>
      <c r="I53" s="32" t="n">
        <v>628</v>
      </c>
      <c r="J53" s="32" t="n">
        <v>4.36</v>
      </c>
      <c r="K53" s="32" t="n">
        <v>0</v>
      </c>
      <c r="L53" s="31" t="n">
        <v>84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63.86</v>
      </c>
      <c r="P53" s="32" t="n">
        <v>47.01</v>
      </c>
      <c r="Q53" s="32" t="inlineStr"/>
      <c r="R53" s="31" t="inlineStr">
        <is>
          <t>Earnings / Momentum Support</t>
        </is>
      </c>
      <c r="S53" s="31" t="inlineStr">
        <is>
          <t>Nifty Energy</t>
        </is>
      </c>
      <c r="T53" s="32" t="n">
        <v>8.41</v>
      </c>
      <c r="U53" s="32" t="n">
        <v>39.93</v>
      </c>
      <c r="V53" s="32" t="n">
        <v>29.08</v>
      </c>
      <c r="W53" s="32" t="n">
        <v>21.2</v>
      </c>
      <c r="X53" s="31" t="inlineStr">
        <is>
          <t>Cyclical in an Upturn</t>
        </is>
      </c>
      <c r="Y53" s="31">
        <f>IF(X53="Growing Industry",10,IF(X53="Cyclical in an Upturn",5,0))</f>
        <v/>
      </c>
      <c r="Z53" s="31" t="inlineStr">
        <is>
          <t>Oligopoly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Headwind</t>
        </is>
      </c>
      <c r="AE53" s="31">
        <f>IF(AD53="Tailwind",10,0)</f>
        <v/>
      </c>
      <c r="AF53" s="31" t="inlineStr">
        <is>
          <t>Cyclical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Volatile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No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3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Between 50% to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20</t>
        </is>
      </c>
      <c r="CG53" s="31">
        <f>IF(CF53&gt;20,10,IF(CF53&gt;=10,5,2))</f>
        <v/>
      </c>
    </row>
    <row r="54">
      <c r="A54" s="31">
        <f>IF(B54=0,"",RANK(B54,$B$2:$B$88,0))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TATVA</t>
        </is>
      </c>
      <c r="D54" s="31" t="inlineStr">
        <is>
          <t>Tatva Chintan Pharma Chem Ltd</t>
        </is>
      </c>
      <c r="E54" s="31" t="inlineStr">
        <is>
          <t>chemicals</t>
        </is>
      </c>
      <c r="F54" s="31" t="inlineStr">
        <is>
          <t>Speciality Chemicals</t>
        </is>
      </c>
      <c r="G54" s="31" t="inlineStr">
        <is>
          <t>smallcap</t>
        </is>
      </c>
      <c r="H54" s="32" t="n">
        <v>4095.95</v>
      </c>
      <c r="I54" s="32" t="n">
        <v>1751</v>
      </c>
      <c r="J54" s="32" t="n">
        <v>-2.08</v>
      </c>
      <c r="K54" s="32" t="n">
        <v>0</v>
      </c>
      <c r="L54" s="31" t="n">
        <v>81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75.66</v>
      </c>
      <c r="P54" s="32" t="n">
        <v>24.53</v>
      </c>
      <c r="Q54" s="32" t="inlineStr"/>
      <c r="R54" s="31" t="inlineStr">
        <is>
          <t>Earnings / Momentum Support</t>
        </is>
      </c>
      <c r="S54" s="31" t="inlineStr">
        <is>
          <t>Nifty 50</t>
        </is>
      </c>
      <c r="T54" s="32" t="n">
        <v>-0.74</v>
      </c>
      <c r="U54" s="32" t="n">
        <v>60.52</v>
      </c>
      <c r="V54" s="32" t="n">
        <v>61.72</v>
      </c>
      <c r="W54" s="32" t="n">
        <v>19.48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Headwind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3</t>
        </is>
      </c>
      <c r="BC54" s="31">
        <f>IF(BB54="Stage 2",20,IF(BB54="Stage 1",0,IF(BB54="Stage 3",5,IF(BB54="Stage 4",-5,0))))</f>
        <v/>
      </c>
      <c r="BD54" s="31" t="inlineStr">
        <is>
          <t>Negative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19</t>
        </is>
      </c>
      <c r="CG54" s="31">
        <f>IF(CF54&gt;20,10,IF(CF54&gt;=10,5,2))</f>
        <v/>
      </c>
    </row>
    <row r="55">
      <c r="A55" s="31">
        <f>IF(B55=0,"",RANK(B55,$B$2:$B$88,0))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BHAGYANGR</t>
        </is>
      </c>
      <c r="D55" s="31" t="inlineStr">
        <is>
          <t>Bhagyanagar India Ltd</t>
        </is>
      </c>
      <c r="E55" s="31" t="inlineStr">
        <is>
          <t>Basic Materials</t>
        </is>
      </c>
      <c r="F55" s="31" t="inlineStr">
        <is>
          <t>Recycling</t>
        </is>
      </c>
      <c r="G55" s="31" t="inlineStr">
        <is>
          <t>smallcap</t>
        </is>
      </c>
      <c r="H55" s="32" t="n">
        <v>1257.4</v>
      </c>
      <c r="I55" s="32" t="n">
        <v>393</v>
      </c>
      <c r="J55" s="32" t="n">
        <v>3.34</v>
      </c>
      <c r="K55" s="32" t="n">
        <v>0</v>
      </c>
      <c r="L55" s="31" t="n">
        <v>97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70.12</v>
      </c>
      <c r="P55" s="32" t="n">
        <v>70.97</v>
      </c>
      <c r="Q55" s="32" t="inlineStr"/>
      <c r="R55" s="31" t="inlineStr">
        <is>
          <t>Earnings / Momentum Support</t>
        </is>
      </c>
      <c r="S55" s="31" t="inlineStr">
        <is>
          <t>Nifty 50</t>
        </is>
      </c>
      <c r="T55" s="32" t="n">
        <v>-0.74</v>
      </c>
      <c r="U55" s="32" t="n">
        <v>312.29</v>
      </c>
      <c r="V55" s="32" t="n">
        <v>315.37</v>
      </c>
      <c r="W55" s="32" t="n">
        <v>42.78</v>
      </c>
      <c r="X55" s="31" t="inlineStr">
        <is>
          <t>Cyclical in an Upturn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Cyclical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Volatile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3</t>
        </is>
      </c>
      <c r="BC55" s="31">
        <f>IF(BB55="Stage 2",20,IF(BB55="Stage 1",0,IF(BB55="Stage 3",5,IF(BB55="Stage 4",-5,0))))</f>
        <v/>
      </c>
      <c r="BD55" s="31" t="inlineStr">
        <is>
          <t>Negative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Between 0.7 to 1.2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18</t>
        </is>
      </c>
      <c r="CG55" s="31">
        <f>IF(CF55&gt;20,10,IF(CF55&gt;=10,5,2))</f>
        <v/>
      </c>
    </row>
    <row r="56">
      <c r="A56" s="31">
        <f>IF(B56=0,"",RANK(B56,$B$2:$B$88,0))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INDOTECH</t>
        </is>
      </c>
      <c r="D56" s="31" t="inlineStr">
        <is>
          <t>Indo Tech Transformers Ltd</t>
        </is>
      </c>
      <c r="E56" s="31" t="inlineStr">
        <is>
          <t>industrials</t>
        </is>
      </c>
      <c r="F56" s="31" t="inlineStr">
        <is>
          <t>Capital Goods - Transformers</t>
        </is>
      </c>
      <c r="G56" s="31" t="inlineStr">
        <is>
          <t>smallcap</t>
        </is>
      </c>
      <c r="H56" s="32" t="n">
        <v>3747.69</v>
      </c>
      <c r="I56" s="32" t="n">
        <v>3528.9</v>
      </c>
      <c r="J56" s="32" t="n">
        <v>2.17</v>
      </c>
      <c r="K56" s="32" t="n">
        <v>0</v>
      </c>
      <c r="L56" s="31" t="n">
        <v>92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75.97</v>
      </c>
      <c r="P56" s="32" t="n">
        <v>49.03</v>
      </c>
      <c r="Q56" s="32" t="inlineStr"/>
      <c r="R56" s="31" t="inlineStr">
        <is>
          <t>Earnings / Momentum Support</t>
        </is>
      </c>
      <c r="S56" s="31" t="inlineStr">
        <is>
          <t>Nifty 50</t>
        </is>
      </c>
      <c r="T56" s="32" t="n">
        <v>-0.74</v>
      </c>
      <c r="U56" s="32" t="n">
        <v>106.73</v>
      </c>
      <c r="V56" s="32" t="n">
        <v>108.27</v>
      </c>
      <c r="W56" s="32" t="n">
        <v>29.32</v>
      </c>
      <c r="X56" s="31" t="inlineStr">
        <is>
          <t>Cyclical in an Upturn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Headwind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3</t>
        </is>
      </c>
      <c r="BC56" s="31">
        <f>IF(BB56="Stage 2",20,IF(BB56="Stage 1",0,IF(BB56="Stage 3",5,IF(BB56="Stage 4",-5,0))))</f>
        <v/>
      </c>
      <c r="BD56" s="31" t="inlineStr">
        <is>
          <t>Negative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Between 12 to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Less than 50%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17</t>
        </is>
      </c>
      <c r="CG56" s="31">
        <f>IF(CF56&gt;20,10,IF(CF56&gt;=10,5,2))</f>
        <v/>
      </c>
    </row>
    <row r="57">
      <c r="A57" s="31">
        <f>IF(B57=0,"",RANK(B57,$B$2:$B$88,0))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HEG</t>
        </is>
      </c>
      <c r="D57" s="31" t="inlineStr">
        <is>
          <t>HEG Ltd</t>
        </is>
      </c>
      <c r="E57" s="31" t="inlineStr">
        <is>
          <t>industrials</t>
        </is>
      </c>
      <c r="F57" s="31" t="inlineStr">
        <is>
          <t>Electrodes - Welding Equipment</t>
        </is>
      </c>
      <c r="G57" s="31" t="inlineStr">
        <is>
          <t>midcap</t>
        </is>
      </c>
      <c r="H57" s="32" t="n">
        <v>12852.3</v>
      </c>
      <c r="I57" s="32" t="n">
        <v>666</v>
      </c>
      <c r="J57" s="32" t="n">
        <v>1.33</v>
      </c>
      <c r="K57" s="32" t="n">
        <v>0</v>
      </c>
      <c r="L57" s="31" t="n">
        <v>44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63.75</v>
      </c>
      <c r="P57" s="32" t="n">
        <v>26.01</v>
      </c>
      <c r="Q57" s="32" t="inlineStr"/>
      <c r="R57" s="31" t="inlineStr">
        <is>
          <t>Earnings / Momentum Support</t>
        </is>
      </c>
      <c r="S57" s="31" t="inlineStr">
        <is>
          <t>Nifty 50</t>
        </is>
      </c>
      <c r="T57" s="32" t="n">
        <v>-0.74</v>
      </c>
      <c r="U57" s="32" t="n">
        <v>24.54</v>
      </c>
      <c r="V57" s="32" t="n">
        <v>25.47</v>
      </c>
      <c r="W57" s="32" t="n">
        <v>7.12</v>
      </c>
      <c r="X57" s="31" t="inlineStr">
        <is>
          <t>Cyclical in an Upturn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Headwind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3</t>
        </is>
      </c>
      <c r="BC57" s="31">
        <f>IF(BB57="Stage 2",20,IF(BB57="Stage 1",0,IF(BB57="Stage 3",5,IF(BB57="Stage 4",-5,0))))</f>
        <v/>
      </c>
      <c r="BD57" s="31" t="inlineStr">
        <is>
          <t>Negative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Between 12 to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17</t>
        </is>
      </c>
      <c r="CG57" s="31">
        <f>IF(CF57&gt;20,10,IF(CF57&gt;=10,5,2))</f>
        <v/>
      </c>
    </row>
    <row r="58">
      <c r="A58" s="31">
        <f>IF(B58=0,"",RANK(B58,$B$2:$B$88,0))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GANDHAR</t>
        </is>
      </c>
      <c r="D58" s="31" t="inlineStr">
        <is>
          <t>Gandhar Oil Refinery (India) Ltd</t>
        </is>
      </c>
      <c r="E58" s="31" t="inlineStr">
        <is>
          <t>Energy</t>
        </is>
      </c>
      <c r="F58" s="31" t="inlineStr">
        <is>
          <t>Refineries</t>
        </is>
      </c>
      <c r="G58" s="31" t="inlineStr">
        <is>
          <t>smallcap</t>
        </is>
      </c>
      <c r="H58" s="32" t="n">
        <v>2276.68</v>
      </c>
      <c r="I58" s="32" t="n">
        <v>232.6</v>
      </c>
      <c r="J58" s="32" t="n">
        <v>4.19</v>
      </c>
      <c r="K58" s="32" t="n">
        <v>0</v>
      </c>
      <c r="L58" s="31" t="n">
        <v>70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62.56</v>
      </c>
      <c r="P58" s="32" t="n">
        <v>58.14</v>
      </c>
      <c r="Q58" s="32" t="inlineStr"/>
      <c r="R58" s="31" t="inlineStr">
        <is>
          <t>Earnings / Momentum Support</t>
        </is>
      </c>
      <c r="S58" s="31" t="inlineStr">
        <is>
          <t>Nifty Energy</t>
        </is>
      </c>
      <c r="T58" s="32" t="n">
        <v>8.41</v>
      </c>
      <c r="U58" s="32" t="n">
        <v>24.11</v>
      </c>
      <c r="V58" s="32" t="n">
        <v>14.48</v>
      </c>
      <c r="W58" s="32" t="n">
        <v>14.4</v>
      </c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Oligopoly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Cyclical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Volatile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No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3</t>
        </is>
      </c>
      <c r="BC58" s="31">
        <f>IF(BB58="Stage 2",20,IF(BB58="Stage 1",0,IF(BB58="Stage 3",5,IF(BB58="Stage 4",-5,0))))</f>
        <v/>
      </c>
      <c r="BD58" s="31" t="inlineStr">
        <is>
          <t>Negative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17</t>
        </is>
      </c>
      <c r="CG58" s="31">
        <f>IF(CF58&gt;20,10,IF(CF58&gt;=10,5,2))</f>
        <v/>
      </c>
    </row>
    <row r="59">
      <c r="A59" s="31">
        <f>IF(B59=0,"",RANK(B59,$B$2:$B$88,0))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BLSE</t>
        </is>
      </c>
      <c r="D59" s="31" t="inlineStr">
        <is>
          <t>BLS E-Services Ltd</t>
        </is>
      </c>
      <c r="E59" s="31" t="inlineStr">
        <is>
          <t>i.t</t>
        </is>
      </c>
      <c r="F59" s="31" t="inlineStr">
        <is>
          <t>IT - Software</t>
        </is>
      </c>
      <c r="G59" s="31" t="inlineStr">
        <is>
          <t>smallcap</t>
        </is>
      </c>
      <c r="H59" s="32" t="n">
        <v>2734.78</v>
      </c>
      <c r="I59" s="32" t="n">
        <v>301</v>
      </c>
      <c r="J59" s="32" t="n">
        <v>0.11</v>
      </c>
      <c r="K59" s="32" t="n">
        <v>0</v>
      </c>
      <c r="L59" s="31" t="n">
        <v>86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81.48</v>
      </c>
      <c r="P59" s="32" t="n">
        <v>42.28</v>
      </c>
      <c r="Q59" s="32" t="inlineStr"/>
      <c r="R59" s="31" t="inlineStr">
        <is>
          <t>Earnings / Momentum Support</t>
        </is>
      </c>
      <c r="S59" s="31" t="inlineStr">
        <is>
          <t>Nifty IT</t>
        </is>
      </c>
      <c r="T59" s="32" t="n">
        <v>-11.37</v>
      </c>
      <c r="U59" s="32" t="n">
        <v>65.53</v>
      </c>
      <c r="V59" s="32" t="n">
        <v>86.77</v>
      </c>
      <c r="W59" s="32" t="n">
        <v>23.15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Headwind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3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Less than 12%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Between 50% to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17</t>
        </is>
      </c>
      <c r="CG59" s="31">
        <f>IF(CF59&gt;20,10,IF(CF59&gt;=10,5,2))</f>
        <v/>
      </c>
    </row>
    <row r="60">
      <c r="A60" s="31">
        <f>IF(B60=0,"",RANK(B60,$B$2:$B$88,0))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PNGJL</t>
        </is>
      </c>
      <c r="D60" s="31" t="inlineStr">
        <is>
          <t>P N Gadgil Jewellers Ltd</t>
        </is>
      </c>
      <c r="E60" s="31" t="inlineStr">
        <is>
          <t>consumer discretionary</t>
        </is>
      </c>
      <c r="F60" s="31" t="inlineStr">
        <is>
          <t>Diamond, Gems &amp; Jewellery</t>
        </is>
      </c>
      <c r="G60" s="31" t="inlineStr">
        <is>
          <t>midcap</t>
        </is>
      </c>
      <c r="H60" s="32" t="n">
        <v>8933</v>
      </c>
      <c r="I60" s="32" t="n">
        <v>658.25</v>
      </c>
      <c r="J60" s="32" t="n">
        <v>-1.8</v>
      </c>
      <c r="K60" s="32" t="n">
        <v>0</v>
      </c>
      <c r="L60" s="31" t="n">
        <v>28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60.42</v>
      </c>
      <c r="P60" s="32" t="n">
        <v>13.09</v>
      </c>
      <c r="Q60" s="32" t="inlineStr"/>
      <c r="R60" s="31" t="inlineStr">
        <is>
          <t>Earnings / Momentum Support</t>
        </is>
      </c>
      <c r="S60" s="31" t="inlineStr">
        <is>
          <t>Nifty 50</t>
        </is>
      </c>
      <c r="T60" s="32" t="n">
        <v>-0.74</v>
      </c>
      <c r="U60" s="32" t="n">
        <v>15.86</v>
      </c>
      <c r="V60" s="32" t="n">
        <v>16.72</v>
      </c>
      <c r="W60" s="32" t="n">
        <v>4.18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Headwind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0 to 20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3</t>
        </is>
      </c>
      <c r="BC60" s="31">
        <f>IF(BB60="Stage 2",20,IF(BB60="Stage 1",0,IF(BB60="Stage 3",5,IF(BB60="Stage 4",-5,0))))</f>
        <v/>
      </c>
      <c r="BD60" s="31" t="inlineStr">
        <is>
          <t>Negative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Between 0.7 to 1.2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23</t>
        </is>
      </c>
      <c r="CG60" s="31">
        <f>IF(CF60&gt;20,10,IF(CF60&gt;=10,5,2))</f>
        <v/>
      </c>
    </row>
    <row r="61">
      <c r="A61" s="31">
        <f>IF(B61=0,"",RANK(B61,$B$2:$B$88,0))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BLUESTONE</t>
        </is>
      </c>
      <c r="D61" s="31" t="inlineStr">
        <is>
          <t>Bluestone Jewellery &amp; Lifestyle Ltd</t>
        </is>
      </c>
      <c r="E61" s="31" t="inlineStr">
        <is>
          <t>Consumer Cyclical</t>
        </is>
      </c>
      <c r="F61" s="31" t="inlineStr">
        <is>
          <t>Diamond, Gems &amp; Jewellery</t>
        </is>
      </c>
      <c r="G61" s="31" t="inlineStr">
        <is>
          <t>midcap</t>
        </is>
      </c>
      <c r="H61" s="32" t="n">
        <v>12177.29</v>
      </c>
      <c r="I61" s="32" t="n">
        <v>799</v>
      </c>
      <c r="J61" s="32" t="n">
        <v>-2.11</v>
      </c>
      <c r="K61" s="32" t="n">
        <v>0</v>
      </c>
      <c r="L61" s="31" t="n">
        <v>88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76.37</v>
      </c>
      <c r="P61" s="32" t="n">
        <v>28.5</v>
      </c>
      <c r="Q61" s="32" t="inlineStr"/>
      <c r="R61" s="31" t="inlineStr">
        <is>
          <t>Earnings / Momentum Support</t>
        </is>
      </c>
      <c r="S61" s="31" t="inlineStr">
        <is>
          <t>Nifty 50</t>
        </is>
      </c>
      <c r="T61" s="32" t="n">
        <v>-1.96</v>
      </c>
      <c r="U61" s="32" t="n">
        <v>49.39</v>
      </c>
      <c r="V61" s="32" t="n">
        <v>52.37</v>
      </c>
      <c r="W61" s="32" t="n">
        <v>24.25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B2C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3</t>
        </is>
      </c>
      <c r="BC61" s="31">
        <f>IF(BB61="Stage 2",20,IF(BB61="Stage 1",0,IF(BB61="Stage 3",5,IF(BB61="Stage 4",-5,0))))</f>
        <v/>
      </c>
      <c r="BD61" s="31" t="inlineStr">
        <is>
          <t>Negative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Between 0.7 to 1.2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22</t>
        </is>
      </c>
      <c r="CG61" s="31">
        <f>IF(CF61&gt;20,10,IF(CF61&gt;=10,5,2))</f>
        <v/>
      </c>
    </row>
    <row r="62">
      <c r="A62" s="31">
        <f>IF(B62=0,"",RANK(B62,$B$2:$B$88,0))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LLOYDSENT</t>
        </is>
      </c>
      <c r="D62" s="31" t="inlineStr">
        <is>
          <t>Lloyds Enterprises Ltd</t>
        </is>
      </c>
      <c r="E62" s="31" t="inlineStr">
        <is>
          <t>services</t>
        </is>
      </c>
      <c r="F62" s="31" t="inlineStr">
        <is>
          <t>Trading</t>
        </is>
      </c>
      <c r="G62" s="31" t="inlineStr">
        <is>
          <t>midcap</t>
        </is>
      </c>
      <c r="H62" s="32" t="n">
        <v>12346.79</v>
      </c>
      <c r="I62" s="32" t="n">
        <v>81.01000000000001</v>
      </c>
      <c r="J62" s="32" t="n">
        <v>0.71</v>
      </c>
      <c r="K62" s="32" t="n">
        <v>0</v>
      </c>
      <c r="L62" s="31" t="n">
        <v>30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64.13</v>
      </c>
      <c r="P62" s="32" t="n">
        <v>36.14</v>
      </c>
      <c r="Q62" s="32" t="inlineStr"/>
      <c r="R62" s="31" t="inlineStr">
        <is>
          <t>Earnings / Momentum Support</t>
        </is>
      </c>
      <c r="S62" s="31" t="inlineStr">
        <is>
          <t>Nifty 50</t>
        </is>
      </c>
      <c r="T62" s="32" t="n">
        <v>-0.74</v>
      </c>
      <c r="U62" s="32" t="n">
        <v>-0.67</v>
      </c>
      <c r="V62" s="32" t="n">
        <v>0.07000000000000001</v>
      </c>
      <c r="W62" s="32" t="n">
        <v>4.54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Headwind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3</t>
        </is>
      </c>
      <c r="BC62" s="31">
        <f>IF(BB62="Stage 2",20,IF(BB62="Stage 1",0,IF(BB62="Stage 3",5,IF(BB62="Stage 4",-5,0))))</f>
        <v/>
      </c>
      <c r="BD62" s="31" t="inlineStr">
        <is>
          <t>Negative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Negative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19</t>
        </is>
      </c>
      <c r="CG62" s="31">
        <f>IF(CF62&gt;20,10,IF(CF62&gt;=10,5,2))</f>
        <v/>
      </c>
    </row>
    <row r="63">
      <c r="A63" s="31">
        <f>IF(B63=0,"",RANK(B63,$B$2:$B$88,0))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KABRAEXTRU</t>
        </is>
      </c>
      <c r="D63" s="31" t="inlineStr">
        <is>
          <t>Kabra Extrusion Technik Ltd</t>
        </is>
      </c>
      <c r="E63" s="31" t="inlineStr">
        <is>
          <t>industrials</t>
        </is>
      </c>
      <c r="F63" s="31" t="inlineStr">
        <is>
          <t>Capital Goods - Engineering Heavy</t>
        </is>
      </c>
      <c r="G63" s="31" t="inlineStr">
        <is>
          <t>smallcap</t>
        </is>
      </c>
      <c r="H63" s="32" t="n">
        <v>1465.36</v>
      </c>
      <c r="I63" s="32" t="n">
        <v>419</v>
      </c>
      <c r="J63" s="32" t="n">
        <v>6.09</v>
      </c>
      <c r="K63" s="32" t="n">
        <v>0</v>
      </c>
      <c r="L63" s="31" t="n">
        <v>84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79.09</v>
      </c>
      <c r="P63" s="32" t="n">
        <v>28.35</v>
      </c>
      <c r="Q63" s="32" t="inlineStr"/>
      <c r="R63" s="31" t="inlineStr">
        <is>
          <t>Earnings / Momentum Support</t>
        </is>
      </c>
      <c r="S63" s="31" t="inlineStr">
        <is>
          <t>Nifty 50</t>
        </is>
      </c>
      <c r="T63" s="32" t="n">
        <v>-0.74</v>
      </c>
      <c r="U63" s="32" t="n">
        <v>35.98</v>
      </c>
      <c r="V63" s="32" t="n">
        <v>36.99</v>
      </c>
      <c r="W63" s="32" t="n">
        <v>21.54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Headwind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3</t>
        </is>
      </c>
      <c r="BC63" s="31">
        <f>IF(BB63="Stage 2",20,IF(BB63="Stage 1",0,IF(BB63="Stage 3",5,IF(BB63="Stage 4",-5,0))))</f>
        <v/>
      </c>
      <c r="BD63" s="31" t="inlineStr">
        <is>
          <t>Negative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19</t>
        </is>
      </c>
      <c r="CG63" s="31">
        <f>IF(CF63&gt;20,10,IF(CF63&gt;=10,5,2))</f>
        <v/>
      </c>
    </row>
    <row r="64">
      <c r="A64" s="31">
        <f>IF(B64=0,"",RANK(B64,$B$2:$B$88,0))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KALYANKJIL</t>
        </is>
      </c>
      <c r="D64" s="31" t="inlineStr">
        <is>
          <t>Kalyan Jewellers India Ltd</t>
        </is>
      </c>
      <c r="E64" s="31" t="inlineStr">
        <is>
          <t>consumer discretionary</t>
        </is>
      </c>
      <c r="F64" s="31" t="inlineStr">
        <is>
          <t>Diamond, Gems &amp; Jewellery</t>
        </is>
      </c>
      <c r="G64" s="31" t="inlineStr">
        <is>
          <t>largecap</t>
        </is>
      </c>
      <c r="H64" s="32" t="n">
        <v>62790.6</v>
      </c>
      <c r="I64" s="32" t="n">
        <v>608</v>
      </c>
      <c r="J64" s="32" t="n">
        <v>-0.75</v>
      </c>
      <c r="K64" s="32" t="n">
        <v>0</v>
      </c>
      <c r="L64" s="31" t="n">
        <v>67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72.92</v>
      </c>
      <c r="P64" s="32" t="n">
        <v>29.57</v>
      </c>
      <c r="Q64" s="32" t="inlineStr"/>
      <c r="R64" s="31" t="inlineStr">
        <is>
          <t>Earnings / Momentum Support</t>
        </is>
      </c>
      <c r="S64" s="31" t="inlineStr">
        <is>
          <t>Nifty 50</t>
        </is>
      </c>
      <c r="T64" s="32" t="n">
        <v>-0.74</v>
      </c>
      <c r="U64" s="32" t="n">
        <v>5.41</v>
      </c>
      <c r="V64" s="32" t="n">
        <v>6.2</v>
      </c>
      <c r="W64" s="32" t="n">
        <v>13.76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No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3</t>
        </is>
      </c>
      <c r="BC64" s="31">
        <f>IF(BB64="Stage 2",20,IF(BB64="Stage 1",0,IF(BB64="Stage 3",5,IF(BB64="Stage 4",-5,0))))</f>
        <v/>
      </c>
      <c r="BD64" s="31" t="inlineStr">
        <is>
          <t>Negative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Between 50% to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Between 0.7 to 1.2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24</t>
        </is>
      </c>
      <c r="CG64" s="31">
        <f>IF(CF64&gt;20,10,IF(CF64&gt;=10,5,2))</f>
        <v/>
      </c>
    </row>
    <row r="65">
      <c r="A65" s="31">
        <f>IF(B65=0,"",RANK(B65,$B$2:$B$88,0))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3" t="inlineStr">
        <is>
          <t>LODHA</t>
        </is>
      </c>
      <c r="D65" s="33" t="inlineStr">
        <is>
          <t>Lodha Developers Ltd</t>
        </is>
      </c>
      <c r="E65" s="31" t="inlineStr">
        <is>
          <t>realty</t>
        </is>
      </c>
      <c r="F65" s="31" t="inlineStr">
        <is>
          <t>Realty - National</t>
        </is>
      </c>
      <c r="G65" s="31" t="inlineStr">
        <is>
          <t>largecap</t>
        </is>
      </c>
      <c r="H65" s="32" t="n">
        <v>123872.03</v>
      </c>
      <c r="I65" s="32" t="n">
        <v>1239.8</v>
      </c>
      <c r="J65" s="32" t="n">
        <v>-0.33</v>
      </c>
      <c r="K65" s="32" t="n">
        <v>0</v>
      </c>
      <c r="L65" s="31" t="n">
        <v>35</v>
      </c>
      <c r="M65" s="31" t="inlineStr">
        <is>
          <t>Underperforming</t>
        </is>
      </c>
      <c r="N65" s="32">
        <f>IF(M65="Underperforming",-5,IF(L65&gt;=95,15,IF(L65&gt;=90,10,IF(L65&gt;=80,5,0))))</f>
        <v/>
      </c>
      <c r="O65" s="32" t="n">
        <v>64.64</v>
      </c>
      <c r="P65" s="32" t="n">
        <v>18.12</v>
      </c>
      <c r="Q65" s="32" t="inlineStr"/>
      <c r="R65" s="31" t="inlineStr">
        <is>
          <t>Earnings / Momentum Support</t>
        </is>
      </c>
      <c r="S65" s="31" t="inlineStr">
        <is>
          <t>Nifty Realty</t>
        </is>
      </c>
      <c r="T65" s="32" t="n">
        <v>-8.119999999999999</v>
      </c>
      <c r="U65" s="32" t="n">
        <v>-17.46</v>
      </c>
      <c r="V65" s="32" t="n">
        <v>-10.16</v>
      </c>
      <c r="W65" s="32" t="n">
        <v>5.32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Headwind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0 to 20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3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21</t>
        </is>
      </c>
      <c r="CG65" s="31">
        <f>IF(CF65&gt;20,10,IF(CF65&gt;=10,5,2))</f>
        <v/>
      </c>
    </row>
    <row r="66">
      <c r="A66" s="31">
        <f>IF(B66=0,"",RANK(B66,$B$2:$B$88,0))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ANTELOPUS</t>
        </is>
      </c>
      <c r="D66" s="31" t="inlineStr">
        <is>
          <t>Antelopus Selan Energy Ltd</t>
        </is>
      </c>
      <c r="E66" s="31" t="inlineStr">
        <is>
          <t>Energy</t>
        </is>
      </c>
      <c r="F66" s="31" t="inlineStr">
        <is>
          <t>Oil Drilling &amp; Exploration</t>
        </is>
      </c>
      <c r="G66" s="31" t="inlineStr">
        <is>
          <t>smallcap</t>
        </is>
      </c>
      <c r="H66" s="32" t="n">
        <v>2925.51</v>
      </c>
      <c r="I66" s="32" t="n">
        <v>832</v>
      </c>
      <c r="J66" s="32" t="n">
        <v>1.28</v>
      </c>
      <c r="K66" s="32" t="n">
        <v>0</v>
      </c>
      <c r="L66" s="31" t="n">
        <v>65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59.19</v>
      </c>
      <c r="P66" s="32" t="n">
        <v>50.15</v>
      </c>
      <c r="Q66" s="32" t="inlineStr"/>
      <c r="R66" s="31" t="inlineStr">
        <is>
          <t>Earnings / Momentum Support</t>
        </is>
      </c>
      <c r="S66" s="31" t="inlineStr">
        <is>
          <t>Nifty Energy</t>
        </is>
      </c>
      <c r="T66" s="32" t="n">
        <v>8.41</v>
      </c>
      <c r="U66" s="32" t="n">
        <v>25.19</v>
      </c>
      <c r="V66" s="32" t="n">
        <v>15.48</v>
      </c>
      <c r="W66" s="32" t="n">
        <v>13.1</v>
      </c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Oligopoly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Cyclical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Volatile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3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20</t>
        </is>
      </c>
      <c r="CG66" s="31">
        <f>IF(CF66&gt;20,10,IF(CF66&gt;=10,5,2))</f>
        <v/>
      </c>
    </row>
    <row r="67">
      <c r="A67" s="31">
        <f>IF(B67=0,"",RANK(B67,$B$2:$B$88,0))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AXISOL</t>
        </is>
      </c>
      <c r="D67" s="31" t="inlineStr">
        <is>
          <t>Axis Solutions Ltd</t>
        </is>
      </c>
      <c r="E67" s="31" t="inlineStr">
        <is>
          <t>Industrials</t>
        </is>
      </c>
      <c r="F67" s="31" t="inlineStr">
        <is>
          <t>Engineering - Light - General</t>
        </is>
      </c>
      <c r="G67" s="31" t="inlineStr">
        <is>
          <t>smallcap</t>
        </is>
      </c>
      <c r="H67" s="32" t="n">
        <v>1735.4</v>
      </c>
      <c r="I67" s="32" t="n">
        <v>367.2</v>
      </c>
      <c r="J67" s="32" t="n">
        <v/>
      </c>
      <c r="K67" s="32" t="n">
        <v>0</v>
      </c>
      <c r="L67" s="31" t="n">
        <v>99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75.83</v>
      </c>
      <c r="P67" s="32" t="n">
        <v>63.88</v>
      </c>
      <c r="Q67" s="32" t="inlineStr"/>
      <c r="R67" s="31" t="inlineStr">
        <is>
          <t>Earnings / Momentum Support</t>
        </is>
      </c>
      <c r="S67" s="31" t="inlineStr">
        <is>
          <t>Nifty 50</t>
        </is>
      </c>
      <c r="T67" s="32" t="n">
        <v>-0.74</v>
      </c>
      <c r="U67" s="32" t="n">
        <v>1952.24</v>
      </c>
      <c r="V67" s="32" t="n">
        <v>1967.53</v>
      </c>
      <c r="W67" s="32" t="n">
        <v>102.96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Headwind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3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Between 12 to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Negative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20</t>
        </is>
      </c>
      <c r="CG67" s="31">
        <f>IF(CF67&gt;20,10,IF(CF67&gt;=10,5,2))</f>
        <v/>
      </c>
    </row>
    <row r="68">
      <c r="A68" s="31">
        <f>IF(B68=0,"",RANK(B68,$B$2:$B$88,0))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TBZ</t>
        </is>
      </c>
      <c r="D68" s="31" t="inlineStr">
        <is>
          <t>Tribhovandas Bhimji Zaveri Ltd</t>
        </is>
      </c>
      <c r="E68" s="31" t="inlineStr">
        <is>
          <t>consumer discretionary</t>
        </is>
      </c>
      <c r="F68" s="31" t="inlineStr">
        <is>
          <t>Diamond, Gems &amp; Jewellery</t>
        </is>
      </c>
      <c r="G68" s="31" t="inlineStr">
        <is>
          <t>smallcap</t>
        </is>
      </c>
      <c r="H68" s="32" t="n">
        <v>1908.83</v>
      </c>
      <c r="I68" s="32" t="n">
        <v>286.05</v>
      </c>
      <c r="J68" s="32" t="n">
        <v>3.51</v>
      </c>
      <c r="K68" s="32" t="n">
        <v>0</v>
      </c>
      <c r="L68" s="31" t="n">
        <v>93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80.65000000000001</v>
      </c>
      <c r="P68" s="32" t="n">
        <v>38.29</v>
      </c>
      <c r="Q68" s="32" t="inlineStr"/>
      <c r="R68" s="31" t="inlineStr">
        <is>
          <t>Earnings / Momentum Support</t>
        </is>
      </c>
      <c r="S68" s="31" t="inlineStr">
        <is>
          <t>Nifty 50</t>
        </is>
      </c>
      <c r="T68" s="32" t="n">
        <v>-0.74</v>
      </c>
      <c r="U68" s="32" t="n">
        <v>46.03</v>
      </c>
      <c r="V68" s="32" t="n">
        <v>47.12</v>
      </c>
      <c r="W68" s="32" t="n">
        <v>30.64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Headwind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3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Between 1.5 to 2</t>
        </is>
      </c>
      <c r="BU68" s="31">
        <f>IF(BT68="Above 2",0,IF(BT68="Between 1.5 to 2",5,IF(BT68="Less than 1.5",10,0)))</f>
        <v/>
      </c>
      <c r="BV68" s="31" t="inlineStr">
        <is>
          <t>Less than 50% and Borrowings are increasing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Between 0.7 to 1.2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20</t>
        </is>
      </c>
      <c r="CG68" s="31">
        <f>IF(CF68&gt;20,10,IF(CF68&gt;=10,5,2))</f>
        <v/>
      </c>
    </row>
    <row r="69">
      <c r="A69" s="31">
        <f>IF(B69=0,"",RANK(B69,$B$2:$B$88,0))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PAYTM</t>
        </is>
      </c>
      <c r="D69" s="31" t="inlineStr">
        <is>
          <t>One 97 Communications Ltd</t>
        </is>
      </c>
      <c r="E69" s="31" t="inlineStr">
        <is>
          <t>i.t</t>
        </is>
      </c>
      <c r="F69" s="31" t="inlineStr">
        <is>
          <t>E-Commerce - Platform - Utility</t>
        </is>
      </c>
      <c r="G69" s="31" t="inlineStr">
        <is>
          <t>largecap</t>
        </is>
      </c>
      <c r="H69" s="32" t="n">
        <v>90336.50999999999</v>
      </c>
      <c r="I69" s="32" t="n">
        <v>1410</v>
      </c>
      <c r="J69" s="32" t="n">
        <v>4.99</v>
      </c>
      <c r="K69" s="32" t="n">
        <v>0</v>
      </c>
      <c r="L69" s="31" t="n">
        <v>56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62.42</v>
      </c>
      <c r="P69" s="32" t="n">
        <v>15.32</v>
      </c>
      <c r="Q69" s="32" t="inlineStr"/>
      <c r="R69" s="31" t="inlineStr">
        <is>
          <t>Earnings / Momentum Support</t>
        </is>
      </c>
      <c r="S69" s="31" t="inlineStr">
        <is>
          <t>Nifty IT</t>
        </is>
      </c>
      <c r="T69" s="32" t="n">
        <v>-11.37</v>
      </c>
      <c r="U69" s="32" t="n">
        <v>24.77</v>
      </c>
      <c r="V69" s="32" t="n">
        <v>40.78</v>
      </c>
      <c r="W69" s="32" t="n">
        <v>9.93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Oligopoly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Headwind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0 to 20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3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Between 1.5 to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20</t>
        </is>
      </c>
      <c r="CG69" s="31">
        <f>IF(CF69&gt;20,10,IF(CF69&gt;=10,5,2))</f>
        <v/>
      </c>
    </row>
    <row r="70">
      <c r="A70" s="31">
        <f>IF(B70=0,"",RANK(B70,$B$2:$B$88,0))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3" t="inlineStr">
        <is>
          <t>ASKAUTOLTD</t>
        </is>
      </c>
      <c r="D70" s="33" t="inlineStr">
        <is>
          <t>ASK Automotive Ltd</t>
        </is>
      </c>
      <c r="E70" s="31" t="inlineStr">
        <is>
          <t>auto</t>
        </is>
      </c>
      <c r="F70" s="31" t="inlineStr">
        <is>
          <t>Auto Ancillaries - 2 Wheelers</t>
        </is>
      </c>
      <c r="G70" s="31" t="inlineStr">
        <is>
          <t>midcap</t>
        </is>
      </c>
      <c r="H70" s="32" t="n">
        <v>11197.7</v>
      </c>
      <c r="I70" s="32" t="n">
        <v>568</v>
      </c>
      <c r="J70" s="32" t="n">
        <v>7.57</v>
      </c>
      <c r="K70" s="32" t="n">
        <v>0</v>
      </c>
      <c r="L70" s="31" t="n">
        <v>12</v>
      </c>
      <c r="M70" s="31" t="inlineStr">
        <is>
          <t>Underperforming</t>
        </is>
      </c>
      <c r="N70" s="32">
        <f>IF(M70="Underperforming",-5,IF(L70&gt;=95,15,IF(L70&gt;=90,10,IF(L70&gt;=80,5,0))))</f>
        <v/>
      </c>
      <c r="O70" s="32" t="n">
        <v>67.83</v>
      </c>
      <c r="P70" s="32" t="n">
        <v>13.27</v>
      </c>
      <c r="Q70" s="32" t="inlineStr"/>
      <c r="R70" s="31" t="inlineStr">
        <is>
          <t>Earnings / Momentum Support</t>
        </is>
      </c>
      <c r="S70" s="31" t="inlineStr">
        <is>
          <t>Nifty Auto</t>
        </is>
      </c>
      <c r="T70" s="32" t="n">
        <v>13.41</v>
      </c>
      <c r="U70" s="32" t="n">
        <v>-8.220000000000001</v>
      </c>
      <c r="V70" s="32" t="n">
        <v>-19.08</v>
      </c>
      <c r="W70" s="32" t="n">
        <v>0.58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Headwind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No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0 to 20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3</t>
        </is>
      </c>
      <c r="BC70" s="31">
        <f>IF(BB70="Stage 2",20,IF(BB70="Stage 1",0,IF(BB70="Stage 3",5,IF(BB70="Stage 4",-5,0))))</f>
        <v/>
      </c>
      <c r="BD70" s="31" t="inlineStr">
        <is>
          <t>Negative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Between 1.5 to 2</t>
        </is>
      </c>
      <c r="BU70" s="31">
        <f>IF(BT70="Above 2",0,IF(BT70="Between 1.5 to 2",5,IF(BT70="Less than 1.5",10,0)))</f>
        <v/>
      </c>
      <c r="BV70" s="31" t="inlineStr">
        <is>
          <t>Between 50% to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19</t>
        </is>
      </c>
      <c r="CG70" s="31">
        <f>IF(CF70&gt;20,10,IF(CF70&gt;=10,5,2))</f>
        <v/>
      </c>
    </row>
    <row r="71">
      <c r="A71" s="31">
        <f>IF(B71=0,"",RANK(B71,$B$2:$B$88,0))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ROSSTECH</t>
        </is>
      </c>
      <c r="D71" s="31" t="inlineStr">
        <is>
          <t>Rossell Techsys Ltd</t>
        </is>
      </c>
      <c r="E71" s="31" t="inlineStr">
        <is>
          <t>aerospace &amp; defence</t>
        </is>
      </c>
      <c r="F71" s="31" t="inlineStr">
        <is>
          <t>Aerospace &amp; Defence - Equipments</t>
        </is>
      </c>
      <c r="G71" s="31" t="inlineStr">
        <is>
          <t>smallcap</t>
        </is>
      </c>
      <c r="H71" s="32" t="n">
        <v>4007.14</v>
      </c>
      <c r="I71" s="32" t="n">
        <v>1063</v>
      </c>
      <c r="J71" s="32" t="n">
        <v>11.41</v>
      </c>
      <c r="K71" s="32" t="n">
        <v>0</v>
      </c>
      <c r="L71" s="31" t="n">
        <v>81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55.54</v>
      </c>
      <c r="P71" s="32" t="n">
        <v>29.49</v>
      </c>
      <c r="Q71" s="32" t="inlineStr"/>
      <c r="R71" s="31" t="inlineStr">
        <is>
          <t>Earnings / Momentum Support</t>
        </is>
      </c>
      <c r="S71" s="31" t="inlineStr">
        <is>
          <t>Nifty Infra</t>
        </is>
      </c>
      <c r="T71" s="32" t="n">
        <v>1.74</v>
      </c>
      <c r="U71" s="32" t="n">
        <v>113.5</v>
      </c>
      <c r="V71" s="32" t="n">
        <v>109.85</v>
      </c>
      <c r="W71" s="32" t="n">
        <v>19.32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Headwind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3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More than 1.2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18</t>
        </is>
      </c>
      <c r="CG71" s="31">
        <f>IF(CF71&gt;20,10,IF(CF71&gt;=10,5,2))</f>
        <v/>
      </c>
    </row>
    <row r="72">
      <c r="A72" s="31">
        <f>IF(B72=0,"",RANK(B72,$B$2:$B$88,0))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GAEL</t>
        </is>
      </c>
      <c r="D72" s="31" t="inlineStr">
        <is>
          <t>Gujarat Ambuja Exports Ltd</t>
        </is>
      </c>
      <c r="E72" s="31" t="inlineStr">
        <is>
          <t>fmcg</t>
        </is>
      </c>
      <c r="F72" s="31" t="inlineStr">
        <is>
          <t>Agricultural Processing - Maize</t>
        </is>
      </c>
      <c r="G72" s="31" t="inlineStr">
        <is>
          <t>midcap</t>
        </is>
      </c>
      <c r="H72" s="32" t="n">
        <v>8277.629999999999</v>
      </c>
      <c r="I72" s="32" t="n">
        <v>180.47</v>
      </c>
      <c r="J72" s="32" t="n">
        <v>4.86</v>
      </c>
      <c r="K72" s="32" t="n">
        <v>0</v>
      </c>
      <c r="L72" s="31" t="n">
        <v>38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63.81</v>
      </c>
      <c r="P72" s="32" t="n">
        <v>37.37</v>
      </c>
      <c r="Q72" s="32" t="inlineStr"/>
      <c r="R72" s="31" t="inlineStr">
        <is>
          <t>Earnings / Momentum Support</t>
        </is>
      </c>
      <c r="S72" s="31" t="inlineStr">
        <is>
          <t>Nifty FMCG</t>
        </is>
      </c>
      <c r="T72" s="32" t="n">
        <v>-13.73</v>
      </c>
      <c r="U72" s="32" t="n">
        <v>30.8</v>
      </c>
      <c r="V72" s="32" t="n">
        <v>51.62</v>
      </c>
      <c r="W72" s="32" t="n">
        <v>5.8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Oligopoly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Shallow Cyclical (2 to 3 Years Growth)</t>
        </is>
      </c>
      <c r="AG72" s="31">
        <f>IF(AF72="Structural (10 Years Consistency)",10,IF(AF72="Shallow Cyclical (2 to 3 years growth)",5,0))</f>
        <v/>
      </c>
      <c r="AH72" s="31" t="inlineStr">
        <is>
          <t>Yes due to Product Mix change or Operating Leverage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Volatile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Allocated capital in Non-core Areas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3</t>
        </is>
      </c>
      <c r="BC72" s="31">
        <f>IF(BB72="Stage 2",20,IF(BB72="Stage 1",0,IF(BB72="Stage 3",5,IF(BB72="Stage 4",-5,0))))</f>
        <v/>
      </c>
      <c r="BD72" s="31" t="inlineStr">
        <is>
          <t>Negative Trend</t>
        </is>
      </c>
      <c r="BE72" s="31">
        <f>IF(BD72="Positive Trend",20,IF(BD72="Negative Trend",-10,0))</f>
        <v/>
      </c>
      <c r="BF72" s="31" t="inlineStr">
        <is>
          <t>Sideways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Overhead supply in last 2 years in last 2 years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More than 15%</t>
        </is>
      </c>
      <c r="CC72" s="31">
        <f>IF(CB72="More than 15%",-10,IF(CB72="Less than 15%",10,0))</f>
        <v/>
      </c>
      <c r="CD72" s="31" t="inlineStr">
        <is>
          <t>Yes Upto 10%</t>
        </is>
      </c>
      <c r="CE72" s="31">
        <f>IF(CD72="Yes, more than 10%",-10,IF(CD72="No",10,0))</f>
        <v/>
      </c>
      <c r="CF72" s="31" t="inlineStr">
        <is>
          <t>28</t>
        </is>
      </c>
      <c r="CG72" s="31">
        <f>IF(CF72&gt;20,10,IF(CF72&gt;=10,5,2))</f>
        <v/>
      </c>
    </row>
    <row r="73">
      <c r="A73" s="31">
        <f>IF(B73=0,"",RANK(B73,$B$2:$B$88,0))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CNL</t>
        </is>
      </c>
      <c r="D73" s="31" t="inlineStr">
        <is>
          <t>Creative Newtech Ltd</t>
        </is>
      </c>
      <c r="E73" s="31" t="inlineStr">
        <is>
          <t>Technology</t>
        </is>
      </c>
      <c r="F73" s="31" t="inlineStr">
        <is>
          <t>E-Commerce - Platform - Utility</t>
        </is>
      </c>
      <c r="G73" s="31" t="inlineStr">
        <is>
          <t>smallcap</t>
        </is>
      </c>
      <c r="H73" s="32" t="n">
        <v>1528.7</v>
      </c>
      <c r="I73" s="32" t="n">
        <v>1018</v>
      </c>
      <c r="J73" s="32" t="n">
        <v>2.5</v>
      </c>
      <c r="K73" s="32" t="n">
        <v>0</v>
      </c>
      <c r="L73" s="31" t="n">
        <v>88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81.34999999999999</v>
      </c>
      <c r="P73" s="32" t="n">
        <v>43.33</v>
      </c>
      <c r="Q73" s="32" t="inlineStr"/>
      <c r="R73" s="31" t="inlineStr">
        <is>
          <t>Earnings / Momentum Support</t>
        </is>
      </c>
      <c r="S73" s="31" t="inlineStr">
        <is>
          <t>Nifty 50</t>
        </is>
      </c>
      <c r="T73" s="32" t="n">
        <v>-0.74</v>
      </c>
      <c r="U73" s="32" t="n">
        <v>57.52</v>
      </c>
      <c r="V73" s="32" t="n">
        <v>58.69</v>
      </c>
      <c r="W73" s="32" t="n">
        <v>24.25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Oligopoly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Headwind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Annuity, Lower One Time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3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Negative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Between 0.7 to 1.2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20</t>
        </is>
      </c>
      <c r="CG73" s="31">
        <f>IF(CF73&gt;20,10,IF(CF73&gt;=10,5,2))</f>
        <v/>
      </c>
    </row>
    <row r="74">
      <c r="A74" s="31">
        <f>IF(B74=0,"",RANK(B74,$B$2:$B$88,0))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3" t="inlineStr">
        <is>
          <t>DEEPINDS</t>
        </is>
      </c>
      <c r="D74" s="33" t="inlineStr">
        <is>
          <t>Deep Industries Ltd</t>
        </is>
      </c>
      <c r="E74" s="31" t="inlineStr">
        <is>
          <t>energy</t>
        </is>
      </c>
      <c r="F74" s="31" t="inlineStr">
        <is>
          <t>Oil Drilling &amp; Exploration</t>
        </is>
      </c>
      <c r="G74" s="31" t="inlineStr">
        <is>
          <t>smallcap</t>
        </is>
      </c>
      <c r="H74" s="32" t="n">
        <v>4121.6</v>
      </c>
      <c r="I74" s="32" t="n">
        <v>644</v>
      </c>
      <c r="J74" s="32" t="n">
        <v>7.89</v>
      </c>
      <c r="K74" s="32" t="n">
        <v>0</v>
      </c>
      <c r="L74" s="31" t="n">
        <v>15</v>
      </c>
      <c r="M74" s="31" t="inlineStr">
        <is>
          <t>Underperforming</t>
        </is>
      </c>
      <c r="N74" s="32">
        <f>IF(M74="Underperforming",-5,IF(L74&gt;=95,15,IF(L74&gt;=90,10,IF(L74&gt;=80,5,0))))</f>
        <v/>
      </c>
      <c r="O74" s="32" t="n">
        <v>69.64</v>
      </c>
      <c r="P74" s="32" t="n">
        <v>15.6</v>
      </c>
      <c r="Q74" s="32" t="inlineStr"/>
      <c r="R74" s="31" t="inlineStr">
        <is>
          <t>Volume Spike / Accumulation</t>
        </is>
      </c>
      <c r="S74" s="31" t="inlineStr">
        <is>
          <t>Nifty Energy</t>
        </is>
      </c>
      <c r="T74" s="32" t="n">
        <v>8.41</v>
      </c>
      <c r="U74" s="32" t="n">
        <v>0.27</v>
      </c>
      <c r="V74" s="32" t="n">
        <v>-7.51</v>
      </c>
      <c r="W74" s="32" t="n">
        <v>1.2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Oligopoly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Yes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Cyclical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Volatile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0 to 20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3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23</t>
        </is>
      </c>
      <c r="CG74" s="31">
        <f>IF(CF74&gt;20,10,IF(CF74&gt;=10,5,2))</f>
        <v/>
      </c>
    </row>
    <row r="75">
      <c r="A75" s="31">
        <f>IF(B75=0,"",RANK(B75,$B$2:$B$88,0))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TVSMOTOR</t>
        </is>
      </c>
      <c r="D75" s="31" t="inlineStr">
        <is>
          <t>TVS Motor Company Ltd</t>
        </is>
      </c>
      <c r="E75" s="31" t="inlineStr">
        <is>
          <t>auto</t>
        </is>
      </c>
      <c r="F75" s="31" t="inlineStr">
        <is>
          <t>Auto - 2 &amp; 3 Wheelers</t>
        </is>
      </c>
      <c r="G75" s="31" t="inlineStr">
        <is>
          <t>largecap</t>
        </is>
      </c>
      <c r="H75" s="32" t="n">
        <v>208515.73</v>
      </c>
      <c r="I75" s="32" t="n">
        <v>4389</v>
      </c>
      <c r="J75" s="32" t="n">
        <v>1.76</v>
      </c>
      <c r="K75" s="32" t="n">
        <v>0</v>
      </c>
      <c r="L75" s="31" t="n">
        <v>33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70.56</v>
      </c>
      <c r="P75" s="32" t="n">
        <v>16</v>
      </c>
      <c r="Q75" s="32" t="inlineStr"/>
      <c r="R75" s="31" t="inlineStr">
        <is>
          <t>Earnings / Momentum Support</t>
        </is>
      </c>
      <c r="S75" s="31" t="inlineStr">
        <is>
          <t>Nifty Auto</t>
        </is>
      </c>
      <c r="T75" s="32" t="n">
        <v>13.41</v>
      </c>
      <c r="U75" s="32" t="n">
        <v>27.43</v>
      </c>
      <c r="V75" s="32" t="n">
        <v>12.36</v>
      </c>
      <c r="W75" s="32" t="n">
        <v>4.91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Headwind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0 to 20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3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More than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22</t>
        </is>
      </c>
      <c r="CG75" s="31">
        <f>IF(CF75&gt;20,10,IF(CF75&gt;=10,5,2))</f>
        <v/>
      </c>
    </row>
    <row r="76">
      <c r="A76" s="31">
        <f>IF(B76=0,"",RANK(B76,$B$2:$B$88,0))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SMLMAH</t>
        </is>
      </c>
      <c r="D76" s="31" t="inlineStr">
        <is>
          <t>SML Mahindra Ltd</t>
        </is>
      </c>
      <c r="E76" s="31" t="inlineStr">
        <is>
          <t>auto</t>
        </is>
      </c>
      <c r="F76" s="31" t="inlineStr">
        <is>
          <t>Auto - Bus/LCVs</t>
        </is>
      </c>
      <c r="G76" s="31" t="inlineStr">
        <is>
          <t>midcap</t>
        </is>
      </c>
      <c r="H76" s="32" t="n">
        <v>7915.99</v>
      </c>
      <c r="I76" s="32" t="n">
        <v>5470</v>
      </c>
      <c r="J76" s="32" t="n">
        <v>-3.79</v>
      </c>
      <c r="K76" s="32" t="n">
        <v>0</v>
      </c>
      <c r="L76" s="31" t="n">
        <v>35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71.17</v>
      </c>
      <c r="P76" s="32" t="n">
        <v>9.44</v>
      </c>
      <c r="Q76" s="32" t="inlineStr"/>
      <c r="R76" s="31" t="inlineStr">
        <is>
          <t>Earnings / Momentum Support</t>
        </is>
      </c>
      <c r="S76" s="31" t="inlineStr">
        <is>
          <t>Nifty Auto</t>
        </is>
      </c>
      <c r="T76" s="32" t="n">
        <v>13.41</v>
      </c>
      <c r="U76" s="32" t="n">
        <v>24.19</v>
      </c>
      <c r="V76" s="32" t="n">
        <v>9.5</v>
      </c>
      <c r="W76" s="32" t="n">
        <v>5.34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Headwind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0 to 20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3</t>
        </is>
      </c>
      <c r="BC76" s="31">
        <f>IF(BB76="Stage 2",20,IF(BB76="Stage 1",0,IF(BB76="Stage 3",5,IF(BB76="Stage 4",-5,0))))</f>
        <v/>
      </c>
      <c r="BD76" s="31" t="inlineStr">
        <is>
          <t>Negative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Less than 12%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18</t>
        </is>
      </c>
      <c r="CG76" s="31">
        <f>IF(CF76&gt;20,10,IF(CF76&gt;=10,5,2))</f>
        <v/>
      </c>
    </row>
    <row r="77">
      <c r="A77" s="31">
        <f>IF(B77=0,"",RANK(B77,$B$2:$B$88,0))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DIACABS</t>
        </is>
      </c>
      <c r="D77" s="31" t="inlineStr">
        <is>
          <t>Diamond Power Infrastructure Ltd</t>
        </is>
      </c>
      <c r="E77" s="31" t="inlineStr">
        <is>
          <t>industrials</t>
        </is>
      </c>
      <c r="F77" s="31" t="inlineStr">
        <is>
          <t>Cables - Power</t>
        </is>
      </c>
      <c r="G77" s="31" t="inlineStr">
        <is>
          <t>midcap</t>
        </is>
      </c>
      <c r="H77" s="32" t="n">
        <v>19347.6</v>
      </c>
      <c r="I77" s="32" t="n">
        <v>323.5</v>
      </c>
      <c r="J77" s="32" t="n">
        <v>-0.15</v>
      </c>
      <c r="K77" s="32" t="n">
        <v>0</v>
      </c>
      <c r="L77" s="31" t="n">
        <v>77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86.04000000000001</v>
      </c>
      <c r="P77" s="32" t="n">
        <v>60.02</v>
      </c>
      <c r="Q77" s="32" t="inlineStr"/>
      <c r="R77" s="31" t="inlineStr">
        <is>
          <t>Earnings / Momentum Support</t>
        </is>
      </c>
      <c r="S77" s="31" t="inlineStr">
        <is>
          <t>Nifty Energy</t>
        </is>
      </c>
      <c r="T77" s="32" t="n">
        <v>8.41</v>
      </c>
      <c r="U77" s="32" t="n">
        <v>31.69</v>
      </c>
      <c r="V77" s="32" t="n">
        <v>21.48</v>
      </c>
      <c r="W77" s="32" t="n">
        <v>17.59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Headwind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3</t>
        </is>
      </c>
      <c r="BC77" s="31">
        <f>IF(BB77="Stage 2",20,IF(BB77="Stage 1",0,IF(BB77="Stage 3",5,IF(BB77="Stage 4",-5,0))))</f>
        <v/>
      </c>
      <c r="BD77" s="31" t="inlineStr">
        <is>
          <t>Negative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Negative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18</t>
        </is>
      </c>
      <c r="CG77" s="31">
        <f>IF(CF77&gt;20,10,IF(CF77&gt;=10,5,2))</f>
        <v/>
      </c>
    </row>
    <row r="78">
      <c r="A78" s="31">
        <f>IF(B78=0,"",RANK(B78,$B$2:$B$88,0))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3" t="inlineStr">
        <is>
          <t>ETHOSLTD</t>
        </is>
      </c>
      <c r="D78" s="33" t="inlineStr">
        <is>
          <t>Ethos Ltd</t>
        </is>
      </c>
      <c r="E78" s="31" t="inlineStr">
        <is>
          <t>consumer discretionary</t>
        </is>
      </c>
      <c r="F78" s="31" t="inlineStr">
        <is>
          <t>Watches</t>
        </is>
      </c>
      <c r="G78" s="31" t="inlineStr">
        <is>
          <t>midcap</t>
        </is>
      </c>
      <c r="H78" s="32" t="n">
        <v>7837.33</v>
      </c>
      <c r="I78" s="32" t="n">
        <v>2929</v>
      </c>
      <c r="J78" s="32" t="n">
        <v>13.73</v>
      </c>
      <c r="K78" s="32" t="n">
        <v>0</v>
      </c>
      <c r="L78" s="31" t="n">
        <v>14</v>
      </c>
      <c r="M78" s="31" t="inlineStr">
        <is>
          <t>Underperforming</t>
        </is>
      </c>
      <c r="N78" s="32">
        <f>IF(M78="Underperforming",-5,IF(L78&gt;=95,15,IF(L78&gt;=90,10,IF(L78&gt;=80,5,0))))</f>
        <v/>
      </c>
      <c r="O78" s="32" t="n">
        <v>53.86</v>
      </c>
      <c r="P78" s="32" t="n">
        <v>10.12</v>
      </c>
      <c r="Q78" s="32" t="inlineStr"/>
      <c r="R78" s="31" t="inlineStr">
        <is>
          <t>Volume Spike / Accumulation</t>
        </is>
      </c>
      <c r="S78" s="31" t="inlineStr">
        <is>
          <t>Nifty 50</t>
        </is>
      </c>
      <c r="T78" s="32" t="n">
        <v>-0.74</v>
      </c>
      <c r="U78" s="32" t="n">
        <v>-3.3</v>
      </c>
      <c r="V78" s="32" t="n">
        <v>-2.58</v>
      </c>
      <c r="W78" s="32" t="n">
        <v>1.12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Headwind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0 to 20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3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Less than 12%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Less than 50%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23</t>
        </is>
      </c>
      <c r="CG78" s="31">
        <f>IF(CF78&gt;20,10,IF(CF78&gt;=10,5,2))</f>
        <v/>
      </c>
    </row>
    <row r="79">
      <c r="A79" s="31">
        <f>IF(B79=0,"",RANK(B79,$B$2:$B$88,0))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RKFORGE</t>
        </is>
      </c>
      <c r="D79" s="31" t="inlineStr">
        <is>
          <t>Ramkrishna Forgings Ltd</t>
        </is>
      </c>
      <c r="E79" s="31" t="inlineStr">
        <is>
          <t>industrials</t>
        </is>
      </c>
      <c r="F79" s="31" t="inlineStr">
        <is>
          <t>Castings, Forgings &amp; Fastners</t>
        </is>
      </c>
      <c r="G79" s="31" t="inlineStr">
        <is>
          <t>midcap</t>
        </is>
      </c>
      <c r="H79" s="32" t="n">
        <v>12444.03</v>
      </c>
      <c r="I79" s="32" t="n">
        <v>683.1</v>
      </c>
      <c r="J79" s="32" t="n">
        <v>4.91</v>
      </c>
      <c r="K79" s="32" t="n">
        <v>0</v>
      </c>
      <c r="L79" s="31" t="n">
        <v>34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64.51000000000001</v>
      </c>
      <c r="P79" s="32" t="n">
        <v>9.039999999999999</v>
      </c>
      <c r="Q79" s="32" t="inlineStr"/>
      <c r="R79" s="31" t="inlineStr">
        <is>
          <t>Earnings / Momentum Support</t>
        </is>
      </c>
      <c r="S79" s="31" t="inlineStr">
        <is>
          <t>Nifty 50</t>
        </is>
      </c>
      <c r="T79" s="32" t="n">
        <v>-0.74</v>
      </c>
      <c r="U79" s="32" t="n">
        <v>15.28</v>
      </c>
      <c r="V79" s="32" t="n">
        <v>16.14</v>
      </c>
      <c r="W79" s="32" t="n">
        <v>5.05</v>
      </c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Headwind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0 to 20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3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Between 0.7 to 1.2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20</t>
        </is>
      </c>
      <c r="CG79" s="31">
        <f>IF(CF79&gt;20,10,IF(CF79&gt;=10,5,2))</f>
        <v/>
      </c>
    </row>
    <row r="80">
      <c r="A80" s="31">
        <f>IF(B80=0,"",RANK(B80,$B$2:$B$88,0))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SAPL</t>
        </is>
      </c>
      <c r="D80" s="31" t="inlineStr">
        <is>
          <t>Sar Auto Products Ltd</t>
        </is>
      </c>
      <c r="E80" s="31" t="inlineStr">
        <is>
          <t>Consumer Cyclical</t>
        </is>
      </c>
      <c r="F80" s="31" t="inlineStr">
        <is>
          <t>Auto Ancillaries - Gears</t>
        </is>
      </c>
      <c r="G80" s="31" t="inlineStr">
        <is>
          <t>smallcap</t>
        </is>
      </c>
      <c r="H80" s="32" t="n">
        <v>1821.08</v>
      </c>
      <c r="I80" s="32" t="n">
        <v>3822</v>
      </c>
      <c r="J80" s="32" t="n">
        <v>-4.7</v>
      </c>
      <c r="K80" s="32" t="n">
        <v>0</v>
      </c>
      <c r="L80" s="31" t="n">
        <v>87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86.13</v>
      </c>
      <c r="P80" s="32" t="n">
        <v>34.81</v>
      </c>
      <c r="Q80" s="32" t="inlineStr"/>
      <c r="R80" s="31" t="inlineStr">
        <is>
          <t>Volume Spike / Accumulation</t>
        </is>
      </c>
      <c r="S80" s="31" t="inlineStr">
        <is>
          <t>Nifty Auto</t>
        </is>
      </c>
      <c r="T80" s="32" t="n">
        <v>13.41</v>
      </c>
      <c r="U80" s="32" t="n">
        <v>90.92</v>
      </c>
      <c r="V80" s="32" t="n">
        <v>68.34</v>
      </c>
      <c r="W80" s="32" t="n">
        <v>23.86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Headwind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B2C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3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Negative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More than 1.2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19</t>
        </is>
      </c>
      <c r="CG80" s="31">
        <f>IF(CF80&gt;20,10,IF(CF80&gt;=10,5,2))</f>
        <v/>
      </c>
    </row>
    <row r="81">
      <c r="A81" s="31">
        <f>IF(B81=0,"",RANK(B81,$B$2:$B$88,0))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3" t="inlineStr">
        <is>
          <t>FAIRCHEMOR</t>
        </is>
      </c>
      <c r="D81" s="33" t="inlineStr">
        <is>
          <t>Fairchem Organics Ltd</t>
        </is>
      </c>
      <c r="E81" s="31" t="inlineStr">
        <is>
          <t>Basic Materials</t>
        </is>
      </c>
      <c r="F81" s="31" t="inlineStr">
        <is>
          <t>Chemicals - Organic</t>
        </is>
      </c>
      <c r="G81" s="31" t="inlineStr">
        <is>
          <t>smallcap</t>
        </is>
      </c>
      <c r="H81" s="32" t="n">
        <v>1024.05</v>
      </c>
      <c r="I81" s="32" t="n">
        <v>813</v>
      </c>
      <c r="J81" s="32" t="n">
        <v>1.99</v>
      </c>
      <c r="K81" s="32" t="n">
        <v>0</v>
      </c>
      <c r="L81" s="31" t="n">
        <v>48</v>
      </c>
      <c r="M81" s="31" t="inlineStr">
        <is>
          <t>Underperforming</t>
        </is>
      </c>
      <c r="N81" s="32">
        <f>IF(M81="Underperforming",-5,IF(L81&gt;=95,15,IF(L81&gt;=90,10,IF(L81&gt;=80,5,0))))</f>
        <v/>
      </c>
      <c r="O81" s="32" t="n">
        <v>68.68000000000001</v>
      </c>
      <c r="P81" s="32" t="n">
        <v>21.87</v>
      </c>
      <c r="Q81" s="32" t="inlineStr"/>
      <c r="R81" s="31" t="inlineStr">
        <is>
          <t>Earnings / Momentum Support</t>
        </is>
      </c>
      <c r="S81" s="31" t="inlineStr">
        <is>
          <t>Nifty 50</t>
        </is>
      </c>
      <c r="T81" s="32" t="n">
        <v>-0.74</v>
      </c>
      <c r="U81" s="32" t="n">
        <v>-9.800000000000001</v>
      </c>
      <c r="V81" s="32" t="n">
        <v>-9.130000000000001</v>
      </c>
      <c r="W81" s="32" t="n">
        <v>7.83</v>
      </c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Headwind</t>
        </is>
      </c>
      <c r="AE81" s="31">
        <f>IF(AD81="Tailwind",10,0)</f>
        <v/>
      </c>
      <c r="AF81" s="31" t="inlineStr">
        <is>
          <t>Cyclical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Volatile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3</t>
        </is>
      </c>
      <c r="BC81" s="31">
        <f>IF(BB81="Stage 2",20,IF(BB81="Stage 1",0,IF(BB81="Stage 3",5,IF(BB81="Stage 4",-5,0))))</f>
        <v/>
      </c>
      <c r="BD81" s="31" t="inlineStr">
        <is>
          <t>Negative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19</t>
        </is>
      </c>
      <c r="CG81" s="31">
        <f>IF(CF81&gt;20,10,IF(CF81&gt;=10,5,2))</f>
        <v/>
      </c>
    </row>
    <row r="82">
      <c r="A82" s="31">
        <f>IF(B82=0,"",RANK(B82,$B$2:$B$88,0))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3" t="inlineStr">
        <is>
          <t>RAJRATAN</t>
        </is>
      </c>
      <c r="D82" s="33" t="inlineStr">
        <is>
          <t>Rajratan Global Wire Ltd</t>
        </is>
      </c>
      <c r="E82" s="31" t="inlineStr">
        <is>
          <t>metals &amp; mining</t>
        </is>
      </c>
      <c r="F82" s="31" t="inlineStr">
        <is>
          <t>Tyres &amp; Tubes</t>
        </is>
      </c>
      <c r="G82" s="31" t="inlineStr">
        <is>
          <t>smallcap</t>
        </is>
      </c>
      <c r="H82" s="32" t="n">
        <v>2614.2</v>
      </c>
      <c r="I82" s="32" t="n">
        <v>514.9</v>
      </c>
      <c r="J82" s="32" t="n">
        <v>4.02</v>
      </c>
      <c r="K82" s="32" t="n">
        <v>0</v>
      </c>
      <c r="L82" s="31" t="n">
        <v>55</v>
      </c>
      <c r="M82" s="31" t="inlineStr">
        <is>
          <t>Underperforming</t>
        </is>
      </c>
      <c r="N82" s="32">
        <f>IF(M82="Underperforming",-5,IF(L82&gt;=95,15,IF(L82&gt;=90,10,IF(L82&gt;=80,5,0))))</f>
        <v/>
      </c>
      <c r="O82" s="32" t="n">
        <v>62.71</v>
      </c>
      <c r="P82" s="32" t="n">
        <v>15.37</v>
      </c>
      <c r="Q82" s="32" t="inlineStr"/>
      <c r="R82" s="31" t="inlineStr">
        <is>
          <t>Earnings / Momentum Support</t>
        </is>
      </c>
      <c r="S82" s="31" t="inlineStr">
        <is>
          <t>Nifty Metal</t>
        </is>
      </c>
      <c r="T82" s="32" t="n">
        <v>31.49</v>
      </c>
      <c r="U82" s="32" t="n">
        <v>16.62</v>
      </c>
      <c r="V82" s="32" t="n">
        <v>-11.31</v>
      </c>
      <c r="W82" s="32" t="n">
        <v>9.619999999999999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Headwind</t>
        </is>
      </c>
      <c r="AE82" s="31">
        <f>IF(AD82="Tailwind",10,0)</f>
        <v/>
      </c>
      <c r="AF82" s="31" t="inlineStr">
        <is>
          <t>Cyclical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Volatile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0 to 20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3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17</t>
        </is>
      </c>
      <c r="CG82" s="31">
        <f>IF(CF82&gt;20,10,IF(CF82&gt;=10,5,2))</f>
        <v/>
      </c>
    </row>
    <row r="83">
      <c r="A83" s="31">
        <f>IF(B83=0,"",RANK(B83,$B$2:$B$88,0))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3" t="inlineStr">
        <is>
          <t>SILVERTUC</t>
        </is>
      </c>
      <c r="D83" s="33" t="inlineStr">
        <is>
          <t>Silver Touch Technologies Ltd</t>
        </is>
      </c>
      <c r="E83" s="31" t="inlineStr">
        <is>
          <t>Technology</t>
        </is>
      </c>
      <c r="F83" s="31" t="inlineStr">
        <is>
          <t>IT - Software</t>
        </is>
      </c>
      <c r="G83" s="31" t="inlineStr">
        <is>
          <t>smallcap</t>
        </is>
      </c>
      <c r="H83" s="32" t="n">
        <v>2518.95</v>
      </c>
      <c r="I83" s="32" t="n">
        <v>198.64</v>
      </c>
      <c r="J83" s="32" t="n">
        <v>-1.56</v>
      </c>
      <c r="K83" s="32" t="n">
        <v>0</v>
      </c>
      <c r="L83" s="31" t="n">
        <v>3</v>
      </c>
      <c r="M83" s="31" t="inlineStr">
        <is>
          <t>Underperforming</t>
        </is>
      </c>
      <c r="N83" s="32">
        <f>IF(M83="Underperforming",-5,IF(L83&gt;=95,15,IF(L83&gt;=90,10,IF(L83&gt;=80,5,0))))</f>
        <v/>
      </c>
      <c r="O83" s="32" t="n">
        <v>44.1</v>
      </c>
      <c r="P83" s="32" t="n">
        <v>19.85</v>
      </c>
      <c r="Q83" s="32" t="inlineStr"/>
      <c r="R83" s="31" t="inlineStr">
        <is>
          <t>Earnings / Momentum Support</t>
        </is>
      </c>
      <c r="S83" s="31" t="inlineStr">
        <is>
          <t>Nifty 50</t>
        </is>
      </c>
      <c r="T83" s="32" t="n">
        <v>-0.74</v>
      </c>
      <c r="U83" s="32" t="n">
        <v>-72.84999999999999</v>
      </c>
      <c r="V83" s="32" t="n">
        <v>-72.64</v>
      </c>
      <c r="W83" s="32" t="n">
        <v>-3.62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Headwind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Annuity, Lower One Time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0 to 20</t>
        </is>
      </c>
      <c r="AY83" s="31">
        <f>IF(AX83="Above 40",20,IF(AX83="20 to 40",10,IF(AX83="0 to 20",-5,0)))</f>
        <v/>
      </c>
      <c r="AZ83" s="31" t="inlineStr">
        <is>
          <t>Below 45</t>
        </is>
      </c>
      <c r="BA83" s="31">
        <f>IF(AZ83="Between 50 to 75",10,IF(AZ83="Above 75",0,0))</f>
        <v/>
      </c>
      <c r="BB83" s="31" t="inlineStr">
        <is>
          <t>Stage 4</t>
        </is>
      </c>
      <c r="BC83" s="31">
        <f>IF(BB83="Stage 2",20,IF(BB83="Stage 1",0,IF(BB83="Stage 3",5,IF(BB83="Stage 4",-5,0))))</f>
        <v/>
      </c>
      <c r="BD83" s="31" t="inlineStr">
        <is>
          <t>Negative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22</t>
        </is>
      </c>
      <c r="CG83" s="31">
        <f>IF(CF83&gt;20,10,IF(CF83&gt;=10,5,2))</f>
        <v/>
      </c>
    </row>
    <row r="84">
      <c r="A84" s="31">
        <f>IF(B84=0,"",RANK(B84,$B$2:$B$88,0))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KAPSTON</t>
        </is>
      </c>
      <c r="D84" s="31" t="inlineStr">
        <is>
          <t>Kapston Services Ltd</t>
        </is>
      </c>
      <c r="E84" s="31" t="inlineStr">
        <is>
          <t>miscellaneous</t>
        </is>
      </c>
      <c r="F84" s="31" t="inlineStr">
        <is>
          <t>Services - Others</t>
        </is>
      </c>
      <c r="G84" s="31" t="inlineStr">
        <is>
          <t>smallcap</t>
        </is>
      </c>
      <c r="H84" s="32" t="n">
        <v>1615.95</v>
      </c>
      <c r="I84" s="32" t="n">
        <v>531</v>
      </c>
      <c r="J84" s="32" t="n">
        <v>11.81</v>
      </c>
      <c r="K84" s="32" t="n">
        <v>0</v>
      </c>
      <c r="L84" s="31" t="n">
        <v>85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75.90000000000001</v>
      </c>
      <c r="P84" s="32" t="n">
        <v>26.01</v>
      </c>
      <c r="Q84" s="32" t="inlineStr"/>
      <c r="R84" s="31" t="inlineStr">
        <is>
          <t>Earnings / Momentum Support</t>
        </is>
      </c>
      <c r="S84" s="31" t="inlineStr">
        <is>
          <t>Nifty 50</t>
        </is>
      </c>
      <c r="T84" s="32" t="n">
        <v>-0.74</v>
      </c>
      <c r="U84" s="32" t="n">
        <v>83.7</v>
      </c>
      <c r="V84" s="32" t="n">
        <v>85.06999999999999</v>
      </c>
      <c r="W84" s="32" t="n">
        <v>22.23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Headwind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3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Less than 50% and Borrowings are increasing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More than 1.2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18</t>
        </is>
      </c>
      <c r="CG84" s="31">
        <f>IF(CF84&gt;20,10,IF(CF84&gt;=10,5,2))</f>
        <v/>
      </c>
    </row>
    <row r="85">
      <c r="A85" s="31">
        <f>IF(B85=0,"",RANK(B85,$B$2:$B$88,0))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3" t="inlineStr">
        <is>
          <t>LOTUSDEV</t>
        </is>
      </c>
      <c r="D85" s="33" t="inlineStr">
        <is>
          <t>Sri Lotus Developers &amp; Realty Ltd</t>
        </is>
      </c>
      <c r="E85" s="31" t="inlineStr">
        <is>
          <t>Industrials</t>
        </is>
      </c>
      <c r="F85" s="31" t="inlineStr">
        <is>
          <t>Construction - Factories/Offices/Commercial</t>
        </is>
      </c>
      <c r="G85" s="31" t="inlineStr">
        <is>
          <t>midcap</t>
        </is>
      </c>
      <c r="H85" s="32" t="n">
        <v>9706.540000000001</v>
      </c>
      <c r="I85" s="32" t="n">
        <v>198.61</v>
      </c>
      <c r="J85" s="32" t="n">
        <v>-0.75</v>
      </c>
      <c r="K85" s="32" t="n">
        <v>0</v>
      </c>
      <c r="L85" s="31" t="n">
        <v>1</v>
      </c>
      <c r="M85" s="31" t="inlineStr">
        <is>
          <t>Underperforming</t>
        </is>
      </c>
      <c r="N85" s="32">
        <f>IF(M85="Underperforming",-5,IF(L85&gt;=95,15,IF(L85&gt;=90,10,IF(L85&gt;=80,5,0))))</f>
        <v/>
      </c>
      <c r="O85" s="32" t="n">
        <v>68.89</v>
      </c>
      <c r="P85" s="32" t="n">
        <v>14.16</v>
      </c>
      <c r="Q85" s="32" t="inlineStr"/>
      <c r="R85" s="31" t="inlineStr">
        <is>
          <t>Earnings / Momentum Support</t>
        </is>
      </c>
      <c r="S85" s="31" t="inlineStr">
        <is>
          <t>Nifty Infra</t>
        </is>
      </c>
      <c r="T85" s="32" t="n">
        <v>5.61</v>
      </c>
      <c r="U85" s="32" t="n">
        <v>-33.28</v>
      </c>
      <c r="V85" s="32" t="n">
        <v>-36.83</v>
      </c>
      <c r="W85" s="32" t="n">
        <v>-7.53</v>
      </c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Headwind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0 to 20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3</t>
        </is>
      </c>
      <c r="BC85" s="31">
        <f>IF(BB85="Stage 2",20,IF(BB85="Stage 1",0,IF(BB85="Stage 3",5,IF(BB85="Stage 4",-5,0))))</f>
        <v/>
      </c>
      <c r="BD85" s="31" t="inlineStr">
        <is>
          <t>Negative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Less than 12%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Negative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20</t>
        </is>
      </c>
      <c r="CG85" s="31">
        <f>IF(CF85&gt;20,10,IF(CF85&gt;=10,5,2))</f>
        <v/>
      </c>
    </row>
    <row r="86">
      <c r="A86" s="31">
        <f>IF(B86=0,"",RANK(B86,$B$2:$B$88,0))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3" t="inlineStr">
        <is>
          <t>LLOYDSME</t>
        </is>
      </c>
      <c r="D86" s="33" t="inlineStr">
        <is>
          <t>Lloyds Metals &amp; Energy Ltd</t>
        </is>
      </c>
      <c r="E86" s="31" t="inlineStr">
        <is>
          <t>metals &amp; mining</t>
        </is>
      </c>
      <c r="F86" s="31" t="inlineStr">
        <is>
          <t>Mining/Minerals - Iron Ore</t>
        </is>
      </c>
      <c r="G86" s="31" t="inlineStr">
        <is>
          <t>largecap</t>
        </is>
      </c>
      <c r="H86" s="32" t="n">
        <v>115390.3</v>
      </c>
      <c r="I86" s="32" t="n">
        <v>2049.9</v>
      </c>
      <c r="J86" s="32" t="n">
        <v>0.14</v>
      </c>
      <c r="K86" s="32" t="n">
        <v>0</v>
      </c>
      <c r="L86" s="31" t="n">
        <v>52</v>
      </c>
      <c r="M86" s="31" t="inlineStr">
        <is>
          <t>Underperforming</t>
        </is>
      </c>
      <c r="N86" s="32">
        <f>IF(M86="Underperforming",-5,IF(L86&gt;=95,15,IF(L86&gt;=90,10,IF(L86&gt;=80,5,0))))</f>
        <v/>
      </c>
      <c r="O86" s="32" t="n">
        <v>78.12</v>
      </c>
      <c r="P86" s="32" t="n">
        <v>44.88</v>
      </c>
      <c r="Q86" s="32" t="inlineStr"/>
      <c r="R86" s="31" t="inlineStr">
        <is>
          <t>Earnings / Momentum Support</t>
        </is>
      </c>
      <c r="S86" s="31" t="inlineStr">
        <is>
          <t>Nifty Metal</t>
        </is>
      </c>
      <c r="T86" s="32" t="n">
        <v>31.49</v>
      </c>
      <c r="U86" s="32" t="n">
        <v>26.75</v>
      </c>
      <c r="V86" s="32" t="n">
        <v>-3.61</v>
      </c>
      <c r="W86" s="32" t="n">
        <v>8.960000000000001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Headwind</t>
        </is>
      </c>
      <c r="AE86" s="31">
        <f>IF(AD86="Tailwind",10,0)</f>
        <v/>
      </c>
      <c r="AF86" s="31" t="inlineStr">
        <is>
          <t>Cyclical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Volatile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3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Less than 50% and Borrowings are increasing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More than 1.2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19</t>
        </is>
      </c>
      <c r="CG86" s="31">
        <f>IF(CF86&gt;20,10,IF(CF86&gt;=10,5,2))</f>
        <v/>
      </c>
    </row>
    <row r="87">
      <c r="A87" s="31">
        <f>IF(B87=0,"",RANK(B87,$B$2:$B$88,0))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MONOLITH</t>
        </is>
      </c>
      <c r="D87" s="31" t="inlineStr">
        <is>
          <t>Monolithisch India Ltd</t>
        </is>
      </c>
      <c r="E87" s="31" t="inlineStr">
        <is>
          <t>unknown</t>
        </is>
      </c>
      <c r="F87" s="31" t="inlineStr">
        <is>
          <t>Refractories</t>
        </is>
      </c>
      <c r="G87" s="31" t="inlineStr">
        <is>
          <t>smallcap</t>
        </is>
      </c>
      <c r="H87" s="32" t="n">
        <v>1919.29</v>
      </c>
      <c r="I87" s="32" t="n">
        <v>883</v>
      </c>
      <c r="J87" s="32" t="n">
        <v>2.89</v>
      </c>
      <c r="K87" s="32" t="n">
        <v>0</v>
      </c>
      <c r="L87" s="31" t="inlineStr"/>
      <c r="M87" s="31" t="inlineStr"/>
      <c r="N87" s="32">
        <f>IF(M87="Underperforming",-5,IF(L87&gt;=95,15,IF(L87&gt;=90,10,IF(L87&gt;=80,5,0))))</f>
        <v/>
      </c>
      <c r="O87" s="32" t="inlineStr"/>
      <c r="P87" s="32" t="inlineStr"/>
      <c r="Q87" s="32" t="inlineStr"/>
      <c r="R87" s="31" t="inlineStr"/>
      <c r="S87" s="31" t="inlineStr"/>
      <c r="T87" s="32" t="inlineStr"/>
      <c r="U87" s="32" t="inlineStr"/>
      <c r="V87" s="32" t="inlineStr"/>
      <c r="W87" s="32" t="inlineStr"/>
      <c r="X87" s="31" t="n"/>
      <c r="Y87" s="31">
        <f>IF(X87="Growing Industry",10,IF(X87="Cyclical in an Upturn",5,0))</f>
        <v/>
      </c>
      <c r="Z87" s="31" t="n"/>
      <c r="AA87" s="31">
        <f>IF(Z87="Monopoly",10,IF(Z87="Oligopoly",5,IF(Z87="Duopoly that cooperate",10,IF(Z87="Duopoly that compete",5,IF(Z87="Too many players with High ROCE",5,0)))))</f>
        <v/>
      </c>
      <c r="AB87" s="31" t="n"/>
      <c r="AC87" s="31">
        <f>IF(AB87="No",5,0)</f>
        <v/>
      </c>
      <c r="AD87" s="31" t="n"/>
      <c r="AE87" s="31">
        <f>IF(AD87="Tailwind",10,0)</f>
        <v/>
      </c>
      <c r="AF87" s="31" t="n"/>
      <c r="AG87" s="31">
        <f>IF(AF87="Structural (10 Years Consistency)",10,IF(AF87="Shallow Cyclical (2 to 3 years growth)",5,0))</f>
        <v/>
      </c>
      <c r="AH87" s="31" t="n"/>
      <c r="AI87" s="31">
        <f>IF(AH87="Yes due to Product Mix change or Operating Leverage",10,IF(AH87="Yes, these are peak margins",-5,IF(AH87="No",5,0)))</f>
        <v/>
      </c>
      <c r="AJ87" s="31" t="n"/>
      <c r="AK87" s="31">
        <f>IF(AJ87="Stable",10,0)</f>
        <v/>
      </c>
      <c r="AL87" s="31" t="n"/>
      <c r="AM87" s="31">
        <f>IF(AL87="Yes",10,0)</f>
        <v/>
      </c>
      <c r="AN87" s="31" t="n"/>
      <c r="AO87" s="31">
        <f>IF(AN87="B2C",10,IF(AN87="B2B",5,0))</f>
        <v/>
      </c>
      <c r="AP87" s="31" t="n"/>
      <c r="AQ87" s="31">
        <f>IF(AP87="Yes",10,0)</f>
        <v/>
      </c>
      <c r="AR87" s="31" t="n"/>
      <c r="AS87" s="31">
        <f>IF(AR87="Fully Annuity",10,IF(AR87="Higher Annuity, Lower One Time",5,IF(AR87="Higher One Time, Lower Annuity",3,0)))</f>
        <v/>
      </c>
      <c r="AT87" s="31" t="n"/>
      <c r="AU87" s="31">
        <f>IF(AT87="Good",10,0)</f>
        <v/>
      </c>
      <c r="AV87" s="31" t="n"/>
      <c r="AW87" s="31">
        <f>IF(AV87="Yes for more than 2 years",10,IF(AV87="Yes only for next 1 to 2 years",5,0))</f>
        <v/>
      </c>
      <c r="AX87" s="31" t="n"/>
      <c r="AY87" s="31">
        <f>IF(AX87="Above 40",20,IF(AX87="20 to 40",10,IF(AX87="0 to 20",-5,0)))</f>
        <v/>
      </c>
      <c r="AZ87" s="31" t="n"/>
      <c r="BA87" s="31">
        <f>IF(AZ87="Between 50 to 75",10,IF(AZ87="Above 75",0,0))</f>
        <v/>
      </c>
      <c r="BB87" s="31" t="n"/>
      <c r="BC87" s="31">
        <f>IF(BB87="Stage 2",20,IF(BB87="Stage 1",0,IF(BB87="Stage 3",5,IF(BB87="Stage 4",-5,0))))</f>
        <v/>
      </c>
      <c r="BD87" s="31" t="n"/>
      <c r="BE87" s="31">
        <f>IF(BD87="Positive Trend",20,IF(BD87="Negative Trend",-10,0))</f>
        <v/>
      </c>
      <c r="BF87" s="31" t="n"/>
      <c r="BG87" s="31">
        <f>IF(BF87="Uptrend",10,IF(BF87="Sideways",5,0))</f>
        <v/>
      </c>
      <c r="BH87" s="31" t="n"/>
      <c r="BI87" s="31">
        <f>IF(BH87="Uptrend",10,IF(BH87="Sideways",5,0))</f>
        <v/>
      </c>
      <c r="BJ87" s="31" t="n"/>
      <c r="BK87" s="31">
        <f>IF(BJ87="Overhead supply in last 2 years in last 2 years",-5,IF(BJ87="Close to 52 week high or retracement",5,IF(BJ87="Blue sky scenario",10,IF(BJ87="Long term Downtrend",-10,0))))</f>
        <v/>
      </c>
      <c r="BL87" s="31" t="n"/>
      <c r="BM87" s="31">
        <f>IF(BL87="Yes",10,0)</f>
        <v/>
      </c>
      <c r="BN87" s="31" t="n"/>
      <c r="BO87" s="31">
        <f>IF(BN87="More than 20%",10,IF(BN87="Between 12 to 20%",5,IF(BN87="Less than 12%",0,0)))</f>
        <v/>
      </c>
      <c r="BP87" s="31" t="n"/>
      <c r="BQ87" s="31">
        <f>IF(BP87="No",10,0)</f>
        <v/>
      </c>
      <c r="BR87" s="31" t="n"/>
      <c r="BS87" s="31">
        <f>IF(BR87="NO",5,0)</f>
        <v/>
      </c>
      <c r="BT87" s="31" t="n"/>
      <c r="BU87" s="31">
        <f>IF(BT87="Above 2",0,IF(BT87="Between 1.5 to 2",5,IF(BT87="Less than 1.5",10,0)))</f>
        <v/>
      </c>
      <c r="BV87" s="31" t="n"/>
      <c r="BW87" s="31">
        <f>IF(BV87="Above 70%",10,IF(BV87="Between 50% to 70%",5,IF(BV87="Less than 50%",0,IF(BV87="Negative",-10,IF(BV87="Less than 50% and Borrowings are increasing",-5,0)))))</f>
        <v/>
      </c>
      <c r="BX87" s="31" t="n"/>
      <c r="BY87" s="31">
        <f>IF(BX87="More than 1.2",-10,IF(BX87="Between 0.7 to 1.2",0,IF(BX87="Less than 0.7",10,0)))</f>
        <v/>
      </c>
      <c r="BZ87" s="31" t="n"/>
      <c r="CA87" s="31">
        <f>IF(BZ87="Yes",-10,0)</f>
        <v/>
      </c>
      <c r="CB87" s="31" t="n"/>
      <c r="CC87" s="31">
        <f>IF(CB87="More than 15%",-10,IF(CB87="Less than 15%",10,0))</f>
        <v/>
      </c>
      <c r="CD87" s="31" t="n"/>
      <c r="CE87" s="31">
        <f>IF(CD87="Yes, more than 10%",-10,IF(CD87="No",10,0))</f>
        <v/>
      </c>
      <c r="CF87" s="31" t="n"/>
      <c r="CG87" s="31">
        <f>IF(CF87&gt;20,10,IF(CF87&gt;=10,5,2))</f>
        <v/>
      </c>
    </row>
    <row r="88">
      <c r="A88" s="31">
        <f>IF(B88=0,"",RANK(B88,$B$2:$B$88,0))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1" t="inlineStr">
        <is>
          <t>SHADOWFAX</t>
        </is>
      </c>
      <c r="D88" s="31" t="inlineStr">
        <is>
          <t>Shadowfax Technologies Ltd</t>
        </is>
      </c>
      <c r="E88" s="31" t="inlineStr">
        <is>
          <t>unknown</t>
        </is>
      </c>
      <c r="F88" s="31" t="inlineStr">
        <is>
          <t>Logistics</t>
        </is>
      </c>
      <c r="G88" s="31" t="inlineStr">
        <is>
          <t>midcap</t>
        </is>
      </c>
      <c r="H88" s="32" t="n">
        <v>13995</v>
      </c>
      <c r="I88" s="32" t="n">
        <v>239.1</v>
      </c>
      <c r="J88" s="32" t="n">
        <v>-1.56</v>
      </c>
      <c r="K88" s="32" t="n">
        <v>0</v>
      </c>
      <c r="L88" s="31" t="inlineStr"/>
      <c r="M88" s="31" t="inlineStr"/>
      <c r="N88" s="32">
        <f>IF(M88="Underperforming",-5,IF(L88&gt;=95,15,IF(L88&gt;=90,10,IF(L88&gt;=80,5,0))))</f>
        <v/>
      </c>
      <c r="O88" s="32" t="inlineStr"/>
      <c r="P88" s="32" t="inlineStr"/>
      <c r="Q88" s="32" t="inlineStr"/>
      <c r="R88" s="31" t="inlineStr"/>
      <c r="S88" s="31" t="inlineStr"/>
      <c r="T88" s="32" t="inlineStr"/>
      <c r="U88" s="32" t="inlineStr"/>
      <c r="V88" s="32" t="inlineStr"/>
      <c r="W88" s="32" t="inlineStr"/>
      <c r="X88" s="31" t="n"/>
      <c r="Y88" s="31">
        <f>IF(X88="Growing Industry",10,IF(X88="Cyclical in an Upturn",5,0))</f>
        <v/>
      </c>
      <c r="Z88" s="31" t="n"/>
      <c r="AA88" s="31">
        <f>IF(Z88="Monopoly",10,IF(Z88="Oligopoly",5,IF(Z88="Duopoly that cooperate",10,IF(Z88="Duopoly that compete",5,IF(Z88="Too many players with High ROCE",5,0)))))</f>
        <v/>
      </c>
      <c r="AB88" s="31" t="n"/>
      <c r="AC88" s="31">
        <f>IF(AB88="No",5,0)</f>
        <v/>
      </c>
      <c r="AD88" s="31" t="n"/>
      <c r="AE88" s="31">
        <f>IF(AD88="Tailwind",10,0)</f>
        <v/>
      </c>
      <c r="AF88" s="31" t="n"/>
      <c r="AG88" s="31">
        <f>IF(AF88="Structural (10 Years Consistency)",10,IF(AF88="Shallow Cyclical (2 to 3 years growth)",5,0))</f>
        <v/>
      </c>
      <c r="AH88" s="31" t="n"/>
      <c r="AI88" s="31">
        <f>IF(AH88="Yes due to Product Mix change or Operating Leverage",10,IF(AH88="Yes, these are peak margins",-5,IF(AH88="No",5,0)))</f>
        <v/>
      </c>
      <c r="AJ88" s="31" t="n"/>
      <c r="AK88" s="31">
        <f>IF(AJ88="Stable",10,0)</f>
        <v/>
      </c>
      <c r="AL88" s="31" t="n"/>
      <c r="AM88" s="31">
        <f>IF(AL88="Yes",10,0)</f>
        <v/>
      </c>
      <c r="AN88" s="31" t="n"/>
      <c r="AO88" s="31">
        <f>IF(AN88="B2C",10,IF(AN88="B2B",5,0))</f>
        <v/>
      </c>
      <c r="AP88" s="31" t="n"/>
      <c r="AQ88" s="31">
        <f>IF(AP88="Yes",10,0)</f>
        <v/>
      </c>
      <c r="AR88" s="31" t="n"/>
      <c r="AS88" s="31">
        <f>IF(AR88="Fully Annuity",10,IF(AR88="Higher Annuity, Lower One Time",5,IF(AR88="Higher One Time, Lower Annuity",3,0)))</f>
        <v/>
      </c>
      <c r="AT88" s="31" t="n"/>
      <c r="AU88" s="31">
        <f>IF(AT88="Good",10,0)</f>
        <v/>
      </c>
      <c r="AV88" s="31" t="n"/>
      <c r="AW88" s="31">
        <f>IF(AV88="Yes for more than 2 years",10,IF(AV88="Yes only for next 1 to 2 years",5,0))</f>
        <v/>
      </c>
      <c r="AX88" s="31" t="n"/>
      <c r="AY88" s="31">
        <f>IF(AX88="Above 40",20,IF(AX88="20 to 40",10,IF(AX88="0 to 20",-5,0)))</f>
        <v/>
      </c>
      <c r="AZ88" s="31" t="n"/>
      <c r="BA88" s="31">
        <f>IF(AZ88="Between 50 to 75",10,IF(AZ88="Above 75",0,0))</f>
        <v/>
      </c>
      <c r="BB88" s="31" t="n"/>
      <c r="BC88" s="31">
        <f>IF(BB88="Stage 2",20,IF(BB88="Stage 1",0,IF(BB88="Stage 3",5,IF(BB88="Stage 4",-5,0))))</f>
        <v/>
      </c>
      <c r="BD88" s="31" t="n"/>
      <c r="BE88" s="31">
        <f>IF(BD88="Positive Trend",20,IF(BD88="Negative Trend",-10,0))</f>
        <v/>
      </c>
      <c r="BF88" s="31" t="n"/>
      <c r="BG88" s="31">
        <f>IF(BF88="Uptrend",10,IF(BF88="Sideways",5,0))</f>
        <v/>
      </c>
      <c r="BH88" s="31" t="n"/>
      <c r="BI88" s="31">
        <f>IF(BH88="Uptrend",10,IF(BH88="Sideways",5,0))</f>
        <v/>
      </c>
      <c r="BJ88" s="31" t="n"/>
      <c r="BK88" s="31">
        <f>IF(BJ88="Overhead supply in last 2 years in last 2 years",-5,IF(BJ88="Close to 52 week high or retracement",5,IF(BJ88="Blue sky scenario",10,IF(BJ88="Long term Downtrend",-10,0))))</f>
        <v/>
      </c>
      <c r="BL88" s="31" t="n"/>
      <c r="BM88" s="31">
        <f>IF(BL88="Yes",10,0)</f>
        <v/>
      </c>
      <c r="BN88" s="31" t="n"/>
      <c r="BO88" s="31">
        <f>IF(BN88="More than 20%",10,IF(BN88="Between 12 to 20%",5,IF(BN88="Less than 12%",0,0)))</f>
        <v/>
      </c>
      <c r="BP88" s="31" t="n"/>
      <c r="BQ88" s="31">
        <f>IF(BP88="No",10,0)</f>
        <v/>
      </c>
      <c r="BR88" s="31" t="n"/>
      <c r="BS88" s="31">
        <f>IF(BR88="NO",5,0)</f>
        <v/>
      </c>
      <c r="BT88" s="31" t="n"/>
      <c r="BU88" s="31">
        <f>IF(BT88="Above 2",0,IF(BT88="Between 1.5 to 2",5,IF(BT88="Less than 1.5",10,0)))</f>
        <v/>
      </c>
      <c r="BV88" s="31" t="n"/>
      <c r="BW88" s="31">
        <f>IF(BV88="Above 70%",10,IF(BV88="Between 50% to 70%",5,IF(BV88="Less than 50%",0,IF(BV88="Negative",-10,IF(BV88="Less than 50% and Borrowings are increasing",-5,0)))))</f>
        <v/>
      </c>
      <c r="BX88" s="31" t="n"/>
      <c r="BY88" s="31">
        <f>IF(BX88="More than 1.2",-10,IF(BX88="Between 0.7 to 1.2",0,IF(BX88="Less than 0.7",10,0)))</f>
        <v/>
      </c>
      <c r="BZ88" s="31" t="n"/>
      <c r="CA88" s="31">
        <f>IF(BZ88="Yes",-10,0)</f>
        <v/>
      </c>
      <c r="CB88" s="31" t="n"/>
      <c r="CC88" s="31">
        <f>IF(CB88="More than 15%",-10,IF(CB88="Less than 15%",10,0))</f>
        <v/>
      </c>
      <c r="CD88" s="31" t="n"/>
      <c r="CE88" s="31">
        <f>IF(CD88="Yes, more than 10%",-10,IF(CD88="No",10,0))</f>
        <v/>
      </c>
      <c r="CF88" s="31" t="n"/>
      <c r="CG88" s="31">
        <f>IF(CF88&gt;20,10,IF(CF88&gt;=10,5,2))</f>
        <v/>
      </c>
    </row>
  </sheetData>
  <autoFilter ref="A1:CG88"/>
  <conditionalFormatting sqref="B2:B8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8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8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8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88">
    <cfRule type="cellIs" priority="37" operator="equal" dxfId="3" stopIfTrue="1">
      <formula>"Underperforming"</formula>
    </cfRule>
  </conditionalFormatting>
  <conditionalFormatting sqref="N2:N88">
    <cfRule type="cellIs" priority="38" operator="equal" dxfId="3" stopIfTrue="1">
      <formula>-5</formula>
    </cfRule>
  </conditionalFormatting>
  <conditionalFormatting sqref="Q2:Q88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88" showDropDown="0" showInputMessage="0" showErrorMessage="0" allowBlank="1" type="list">
      <formula1>"Growing Industry,Stagnant Industry,Cyclical in an Upturn"</formula1>
    </dataValidation>
    <dataValidation sqref="Z2:Z88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88" showDropDown="0" showInputMessage="0" showErrorMessage="0" allowBlank="1" type="list">
      <formula1>"Yes,No"</formula1>
    </dataValidation>
    <dataValidation sqref="AD2:AD88" showDropDown="0" showInputMessage="0" showErrorMessage="0" allowBlank="1" type="list">
      <formula1>"Tailwind,Headwind"</formula1>
    </dataValidation>
    <dataValidation sqref="AF2:AF88" showDropDown="0" showInputMessage="0" showErrorMessage="0" allowBlank="1" type="list">
      <formula1>"Structural (10 Years Consistency),Shallow Cyclical (2 to 3 Years Growth),Cyclical"</formula1>
    </dataValidation>
    <dataValidation sqref="AH2:AH88" showDropDown="0" showInputMessage="0" showErrorMessage="0" allowBlank="1" type="list">
      <formula1>"Yes due to Product Mix change or Operating Leverage,Yes, these are peak margins,No"</formula1>
    </dataValidation>
    <dataValidation sqref="AJ2:AJ88" showDropDown="0" showInputMessage="0" showErrorMessage="0" allowBlank="1" type="list">
      <formula1>"Stable,Volatile"</formula1>
    </dataValidation>
    <dataValidation sqref="AL2:AL88" showDropDown="0" showInputMessage="0" showErrorMessage="0" allowBlank="1" type="list">
      <formula1>"Yes,No"</formula1>
    </dataValidation>
    <dataValidation sqref="AN2:AN88" showDropDown="0" showInputMessage="0" showErrorMessage="0" allowBlank="1" type="list">
      <formula1>"B2C,B2B,B2G"</formula1>
    </dataValidation>
    <dataValidation sqref="AP2:AP88" showDropDown="0" showInputMessage="0" showErrorMessage="0" allowBlank="1" type="list">
      <formula1>"Yes,No"</formula1>
    </dataValidation>
    <dataValidation sqref="AR2:AR88" showDropDown="0" showInputMessage="0" showErrorMessage="0" allowBlank="1" type="list">
      <formula1>"Fully Annuity,Higher Annuity, Lower One time,Higher One Time, Lower Annuity,Fully One Time"</formula1>
    </dataValidation>
    <dataValidation sqref="AT2:AT88" showDropDown="0" showInputMessage="0" showErrorMessage="0" allowBlank="1" type="list">
      <formula1>"Good,Allocated capital in Non-core Areas"</formula1>
    </dataValidation>
    <dataValidation sqref="AV2:AV88" showDropDown="0" showInputMessage="0" showErrorMessage="0" allowBlank="1" type="list">
      <formula1>"Yes for more than 2 years,Yes only for next 1 to 2 years,No"</formula1>
    </dataValidation>
    <dataValidation sqref="AX2:AX88" showDropDown="0" showInputMessage="0" showErrorMessage="0" allowBlank="1" type="list">
      <formula1>"Above 40,20 to 40,0 to 20"</formula1>
    </dataValidation>
    <dataValidation sqref="AZ2:AZ88" showDropDown="0" showInputMessage="0" showErrorMessage="0" allowBlank="1" type="list">
      <formula1>"Between 50 to 75,Above 75,Below 45"</formula1>
    </dataValidation>
    <dataValidation sqref="BB2:BB88" showDropDown="0" showInputMessage="0" showErrorMessage="0" allowBlank="1" type="list">
      <formula1>"Stage 1,Stage 2,Stage 3,Stage 4"</formula1>
    </dataValidation>
    <dataValidation sqref="BD2:BD88" showDropDown="0" showInputMessage="0" showErrorMessage="0" allowBlank="1" type="list">
      <formula1>"Positive Trend,Negative Trend"</formula1>
    </dataValidation>
    <dataValidation sqref="BF2:BF88" showDropDown="0" showInputMessage="0" showErrorMessage="0" allowBlank="1" type="list">
      <formula1>"Uptrend,Sideways,Downtrend"</formula1>
    </dataValidation>
    <dataValidation sqref="BH2:BH88" showDropDown="0" showInputMessage="0" showErrorMessage="0" allowBlank="1" type="list">
      <formula1>"Uptrend,Sideways,Downtrend"</formula1>
    </dataValidation>
    <dataValidation sqref="BJ2:BJ8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88" showDropDown="0" showInputMessage="0" showErrorMessage="0" allowBlank="1" type="list">
      <formula1>"Yes,No"</formula1>
    </dataValidation>
    <dataValidation sqref="BN2:BN88" showDropDown="0" showInputMessage="0" showErrorMessage="0" allowBlank="1" type="list">
      <formula1>"More than 20%,Between 12 to 20%,Less than 12%"</formula1>
    </dataValidation>
    <dataValidation sqref="BP2:BP88" showDropDown="0" showInputMessage="0" showErrorMessage="0" allowBlank="1" type="list">
      <formula1>"Yes,No"</formula1>
    </dataValidation>
    <dataValidation sqref="BR2:BR88" showDropDown="0" showInputMessage="0" showErrorMessage="0" allowBlank="1" type="list">
      <formula1>"Yes,No"</formula1>
    </dataValidation>
    <dataValidation sqref="BT2:BT88" showDropDown="0" showInputMessage="0" showErrorMessage="0" allowBlank="1" type="list">
      <formula1>"Above 2,Between 1.5 to 2,Less than 1.5"</formula1>
    </dataValidation>
    <dataValidation sqref="BV2:BV88" showDropDown="0" showInputMessage="0" showErrorMessage="0" allowBlank="1" type="list">
      <formula1>"Above 70%,Between 50% to 70%,Less than 50%,Less than 50% and Borrowings are increasing,Negative"</formula1>
    </dataValidation>
    <dataValidation sqref="BX2:BX88" showDropDown="0" showInputMessage="0" showErrorMessage="0" allowBlank="1" type="list">
      <formula1>"More than 1.2,Between 0.7 to 1.2,Less than 0.7"</formula1>
    </dataValidation>
    <dataValidation sqref="BZ2:BZ88" showDropDown="0" showInputMessage="0" showErrorMessage="0" allowBlank="1" type="list">
      <formula1>"Yes,No"</formula1>
    </dataValidation>
    <dataValidation sqref="CB2:CB88" showDropDown="0" showInputMessage="0" showErrorMessage="0" allowBlank="1" type="list">
      <formula1>"More than 15%,Less than 15%"</formula1>
    </dataValidation>
    <dataValidation sqref="CD2:CD88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IF(B2=0,"",RANK(B2,$B$2:$B$14,0))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TFCILTD</t>
        </is>
      </c>
      <c r="D2" s="31" t="inlineStr">
        <is>
          <t>Tourism Finance Corporation of India Ltd</t>
        </is>
      </c>
      <c r="E2" s="31" t="inlineStr">
        <is>
          <t>financials</t>
        </is>
      </c>
      <c r="F2" s="31" t="inlineStr">
        <is>
          <t>Finance - PSU Lending</t>
        </is>
      </c>
      <c r="G2" s="31" t="inlineStr">
        <is>
          <t>smallcap</t>
        </is>
      </c>
      <c r="H2" s="32" t="n">
        <v>4890.89</v>
      </c>
      <c r="I2" s="32" t="n">
        <v>105.64</v>
      </c>
      <c r="J2" s="32" t="n">
        <v>3.7</v>
      </c>
      <c r="K2" s="32" t="n">
        <v>0</v>
      </c>
      <c r="L2" s="31" t="n">
        <v>85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73.90000000000001</v>
      </c>
      <c r="P2" s="32" t="n">
        <v>48.13</v>
      </c>
      <c r="Q2" s="32" t="inlineStr"/>
      <c r="R2" s="31" t="inlineStr">
        <is>
          <t>Earnings / Momentum Support</t>
        </is>
      </c>
      <c r="S2" s="31" t="inlineStr">
        <is>
          <t>Nifty Bank</t>
        </is>
      </c>
      <c r="T2" s="32" t="n">
        <v>2.96</v>
      </c>
      <c r="U2" s="32" t="n">
        <v>80.73</v>
      </c>
      <c r="V2" s="32" t="n">
        <v>75.53</v>
      </c>
      <c r="W2" s="32" t="n">
        <v>22.14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Headwind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No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between 2.5x to 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3</t>
        </is>
      </c>
      <c r="BQ2" s="31">
        <f>IF(BP2="Stage 2",20,IF(BP2="Stage 1",0,IF(BP2="Stage 3",5,IF(BP2="Stage 4",-5,0))))</f>
        <v/>
      </c>
      <c r="BR2" s="31" t="inlineStr">
        <is>
          <t>Negative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Close to 52 week high or retracement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26</t>
        </is>
      </c>
      <c r="CC2" s="31">
        <f>IF(CB2&gt;20,10,IF(CB2&gt;=10,5,2))</f>
        <v/>
      </c>
    </row>
    <row r="3">
      <c r="A3" s="31">
        <f>IF(B3=0,"",RANK(B3,$B$2:$B$14,0))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ESAFSFB</t>
        </is>
      </c>
      <c r="D3" s="31" t="inlineStr">
        <is>
          <t>ESAF Small Finance Bank Ltd</t>
        </is>
      </c>
      <c r="E3" s="31" t="inlineStr">
        <is>
          <t>bank</t>
        </is>
      </c>
      <c r="F3" s="31" t="inlineStr">
        <is>
          <t>Banks - Small Finance</t>
        </is>
      </c>
      <c r="G3" s="31" t="inlineStr">
        <is>
          <t>smallcap</t>
        </is>
      </c>
      <c r="H3" s="32" t="n">
        <v>2121.87</v>
      </c>
      <c r="I3" s="32" t="n">
        <v>41.12</v>
      </c>
      <c r="J3" s="32" t="n">
        <v>-2.21</v>
      </c>
      <c r="K3" s="32" t="n">
        <v>0</v>
      </c>
      <c r="L3" s="31" t="n">
        <v>83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73.16</v>
      </c>
      <c r="P3" s="32" t="n">
        <v>30.04</v>
      </c>
      <c r="Q3" s="32" t="inlineStr"/>
      <c r="R3" s="31" t="inlineStr">
        <is>
          <t>Earnings / Momentum Support</t>
        </is>
      </c>
      <c r="S3" s="31" t="inlineStr">
        <is>
          <t>Nifty Bank</t>
        </is>
      </c>
      <c r="T3" s="32" t="n">
        <v>2.96</v>
      </c>
      <c r="U3" s="32" t="n">
        <v>34.73</v>
      </c>
      <c r="V3" s="32" t="n">
        <v>30.86</v>
      </c>
      <c r="W3" s="32" t="n">
        <v>20.56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Headwind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No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3</t>
        </is>
      </c>
      <c r="BQ3" s="31">
        <f>IF(BP3="Stage 2",20,IF(BP3="Stage 1",0,IF(BP3="Stage 3",5,IF(BP3="Stage 4",-5,0))))</f>
        <v/>
      </c>
      <c r="BR3" s="31" t="inlineStr">
        <is>
          <t>Negative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23</t>
        </is>
      </c>
      <c r="CC3" s="31">
        <f>IF(CB3&gt;20,10,IF(CB3&gt;=10,5,2))</f>
        <v/>
      </c>
    </row>
    <row r="4">
      <c r="A4" s="31">
        <f>IF(B4=0,"",RANK(B4,$B$2:$B$14,0))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UJJIVANSFB</t>
        </is>
      </c>
      <c r="D4" s="31" t="inlineStr">
        <is>
          <t>Ujjivan Small Finance Bank Ltd</t>
        </is>
      </c>
      <c r="E4" s="31" t="inlineStr">
        <is>
          <t>bank</t>
        </is>
      </c>
      <c r="F4" s="31" t="inlineStr">
        <is>
          <t>Banks - Small Finance</t>
        </is>
      </c>
      <c r="G4" s="31" t="inlineStr">
        <is>
          <t>midcap</t>
        </is>
      </c>
      <c r="H4" s="32" t="n">
        <v>13827.06</v>
      </c>
      <c r="I4" s="32" t="n">
        <v>71.06</v>
      </c>
      <c r="J4" s="32" t="n">
        <v>-0.96</v>
      </c>
      <c r="K4" s="32" t="n">
        <v>0</v>
      </c>
      <c r="L4" s="31" t="n">
        <v>75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69.17</v>
      </c>
      <c r="P4" s="32" t="n">
        <v>34.62</v>
      </c>
      <c r="Q4" s="32" t="inlineStr"/>
      <c r="R4" s="31" t="inlineStr">
        <is>
          <t>Earnings / Momentum Support</t>
        </is>
      </c>
      <c r="S4" s="31" t="inlineStr">
        <is>
          <t>Nifty Bank</t>
        </is>
      </c>
      <c r="T4" s="32" t="n">
        <v>2.96</v>
      </c>
      <c r="U4" s="32" t="n">
        <v>66.01000000000001</v>
      </c>
      <c r="V4" s="32" t="n">
        <v>61.24</v>
      </c>
      <c r="W4" s="32" t="n">
        <v>16.75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Headwind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3</t>
        </is>
      </c>
      <c r="BQ4" s="31">
        <f>IF(BP4="Stage 2",20,IF(BP4="Stage 1",0,IF(BP4="Stage 3",5,IF(BP4="Stage 4",-5,0))))</f>
        <v/>
      </c>
      <c r="BR4" s="31" t="inlineStr">
        <is>
          <t>Negative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24</t>
        </is>
      </c>
      <c r="CC4" s="31">
        <f>IF(CB4&gt;20,10,IF(CB4&gt;=10,5,2))</f>
        <v/>
      </c>
    </row>
    <row r="5">
      <c r="A5" s="31">
        <f>IF(B5=0,"",RANK(B5,$B$2:$B$14,0))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SGFIN</t>
        </is>
      </c>
      <c r="D5" s="31" t="inlineStr">
        <is>
          <t>SG Finserve Ltd</t>
        </is>
      </c>
      <c r="E5" s="31" t="inlineStr">
        <is>
          <t>Financial Services</t>
        </is>
      </c>
      <c r="F5" s="31" t="inlineStr">
        <is>
          <t>Finance &amp; Investments - MSME Lending</t>
        </is>
      </c>
      <c r="G5" s="31" t="inlineStr">
        <is>
          <t>smallcap</t>
        </is>
      </c>
      <c r="H5" s="32" t="n">
        <v>4612.65</v>
      </c>
      <c r="I5" s="32" t="n">
        <v>700</v>
      </c>
      <c r="J5" s="32" t="n">
        <v>2.67</v>
      </c>
      <c r="K5" s="32" t="n">
        <v>0</v>
      </c>
      <c r="L5" s="31" t="n">
        <v>75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69.68000000000001</v>
      </c>
      <c r="P5" s="32" t="n">
        <v>57.98</v>
      </c>
      <c r="Q5" s="32" t="inlineStr"/>
      <c r="R5" s="31" t="inlineStr">
        <is>
          <t>Earnings / Momentum Support</t>
        </is>
      </c>
      <c r="S5" s="31" t="inlineStr">
        <is>
          <t>Nifty Bank</t>
        </is>
      </c>
      <c r="T5" s="32" t="n">
        <v>4.11</v>
      </c>
      <c r="U5" s="32" t="n">
        <v>74.18000000000001</v>
      </c>
      <c r="V5" s="32" t="n">
        <v>67.3</v>
      </c>
      <c r="W5" s="32" t="n">
        <v>16.73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Headwind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No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3</t>
        </is>
      </c>
      <c r="BQ5" s="31">
        <f>IF(BP5="Stage 2",20,IF(BP5="Stage 1",0,IF(BP5="Stage 3",5,IF(BP5="Stage 4",-5,0))))</f>
        <v/>
      </c>
      <c r="BR5" s="31" t="inlineStr">
        <is>
          <t>Negative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23</t>
        </is>
      </c>
      <c r="CC5" s="31">
        <f>IF(CB5&gt;20,10,IF(CB5&gt;=10,5,2))</f>
        <v/>
      </c>
    </row>
    <row r="6">
      <c r="A6" s="31">
        <f>IF(B6=0,"",RANK(B6,$B$2:$B$14,0))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JSFB</t>
        </is>
      </c>
      <c r="D6" s="31" t="inlineStr">
        <is>
          <t>Jana Small Finance Bank Ltd</t>
        </is>
      </c>
      <c r="E6" s="31" t="inlineStr">
        <is>
          <t>bank</t>
        </is>
      </c>
      <c r="F6" s="31" t="inlineStr">
        <is>
          <t>Banks - Small Finance</t>
        </is>
      </c>
      <c r="G6" s="31" t="inlineStr">
        <is>
          <t>midcap</t>
        </is>
      </c>
      <c r="H6" s="32" t="n">
        <v>6203.33</v>
      </c>
      <c r="I6" s="32" t="n">
        <v>586.8</v>
      </c>
      <c r="J6" s="32" t="n">
        <v>2.05</v>
      </c>
      <c r="K6" s="32" t="n">
        <v>0</v>
      </c>
      <c r="L6" s="31" t="n">
        <v>60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71.65000000000001</v>
      </c>
      <c r="P6" s="32" t="n">
        <v>35.77</v>
      </c>
      <c r="Q6" s="32" t="inlineStr"/>
      <c r="R6" s="31" t="inlineStr">
        <is>
          <t>Earnings / Momentum Support</t>
        </is>
      </c>
      <c r="S6" s="31" t="inlineStr">
        <is>
          <t>Nifty Bank</t>
        </is>
      </c>
      <c r="T6" s="32" t="n">
        <v>2.96</v>
      </c>
      <c r="U6" s="32" t="n">
        <v>24.97</v>
      </c>
      <c r="V6" s="32" t="n">
        <v>21.38</v>
      </c>
      <c r="W6" s="32" t="n">
        <v>11.26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Headwind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No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3</t>
        </is>
      </c>
      <c r="BQ6" s="31">
        <f>IF(BP6="Stage 2",20,IF(BP6="Stage 1",0,IF(BP6="Stage 3",5,IF(BP6="Stage 4",-5,0))))</f>
        <v/>
      </c>
      <c r="BR6" s="31" t="inlineStr">
        <is>
          <t>Negative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18</t>
        </is>
      </c>
      <c r="CC6" s="31">
        <f>IF(CB6&gt;20,10,IF(CB6&gt;=10,5,2))</f>
        <v/>
      </c>
    </row>
    <row r="7">
      <c r="A7" s="31">
        <f>IF(B7=0,"",RANK(B7,$B$2:$B$14,0))</f>
        <v/>
      </c>
      <c r="B7" s="32">
        <f>SUM(N7,Y7,AA7,AC7,AE7,AG7,AI7,AK7,AM7,AO7,AQ7,AS7,AU7,AW7,AY7,BA7,BC7,BE7,BG7,BI7,BK7,BM7,BO7,BQ7,BS7,BU7,BW7,BY7,CA7,CC7)</f>
        <v/>
      </c>
      <c r="C7" s="31" t="inlineStr">
        <is>
          <t>CREDITACC</t>
        </is>
      </c>
      <c r="D7" s="31" t="inlineStr">
        <is>
          <t>CreditAccess Grameen Ltd</t>
        </is>
      </c>
      <c r="E7" s="31" t="inlineStr">
        <is>
          <t>financials</t>
        </is>
      </c>
      <c r="F7" s="31" t="inlineStr">
        <is>
          <t>Finance &amp; Investments - Microfinance</t>
        </is>
      </c>
      <c r="G7" s="31" t="inlineStr">
        <is>
          <t>largecap</t>
        </is>
      </c>
      <c r="H7" s="32" t="n">
        <v>24989.12</v>
      </c>
      <c r="I7" s="32" t="n">
        <v>1558.8</v>
      </c>
      <c r="J7" s="32" t="n">
        <v>-2.13</v>
      </c>
      <c r="K7" s="32" t="n">
        <v>0</v>
      </c>
      <c r="L7" s="31" t="n">
        <v>56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65</v>
      </c>
      <c r="P7" s="32" t="n">
        <v>47.25</v>
      </c>
      <c r="Q7" s="32" t="inlineStr"/>
      <c r="R7" s="31" t="inlineStr">
        <is>
          <t>Earnings / Momentum Support</t>
        </is>
      </c>
      <c r="S7" s="31" t="inlineStr">
        <is>
          <t>Nifty Bank</t>
        </is>
      </c>
      <c r="T7" s="32" t="n">
        <v>2.96</v>
      </c>
      <c r="U7" s="32" t="n">
        <v>27.8</v>
      </c>
      <c r="V7" s="32" t="n">
        <v>24.13</v>
      </c>
      <c r="W7" s="32" t="n">
        <v>10.16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Headwind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No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between 2.5x to 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3</t>
        </is>
      </c>
      <c r="BQ7" s="31">
        <f>IF(BP7="Stage 2",20,IF(BP7="Stage 1",0,IF(BP7="Stage 3",5,IF(BP7="Stage 4",-5,0))))</f>
        <v/>
      </c>
      <c r="BR7" s="31" t="inlineStr">
        <is>
          <t>Negative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18</t>
        </is>
      </c>
      <c r="CC7" s="31">
        <f>IF(CB7&gt;20,10,IF(CB7&gt;=10,5,2))</f>
        <v/>
      </c>
    </row>
    <row r="8">
      <c r="A8" s="31">
        <f>IF(B8=0,"",RANK(B8,$B$2:$B$14,0))</f>
        <v/>
      </c>
      <c r="B8" s="32">
        <f>SUM(N8,Y8,AA8,AC8,AE8,AG8,AI8,AK8,AM8,AO8,AQ8,AS8,AU8,AW8,AY8,BA8,BC8,BE8,BG8,BI8,BK8,BM8,BO8,BQ8,BS8,BU8,BW8,BY8,CA8,CC8)</f>
        <v/>
      </c>
      <c r="C8" s="31" t="inlineStr">
        <is>
          <t>M&amp;MFIN</t>
        </is>
      </c>
      <c r="D8" s="31" t="inlineStr">
        <is>
          <t>Mahindra &amp; Mahindra Financial Services Ltd</t>
        </is>
      </c>
      <c r="E8" s="31" t="inlineStr">
        <is>
          <t>financials</t>
        </is>
      </c>
      <c r="F8" s="31" t="inlineStr">
        <is>
          <t>Finance &amp; Investments - CV Finance</t>
        </is>
      </c>
      <c r="G8" s="31" t="inlineStr">
        <is>
          <t>largecap</t>
        </is>
      </c>
      <c r="H8" s="32" t="n">
        <v>55619.7</v>
      </c>
      <c r="I8" s="32" t="n">
        <v>400.15</v>
      </c>
      <c r="J8" s="32" t="n">
        <v>3.73</v>
      </c>
      <c r="K8" s="32" t="n">
        <v>0</v>
      </c>
      <c r="L8" s="31" t="n">
        <v>72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66.39</v>
      </c>
      <c r="P8" s="32" t="n">
        <v>20.12</v>
      </c>
      <c r="Q8" s="32" t="inlineStr"/>
      <c r="R8" s="31" t="inlineStr">
        <is>
          <t>Earnings / Momentum Support</t>
        </is>
      </c>
      <c r="S8" s="31" t="inlineStr">
        <is>
          <t>Nifty Bank</t>
        </is>
      </c>
      <c r="T8" s="32" t="n">
        <v>2.96</v>
      </c>
      <c r="U8" s="32" t="n">
        <v>52.58</v>
      </c>
      <c r="V8" s="32" t="n">
        <v>48.19</v>
      </c>
      <c r="W8" s="32" t="n">
        <v>15.25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Headwind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No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3</t>
        </is>
      </c>
      <c r="BQ8" s="31">
        <f>IF(BP8="Stage 2",20,IF(BP8="Stage 1",0,IF(BP8="Stage 3",5,IF(BP8="Stage 4",-5,0))))</f>
        <v/>
      </c>
      <c r="BR8" s="31" t="inlineStr">
        <is>
          <t>Negative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18</t>
        </is>
      </c>
      <c r="CC8" s="31">
        <f>IF(CB8&gt;20,10,IF(CB8&gt;=10,5,2))</f>
        <v/>
      </c>
    </row>
    <row r="9">
      <c r="A9" s="31">
        <f>IF(B9=0,"",RANK(B9,$B$2:$B$14,0))</f>
        <v/>
      </c>
      <c r="B9" s="32">
        <f>SUM(N9,Y9,AA9,AC9,AE9,AG9,AI9,AK9,AM9,AO9,AQ9,AS9,AU9,AW9,AY9,BA9,BC9,BE9,BG9,BI9,BK9,BM9,BO9,BQ9,BS9,BU9,BW9,BY9,CA9,CC9)</f>
        <v/>
      </c>
      <c r="C9" s="31" t="inlineStr">
        <is>
          <t>MONARCH</t>
        </is>
      </c>
      <c r="D9" s="31" t="inlineStr">
        <is>
          <t>Monarch Networth Capital Ltd</t>
        </is>
      </c>
      <c r="E9" s="31" t="inlineStr">
        <is>
          <t>financials</t>
        </is>
      </c>
      <c r="F9" s="31" t="inlineStr">
        <is>
          <t>Finance - Capital Markets - Brokers</t>
        </is>
      </c>
      <c r="G9" s="31" t="inlineStr">
        <is>
          <t>smallcap</t>
        </is>
      </c>
      <c r="H9" s="32" t="n">
        <v>3053.37</v>
      </c>
      <c r="I9" s="32" t="n">
        <v>385</v>
      </c>
      <c r="J9" s="32" t="n">
        <v>-1.32</v>
      </c>
      <c r="K9" s="32" t="n">
        <v>0</v>
      </c>
      <c r="L9" s="31" t="n">
        <v>56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72.11</v>
      </c>
      <c r="P9" s="32" t="n">
        <v>29.34</v>
      </c>
      <c r="Q9" s="32" t="inlineStr"/>
      <c r="R9" s="31" t="inlineStr">
        <is>
          <t>Earnings / Momentum Support</t>
        </is>
      </c>
      <c r="S9" s="31" t="inlineStr">
        <is>
          <t>Nifty Bank</t>
        </is>
      </c>
      <c r="T9" s="32" t="n">
        <v>2.96</v>
      </c>
      <c r="U9" s="32" t="n">
        <v>13</v>
      </c>
      <c r="V9" s="32" t="n">
        <v>9.75</v>
      </c>
      <c r="W9" s="32" t="n">
        <v>9.949999999999999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Headwind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No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between 2.5x to 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3</t>
        </is>
      </c>
      <c r="BQ9" s="31">
        <f>IF(BP9="Stage 2",20,IF(BP9="Stage 1",0,IF(BP9="Stage 3",5,IF(BP9="Stage 4",-5,0))))</f>
        <v/>
      </c>
      <c r="BR9" s="31" t="inlineStr">
        <is>
          <t>Negative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  <c r="CB9" s="31" t="inlineStr">
        <is>
          <t>21</t>
        </is>
      </c>
      <c r="CC9" s="31">
        <f>IF(CB9&gt;20,10,IF(CB9&gt;=10,5,2))</f>
        <v/>
      </c>
    </row>
    <row r="10">
      <c r="A10" s="31">
        <f>IF(B10=0,"",RANK(B10,$B$2:$B$14,0))</f>
        <v/>
      </c>
      <c r="B10" s="32">
        <f>SUM(N10,Y10,AA10,AC10,AE10,AG10,AI10,AK10,AM10,AO10,AQ10,AS10,AU10,AW10,AY10,BA10,BC10,BE10,BG10,BI10,BK10,BM10,BO10,BQ10,BS10,BU10,BW10,BY10,CA10,CC10)</f>
        <v/>
      </c>
      <c r="C10" s="31" t="inlineStr">
        <is>
          <t>KARURVYSYA</t>
        </is>
      </c>
      <c r="D10" s="31" t="inlineStr">
        <is>
          <t>Karur Vysya Bank Ltd</t>
        </is>
      </c>
      <c r="E10" s="31" t="inlineStr">
        <is>
          <t>bank</t>
        </is>
      </c>
      <c r="F10" s="31" t="inlineStr">
        <is>
          <t>Banks - Private</t>
        </is>
      </c>
      <c r="G10" s="31" t="inlineStr">
        <is>
          <t>largecap</t>
        </is>
      </c>
      <c r="H10" s="32" t="n">
        <v>33776.17</v>
      </c>
      <c r="I10" s="32" t="n">
        <v>349.45</v>
      </c>
      <c r="J10" s="32" t="n">
        <v>2.04</v>
      </c>
      <c r="K10" s="32" t="n">
        <v>0</v>
      </c>
      <c r="L10" s="31" t="n">
        <v>67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70.37</v>
      </c>
      <c r="P10" s="32" t="n">
        <v>18.94</v>
      </c>
      <c r="Q10" s="32" t="inlineStr"/>
      <c r="R10" s="31" t="inlineStr">
        <is>
          <t>Earnings / Momentum Support</t>
        </is>
      </c>
      <c r="S10" s="31" t="inlineStr">
        <is>
          <t>Nifty Bank</t>
        </is>
      </c>
      <c r="T10" s="32" t="n">
        <v>2.96</v>
      </c>
      <c r="U10" s="32" t="n">
        <v>61.07</v>
      </c>
      <c r="V10" s="32" t="n">
        <v>56.43</v>
      </c>
      <c r="W10" s="32" t="n">
        <v>13.78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Headwind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No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0 to 20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3</t>
        </is>
      </c>
      <c r="BQ10" s="31">
        <f>IF(BP10="Stage 2",20,IF(BP10="Stage 1",0,IF(BP10="Stage 3",5,IF(BP10="Stage 4",-5,0))))</f>
        <v/>
      </c>
      <c r="BR10" s="31" t="inlineStr">
        <is>
          <t>Negative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  <c r="CB10" s="31" t="inlineStr">
        <is>
          <t>22</t>
        </is>
      </c>
      <c r="CC10" s="31">
        <f>IF(CB10&gt;20,10,IF(CB10&gt;=10,5,2))</f>
        <v/>
      </c>
    </row>
    <row r="11">
      <c r="A11" s="31">
        <f>IF(B11=0,"",RANK(B11,$B$2:$B$14,0))</f>
        <v/>
      </c>
      <c r="B11" s="32">
        <f>SUM(N11,Y11,AA11,AC11,AE11,AG11,AI11,AK11,AM11,AO11,AQ11,AS11,AU11,AW11,AY11,BA11,BC11,BE11,BG11,BI11,BK11,BM11,BO11,BQ11,BS11,BU11,BW11,BY11,CA11,CC11)</f>
        <v/>
      </c>
      <c r="C11" s="31" t="inlineStr">
        <is>
          <t>IIFL</t>
        </is>
      </c>
      <c r="D11" s="31" t="inlineStr">
        <is>
          <t>IIFL Finance Ltd</t>
        </is>
      </c>
      <c r="E11" s="31" t="inlineStr">
        <is>
          <t>financials</t>
        </is>
      </c>
      <c r="F11" s="31" t="inlineStr">
        <is>
          <t>Finance &amp; Investments - Gold Loan</t>
        </is>
      </c>
      <c r="G11" s="31" t="inlineStr">
        <is>
          <t>largecap</t>
        </is>
      </c>
      <c r="H11" s="32" t="n">
        <v>26292.8</v>
      </c>
      <c r="I11" s="32" t="n">
        <v>618.1</v>
      </c>
      <c r="J11" s="32" t="n">
        <v>1.55</v>
      </c>
      <c r="K11" s="32" t="n">
        <v>0</v>
      </c>
      <c r="L11" s="31" t="n">
        <v>72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68.52</v>
      </c>
      <c r="P11" s="32" t="n">
        <v>19.22</v>
      </c>
      <c r="Q11" s="32" t="inlineStr"/>
      <c r="R11" s="31" t="inlineStr">
        <is>
          <t>Earnings / Momentum Support</t>
        </is>
      </c>
      <c r="S11" s="31" t="inlineStr">
        <is>
          <t>Nifty Bank</t>
        </is>
      </c>
      <c r="T11" s="32" t="n">
        <v>2.96</v>
      </c>
      <c r="U11" s="32" t="n">
        <v>43.53</v>
      </c>
      <c r="V11" s="32" t="n">
        <v>39.4</v>
      </c>
      <c r="W11" s="32" t="n">
        <v>15.3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Headwind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No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0 to 20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3</t>
        </is>
      </c>
      <c r="BQ11" s="31">
        <f>IF(BP11="Stage 2",20,IF(BP11="Stage 1",0,IF(BP11="Stage 3",5,IF(BP11="Stage 4",-5,0))))</f>
        <v/>
      </c>
      <c r="BR11" s="31" t="inlineStr">
        <is>
          <t>Negative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  <c r="CB11" s="31" t="inlineStr">
        <is>
          <t>18</t>
        </is>
      </c>
      <c r="CC11" s="31">
        <f>IF(CB11&gt;20,10,IF(CB11&gt;=10,5,2))</f>
        <v/>
      </c>
    </row>
    <row r="12">
      <c r="A12" s="31">
        <f>IF(B12=0,"",RANK(B12,$B$2:$B$14,0))</f>
        <v/>
      </c>
      <c r="B12" s="32">
        <f>SUM(N12,Y12,AA12,AC12,AE12,AG12,AI12,AK12,AM12,AO12,AQ12,AS12,AU12,AW12,AY12,BA12,BC12,BE12,BG12,BI12,BK12,BM12,BO12,BQ12,BS12,BU12,BW12,BY12,CA12,CC12)</f>
        <v/>
      </c>
      <c r="C12" s="31" t="inlineStr">
        <is>
          <t>OFSS</t>
        </is>
      </c>
      <c r="D12" s="31" t="inlineStr">
        <is>
          <t>Oracle Financial Services Software Ltd</t>
        </is>
      </c>
      <c r="E12" s="31" t="inlineStr">
        <is>
          <t>i.t</t>
        </is>
      </c>
      <c r="F12" s="31" t="inlineStr">
        <is>
          <t>IT Product Companies</t>
        </is>
      </c>
      <c r="G12" s="31" t="inlineStr">
        <is>
          <t>largecap</t>
        </is>
      </c>
      <c r="H12" s="32" t="n">
        <v>98673.97</v>
      </c>
      <c r="I12" s="32" t="n">
        <v>11332</v>
      </c>
      <c r="J12" s="32" t="n">
        <v>1.31</v>
      </c>
      <c r="K12" s="32" t="n">
        <v>0</v>
      </c>
      <c r="L12" s="31" t="n">
        <v>60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65.73</v>
      </c>
      <c r="P12" s="32" t="n">
        <v>32.24</v>
      </c>
      <c r="Q12" s="32" t="inlineStr"/>
      <c r="R12" s="31" t="inlineStr">
        <is>
          <t>Earnings / Momentum Support</t>
        </is>
      </c>
      <c r="S12" s="31" t="inlineStr">
        <is>
          <t>Nifty IT</t>
        </is>
      </c>
      <c r="T12" s="32" t="n">
        <v>-11.37</v>
      </c>
      <c r="U12" s="32" t="n">
        <v>39.46</v>
      </c>
      <c r="V12" s="32" t="n">
        <v>57.36</v>
      </c>
      <c r="W12" s="32" t="n">
        <v>11.23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No</t>
        </is>
      </c>
      <c r="AC12" s="31">
        <f>IF(AB12="No",5,0)</f>
        <v/>
      </c>
      <c r="AD12" s="31" t="inlineStr">
        <is>
          <t>Headwind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No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above 5x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3</t>
        </is>
      </c>
      <c r="BQ12" s="31">
        <f>IF(BP12="Stage 2",20,IF(BP12="Stage 1",0,IF(BP12="Stage 3",5,IF(BP12="Stage 4",-5,0))))</f>
        <v/>
      </c>
      <c r="BR12" s="31" t="inlineStr">
        <is>
          <t>Negative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  <c r="CB12" s="31" t="inlineStr">
        <is>
          <t>20</t>
        </is>
      </c>
      <c r="CC12" s="31">
        <f>IF(CB12&gt;20,10,IF(CB12&gt;=10,5,2))</f>
        <v/>
      </c>
    </row>
    <row r="13">
      <c r="A13" s="31">
        <f>IF(B13=0,"",RANK(B13,$B$2:$B$14,0))</f>
        <v/>
      </c>
      <c r="B13" s="32">
        <f>SUM(N13,Y13,AA13,AC13,AE13,AG13,AI13,AK13,AM13,AO13,AQ13,AS13,AU13,AW13,AY13,BA13,BC13,BE13,BG13,BI13,BK13,BM13,BO13,BQ13,BS13,BU13,BW13,BY13,CA13,CC13)</f>
        <v/>
      </c>
      <c r="C13" s="31" t="inlineStr">
        <is>
          <t>GCSL</t>
        </is>
      </c>
      <c r="D13" s="31" t="inlineStr">
        <is>
          <t>Gretex Corporate Services Ltd</t>
        </is>
      </c>
      <c r="E13" s="31" t="inlineStr">
        <is>
          <t>Financial Services</t>
        </is>
      </c>
      <c r="F13" s="31" t="inlineStr">
        <is>
          <t>Finance &amp; Investments - Others</t>
        </is>
      </c>
      <c r="G13" s="31" t="inlineStr">
        <is>
          <t>smallcap</t>
        </is>
      </c>
      <c r="H13" s="32" t="n">
        <v>1232.73</v>
      </c>
      <c r="I13" s="32" t="n">
        <v>510.25</v>
      </c>
      <c r="J13" s="32" t="n">
        <v>-1.61</v>
      </c>
      <c r="K13" s="32" t="n">
        <v>0</v>
      </c>
      <c r="L13" s="31" t="n">
        <v>80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70.89</v>
      </c>
      <c r="P13" s="32" t="n">
        <v>33.45</v>
      </c>
      <c r="Q13" s="32" t="inlineStr"/>
      <c r="R13" s="31" t="inlineStr">
        <is>
          <t>Earnings / Momentum Support</t>
        </is>
      </c>
      <c r="S13" s="31" t="inlineStr">
        <is>
          <t>Nifty Bank</t>
        </is>
      </c>
      <c r="T13" s="32" t="n">
        <v>5.82</v>
      </c>
      <c r="U13" s="32" t="n">
        <v>73.41</v>
      </c>
      <c r="V13" s="32" t="n">
        <v>63.87</v>
      </c>
      <c r="W13" s="32" t="n">
        <v>19.17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No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above 5x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3</t>
        </is>
      </c>
      <c r="BQ13" s="31">
        <f>IF(BP13="Stage 2",20,IF(BP13="Stage 1",0,IF(BP13="Stage 3",5,IF(BP13="Stage 4",-5,0))))</f>
        <v/>
      </c>
      <c r="BR13" s="31" t="inlineStr">
        <is>
          <t>Negative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  <c r="CB13" s="31" t="inlineStr">
        <is>
          <t>19</t>
        </is>
      </c>
      <c r="CC13" s="31">
        <f>IF(CB13&gt;20,10,IF(CB13&gt;=10,5,2))</f>
        <v/>
      </c>
    </row>
    <row r="14">
      <c r="A14" s="31">
        <f>IF(B14=0,"",RANK(B14,$B$2:$B$14,0))</f>
        <v/>
      </c>
      <c r="B14" s="32">
        <f>SUM(N14,Y14,AA14,AC14,AE14,AG14,AI14,AK14,AM14,AO14,AQ14,AS14,AU14,AW14,AY14,BA14,BC14,BE14,BG14,BI14,BK14,BM14,BO14,BQ14,BS14,BU14,BW14,BY14,CA14,CC14)</f>
        <v/>
      </c>
      <c r="C14" s="31" t="inlineStr">
        <is>
          <t>TVSHLTD</t>
        </is>
      </c>
      <c r="D14" s="31" t="inlineStr">
        <is>
          <t>TVS Holdings Ltd</t>
        </is>
      </c>
      <c r="E14" s="31" t="inlineStr">
        <is>
          <t>financials</t>
        </is>
      </c>
      <c r="F14" s="31" t="inlineStr">
        <is>
          <t>Finance - Holding Company</t>
        </is>
      </c>
      <c r="G14" s="31" t="inlineStr">
        <is>
          <t>largecap</t>
        </is>
      </c>
      <c r="H14" s="32" t="n">
        <v>30018.37</v>
      </c>
      <c r="I14" s="32" t="n">
        <v>14837</v>
      </c>
      <c r="J14" s="32" t="n">
        <v>0.84</v>
      </c>
      <c r="K14" s="32" t="n">
        <v>0</v>
      </c>
      <c r="L14" s="31" t="n">
        <v>40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59.11</v>
      </c>
      <c r="P14" s="32" t="n">
        <v>15.35</v>
      </c>
      <c r="Q14" s="32" t="inlineStr"/>
      <c r="R14" s="31" t="inlineStr">
        <is>
          <t>Earnings / Momentum Support</t>
        </is>
      </c>
      <c r="S14" s="31" t="inlineStr">
        <is>
          <t>Nifty Bank</t>
        </is>
      </c>
      <c r="T14" s="32" t="n">
        <v>2.96</v>
      </c>
      <c r="U14" s="32" t="n">
        <v>27.02</v>
      </c>
      <c r="V14" s="32" t="n">
        <v>23.36</v>
      </c>
      <c r="W14" s="32" t="n">
        <v>6.21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Headwind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No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between 2.5x to 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0 to 20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3</t>
        </is>
      </c>
      <c r="BQ14" s="31">
        <f>IF(BP14="Stage 2",20,IF(BP14="Stage 1",0,IF(BP14="Stage 3",5,IF(BP14="Stage 4",-5,0))))</f>
        <v/>
      </c>
      <c r="BR14" s="31" t="inlineStr">
        <is>
          <t>Negative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  <c r="CB14" s="31" t="inlineStr">
        <is>
          <t>23</t>
        </is>
      </c>
      <c r="CC14" s="31">
        <f>IF(CB14&gt;20,10,IF(CB14&gt;=10,5,2))</f>
        <v/>
      </c>
    </row>
  </sheetData>
  <autoFilter ref="A1:CC14"/>
  <conditionalFormatting sqref="B2:B1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4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14">
    <cfRule type="cellIs" priority="35" operator="equal" dxfId="3" stopIfTrue="1">
      <formula>"Underperforming"</formula>
    </cfRule>
  </conditionalFormatting>
  <conditionalFormatting sqref="N2:N14">
    <cfRule type="cellIs" priority="36" operator="equal" dxfId="3" stopIfTrue="1">
      <formula>-5</formula>
    </cfRule>
  </conditionalFormatting>
  <conditionalFormatting sqref="Q2:Q14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14" showDropDown="0" showInputMessage="0" showErrorMessage="0" allowBlank="1" type="list">
      <formula1>"Growing Industry,Stagnant Industry,Cyclical in an Upturn"</formula1>
    </dataValidation>
    <dataValidation sqref="Z2:Z14" showDropDown="0" showInputMessage="0" showErrorMessage="0" allowBlank="1" type="list">
      <formula1>"Fragmented with Low ROE,Fragmented with High ROE,Highly Cyclical"</formula1>
    </dataValidation>
    <dataValidation sqref="AB2:AB14" showDropDown="0" showInputMessage="0" showErrorMessage="0" allowBlank="1" type="list">
      <formula1>"Yes,No"</formula1>
    </dataValidation>
    <dataValidation sqref="AD2:AD14" showDropDown="0" showInputMessage="0" showErrorMessage="0" allowBlank="1" type="list">
      <formula1>"Tailwind,Headwind"</formula1>
    </dataValidation>
    <dataValidation sqref="AF2:AF1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4" showDropDown="0" showInputMessage="0" showErrorMessage="0" allowBlank="1" type="list">
      <formula1>"Yes,No"</formula1>
    </dataValidation>
    <dataValidation sqref="AJ2:AJ14" showDropDown="0" showInputMessage="0" showErrorMessage="0" allowBlank="1" type="list">
      <formula1>"Yes,No,Not Applicable"</formula1>
    </dataValidation>
    <dataValidation sqref="AL2:AL14" showDropDown="0" showInputMessage="0" showErrorMessage="0" allowBlank="1" type="list">
      <formula1>"Yes,No"</formula1>
    </dataValidation>
    <dataValidation sqref="AN2:AN14" showDropDown="0" showInputMessage="0" showErrorMessage="0" allowBlank="1" type="list">
      <formula1>"Yes,No"</formula1>
    </dataValidation>
    <dataValidation sqref="AP2:AP14" showDropDown="0" showInputMessage="0" showErrorMessage="0" allowBlank="1" type="list">
      <formula1>"Yes,No"</formula1>
    </dataValidation>
    <dataValidation sqref="AR2:AR14" showDropDown="0" showInputMessage="0" showErrorMessage="0" allowBlank="1" type="list">
      <formula1>"Yes,No"</formula1>
    </dataValidation>
    <dataValidation sqref="AT2:AT14" showDropDown="0" showInputMessage="0" showErrorMessage="0" allowBlank="1" type="list">
      <formula1>"No,Yes"</formula1>
    </dataValidation>
    <dataValidation sqref="AV2:AV14" showDropDown="0" showInputMessage="0" showErrorMessage="0" allowBlank="1" type="list">
      <formula1>"No,Yes"</formula1>
    </dataValidation>
    <dataValidation sqref="AX2:AX14" showDropDown="0" showInputMessage="0" showErrorMessage="0" allowBlank="1" type="list">
      <formula1>"No,Yes CEO Resignation,Yes CEO Retirement"</formula1>
    </dataValidation>
    <dataValidation sqref="AZ2:AZ14" showDropDown="0" showInputMessage="0" showErrorMessage="0" allowBlank="1" type="list">
      <formula1>"No,Yes"</formula1>
    </dataValidation>
    <dataValidation sqref="BB2:BB14" showDropDown="0" showInputMessage="0" showErrorMessage="0" allowBlank="1" type="list">
      <formula1>"No,Yes"</formula1>
    </dataValidation>
    <dataValidation sqref="BD2:BD14" showDropDown="0" showInputMessage="0" showErrorMessage="0" allowBlank="1" type="list">
      <formula1>"Yes,No"</formula1>
    </dataValidation>
    <dataValidation sqref="BF2:BF14" showDropDown="0" showInputMessage="0" showErrorMessage="0" allowBlank="1" type="list">
      <formula1>"Yes,No"</formula1>
    </dataValidation>
    <dataValidation sqref="BH2:BH14" showDropDown="0" showInputMessage="0" showErrorMessage="0" allowBlank="1" type="list">
      <formula1>"Yes,No"</formula1>
    </dataValidation>
    <dataValidation sqref="BJ2:BJ1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4" showDropDown="0" showInputMessage="0" showErrorMessage="0" allowBlank="1" type="list">
      <formula1>"Above 40,20 to 40,0 to 20"</formula1>
    </dataValidation>
    <dataValidation sqref="BN2:BN14" showDropDown="0" showInputMessage="0" showErrorMessage="0" allowBlank="1" type="list">
      <formula1>"Between 50 to 75,Above 75,Below 45"</formula1>
    </dataValidation>
    <dataValidation sqref="BP2:BP14" showDropDown="0" showInputMessage="0" showErrorMessage="0" allowBlank="1" type="list">
      <formula1>"Stage 1,Stage 2,Stage 3,Stage 4"</formula1>
    </dataValidation>
    <dataValidation sqref="BR2:BR14" showDropDown="0" showInputMessage="0" showErrorMessage="0" allowBlank="1" type="list">
      <formula1>"Positive Trend,Negative Trend"</formula1>
    </dataValidation>
    <dataValidation sqref="BT2:BT14" showDropDown="0" showInputMessage="0" showErrorMessage="0" allowBlank="1" type="list">
      <formula1>"Uptrend,Sideways,Downtrend"</formula1>
    </dataValidation>
    <dataValidation sqref="BV2:BV14" showDropDown="0" showInputMessage="0" showErrorMessage="0" allowBlank="1" type="list">
      <formula1>"Uptrend,Sideways,Downtrend"</formula1>
    </dataValidation>
    <dataValidation sqref="BX2:BX1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2026-08-03T13:23:18Z</dcterms:created>
  <dcterms:modified xmlns:dcterms="http://purl.org/dc/terms/" xmlns:xsi="http://www.w3.org/2001/XMLSchema-instance" xsi:type="dcterms:W3CDTF">2026-08-03T13:24:34Z</dcterms:modified>
</cp:coreProperties>
</file>