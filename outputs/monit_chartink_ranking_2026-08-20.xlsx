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Universe'!$A$1:$J$406</definedName>
    <definedName name="_xlnm._FilterDatabase" localSheetId="3" hidden="1">'Confluence Overlap'!$A$1:$K$61</definedName>
    <definedName name="_xlnm._FilterDatabase" localSheetId="4" hidden="1">'Monit Non Financial'!$A$1:$CE$368</definedName>
    <definedName name="_xlnm._FilterDatabase" localSheetId="5" hidden="1">'Monit Banks NBFC'!$A$1:$CA$39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20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5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624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89</v>
      </c>
      <c r="G6" s="19" t="n">
        <v>52069.64</v>
      </c>
      <c r="H6" s="18" t="inlineStr">
        <is>
          <t>Potential Leader</t>
        </is>
      </c>
      <c r="J6" s="18" t="inlineStr">
        <is>
          <t>telecom-service</t>
        </is>
      </c>
      <c r="K6" s="16" t="n">
        <v>9</v>
      </c>
      <c r="L6" s="16" t="n">
        <v>3</v>
      </c>
      <c r="M6" s="20" t="inlineStr">
        <is>
          <t>200.0%</t>
        </is>
      </c>
    </row>
    <row r="7">
      <c r="A7" s="16" t="n">
        <v>2</v>
      </c>
      <c r="B7" s="17" t="n">
        <v>516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71</v>
      </c>
      <c r="G7" s="19" t="n">
        <v>2853.8</v>
      </c>
      <c r="H7" s="18" t="inlineStr">
        <is>
          <t>Potential Leader</t>
        </is>
      </c>
      <c r="J7" s="18" t="inlineStr">
        <is>
          <t>co-working</t>
        </is>
      </c>
      <c r="K7" s="16" t="n">
        <v>3</v>
      </c>
      <c r="L7" s="16" t="n">
        <v>1</v>
      </c>
      <c r="M7" s="20" t="inlineStr">
        <is>
          <t>200.0%</t>
        </is>
      </c>
    </row>
    <row r="8">
      <c r="A8" s="16" t="n">
        <v>3</v>
      </c>
      <c r="B8" s="17" t="n">
        <v>510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70</v>
      </c>
      <c r="G8" s="19" t="n">
        <v>97342.17</v>
      </c>
      <c r="H8" s="18" t="inlineStr">
        <is>
          <t>Potential Leader</t>
        </is>
      </c>
      <c r="J8" s="18" t="inlineStr">
        <is>
          <t>nan</t>
        </is>
      </c>
      <c r="K8" s="16" t="n">
        <v>6</v>
      </c>
      <c r="L8" s="16" t="n">
        <v>0</v>
      </c>
      <c r="M8" s="20" t="inlineStr">
        <is>
          <t>100.0%</t>
        </is>
      </c>
    </row>
    <row r="9">
      <c r="A9" s="16" t="n">
        <v>4</v>
      </c>
      <c r="B9" s="17" t="n">
        <v>444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59</v>
      </c>
      <c r="G9" s="19" t="n">
        <v>5390.49</v>
      </c>
      <c r="H9" s="18" t="inlineStr">
        <is>
          <t>Potential Leader</t>
        </is>
      </c>
      <c r="J9" s="18" t="inlineStr">
        <is>
          <t>plastic products</t>
        </is>
      </c>
      <c r="K9" s="16" t="n">
        <v>32</v>
      </c>
      <c r="L9" s="16" t="n">
        <v>26</v>
      </c>
      <c r="M9" s="20" t="inlineStr">
        <is>
          <t>23.1%</t>
        </is>
      </c>
    </row>
    <row r="10">
      <c r="A10" s="16" t="n">
        <v>5</v>
      </c>
      <c r="B10" s="17" t="n">
        <v>438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58</v>
      </c>
      <c r="G10" s="19" t="n">
        <v>38263.66</v>
      </c>
      <c r="H10" s="18" t="inlineStr">
        <is>
          <t>Potential Leader</t>
        </is>
      </c>
      <c r="J10" s="18" t="inlineStr">
        <is>
          <t>realty</t>
        </is>
      </c>
      <c r="K10" s="16" t="n">
        <v>80</v>
      </c>
      <c r="L10" s="16" t="n">
        <v>66</v>
      </c>
      <c r="M10" s="20" t="inlineStr">
        <is>
          <t>21.2%</t>
        </is>
      </c>
    </row>
    <row r="11">
      <c r="A11" s="16" t="n">
        <v>6</v>
      </c>
      <c r="B11" s="17" t="n">
        <v>378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48</v>
      </c>
      <c r="G11" s="19" t="n">
        <v>5320.07</v>
      </c>
      <c r="H11" s="18" t="inlineStr">
        <is>
          <t>Potential Leader</t>
        </is>
      </c>
      <c r="J11" s="18" t="inlineStr">
        <is>
          <t>fmcg</t>
        </is>
      </c>
      <c r="K11" s="16" t="n">
        <v>143</v>
      </c>
      <c r="L11" s="16" t="n">
        <v>124</v>
      </c>
      <c r="M11" s="20" t="inlineStr">
        <is>
          <t>15.3%</t>
        </is>
      </c>
    </row>
    <row r="12">
      <c r="A12" s="16" t="n">
        <v>7</v>
      </c>
      <c r="B12" s="17" t="n">
        <v>360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45</v>
      </c>
      <c r="G12" s="19" t="n">
        <v>570.23</v>
      </c>
      <c r="H12" s="18" t="inlineStr">
        <is>
          <t>Potential Leader</t>
        </is>
      </c>
      <c r="J12" s="18" t="inlineStr">
        <is>
          <t>aerospace &amp; defence</t>
        </is>
      </c>
      <c r="K12" s="16" t="n">
        <v>69</v>
      </c>
      <c r="L12" s="16" t="n">
        <v>63</v>
      </c>
      <c r="M12" s="20" t="inlineStr">
        <is>
          <t>9.5%</t>
        </is>
      </c>
    </row>
    <row r="13">
      <c r="A13" s="16" t="n">
        <v>8</v>
      </c>
      <c r="B13" s="17" t="n">
        <v>330</v>
      </c>
      <c r="C13" s="17" t="inlineStr">
        <is>
          <t>SSWL</t>
        </is>
      </c>
      <c r="D13" s="18" t="inlineStr">
        <is>
          <t>Steel Strips Wheels Limited</t>
        </is>
      </c>
      <c r="E13" s="18" t="inlineStr">
        <is>
          <t>auto</t>
        </is>
      </c>
      <c r="F13" s="16" t="n">
        <v>40</v>
      </c>
      <c r="G13" s="19" t="n">
        <v>4964.54</v>
      </c>
      <c r="H13" s="18" t="inlineStr">
        <is>
          <t>Potential Leader</t>
        </is>
      </c>
      <c r="J13" s="18" t="inlineStr">
        <is>
          <t>energy</t>
        </is>
      </c>
      <c r="K13" s="16" t="n">
        <v>61</v>
      </c>
      <c r="L13" s="16" t="n">
        <v>57</v>
      </c>
      <c r="M13" s="20" t="inlineStr">
        <is>
          <t>7.0%</t>
        </is>
      </c>
    </row>
    <row r="14">
      <c r="A14" s="16" t="n">
        <v>9</v>
      </c>
      <c r="B14" s="17" t="n">
        <v>312</v>
      </c>
      <c r="C14" s="17" t="inlineStr">
        <is>
          <t>ADOR</t>
        </is>
      </c>
      <c r="D14" s="18" t="inlineStr">
        <is>
          <t>Ador Welding Ltd</t>
        </is>
      </c>
      <c r="E14" s="18" t="inlineStr">
        <is>
          <t>industrials</t>
        </is>
      </c>
      <c r="F14" s="16" t="n">
        <v>37</v>
      </c>
      <c r="G14" s="19" t="n">
        <v>2844.66</v>
      </c>
      <c r="H14" s="18" t="inlineStr">
        <is>
          <t>Potential Leader</t>
        </is>
      </c>
      <c r="J14" s="18" t="inlineStr">
        <is>
          <t>industrials</t>
        </is>
      </c>
      <c r="K14" s="16" t="n">
        <v>306</v>
      </c>
      <c r="L14" s="16" t="n">
        <v>292</v>
      </c>
      <c r="M14" s="20" t="inlineStr">
        <is>
          <t>4.8%</t>
        </is>
      </c>
    </row>
    <row r="15">
      <c r="A15" s="16" t="n">
        <v>10</v>
      </c>
      <c r="B15" s="17" t="n">
        <v>312</v>
      </c>
      <c r="C15" s="17" t="inlineStr">
        <is>
          <t>CYIENTDLM</t>
        </is>
      </c>
      <c r="D15" s="18" t="inlineStr">
        <is>
          <t>Cyient DLM Ltd</t>
        </is>
      </c>
      <c r="E15" s="18" t="inlineStr">
        <is>
          <t>aerospace &amp; defence</t>
        </is>
      </c>
      <c r="F15" s="16" t="n">
        <v>37</v>
      </c>
      <c r="G15" s="19" t="n">
        <v>5680.67</v>
      </c>
      <c r="H15" s="18" t="inlineStr">
        <is>
          <t>Potential Leader</t>
        </is>
      </c>
      <c r="J15" s="18" t="inlineStr">
        <is>
          <t>chemicals</t>
        </is>
      </c>
      <c r="K15" s="16" t="n">
        <v>159</v>
      </c>
      <c r="L15" s="16" t="n">
        <v>167</v>
      </c>
      <c r="M15" s="21" t="inlineStr">
        <is>
          <t>-4.8%</t>
        </is>
      </c>
    </row>
    <row r="16">
      <c r="A16" s="16" t="n">
        <v>11</v>
      </c>
      <c r="B16" s="17" t="n">
        <v>312</v>
      </c>
      <c r="C16" s="17" t="inlineStr">
        <is>
          <t>IRISDOREME</t>
        </is>
      </c>
      <c r="D16" s="18" t="inlineStr">
        <is>
          <t>Iris Clothings Ltd</t>
        </is>
      </c>
      <c r="E16" s="18" t="inlineStr">
        <is>
          <t>consumer discretionary</t>
        </is>
      </c>
      <c r="F16" s="16" t="n">
        <v>37</v>
      </c>
      <c r="G16" s="19" t="n">
        <v>1115.72</v>
      </c>
      <c r="H16" s="18" t="inlineStr">
        <is>
          <t>Potential Leader</t>
        </is>
      </c>
      <c r="J16" s="18" t="inlineStr">
        <is>
          <t>services</t>
        </is>
      </c>
      <c r="K16" s="16" t="n">
        <v>36</v>
      </c>
      <c r="L16" s="16" t="n">
        <v>38</v>
      </c>
      <c r="M16" s="21" t="inlineStr">
        <is>
          <t>-5.3%</t>
        </is>
      </c>
    </row>
    <row r="17">
      <c r="A17" s="16" t="n">
        <v>12</v>
      </c>
      <c r="B17" s="17" t="n">
        <v>312</v>
      </c>
      <c r="C17" s="17" t="inlineStr">
        <is>
          <t>RADICO</t>
        </is>
      </c>
      <c r="D17" s="18" t="inlineStr">
        <is>
          <t>Radico Khaitan Limited</t>
        </is>
      </c>
      <c r="E17" s="18" t="inlineStr">
        <is>
          <t>fmcg</t>
        </is>
      </c>
      <c r="F17" s="16" t="n">
        <v>37</v>
      </c>
      <c r="G17" s="19" t="n">
        <v>62894.16</v>
      </c>
      <c r="H17" s="18" t="inlineStr">
        <is>
          <t>Potential Leader</t>
        </is>
      </c>
      <c r="J17" s="18" t="inlineStr">
        <is>
          <t>financials</t>
        </is>
      </c>
      <c r="K17" s="16" t="n">
        <v>122</v>
      </c>
      <c r="L17" s="16" t="n">
        <v>129</v>
      </c>
      <c r="M17" s="21" t="inlineStr">
        <is>
          <t>-5.4%</t>
        </is>
      </c>
    </row>
    <row r="18">
      <c r="A18" s="16" t="n">
        <v>13</v>
      </c>
      <c r="B18" s="17" t="n">
        <v>306</v>
      </c>
      <c r="C18" s="17" t="inlineStr">
        <is>
          <t>KAPSTON</t>
        </is>
      </c>
      <c r="D18" s="18" t="inlineStr">
        <is>
          <t>Kapston Services Ltd</t>
        </is>
      </c>
      <c r="E18" s="18" t="inlineStr">
        <is>
          <t>miscellaneous</t>
        </is>
      </c>
      <c r="F18" s="16" t="n">
        <v>36</v>
      </c>
      <c r="G18" s="19" t="n">
        <v>1592.82</v>
      </c>
      <c r="H18" s="18" t="inlineStr">
        <is>
          <t>Potential Leader</t>
        </is>
      </c>
      <c r="J18" s="18" t="inlineStr">
        <is>
          <t>healthcare</t>
        </is>
      </c>
      <c r="K18" s="16" t="n">
        <v>215</v>
      </c>
      <c r="L18" s="16" t="n">
        <v>245</v>
      </c>
      <c r="M18" s="21" t="inlineStr">
        <is>
          <t>-12.2%</t>
        </is>
      </c>
    </row>
    <row r="19">
      <c r="A19" s="16" t="n">
        <v>14</v>
      </c>
      <c r="B19" s="17" t="n">
        <v>306</v>
      </c>
      <c r="C19" s="17" t="inlineStr">
        <is>
          <t>SETL</t>
        </is>
      </c>
      <c r="D19" s="18" t="inlineStr">
        <is>
          <t>Standard Enginnering Technology Ltd</t>
        </is>
      </c>
      <c r="E19" s="18" t="inlineStr">
        <is>
          <t>industrials</t>
        </is>
      </c>
      <c r="F19" s="16" t="n">
        <v>36</v>
      </c>
      <c r="G19" s="19" t="n">
        <v>6176.26</v>
      </c>
      <c r="H19" s="18" t="inlineStr">
        <is>
          <t>Potential Leader</t>
        </is>
      </c>
      <c r="J19" s="18" t="inlineStr">
        <is>
          <t>transportation</t>
        </is>
      </c>
      <c r="K19" s="16" t="n">
        <v>37</v>
      </c>
      <c r="L19" s="16" t="n">
        <v>43</v>
      </c>
      <c r="M19" s="21" t="inlineStr">
        <is>
          <t>-14.0%</t>
        </is>
      </c>
    </row>
    <row r="20">
      <c r="A20" s="16" t="n">
        <v>15</v>
      </c>
      <c r="B20" s="17" t="n">
        <v>294</v>
      </c>
      <c r="C20" s="17" t="inlineStr">
        <is>
          <t>HAPPYFORGE</t>
        </is>
      </c>
      <c r="D20" s="18" t="inlineStr">
        <is>
          <t>Happy Forgings Ltd</t>
        </is>
      </c>
      <c r="E20" s="18" t="inlineStr">
        <is>
          <t>industrials</t>
        </is>
      </c>
      <c r="F20" s="16" t="n">
        <v>34</v>
      </c>
      <c r="G20" s="19" t="n">
        <v>21781.67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90</v>
      </c>
      <c r="L20" s="16" t="n">
        <v>105</v>
      </c>
      <c r="M20" s="21" t="inlineStr">
        <is>
          <t>-14.3%</t>
        </is>
      </c>
    </row>
    <row r="21">
      <c r="A21" s="16" t="n">
        <v>16</v>
      </c>
      <c r="B21" s="17" t="n">
        <v>288</v>
      </c>
      <c r="C21" s="17" t="inlineStr">
        <is>
          <t>SONACOMS</t>
        </is>
      </c>
      <c r="D21" s="18" t="inlineStr">
        <is>
          <t>Sona BLW Precision Forgings Ltd</t>
        </is>
      </c>
      <c r="E21" s="18" t="inlineStr">
        <is>
          <t>auto</t>
        </is>
      </c>
      <c r="F21" s="16" t="n">
        <v>33</v>
      </c>
      <c r="G21" s="19" t="n">
        <v>51224.57</v>
      </c>
      <c r="H21" s="18" t="inlineStr">
        <is>
          <t>Potential Leader</t>
        </is>
      </c>
    </row>
    <row r="22">
      <c r="A22" s="16" t="n">
        <v>17</v>
      </c>
      <c r="B22" s="17" t="n">
        <v>282</v>
      </c>
      <c r="C22" s="17" t="inlineStr">
        <is>
          <t>AETHER</t>
        </is>
      </c>
      <c r="D22" s="18" t="inlineStr">
        <is>
          <t>Aether Industries Ltd</t>
        </is>
      </c>
      <c r="E22" s="18" t="inlineStr">
        <is>
          <t>chemicals</t>
        </is>
      </c>
      <c r="F22" s="16" t="n">
        <v>32</v>
      </c>
      <c r="G22" s="19" t="n">
        <v>21766.19</v>
      </c>
      <c r="H22" s="18" t="inlineStr">
        <is>
          <t>Potential Leader</t>
        </is>
      </c>
    </row>
    <row r="23">
      <c r="A23" s="16" t="n">
        <v>18</v>
      </c>
      <c r="B23" s="17" t="n">
        <v>261</v>
      </c>
      <c r="C23" s="17" t="inlineStr">
        <is>
          <t>DIACABS</t>
        </is>
      </c>
      <c r="D23" s="18" t="inlineStr">
        <is>
          <t>Diamond Power Infrastructure Ltd</t>
        </is>
      </c>
      <c r="E23" s="18" t="inlineStr">
        <is>
          <t>industrials</t>
        </is>
      </c>
      <c r="F23" s="16" t="n">
        <v>29</v>
      </c>
      <c r="G23" s="19" t="n">
        <v>18939.34</v>
      </c>
      <c r="H23" s="18" t="inlineStr">
        <is>
          <t>Potential Leader</t>
        </is>
      </c>
    </row>
    <row r="24">
      <c r="A24" s="16" t="n">
        <v>19</v>
      </c>
      <c r="B24" s="17" t="n">
        <v>261</v>
      </c>
      <c r="C24" s="17" t="inlineStr">
        <is>
          <t>SUNDRMFAST</t>
        </is>
      </c>
      <c r="D24" s="18" t="inlineStr">
        <is>
          <t>Sundram Fasteners Limited</t>
        </is>
      </c>
      <c r="E24" s="18" t="inlineStr">
        <is>
          <t>auto</t>
        </is>
      </c>
      <c r="F24" s="16" t="n">
        <v>29</v>
      </c>
      <c r="G24" s="19" t="n">
        <v>26102.15</v>
      </c>
      <c r="H24" s="18" t="inlineStr">
        <is>
          <t>Potential Leader</t>
        </is>
      </c>
    </row>
    <row r="25">
      <c r="A25" s="16" t="n">
        <v>20</v>
      </c>
      <c r="B25" s="17" t="n">
        <v>234</v>
      </c>
      <c r="C25" s="17" t="inlineStr">
        <is>
          <t>UNITDSPR</t>
        </is>
      </c>
      <c r="D25" s="18" t="inlineStr">
        <is>
          <t>United Spirits Ltd</t>
        </is>
      </c>
      <c r="E25" s="18" t="inlineStr">
        <is>
          <t>fmcg</t>
        </is>
      </c>
      <c r="F25" s="16" t="n">
        <v>25</v>
      </c>
      <c r="G25" s="19" t="n">
        <v>110848.27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UFLEX</t>
        </is>
      </c>
      <c r="B30" s="18" t="inlineStr">
        <is>
          <t>Uflex Limited</t>
        </is>
      </c>
      <c r="C30" s="18" t="inlineStr">
        <is>
          <t>industrials</t>
        </is>
      </c>
      <c r="D30" s="16" t="n">
        <v>10</v>
      </c>
      <c r="E30" s="16" t="n">
        <v>2</v>
      </c>
      <c r="F30" s="19" t="n">
        <v>4483.97</v>
      </c>
      <c r="J30" s="17" t="inlineStr">
        <is>
          <t>RPTECH</t>
        </is>
      </c>
      <c r="K30" s="18" t="inlineStr">
        <is>
          <t>i.t</t>
        </is>
      </c>
      <c r="L30" s="19" t="n">
        <v>300</v>
      </c>
      <c r="M30" s="19" t="n">
        <v>5524.04</v>
      </c>
      <c r="N30" s="16" t="n">
        <v>28</v>
      </c>
    </row>
    <row r="31">
      <c r="A31" s="17" t="inlineStr">
        <is>
          <t>EMIL</t>
        </is>
      </c>
      <c r="B31" s="18" t="inlineStr">
        <is>
          <t>Electronics Mart India Ltd</t>
        </is>
      </c>
      <c r="C31" s="18" t="inlineStr">
        <is>
          <t>consumer discretionary</t>
        </is>
      </c>
      <c r="D31" s="16" t="n">
        <v>10</v>
      </c>
      <c r="E31" s="16" t="n">
        <v>2</v>
      </c>
      <c r="F31" s="19" t="n">
        <v>7357.94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2890.19</v>
      </c>
      <c r="N31" s="16" t="n">
        <v>18</v>
      </c>
    </row>
    <row r="32">
      <c r="A32" s="17" t="inlineStr">
        <is>
          <t>UGARSUGAR</t>
        </is>
      </c>
      <c r="B32" s="18" t="inlineStr">
        <is>
          <t>The Ugar Sugar Works Limited</t>
        </is>
      </c>
      <c r="C32" s="18" t="inlineStr">
        <is>
          <t>fmcg</t>
        </is>
      </c>
      <c r="D32" s="16" t="n">
        <v>10</v>
      </c>
      <c r="E32" s="16" t="n">
        <v>1</v>
      </c>
      <c r="F32" s="19" t="n">
        <v>567.11</v>
      </c>
      <c r="J32" s="17" t="inlineStr">
        <is>
          <t>VADILALIND</t>
        </is>
      </c>
      <c r="K32" s="18" t="inlineStr">
        <is>
          <t>fmcg</t>
        </is>
      </c>
      <c r="L32" s="19" t="n">
        <v>297</v>
      </c>
      <c r="M32" s="19" t="n">
        <v>5320.07</v>
      </c>
      <c r="N32" s="16" t="n">
        <v>30</v>
      </c>
    </row>
    <row r="33">
      <c r="A33" s="17" t="inlineStr">
        <is>
          <t>MANAKSTEEL</t>
        </is>
      </c>
      <c r="B33" s="18" t="inlineStr">
        <is>
          <t>Manaksia Steels Limited</t>
        </is>
      </c>
      <c r="C33" s="18" t="inlineStr">
        <is>
          <t>metals &amp; mining</t>
        </is>
      </c>
      <c r="D33" s="16" t="n">
        <v>10</v>
      </c>
      <c r="E33" s="16" t="n">
        <v>2</v>
      </c>
      <c r="F33" s="19" t="n">
        <v>560.64</v>
      </c>
      <c r="J33" s="17" t="inlineStr">
        <is>
          <t>PREMIERPOL</t>
        </is>
      </c>
      <c r="K33" s="18" t="inlineStr">
        <is>
          <t>plastic products</t>
        </is>
      </c>
      <c r="L33" s="19" t="n">
        <v>293</v>
      </c>
      <c r="M33" s="19" t="n">
        <v>959.55</v>
      </c>
      <c r="N33" s="16" t="n">
        <v>21</v>
      </c>
    </row>
    <row r="34">
      <c r="A34" s="17" t="inlineStr">
        <is>
          <t>MATRIMONY</t>
        </is>
      </c>
      <c r="B34" s="18" t="inlineStr">
        <is>
          <t>Matrimony.com Ltd</t>
        </is>
      </c>
      <c r="C34" s="18" t="inlineStr">
        <is>
          <t>miscellaneous</t>
        </is>
      </c>
      <c r="D34" s="16" t="n">
        <v>10</v>
      </c>
      <c r="E34" s="16" t="n">
        <v>0</v>
      </c>
      <c r="F34" s="19" t="n">
        <v>1141.89</v>
      </c>
      <c r="J34" s="17" t="inlineStr">
        <is>
          <t>BLUSPRING</t>
        </is>
      </c>
      <c r="K34" s="18" t="inlineStr">
        <is>
          <t>miscellaneous</t>
        </is>
      </c>
      <c r="L34" s="19" t="n">
        <v>293</v>
      </c>
      <c r="M34" s="19" t="n">
        <v>1791.2</v>
      </c>
      <c r="N34" s="16" t="n">
        <v>16</v>
      </c>
    </row>
    <row r="35">
      <c r="A35" s="17" t="inlineStr">
        <is>
          <t>MAZDOCK</t>
        </is>
      </c>
      <c r="B35" s="18" t="inlineStr">
        <is>
          <t>Mazagon Dock Shipbuilders Ltd</t>
        </is>
      </c>
      <c r="C35" s="18" t="inlineStr">
        <is>
          <t>aerospace &amp; defence</t>
        </is>
      </c>
      <c r="D35" s="16" t="n">
        <v>10</v>
      </c>
      <c r="E35" s="16" t="n">
        <v>1</v>
      </c>
      <c r="F35" s="19" t="n">
        <v>103418.56</v>
      </c>
      <c r="J35" s="17" t="inlineStr">
        <is>
          <t>SANGHVIMOV</t>
        </is>
      </c>
      <c r="K35" s="18" t="inlineStr">
        <is>
          <t>miscellaneous</t>
        </is>
      </c>
      <c r="L35" s="19" t="n">
        <v>290</v>
      </c>
      <c r="M35" s="19" t="n">
        <v>4317.98</v>
      </c>
      <c r="N35" s="16" t="n">
        <v>22</v>
      </c>
    </row>
    <row r="36">
      <c r="A36" s="17" t="inlineStr">
        <is>
          <t>WINDLAS</t>
        </is>
      </c>
      <c r="B36" s="18" t="inlineStr">
        <is>
          <t>Windlas Biotech Ltd</t>
        </is>
      </c>
      <c r="C36" s="18" t="inlineStr">
        <is>
          <t>healthcare</t>
        </is>
      </c>
      <c r="D36" s="16" t="n">
        <v>9</v>
      </c>
      <c r="E36" s="16" t="n">
        <v>1</v>
      </c>
      <c r="F36" s="19" t="n">
        <v>1991.29</v>
      </c>
      <c r="J36" s="17" t="inlineStr">
        <is>
          <t>SUVEN</t>
        </is>
      </c>
      <c r="K36" s="18" t="inlineStr">
        <is>
          <t>healthcare</t>
        </is>
      </c>
      <c r="L36" s="19" t="n">
        <v>290</v>
      </c>
      <c r="M36" s="19" t="n">
        <v>642.4400000000001</v>
      </c>
      <c r="N36" s="16" t="n">
        <v>15</v>
      </c>
    </row>
    <row r="37">
      <c r="A37" s="17" t="inlineStr">
        <is>
          <t>TIIL</t>
        </is>
      </c>
      <c r="B37" s="18" t="inlineStr">
        <is>
          <t>Technocraft Industries (india) Limited</t>
        </is>
      </c>
      <c r="C37" s="18" t="inlineStr">
        <is>
          <t>metals &amp; mining</t>
        </is>
      </c>
      <c r="D37" s="16" t="n">
        <v>9</v>
      </c>
      <c r="E37" s="16" t="n">
        <v>0</v>
      </c>
      <c r="F37" s="19" t="n">
        <v>7090.92</v>
      </c>
      <c r="J37" s="17" t="inlineStr">
        <is>
          <t>INDOBORAX</t>
        </is>
      </c>
      <c r="K37" s="18" t="inlineStr">
        <is>
          <t>chemicals</t>
        </is>
      </c>
      <c r="L37" s="19" t="n">
        <v>290</v>
      </c>
      <c r="M37" s="19" t="n">
        <v>1392.22</v>
      </c>
      <c r="N37" s="16" t="n">
        <v>13</v>
      </c>
    </row>
    <row r="38">
      <c r="A38" s="17" t="inlineStr">
        <is>
          <t>GIPCL</t>
        </is>
      </c>
      <c r="B38" s="18" t="inlineStr">
        <is>
          <t>Gujarat Industries Power Company Limited</t>
        </is>
      </c>
      <c r="C38" s="18" t="inlineStr">
        <is>
          <t>power &amp; utilities</t>
        </is>
      </c>
      <c r="D38" s="16" t="n">
        <v>9</v>
      </c>
      <c r="E38" s="16" t="n">
        <v>0</v>
      </c>
      <c r="F38" s="19" t="n">
        <v>2669.09</v>
      </c>
      <c r="J38" s="17" t="inlineStr">
        <is>
          <t>PGIL</t>
        </is>
      </c>
      <c r="K38" s="18" t="inlineStr">
        <is>
          <t>consumer discretionary</t>
        </is>
      </c>
      <c r="L38" s="19" t="n">
        <v>288</v>
      </c>
      <c r="M38" s="19" t="n">
        <v>11147.46</v>
      </c>
      <c r="N38" s="16" t="n">
        <v>27</v>
      </c>
    </row>
    <row r="39">
      <c r="A39" s="17" t="inlineStr">
        <is>
          <t>SHANTIGOLD</t>
        </is>
      </c>
      <c r="B39" s="18" t="inlineStr">
        <is>
          <t>Shanti Gold International Ltd</t>
        </is>
      </c>
      <c r="C39" s="18" t="inlineStr">
        <is>
          <t>consumer discretionary</t>
        </is>
      </c>
      <c r="D39" s="16" t="n">
        <v>9</v>
      </c>
      <c r="E39" s="16" t="n">
        <v>0</v>
      </c>
      <c r="F39" s="19" t="n">
        <v>1742.92</v>
      </c>
      <c r="J39" s="17" t="inlineStr">
        <is>
          <t>INDOTECH</t>
        </is>
      </c>
      <c r="K39" s="18" t="inlineStr">
        <is>
          <t>industrials</t>
        </is>
      </c>
      <c r="L39" s="19" t="n">
        <v>288</v>
      </c>
      <c r="M39" s="19" t="n">
        <v>3939.81</v>
      </c>
      <c r="N39" s="16" t="n">
        <v>29</v>
      </c>
    </row>
    <row r="40">
      <c r="A40" s="17" t="inlineStr">
        <is>
          <t>BEML</t>
        </is>
      </c>
      <c r="B40" s="18" t="inlineStr">
        <is>
          <t>Beml Limited</t>
        </is>
      </c>
      <c r="C40" s="18" t="inlineStr">
        <is>
          <t>aerospace &amp; defence</t>
        </is>
      </c>
      <c r="D40" s="16" t="n">
        <v>9</v>
      </c>
      <c r="E40" s="16" t="n">
        <v>0</v>
      </c>
      <c r="F40" s="19" t="n">
        <v>16382.11</v>
      </c>
      <c r="J40" s="17" t="inlineStr">
        <is>
          <t>CHEMBONDCH</t>
        </is>
      </c>
      <c r="K40" s="18" t="inlineStr">
        <is>
          <t>chemicals</t>
        </is>
      </c>
      <c r="L40" s="19" t="n">
        <v>288</v>
      </c>
      <c r="M40" s="19" t="n">
        <v>725.62</v>
      </c>
      <c r="N40" s="16" t="n">
        <v>9</v>
      </c>
    </row>
    <row r="41">
      <c r="A41" s="17" t="inlineStr">
        <is>
          <t>FOSECOIND</t>
        </is>
      </c>
      <c r="B41" s="18" t="inlineStr">
        <is>
          <t>Foseco India Limited</t>
        </is>
      </c>
      <c r="C41" s="18" t="inlineStr">
        <is>
          <t>chemicals</t>
        </is>
      </c>
      <c r="D41" s="16" t="n">
        <v>9</v>
      </c>
      <c r="E41" s="16" t="n">
        <v>0</v>
      </c>
      <c r="F41" s="19" t="n">
        <v>4120.62</v>
      </c>
      <c r="J41" s="17" t="inlineStr">
        <is>
          <t>SENORES</t>
        </is>
      </c>
      <c r="K41" s="18" t="inlineStr">
        <is>
          <t>healthcare</t>
        </is>
      </c>
      <c r="L41" s="19" t="n">
        <v>287</v>
      </c>
      <c r="M41" s="19" t="n">
        <v>7142.45</v>
      </c>
      <c r="N41" s="16" t="n">
        <v>22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68.55</v>
      </c>
      <c r="D47" s="28" t="n">
        <v>275</v>
      </c>
      <c r="E47" s="17" t="inlineStr">
        <is>
          <t>INDSWFTLAB</t>
        </is>
      </c>
      <c r="F47" s="18" t="inlineStr">
        <is>
          <t>Ind-swift Laboratories Limited</t>
        </is>
      </c>
      <c r="G47" s="18" t="inlineStr">
        <is>
          <t>healthcare</t>
        </is>
      </c>
      <c r="H47" s="19" t="n">
        <v>2800.68</v>
      </c>
    </row>
    <row r="48">
      <c r="A48" s="16" t="n">
        <v>2</v>
      </c>
      <c r="B48" s="27" t="n">
        <v>99</v>
      </c>
      <c r="C48" s="28" t="n">
        <v>62.13</v>
      </c>
      <c r="D48" s="28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13100.82</v>
      </c>
    </row>
    <row r="49">
      <c r="A49" s="16" t="n">
        <v>3</v>
      </c>
      <c r="B49" s="27" t="n">
        <v>98</v>
      </c>
      <c r="C49" s="28" t="n">
        <v>56.65</v>
      </c>
      <c r="D49" s="28" t="n">
        <v>280</v>
      </c>
      <c r="E49" s="17" t="inlineStr">
        <is>
          <t>MODISONLTD</t>
        </is>
      </c>
      <c r="F49" s="18" t="inlineStr">
        <is>
          <t>Modison Ltd</t>
        </is>
      </c>
      <c r="G49" s="18" t="inlineStr">
        <is>
          <t>industrials</t>
        </is>
      </c>
      <c r="H49" s="19" t="n">
        <v>1273.18</v>
      </c>
    </row>
    <row r="50">
      <c r="A50" s="16" t="n">
        <v>4</v>
      </c>
      <c r="B50" s="27" t="n">
        <v>98</v>
      </c>
      <c r="C50" s="28" t="n">
        <v>55.76</v>
      </c>
      <c r="D50" s="28" t="n">
        <v>278</v>
      </c>
      <c r="E50" s="17" t="inlineStr">
        <is>
          <t>UNIVASTU</t>
        </is>
      </c>
      <c r="F50" s="18" t="inlineStr">
        <is>
          <t>Univastu India Ltd</t>
        </is>
      </c>
      <c r="G50" s="18" t="inlineStr">
        <is>
          <t>realty</t>
        </is>
      </c>
      <c r="H50" s="19" t="n">
        <v>635.0599999999999</v>
      </c>
    </row>
    <row r="51">
      <c r="A51" s="16" t="n">
        <v>5</v>
      </c>
      <c r="B51" s="27" t="n">
        <v>98</v>
      </c>
      <c r="C51" s="28" t="n">
        <v>52.14</v>
      </c>
      <c r="D51" s="28" t="n">
        <v>272</v>
      </c>
      <c r="E51" s="17" t="inlineStr">
        <is>
          <t>BLISSGVS</t>
        </is>
      </c>
      <c r="F51" s="18" t="inlineStr">
        <is>
          <t>Bliss Gvs Pharma Limited</t>
        </is>
      </c>
      <c r="G51" s="18" t="inlineStr">
        <is>
          <t>healthcare</t>
        </is>
      </c>
      <c r="H51" s="19" t="n">
        <v>6085.51</v>
      </c>
    </row>
    <row r="52">
      <c r="A52" s="16" t="n">
        <v>6</v>
      </c>
      <c r="B52" s="27" t="n">
        <v>98</v>
      </c>
      <c r="C52" s="28" t="n">
        <v>51.42</v>
      </c>
      <c r="D52" s="28" t="n">
        <v>258</v>
      </c>
      <c r="E52" s="17" t="inlineStr">
        <is>
          <t>KABRAEXTRU</t>
        </is>
      </c>
      <c r="F52" s="18" t="inlineStr">
        <is>
          <t>Kabra Extrusion Technik Limited</t>
        </is>
      </c>
      <c r="G52" s="18" t="inlineStr">
        <is>
          <t>industrials</t>
        </is>
      </c>
      <c r="H52" s="19" t="n">
        <v>1751.44</v>
      </c>
    </row>
    <row r="53">
      <c r="A53" s="16" t="n">
        <v>7</v>
      </c>
      <c r="B53" s="27" t="n">
        <v>97</v>
      </c>
      <c r="C53" s="28" t="n">
        <v>49.29</v>
      </c>
      <c r="D53" s="28" t="n">
        <v>260</v>
      </c>
      <c r="E53" s="17" t="inlineStr">
        <is>
          <t>YASHO</t>
        </is>
      </c>
      <c r="F53" s="18" t="inlineStr">
        <is>
          <t>Yasho Industries Ltd</t>
        </is>
      </c>
      <c r="G53" s="18" t="inlineStr">
        <is>
          <t>chemicals</t>
        </is>
      </c>
      <c r="H53" s="19" t="n">
        <v>5390.49</v>
      </c>
    </row>
    <row r="54">
      <c r="A54" s="16" t="n">
        <v>8</v>
      </c>
      <c r="B54" s="27" t="n">
        <v>97</v>
      </c>
      <c r="C54" s="28" t="n">
        <v>48.56</v>
      </c>
      <c r="D54" s="28" t="n">
        <v>275</v>
      </c>
      <c r="E54" s="17" t="inlineStr">
        <is>
          <t>DIACABS</t>
        </is>
      </c>
      <c r="F54" s="18" t="inlineStr">
        <is>
          <t>Diamond Power Infrastructure Ltd</t>
        </is>
      </c>
      <c r="G54" s="18" t="inlineStr">
        <is>
          <t>industrials</t>
        </is>
      </c>
      <c r="H54" s="19" t="n">
        <v>18939.34</v>
      </c>
    </row>
    <row r="55">
      <c r="A55" s="16" t="n">
        <v>9</v>
      </c>
      <c r="B55" s="27" t="n">
        <v>97</v>
      </c>
      <c r="C55" s="28" t="n">
        <v>48.29</v>
      </c>
      <c r="D55" s="28" t="n">
        <v>267</v>
      </c>
      <c r="E55" s="17" t="inlineStr">
        <is>
          <t>FREDUN</t>
        </is>
      </c>
      <c r="F55" s="18" t="inlineStr">
        <is>
          <t>Fredun Pharmaceuticals Limited</t>
        </is>
      </c>
      <c r="G55" s="18" t="inlineStr">
        <is>
          <t>Healthcare</t>
        </is>
      </c>
      <c r="H55" s="19" t="n">
        <v>2433.58</v>
      </c>
    </row>
    <row r="56">
      <c r="A56" s="16" t="n">
        <v>10</v>
      </c>
      <c r="B56" s="27" t="n">
        <v>96</v>
      </c>
      <c r="C56" s="28" t="n">
        <v>47.66</v>
      </c>
      <c r="D56" s="28" t="n">
        <v>270</v>
      </c>
      <c r="E56" s="17" t="inlineStr">
        <is>
          <t>MOREPENLAB</t>
        </is>
      </c>
      <c r="F56" s="18" t="inlineStr">
        <is>
          <t>Morepen Laboratories Limited</t>
        </is>
      </c>
      <c r="G56" s="18" t="inlineStr">
        <is>
          <t>healthcare</t>
        </is>
      </c>
      <c r="H56" s="19" t="n">
        <v>4845.01</v>
      </c>
    </row>
    <row r="57">
      <c r="A57" s="16" t="n">
        <v>11</v>
      </c>
      <c r="B57" s="27" t="n">
        <v>96</v>
      </c>
      <c r="C57" s="28" t="n">
        <v>47.52</v>
      </c>
      <c r="D57" s="28" t="n">
        <v>278</v>
      </c>
      <c r="E57" s="17" t="inlineStr">
        <is>
          <t>UFBL</t>
        </is>
      </c>
      <c r="F57" s="18" t="inlineStr">
        <is>
          <t>United Foodbrands Ltd</t>
        </is>
      </c>
      <c r="G57" s="18" t="inlineStr">
        <is>
          <t>consumer discretionary</t>
        </is>
      </c>
      <c r="H57" s="19" t="n">
        <v>3046</v>
      </c>
    </row>
    <row r="58">
      <c r="A58" s="16" t="n">
        <v>12</v>
      </c>
      <c r="B58" s="27" t="n">
        <v>96</v>
      </c>
      <c r="C58" s="28" t="n">
        <v>46.67</v>
      </c>
      <c r="D58" s="28" t="n">
        <v>277</v>
      </c>
      <c r="E58" s="17" t="inlineStr">
        <is>
          <t>KPL</t>
        </is>
      </c>
      <c r="F58" s="18" t="inlineStr">
        <is>
          <t>Kwality Pharmaceuticals Limited</t>
        </is>
      </c>
      <c r="G58" s="18" t="inlineStr">
        <is>
          <t>Healthcare</t>
        </is>
      </c>
      <c r="H58" s="19" t="n">
        <v>3763.71</v>
      </c>
    </row>
    <row r="59">
      <c r="A59" s="16" t="n">
        <v>13</v>
      </c>
      <c r="B59" s="27" t="n">
        <v>96</v>
      </c>
      <c r="C59" s="28" t="n">
        <v>46.45</v>
      </c>
      <c r="D59" s="28" t="n">
        <v>273</v>
      </c>
      <c r="E59" s="17" t="inlineStr">
        <is>
          <t>SETL</t>
        </is>
      </c>
      <c r="F59" s="18" t="inlineStr">
        <is>
          <t>Standard Enginnering Technology Ltd</t>
        </is>
      </c>
      <c r="G59" s="18" t="inlineStr">
        <is>
          <t>industrials</t>
        </is>
      </c>
      <c r="H59" s="19" t="n">
        <v>6176.26</v>
      </c>
    </row>
    <row r="60">
      <c r="A60" s="16" t="n">
        <v>14</v>
      </c>
      <c r="B60" s="27" t="n">
        <v>95</v>
      </c>
      <c r="C60" s="28" t="n">
        <v>44.26</v>
      </c>
      <c r="D60" s="28" t="n">
        <v>225</v>
      </c>
      <c r="E60" s="17" t="inlineStr">
        <is>
          <t>BHAGYANGR</t>
        </is>
      </c>
      <c r="F60" s="18" t="inlineStr">
        <is>
          <t>Bhagyanagar India Limited</t>
        </is>
      </c>
      <c r="G60" s="18" t="inlineStr">
        <is>
          <t>Basic Materials</t>
        </is>
      </c>
      <c r="H60" s="19" t="n">
        <v>1286.26</v>
      </c>
    </row>
    <row r="61">
      <c r="A61" s="16" t="n">
        <v>15</v>
      </c>
      <c r="B61" s="27" t="n">
        <v>95</v>
      </c>
      <c r="C61" s="28" t="n">
        <v>43.34</v>
      </c>
      <c r="D61" s="28" t="n">
        <v>277</v>
      </c>
      <c r="E61" s="17" t="inlineStr">
        <is>
          <t>VENUSREM</t>
        </is>
      </c>
      <c r="F61" s="18" t="inlineStr">
        <is>
          <t>Venus Remedies Limited</t>
        </is>
      </c>
      <c r="G61" s="18" t="inlineStr">
        <is>
          <t>healthcare</t>
        </is>
      </c>
      <c r="H61" s="19" t="n">
        <v>2365.69</v>
      </c>
    </row>
    <row r="62">
      <c r="A62" s="16" t="n">
        <v>16</v>
      </c>
      <c r="B62" s="27" t="n">
        <v>95</v>
      </c>
      <c r="C62" s="28" t="n">
        <v>43.07</v>
      </c>
      <c r="D62" s="28" t="n">
        <v>280</v>
      </c>
      <c r="E62" s="17" t="inlineStr">
        <is>
          <t>UNIVCABLES</t>
        </is>
      </c>
      <c r="F62" s="18" t="inlineStr">
        <is>
          <t>Universal Cables Limited</t>
        </is>
      </c>
      <c r="G62" s="18" t="inlineStr">
        <is>
          <t>industrials</t>
        </is>
      </c>
      <c r="H62" s="19" t="n">
        <v>5766.37</v>
      </c>
    </row>
    <row r="63">
      <c r="A63" s="16" t="n">
        <v>17</v>
      </c>
      <c r="B63" s="29" t="n">
        <v>94</v>
      </c>
      <c r="C63" s="28" t="n">
        <v>41.74</v>
      </c>
      <c r="D63" s="28" t="n">
        <v>260</v>
      </c>
      <c r="E63" s="17" t="inlineStr">
        <is>
          <t>MTARTECH</t>
        </is>
      </c>
      <c r="F63" s="18" t="inlineStr">
        <is>
          <t>MTAR Technologies Ltd</t>
        </is>
      </c>
      <c r="G63" s="18" t="inlineStr">
        <is>
          <t>aerospace &amp; defence</t>
        </is>
      </c>
      <c r="H63" s="19" t="n">
        <v>21281.02</v>
      </c>
    </row>
    <row r="64">
      <c r="A64" s="16" t="n">
        <v>18</v>
      </c>
      <c r="B64" s="29" t="n">
        <v>94</v>
      </c>
      <c r="C64" s="28" t="n">
        <v>41.41</v>
      </c>
      <c r="D64" s="28" t="n">
        <v>270</v>
      </c>
      <c r="E64" s="17" t="inlineStr">
        <is>
          <t>RRKABEL</t>
        </is>
      </c>
      <c r="F64" s="18" t="inlineStr">
        <is>
          <t>R R Kabel Ltd</t>
        </is>
      </c>
      <c r="G64" s="18" t="inlineStr">
        <is>
          <t>industrials</t>
        </is>
      </c>
      <c r="H64" s="19" t="n">
        <v>32787.02</v>
      </c>
    </row>
    <row r="65">
      <c r="A65" s="16" t="n">
        <v>19</v>
      </c>
      <c r="B65" s="29" t="n">
        <v>94</v>
      </c>
      <c r="C65" s="28" t="n">
        <v>39.34</v>
      </c>
      <c r="D65" s="28" t="n">
        <v>268</v>
      </c>
      <c r="E65" s="17" t="inlineStr">
        <is>
          <t>COMSYN</t>
        </is>
      </c>
      <c r="F65" s="18" t="inlineStr">
        <is>
          <t>Commercial Syn Bags Ltd</t>
        </is>
      </c>
      <c r="G65" s="18" t="inlineStr">
        <is>
          <t>industrials</t>
        </is>
      </c>
      <c r="H65" s="19" t="n">
        <v>1131.72</v>
      </c>
    </row>
    <row r="66">
      <c r="A66" s="16" t="n">
        <v>20</v>
      </c>
      <c r="B66" s="29" t="n">
        <v>94</v>
      </c>
      <c r="C66" s="28" t="n">
        <v>38.97</v>
      </c>
      <c r="D66" s="28" t="n">
        <v>270</v>
      </c>
      <c r="E66" s="17" t="inlineStr">
        <is>
          <t>E2E</t>
        </is>
      </c>
      <c r="F66" s="18" t="inlineStr">
        <is>
          <t>E2E Networks Ltd</t>
        </is>
      </c>
      <c r="G66" s="18" t="inlineStr">
        <is>
          <t>i.t</t>
        </is>
      </c>
      <c r="H66" s="19" t="n">
        <v>12978.34</v>
      </c>
    </row>
    <row r="67">
      <c r="A67" s="16" t="n">
        <v>21</v>
      </c>
      <c r="B67" s="29" t="n">
        <v>93</v>
      </c>
      <c r="C67" s="28" t="n">
        <v>38.39</v>
      </c>
      <c r="D67" s="28" t="n">
        <v>300</v>
      </c>
      <c r="E67" s="17" t="inlineStr">
        <is>
          <t>RPTECH</t>
        </is>
      </c>
      <c r="F67" s="18" t="inlineStr">
        <is>
          <t>Rashi Peripherals Ltd</t>
        </is>
      </c>
      <c r="G67" s="18" t="inlineStr">
        <is>
          <t>i.t</t>
        </is>
      </c>
      <c r="H67" s="19" t="n">
        <v>5524.04</v>
      </c>
    </row>
    <row r="68">
      <c r="A68" s="16" t="n">
        <v>22</v>
      </c>
      <c r="B68" s="29" t="n">
        <v>93</v>
      </c>
      <c r="C68" s="28" t="n">
        <v>38.18</v>
      </c>
      <c r="D68" s="28" t="n">
        <v>283</v>
      </c>
      <c r="E68" s="17" t="inlineStr">
        <is>
          <t>PARAS</t>
        </is>
      </c>
      <c r="F68" s="18" t="inlineStr">
        <is>
          <t>Paras Defence and Space Technologies Ltd</t>
        </is>
      </c>
      <c r="G68" s="18" t="inlineStr">
        <is>
          <t>aerospace &amp; defence</t>
        </is>
      </c>
      <c r="H68" s="19" t="n">
        <v>12059.09</v>
      </c>
    </row>
    <row r="69">
      <c r="A69" s="16" t="n">
        <v>23</v>
      </c>
      <c r="B69" s="29" t="n">
        <v>93</v>
      </c>
      <c r="C69" s="28" t="n">
        <v>36.22</v>
      </c>
      <c r="D69" s="28" t="n">
        <v>258</v>
      </c>
      <c r="E69" s="17" t="inlineStr">
        <is>
          <t>MACPOWER</t>
        </is>
      </c>
      <c r="F69" s="18" t="inlineStr">
        <is>
          <t>Macpower CNC Machines Ltd</t>
        </is>
      </c>
      <c r="G69" s="18" t="inlineStr">
        <is>
          <t>industrials</t>
        </is>
      </c>
      <c r="H69" s="19" t="n">
        <v>1944.01</v>
      </c>
    </row>
    <row r="70">
      <c r="A70" s="16" t="n">
        <v>24</v>
      </c>
      <c r="B70" s="29" t="n">
        <v>93</v>
      </c>
      <c r="C70" s="28" t="n">
        <v>36.21</v>
      </c>
      <c r="D70" s="28" t="n">
        <v>285</v>
      </c>
      <c r="E70" s="17" t="inlineStr">
        <is>
          <t>TFCILTD</t>
        </is>
      </c>
      <c r="F70" s="18" t="inlineStr">
        <is>
          <t>Tourism Finance Corporation Of India Limited</t>
        </is>
      </c>
      <c r="G70" s="18" t="inlineStr">
        <is>
          <t>financials</t>
        </is>
      </c>
      <c r="H70" s="19" t="n">
        <v>6083.98</v>
      </c>
    </row>
    <row r="71">
      <c r="A71" s="16" t="n">
        <v>25</v>
      </c>
      <c r="B71" s="29" t="n">
        <v>92</v>
      </c>
      <c r="C71" s="28" t="n">
        <v>36.13</v>
      </c>
      <c r="D71" s="28" t="n">
        <v>273</v>
      </c>
      <c r="E71" s="17" t="inlineStr">
        <is>
          <t>HAPPYFORGE</t>
        </is>
      </c>
      <c r="F71" s="18" t="inlineStr">
        <is>
          <t>Happy Forgings Ltd</t>
        </is>
      </c>
      <c r="G71" s="18" t="inlineStr">
        <is>
          <t>industrials</t>
        </is>
      </c>
      <c r="H71" s="19" t="n">
        <v>21781.67</v>
      </c>
    </row>
    <row r="72">
      <c r="A72" s="16" t="n">
        <v>26</v>
      </c>
      <c r="B72" s="29" t="n">
        <v>92</v>
      </c>
      <c r="C72" s="28" t="n">
        <v>35.89</v>
      </c>
      <c r="D72" s="28" t="n">
        <v>270</v>
      </c>
      <c r="E72" s="17" t="inlineStr">
        <is>
          <t>SKYGOLD</t>
        </is>
      </c>
      <c r="F72" s="18" t="inlineStr">
        <is>
          <t>Sky Gold Ltd</t>
        </is>
      </c>
      <c r="G72" s="18" t="inlineStr">
        <is>
          <t>consumer discretionary</t>
        </is>
      </c>
      <c r="H72" s="19" t="n">
        <v>12045.32</v>
      </c>
    </row>
    <row r="73">
      <c r="A73" s="16" t="n">
        <v>27</v>
      </c>
      <c r="B73" s="29" t="n">
        <v>92</v>
      </c>
      <c r="C73" s="28" t="n">
        <v>35.42</v>
      </c>
      <c r="D73" s="28" t="n">
        <v>268</v>
      </c>
      <c r="E73" s="17" t="inlineStr">
        <is>
          <t>HITECHCORP</t>
        </is>
      </c>
      <c r="F73" s="18" t="inlineStr">
        <is>
          <t>Hitech Corporation</t>
        </is>
      </c>
      <c r="G73" s="18" t="inlineStr">
        <is>
          <t>industrials</t>
        </is>
      </c>
      <c r="H73" s="19" t="n">
        <v>570.23</v>
      </c>
    </row>
    <row r="74">
      <c r="A74" s="16" t="n">
        <v>28</v>
      </c>
      <c r="B74" s="29" t="n">
        <v>91</v>
      </c>
      <c r="C74" s="28" t="n">
        <v>34.92</v>
      </c>
      <c r="D74" s="28" t="n">
        <v>257</v>
      </c>
      <c r="E74" s="17" t="inlineStr">
        <is>
          <t>MODINSU</t>
        </is>
      </c>
      <c r="F74" s="18" t="inlineStr">
        <is>
          <t>Modern Insulators Limited</t>
        </is>
      </c>
      <c r="G74" s="18" t="inlineStr">
        <is>
          <t>Technology</t>
        </is>
      </c>
      <c r="H74" s="19" t="n">
        <v>2175.93</v>
      </c>
    </row>
    <row r="75">
      <c r="A75" s="16" t="n">
        <v>29</v>
      </c>
      <c r="B75" s="29" t="n">
        <v>91</v>
      </c>
      <c r="C75" s="28" t="n">
        <v>33.78</v>
      </c>
      <c r="D75" s="28" t="n">
        <v>243</v>
      </c>
      <c r="E75" s="17" t="inlineStr">
        <is>
          <t>SOTL</t>
        </is>
      </c>
      <c r="F75" s="18" t="inlineStr">
        <is>
          <t>Savita Oil Technologies Limited</t>
        </is>
      </c>
      <c r="G75" s="18" t="inlineStr">
        <is>
          <t>energy</t>
        </is>
      </c>
      <c r="H75" s="19" t="n">
        <v>4795.12</v>
      </c>
    </row>
    <row r="76">
      <c r="A76" s="16" t="n">
        <v>30</v>
      </c>
      <c r="B76" s="29" t="n">
        <v>91</v>
      </c>
      <c r="C76" s="28" t="n">
        <v>33.59</v>
      </c>
      <c r="D76" s="28" t="n">
        <v>298</v>
      </c>
      <c r="E76" s="17" t="inlineStr">
        <is>
          <t>VINDHYATEL</t>
        </is>
      </c>
      <c r="F76" s="18" t="inlineStr">
        <is>
          <t>Vindhya Telelinks Limited</t>
        </is>
      </c>
      <c r="G76" s="18" t="inlineStr">
        <is>
          <t>realty</t>
        </is>
      </c>
      <c r="H76" s="19" t="n">
        <v>2890.19</v>
      </c>
    </row>
    <row r="77">
      <c r="A77" s="16" t="n">
        <v>31</v>
      </c>
      <c r="B77" s="29" t="n">
        <v>91</v>
      </c>
      <c r="C77" s="28" t="n">
        <v>33.56</v>
      </c>
      <c r="D77" s="28" t="n">
        <v>275</v>
      </c>
      <c r="E77" s="17" t="inlineStr">
        <is>
          <t>AVALON</t>
        </is>
      </c>
      <c r="F77" s="18" t="inlineStr">
        <is>
          <t>Avalon Technologies Ltd</t>
        </is>
      </c>
      <c r="G77" s="18" t="inlineStr">
        <is>
          <t>consumer discretionary</t>
        </is>
      </c>
      <c r="H77" s="19" t="n">
        <v>15003.25</v>
      </c>
    </row>
    <row r="78">
      <c r="A78" s="16" t="n">
        <v>32</v>
      </c>
      <c r="B78" s="29" t="n">
        <v>90</v>
      </c>
      <c r="C78" s="28" t="n">
        <v>33.28</v>
      </c>
      <c r="D78" s="28" t="n">
        <v>283</v>
      </c>
      <c r="E78" s="17" t="inlineStr">
        <is>
          <t>FILATEX</t>
        </is>
      </c>
      <c r="F78" s="18" t="inlineStr">
        <is>
          <t>Filatex India Limited</t>
        </is>
      </c>
      <c r="G78" s="18" t="inlineStr">
        <is>
          <t>textiles</t>
        </is>
      </c>
      <c r="H78" s="19" t="n">
        <v>3692.35</v>
      </c>
    </row>
    <row r="79">
      <c r="A79" s="16" t="n">
        <v>33</v>
      </c>
      <c r="B79" s="29" t="n">
        <v>90</v>
      </c>
      <c r="C79" s="28" t="n">
        <v>32.71</v>
      </c>
      <c r="D79" s="28" t="n">
        <v>290</v>
      </c>
      <c r="E79" s="17" t="inlineStr">
        <is>
          <t>INDOBORAX</t>
        </is>
      </c>
      <c r="F79" s="18" t="inlineStr">
        <is>
          <t>Indo Borax &amp; Chemicals Ltd</t>
        </is>
      </c>
      <c r="G79" s="18" t="inlineStr">
        <is>
          <t>chemicals</t>
        </is>
      </c>
      <c r="H79" s="19" t="n">
        <v>1392.22</v>
      </c>
    </row>
    <row r="80">
      <c r="A80" s="16" t="n">
        <v>34</v>
      </c>
      <c r="B80" s="29" t="n">
        <v>90</v>
      </c>
      <c r="C80" s="28" t="n">
        <v>32.36</v>
      </c>
      <c r="D80" s="28" t="n">
        <v>238</v>
      </c>
      <c r="E80" s="17" t="inlineStr">
        <is>
          <t>MARINE</t>
        </is>
      </c>
      <c r="F80" s="18" t="inlineStr">
        <is>
          <t>Marine Electricals (India) Ltd</t>
        </is>
      </c>
      <c r="G80" s="18" t="inlineStr">
        <is>
          <t>industrials</t>
        </is>
      </c>
      <c r="H80" s="19" t="n">
        <v>5198.24</v>
      </c>
    </row>
    <row r="8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KRONOX</t>
        </is>
      </c>
      <c r="B2" s="31" t="inlineStr">
        <is>
          <t>Kronox Lab Sciences Ltd</t>
        </is>
      </c>
      <c r="C2" s="31" t="inlineStr">
        <is>
          <t>chemicals</t>
        </is>
      </c>
      <c r="D2" s="31" t="inlineStr">
        <is>
          <t>chemicals</t>
        </is>
      </c>
      <c r="E2" s="31" t="inlineStr">
        <is>
          <t>smallcap</t>
        </is>
      </c>
      <c r="F2" s="31" t="n">
        <v>575.71</v>
      </c>
      <c r="G2" s="31" t="n">
        <v>186.19</v>
      </c>
      <c r="H2" s="31" t="n">
        <v>20</v>
      </c>
      <c r="I2" s="31" t="n">
        <v>1453683</v>
      </c>
      <c r="J2" s="31" t="inlineStr">
        <is>
          <t>544187</t>
        </is>
      </c>
    </row>
    <row r="3">
      <c r="A3" s="31" t="inlineStr">
        <is>
          <t>BANARISUG</t>
        </is>
      </c>
      <c r="B3" s="31" t="inlineStr">
        <is>
          <t>Bannari Amman Sugars Limited</t>
        </is>
      </c>
      <c r="C3" s="31" t="inlineStr">
        <is>
          <t>fmcg</t>
        </is>
      </c>
      <c r="D3" s="31" t="inlineStr">
        <is>
          <t>sugar</t>
        </is>
      </c>
      <c r="E3" s="31" t="inlineStr">
        <is>
          <t>smallcap</t>
        </is>
      </c>
      <c r="F3" s="31" t="n">
        <v>4536.11</v>
      </c>
      <c r="G3" s="31" t="n">
        <v>4265</v>
      </c>
      <c r="H3" s="31" t="n">
        <v>17.9</v>
      </c>
      <c r="I3" s="31" t="n">
        <v>16574</v>
      </c>
      <c r="J3" s="31" t="inlineStr">
        <is>
          <t>500041</t>
        </is>
      </c>
    </row>
    <row r="4">
      <c r="A4" s="31" t="inlineStr">
        <is>
          <t>BALRAMCHIN</t>
        </is>
      </c>
      <c r="B4" s="31" t="inlineStr">
        <is>
          <t>Balrampur Chini Mills Limited</t>
        </is>
      </c>
      <c r="C4" s="31" t="inlineStr">
        <is>
          <t>fmcg</t>
        </is>
      </c>
      <c r="D4" s="31" t="inlineStr">
        <is>
          <t>sugar</t>
        </is>
      </c>
      <c r="E4" s="31" t="inlineStr">
        <is>
          <t>midcap</t>
        </is>
      </c>
      <c r="F4" s="31" t="n">
        <v>13749.27</v>
      </c>
      <c r="G4" s="31" t="n">
        <v>760.85</v>
      </c>
      <c r="H4" s="31" t="n">
        <v>16.91</v>
      </c>
      <c r="I4" s="31" t="n">
        <v>8841825</v>
      </c>
      <c r="J4" s="31" t="inlineStr">
        <is>
          <t>500038</t>
        </is>
      </c>
    </row>
    <row r="5">
      <c r="A5" s="31" t="inlineStr">
        <is>
          <t>SOLARA</t>
        </is>
      </c>
      <c r="B5" s="31" t="inlineStr">
        <is>
          <t>Solara Active Pharma Sciences Ltd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smallcap</t>
        </is>
      </c>
      <c r="F5" s="31" t="n">
        <v>2653.77</v>
      </c>
      <c r="G5" s="31" t="n">
        <v>637.15</v>
      </c>
      <c r="H5" s="31" t="n">
        <v>15.83</v>
      </c>
      <c r="I5" s="31" t="n">
        <v>2028841</v>
      </c>
      <c r="J5" s="31" t="inlineStr">
        <is>
          <t>541540</t>
        </is>
      </c>
    </row>
    <row r="6">
      <c r="A6" s="31" t="inlineStr">
        <is>
          <t>INDOBORAX</t>
        </is>
      </c>
      <c r="B6" s="31" t="inlineStr">
        <is>
          <t>Indo Borax &amp; Chemicals Ltd</t>
        </is>
      </c>
      <c r="C6" s="31" t="inlineStr">
        <is>
          <t>chemicals</t>
        </is>
      </c>
      <c r="D6" s="31" t="inlineStr">
        <is>
          <t>chemicals</t>
        </is>
      </c>
      <c r="E6" s="31" t="inlineStr">
        <is>
          <t>smallcap</t>
        </is>
      </c>
      <c r="F6" s="31" t="n">
        <v>1392.22</v>
      </c>
      <c r="G6" s="31" t="n">
        <v>498</v>
      </c>
      <c r="H6" s="31" t="n">
        <v>14.79</v>
      </c>
      <c r="I6" s="31" t="n">
        <v>1875125</v>
      </c>
      <c r="J6" s="31" t="inlineStr">
        <is>
          <t>524342</t>
        </is>
      </c>
    </row>
    <row r="7">
      <c r="A7" s="31" t="inlineStr">
        <is>
          <t>BAJAJHIND</t>
        </is>
      </c>
      <c r="B7" s="31" t="inlineStr">
        <is>
          <t>Bajaj Hindusthan Sugar Limited</t>
        </is>
      </c>
      <c r="C7" s="31" t="inlineStr">
        <is>
          <t>fmcg</t>
        </is>
      </c>
      <c r="D7" s="31" t="inlineStr">
        <is>
          <t>sugar</t>
        </is>
      </c>
      <c r="E7" s="31" t="inlineStr">
        <is>
          <t>smallcap</t>
        </is>
      </c>
      <c r="F7" s="31" t="n">
        <v>4872.18</v>
      </c>
      <c r="G7" s="31" t="n">
        <v>23.28</v>
      </c>
      <c r="H7" s="31" t="n">
        <v>14.23</v>
      </c>
      <c r="I7" s="31" t="n">
        <v>75265640</v>
      </c>
      <c r="J7" s="31" t="inlineStr">
        <is>
          <t>500032</t>
        </is>
      </c>
    </row>
    <row r="8">
      <c r="A8" s="31" t="inlineStr">
        <is>
          <t>DWARKESH</t>
        </is>
      </c>
      <c r="B8" s="31" t="inlineStr">
        <is>
          <t>Dwarikesh Sugar Industries Limited</t>
        </is>
      </c>
      <c r="C8" s="31" t="inlineStr">
        <is>
          <t>fmcg</t>
        </is>
      </c>
      <c r="D8" s="31" t="inlineStr">
        <is>
          <t>sugar</t>
        </is>
      </c>
      <c r="E8" s="31" t="inlineStr">
        <is>
          <t>smallcap</t>
        </is>
      </c>
      <c r="F8" s="31" t="n">
        <v>894.64</v>
      </c>
      <c r="G8" s="31" t="n">
        <v>54.95</v>
      </c>
      <c r="H8" s="31" t="n">
        <v>13.82</v>
      </c>
      <c r="I8" s="31" t="n">
        <v>13584919</v>
      </c>
      <c r="J8" s="31" t="inlineStr">
        <is>
          <t>532610</t>
        </is>
      </c>
    </row>
    <row r="9">
      <c r="A9" s="31" t="inlineStr">
        <is>
          <t>SUVEN</t>
        </is>
      </c>
      <c r="B9" s="31" t="inlineStr">
        <is>
          <t>Suven Life Sciences Limited</t>
        </is>
      </c>
      <c r="C9" s="31" t="inlineStr">
        <is>
          <t>healthcare</t>
        </is>
      </c>
      <c r="D9" s="31" t="inlineStr">
        <is>
          <t>miscellaneous</t>
        </is>
      </c>
      <c r="E9" s="31" t="inlineStr">
        <is>
          <t>smallcap</t>
        </is>
      </c>
      <c r="F9" s="31" t="n">
        <v>642.4400000000001</v>
      </c>
      <c r="G9" s="31" t="n">
        <v>375.5</v>
      </c>
      <c r="H9" s="31" t="n">
        <v>12.92</v>
      </c>
      <c r="I9" s="31" t="n">
        <v>918040</v>
      </c>
      <c r="J9" s="31" t="inlineStr">
        <is>
          <t>530239</t>
        </is>
      </c>
    </row>
    <row r="10">
      <c r="A10" s="31" t="inlineStr">
        <is>
          <t>UGARSUGAR</t>
        </is>
      </c>
      <c r="B10" s="31" t="inlineStr">
        <is>
          <t>The Ugar Sugar Works Limited</t>
        </is>
      </c>
      <c r="C10" s="31" t="inlineStr">
        <is>
          <t>fmcg</t>
        </is>
      </c>
      <c r="D10" s="31" t="inlineStr">
        <is>
          <t>sugar</t>
        </is>
      </c>
      <c r="E10" s="31" t="inlineStr">
        <is>
          <t>smallcap</t>
        </is>
      </c>
      <c r="F10" s="31" t="n">
        <v>567.11</v>
      </c>
      <c r="G10" s="31" t="n">
        <v>56.07</v>
      </c>
      <c r="H10" s="31" t="n">
        <v>11.23</v>
      </c>
      <c r="I10" s="31" t="n">
        <v>1255601</v>
      </c>
      <c r="J10" s="31" t="inlineStr">
        <is>
          <t>530363</t>
        </is>
      </c>
    </row>
    <row r="11">
      <c r="A11" s="31" t="inlineStr">
        <is>
          <t>UTTAMSUGAR</t>
        </is>
      </c>
      <c r="B11" s="31" t="inlineStr">
        <is>
          <t>Uttam Sugar Mills Limited</t>
        </is>
      </c>
      <c r="C11" s="31" t="inlineStr">
        <is>
          <t>fmcg</t>
        </is>
      </c>
      <c r="D11" s="31" t="inlineStr">
        <is>
          <t>sugar</t>
        </is>
      </c>
      <c r="E11" s="31" t="inlineStr">
        <is>
          <t>smallcap</t>
        </is>
      </c>
      <c r="F11" s="31" t="n">
        <v>1147.92</v>
      </c>
      <c r="G11" s="31" t="n">
        <v>332.64</v>
      </c>
      <c r="H11" s="31" t="n">
        <v>10.52</v>
      </c>
      <c r="I11" s="31" t="n">
        <v>544872</v>
      </c>
      <c r="J11" s="31" t="inlineStr">
        <is>
          <t>532729</t>
        </is>
      </c>
    </row>
    <row r="12">
      <c r="A12" s="31" t="inlineStr">
        <is>
          <t>PVP</t>
        </is>
      </c>
      <c r="B12" s="31" t="inlineStr">
        <is>
          <t>Pvp Ventures Limited</t>
        </is>
      </c>
      <c r="C12" s="31" t="inlineStr">
        <is>
          <t>realty</t>
        </is>
      </c>
      <c r="D12" s="31" t="inlineStr">
        <is>
          <t>construction</t>
        </is>
      </c>
      <c r="E12" s="31" t="inlineStr">
        <is>
          <t>smallcap</t>
        </is>
      </c>
      <c r="F12" s="31" t="n">
        <v>1018.96</v>
      </c>
      <c r="G12" s="31" t="n">
        <v>42.9</v>
      </c>
      <c r="H12" s="31" t="n">
        <v>9.630000000000001</v>
      </c>
      <c r="I12" s="31" t="n">
        <v>1202285</v>
      </c>
      <c r="J12" s="31" t="inlineStr">
        <is>
          <t>517556</t>
        </is>
      </c>
    </row>
    <row r="13">
      <c r="A13" s="31" t="inlineStr">
        <is>
          <t>MAWANASUG</t>
        </is>
      </c>
      <c r="B13" s="31" t="inlineStr">
        <is>
          <t>Mawana Sugars Limited</t>
        </is>
      </c>
      <c r="C13" s="31" t="inlineStr">
        <is>
          <t>fmcg</t>
        </is>
      </c>
      <c r="D13" s="31" t="inlineStr">
        <is>
          <t>sugar</t>
        </is>
      </c>
      <c r="E13" s="31" t="inlineStr">
        <is>
          <t>smallcap</t>
        </is>
      </c>
      <c r="F13" s="31" t="n">
        <v>503.51</v>
      </c>
      <c r="G13" s="31" t="n">
        <v>140.9</v>
      </c>
      <c r="H13" s="31" t="n">
        <v>9.460000000000001</v>
      </c>
      <c r="I13" s="31" t="n">
        <v>593896</v>
      </c>
      <c r="J13" s="31" t="inlineStr">
        <is>
          <t>523371</t>
        </is>
      </c>
    </row>
    <row r="14">
      <c r="A14" s="31" t="inlineStr">
        <is>
          <t>MANGLMCEM</t>
        </is>
      </c>
      <c r="B14" s="31" t="inlineStr">
        <is>
          <t>Mangalam Cement Limited</t>
        </is>
      </c>
      <c r="C14" s="31" t="inlineStr">
        <is>
          <t>building materials</t>
        </is>
      </c>
      <c r="D14" s="31" t="inlineStr">
        <is>
          <t>cement - north india</t>
        </is>
      </c>
      <c r="E14" s="31" t="inlineStr">
        <is>
          <t>smallcap</t>
        </is>
      </c>
      <c r="F14" s="31" t="n">
        <v>2460.46</v>
      </c>
      <c r="G14" s="31" t="n">
        <v>978.2</v>
      </c>
      <c r="H14" s="31" t="n">
        <v>9.32</v>
      </c>
      <c r="I14" s="31" t="n">
        <v>718563</v>
      </c>
      <c r="J14" s="31" t="inlineStr">
        <is>
          <t>502157</t>
        </is>
      </c>
    </row>
    <row r="15">
      <c r="A15" s="31" t="inlineStr">
        <is>
          <t>INDORAMA</t>
        </is>
      </c>
      <c r="B15" s="31" t="inlineStr">
        <is>
          <t>Indo Rama Synthetics (india) Limited</t>
        </is>
      </c>
      <c r="C15" s="31" t="inlineStr">
        <is>
          <t>textiles</t>
        </is>
      </c>
      <c r="D15" s="31" t="inlineStr">
        <is>
          <t>textiles - manmade</t>
        </is>
      </c>
      <c r="E15" s="31" t="inlineStr">
        <is>
          <t>smallcap</t>
        </is>
      </c>
      <c r="F15" s="31" t="n">
        <v>1469.81</v>
      </c>
      <c r="G15" s="31" t="n">
        <v>61.45</v>
      </c>
      <c r="H15" s="31" t="n">
        <v>9.17</v>
      </c>
      <c r="I15" s="31" t="n">
        <v>227013</v>
      </c>
      <c r="J15" s="31" t="inlineStr">
        <is>
          <t>500207</t>
        </is>
      </c>
    </row>
    <row r="16">
      <c r="A16" s="31" t="inlineStr">
        <is>
          <t>MOREPENLAB</t>
        </is>
      </c>
      <c r="B16" s="31" t="inlineStr">
        <is>
          <t>Morepen Laboratories Limited</t>
        </is>
      </c>
      <c r="C16" s="31" t="inlineStr">
        <is>
          <t>healthcare</t>
        </is>
      </c>
      <c r="D16" s="31" t="inlineStr">
        <is>
          <t>pharmaceuticals - indian - bulk drugs &amp; formln</t>
        </is>
      </c>
      <c r="E16" s="31" t="inlineStr">
        <is>
          <t>smallcap</t>
        </is>
      </c>
      <c r="F16" s="31" t="n">
        <v>4845.01</v>
      </c>
      <c r="G16" s="31" t="n">
        <v>96.5</v>
      </c>
      <c r="H16" s="31" t="n">
        <v>9.140000000000001</v>
      </c>
      <c r="I16" s="31" t="n">
        <v>13211752</v>
      </c>
      <c r="J16" s="31" t="inlineStr">
        <is>
          <t>500288</t>
        </is>
      </c>
    </row>
    <row r="17">
      <c r="A17" s="31" t="inlineStr">
        <is>
          <t>AVADHSUGAR</t>
        </is>
      </c>
      <c r="B17" s="31" t="inlineStr">
        <is>
          <t>Avadh Sugar &amp; Energy</t>
        </is>
      </c>
      <c r="C17" s="31" t="inlineStr">
        <is>
          <t>fmcg</t>
        </is>
      </c>
      <c r="D17" s="31" t="inlineStr">
        <is>
          <t>sugar</t>
        </is>
      </c>
      <c r="E17" s="31" t="inlineStr">
        <is>
          <t>smallcap</t>
        </is>
      </c>
      <c r="F17" s="31" t="n">
        <v>1489.17</v>
      </c>
      <c r="G17" s="31" t="n">
        <v>811</v>
      </c>
      <c r="H17" s="31" t="n">
        <v>9.02</v>
      </c>
      <c r="I17" s="31" t="n">
        <v>718476</v>
      </c>
      <c r="J17" s="31" t="inlineStr">
        <is>
          <t>540649</t>
        </is>
      </c>
    </row>
    <row r="18">
      <c r="A18" s="31" t="inlineStr">
        <is>
          <t>ORIENTCER</t>
        </is>
      </c>
      <c r="B18" s="31" t="inlineStr">
        <is>
          <t>Orient Ceratech Ltd</t>
        </is>
      </c>
      <c r="C18" s="31" t="inlineStr">
        <is>
          <t>building materials</t>
        </is>
      </c>
      <c r="D18" s="31" t="inlineStr">
        <is>
          <t>refractories / intermediates</t>
        </is>
      </c>
      <c r="E18" s="31" t="inlineStr">
        <is>
          <t>smallcap</t>
        </is>
      </c>
      <c r="F18" s="31" t="n">
        <v>515.88</v>
      </c>
      <c r="G18" s="31" t="n">
        <v>47</v>
      </c>
      <c r="H18" s="31" t="n">
        <v>9</v>
      </c>
      <c r="I18" s="31" t="n">
        <v>85308</v>
      </c>
      <c r="J18" s="31" t="inlineStr">
        <is>
          <t>504879</t>
        </is>
      </c>
    </row>
    <row r="19">
      <c r="A19" s="31" t="inlineStr">
        <is>
          <t>VERANDA</t>
        </is>
      </c>
      <c r="B19" s="31" t="inlineStr">
        <is>
          <t>Veranda Learning Solutions Ltd</t>
        </is>
      </c>
      <c r="C19" s="31" t="inlineStr">
        <is>
          <t>services</t>
        </is>
      </c>
      <c r="D19" s="31" t="inlineStr">
        <is>
          <t>miscellaneous</t>
        </is>
      </c>
      <c r="E19" s="31" t="inlineStr">
        <is>
          <t>smallcap</t>
        </is>
      </c>
      <c r="F19" s="31" t="n">
        <v>2251.02</v>
      </c>
      <c r="G19" s="31" t="n">
        <v>253.6</v>
      </c>
      <c r="H19" s="31" t="n">
        <v>8.52</v>
      </c>
      <c r="I19" s="31" t="n">
        <v>2566887</v>
      </c>
      <c r="J19" s="31" t="inlineStr">
        <is>
          <t>543514</t>
        </is>
      </c>
    </row>
    <row r="20">
      <c r="A20" s="31" t="inlineStr">
        <is>
          <t>EPL</t>
        </is>
      </c>
      <c r="B20" s="31" t="inlineStr">
        <is>
          <t>EPL Ltd</t>
        </is>
      </c>
      <c r="C20" s="31" t="inlineStr">
        <is>
          <t>industrials</t>
        </is>
      </c>
      <c r="D20" s="31" t="inlineStr">
        <is>
          <t>packaging</t>
        </is>
      </c>
      <c r="E20" s="31" t="inlineStr">
        <is>
          <t>midcap</t>
        </is>
      </c>
      <c r="F20" s="31" t="n">
        <v>8032.61</v>
      </c>
      <c r="G20" s="31" t="n">
        <v>271.58</v>
      </c>
      <c r="H20" s="31" t="n">
        <v>8.289999999999999</v>
      </c>
      <c r="I20" s="31" t="n">
        <v>1799758</v>
      </c>
      <c r="J20" s="31" t="inlineStr">
        <is>
          <t>500135</t>
        </is>
      </c>
    </row>
    <row r="21">
      <c r="A21" s="31" t="inlineStr">
        <is>
          <t>GENUSPOWER</t>
        </is>
      </c>
      <c r="B21" s="31" t="inlineStr">
        <is>
          <t>Genus Power Infrastructures Limited</t>
        </is>
      </c>
      <c r="C21" s="31" t="inlineStr">
        <is>
          <t>consumer discretionary</t>
        </is>
      </c>
      <c r="D21" s="31" t="inlineStr">
        <is>
          <t>electronics - components</t>
        </is>
      </c>
      <c r="E21" s="31" t="inlineStr">
        <is>
          <t>midcap</t>
        </is>
      </c>
      <c r="F21" s="31" t="n">
        <v>9410.219999999999</v>
      </c>
      <c r="G21" s="31" t="n">
        <v>334.25</v>
      </c>
      <c r="H21" s="31" t="n">
        <v>8.07</v>
      </c>
      <c r="I21" s="31" t="n">
        <v>5862051</v>
      </c>
      <c r="J21" s="31" t="inlineStr">
        <is>
          <t>530343</t>
        </is>
      </c>
    </row>
    <row r="22">
      <c r="A22" s="31" t="inlineStr">
        <is>
          <t>DHAMPURSUG</t>
        </is>
      </c>
      <c r="B22" s="31" t="inlineStr">
        <is>
          <t>Dhampur Sugar Mills Limited</t>
        </is>
      </c>
      <c r="C22" s="31" t="inlineStr">
        <is>
          <t>fmcg</t>
        </is>
      </c>
      <c r="D22" s="31" t="inlineStr">
        <is>
          <t>sugar</t>
        </is>
      </c>
      <c r="E22" s="31" t="inlineStr">
        <is>
          <t>smallcap</t>
        </is>
      </c>
      <c r="F22" s="31" t="n">
        <v>1132.95</v>
      </c>
      <c r="G22" s="31" t="n">
        <v>189.71</v>
      </c>
      <c r="H22" s="31" t="n">
        <v>7.68</v>
      </c>
      <c r="I22" s="31" t="n">
        <v>1843823</v>
      </c>
      <c r="J22" s="31" t="inlineStr">
        <is>
          <t>500119</t>
        </is>
      </c>
    </row>
    <row r="23">
      <c r="A23" s="31" t="inlineStr">
        <is>
          <t>RATNAVEER</t>
        </is>
      </c>
      <c r="B23" s="31" t="inlineStr">
        <is>
          <t>Ratnaveer Precision Engineering Ltd</t>
        </is>
      </c>
      <c r="C23" s="31" t="inlineStr">
        <is>
          <t>metals &amp; mining</t>
        </is>
      </c>
      <c r="D23" s="31" t="inlineStr">
        <is>
          <t>steel - medium / small</t>
        </is>
      </c>
      <c r="E23" s="31" t="inlineStr">
        <is>
          <t>smallcap</t>
        </is>
      </c>
      <c r="F23" s="31" t="n">
        <v>1788.52</v>
      </c>
      <c r="G23" s="31" t="n">
        <v>269.24</v>
      </c>
      <c r="H23" s="31" t="n">
        <v>7.52</v>
      </c>
      <c r="I23" s="31" t="n">
        <v>3775345</v>
      </c>
      <c r="J23" s="31" t="inlineStr">
        <is>
          <t>543978</t>
        </is>
      </c>
    </row>
    <row r="24">
      <c r="A24" s="31" t="inlineStr">
        <is>
          <t>MAGADSUGAR</t>
        </is>
      </c>
      <c r="B24" s="31" t="inlineStr">
        <is>
          <t>Magadh Sugar &amp; Energy Ltd</t>
        </is>
      </c>
      <c r="C24" s="31" t="inlineStr">
        <is>
          <t>fmcg</t>
        </is>
      </c>
      <c r="D24" s="31" t="inlineStr">
        <is>
          <t>sugar</t>
        </is>
      </c>
      <c r="E24" s="31" t="inlineStr">
        <is>
          <t>smallcap</t>
        </is>
      </c>
      <c r="F24" s="31" t="n">
        <v>818.09</v>
      </c>
      <c r="G24" s="31" t="n">
        <v>623.4</v>
      </c>
      <c r="H24" s="31" t="n">
        <v>7.38</v>
      </c>
      <c r="I24" s="31" t="n">
        <v>85527</v>
      </c>
      <c r="J24" s="31" t="inlineStr">
        <is>
          <t>540650</t>
        </is>
      </c>
    </row>
    <row r="25">
      <c r="A25" s="31" t="inlineStr">
        <is>
          <t>KRYSTAL</t>
        </is>
      </c>
      <c r="B25" s="31" t="inlineStr">
        <is>
          <t>Krystal Integrated Services Ltd</t>
        </is>
      </c>
      <c r="C25" s="31" t="inlineStr">
        <is>
          <t>miscellaneous</t>
        </is>
      </c>
      <c r="D25" s="31" t="inlineStr">
        <is>
          <t>miscellaneous</t>
        </is>
      </c>
      <c r="E25" s="31" t="inlineStr">
        <is>
          <t>smallcap</t>
        </is>
      </c>
      <c r="F25" s="31" t="n">
        <v>879.46</v>
      </c>
      <c r="G25" s="31" t="n">
        <v>675.25</v>
      </c>
      <c r="H25" s="31" t="n">
        <v>7.28</v>
      </c>
      <c r="I25" s="31" t="n">
        <v>63813</v>
      </c>
      <c r="J25" s="31" t="inlineStr">
        <is>
          <t>544149</t>
        </is>
      </c>
    </row>
    <row r="26">
      <c r="A26" s="31" t="inlineStr">
        <is>
          <t>SUBEXLTD</t>
        </is>
      </c>
      <c r="B26" s="31" t="inlineStr">
        <is>
          <t>Subex Ltd</t>
        </is>
      </c>
      <c r="C26" s="31" t="inlineStr">
        <is>
          <t>i.t</t>
        </is>
      </c>
      <c r="D26" s="31" t="inlineStr">
        <is>
          <t>computers - software - medium / small</t>
        </is>
      </c>
      <c r="E26" s="31" t="inlineStr">
        <is>
          <t>smallcap</t>
        </is>
      </c>
      <c r="F26" s="31" t="n">
        <v>894.71</v>
      </c>
      <c r="G26" s="31" t="n">
        <v>17.06</v>
      </c>
      <c r="H26" s="31" t="n">
        <v>7.16</v>
      </c>
      <c r="I26" s="31" t="n">
        <v>3622695</v>
      </c>
      <c r="J26" s="31" t="inlineStr">
        <is>
          <t>532348</t>
        </is>
      </c>
    </row>
    <row r="27">
      <c r="A27" s="31" t="inlineStr">
        <is>
          <t>NETWEB</t>
        </is>
      </c>
      <c r="B27" s="31" t="inlineStr">
        <is>
          <t>Netweb Technologies India Ltd</t>
        </is>
      </c>
      <c r="C27" s="31" t="inlineStr">
        <is>
          <t>i.t</t>
        </is>
      </c>
      <c r="D27" s="31" t="inlineStr">
        <is>
          <t>computers - hardware</t>
        </is>
      </c>
      <c r="E27" s="31" t="inlineStr">
        <is>
          <t>largecap</t>
        </is>
      </c>
      <c r="F27" s="31" t="n">
        <v>28840.46</v>
      </c>
      <c r="G27" s="31" t="n">
        <v>5425.1</v>
      </c>
      <c r="H27" s="31" t="n">
        <v>7.11</v>
      </c>
      <c r="I27" s="31" t="n">
        <v>1396354</v>
      </c>
      <c r="J27" s="31" t="inlineStr">
        <is>
          <t>543945</t>
        </is>
      </c>
    </row>
    <row r="28">
      <c r="A28" s="31" t="inlineStr">
        <is>
          <t>MANALIPETC</t>
        </is>
      </c>
      <c r="B28" s="31" t="inlineStr">
        <is>
          <t>Manali Petrochemicals Limited</t>
        </is>
      </c>
      <c r="C28" s="31" t="inlineStr">
        <is>
          <t>energy</t>
        </is>
      </c>
      <c r="D28" s="31" t="inlineStr">
        <is>
          <t>petrochemicals</t>
        </is>
      </c>
      <c r="E28" s="31" t="inlineStr">
        <is>
          <t>smallcap</t>
        </is>
      </c>
      <c r="F28" s="31" t="n">
        <v>1252.15</v>
      </c>
      <c r="G28" s="31" t="n">
        <v>77.81999999999999</v>
      </c>
      <c r="H28" s="31" t="n">
        <v>6.9</v>
      </c>
      <c r="I28" s="31" t="n">
        <v>1058138</v>
      </c>
      <c r="J28" s="31" t="inlineStr">
        <is>
          <t>500268</t>
        </is>
      </c>
    </row>
    <row r="29">
      <c r="A29" s="31" t="inlineStr">
        <is>
          <t>MMTC</t>
        </is>
      </c>
      <c r="B29" s="31" t="inlineStr">
        <is>
          <t>Mmtc Limited</t>
        </is>
      </c>
      <c r="C29" s="31" t="inlineStr">
        <is>
          <t>services</t>
        </is>
      </c>
      <c r="D29" s="31" t="inlineStr">
        <is>
          <t>trading</t>
        </is>
      </c>
      <c r="E29" s="31" t="inlineStr">
        <is>
          <t>midcap</t>
        </is>
      </c>
      <c r="F29" s="31" t="n">
        <v>9322.5</v>
      </c>
      <c r="G29" s="31" t="n">
        <v>66.25</v>
      </c>
      <c r="H29" s="31" t="n">
        <v>6.6</v>
      </c>
      <c r="I29" s="31" t="n">
        <v>15889721</v>
      </c>
      <c r="J29" s="31" t="inlineStr">
        <is>
          <t>513377</t>
        </is>
      </c>
    </row>
    <row r="30">
      <c r="A30" s="31" t="inlineStr">
        <is>
          <t>EBGNG</t>
        </is>
      </c>
      <c r="B30" s="31" t="inlineStr">
        <is>
          <t>GNG Electronics Ltd</t>
        </is>
      </c>
      <c r="C30" s="31" t="inlineStr">
        <is>
          <t>services</t>
        </is>
      </c>
      <c r="D30" s="31" t="inlineStr">
        <is>
          <t>trading</t>
        </is>
      </c>
      <c r="E30" s="31" t="inlineStr">
        <is>
          <t>midcap</t>
        </is>
      </c>
      <c r="F30" s="31" t="n">
        <v>6708.44</v>
      </c>
      <c r="G30" s="31" t="n">
        <v>627.1</v>
      </c>
      <c r="H30" s="31" t="n">
        <v>6.58</v>
      </c>
      <c r="I30" s="31" t="n">
        <v>590168</v>
      </c>
      <c r="J30" s="31" t="inlineStr">
        <is>
          <t>544455</t>
        </is>
      </c>
    </row>
    <row r="31">
      <c r="A31" s="31" t="inlineStr">
        <is>
          <t>SAMBHV</t>
        </is>
      </c>
      <c r="B31" s="31" t="inlineStr">
        <is>
          <t>Sambhv Steel Tubes Ltd</t>
        </is>
      </c>
      <c r="C31" s="31" t="inlineStr">
        <is>
          <t>metals &amp; mining</t>
        </is>
      </c>
      <c r="D31" s="31" t="inlineStr">
        <is>
          <t>steel - medium / small</t>
        </is>
      </c>
      <c r="E31" s="31" t="inlineStr">
        <is>
          <t>smallcap</t>
        </is>
      </c>
      <c r="F31" s="31" t="n">
        <v>3621.81</v>
      </c>
      <c r="G31" s="31" t="n">
        <v>131</v>
      </c>
      <c r="H31" s="31" t="n">
        <v>6.58</v>
      </c>
      <c r="I31" s="31" t="n">
        <v>1481872</v>
      </c>
      <c r="J31" s="31" t="inlineStr">
        <is>
          <t>544430</t>
        </is>
      </c>
    </row>
    <row r="32">
      <c r="A32" s="31" t="inlineStr">
        <is>
          <t>ROLEXRINGS</t>
        </is>
      </c>
      <c r="B32" s="31" t="inlineStr">
        <is>
          <t>Rolex Rings Ltd</t>
        </is>
      </c>
      <c r="C32" s="31" t="inlineStr">
        <is>
          <t>auto</t>
        </is>
      </c>
      <c r="D32" s="31" t="inlineStr">
        <is>
          <t>auto ancillaries</t>
        </is>
      </c>
      <c r="E32" s="31" t="inlineStr">
        <is>
          <t>smallcap</t>
        </is>
      </c>
      <c r="F32" s="31" t="n">
        <v>4757.66</v>
      </c>
      <c r="G32" s="31" t="n">
        <v>185.82</v>
      </c>
      <c r="H32" s="31" t="n">
        <v>6.37</v>
      </c>
      <c r="I32" s="31" t="n">
        <v>918659</v>
      </c>
      <c r="J32" s="31" t="inlineStr">
        <is>
          <t>543325</t>
        </is>
      </c>
    </row>
    <row r="33">
      <c r="A33" s="31" t="inlineStr">
        <is>
          <t>DALMIASUG</t>
        </is>
      </c>
      <c r="B33" s="31" t="inlineStr">
        <is>
          <t>Dalmia Bharat Sugar And Industries Limited</t>
        </is>
      </c>
      <c r="C33" s="31" t="inlineStr">
        <is>
          <t>fmcg</t>
        </is>
      </c>
      <c r="D33" s="31" t="inlineStr">
        <is>
          <t>sugar</t>
        </is>
      </c>
      <c r="E33" s="31" t="inlineStr">
        <is>
          <t>smallcap</t>
        </is>
      </c>
      <c r="F33" s="31" t="n">
        <v>3849.07</v>
      </c>
      <c r="G33" s="31" t="n">
        <v>505.75</v>
      </c>
      <c r="H33" s="31" t="n">
        <v>6.35</v>
      </c>
      <c r="I33" s="31" t="n">
        <v>649171</v>
      </c>
      <c r="J33" s="31" t="inlineStr">
        <is>
          <t>500097</t>
        </is>
      </c>
    </row>
    <row r="34">
      <c r="A34" s="31" t="inlineStr">
        <is>
          <t>KABRAEXTRU</t>
        </is>
      </c>
      <c r="B34" s="31" t="inlineStr">
        <is>
          <t>Kabra Extrusion Technik Limited</t>
        </is>
      </c>
      <c r="C34" s="31" t="inlineStr">
        <is>
          <t>industrials</t>
        </is>
      </c>
      <c r="D34" s="31" t="inlineStr">
        <is>
          <t>engineering</t>
        </is>
      </c>
      <c r="E34" s="31" t="inlineStr">
        <is>
          <t>smallcap</t>
        </is>
      </c>
      <c r="F34" s="31" t="n">
        <v>1751.44</v>
      </c>
      <c r="G34" s="31" t="n">
        <v>529.55</v>
      </c>
      <c r="H34" s="31" t="n">
        <v>5.74</v>
      </c>
      <c r="I34" s="31" t="n">
        <v>181931</v>
      </c>
      <c r="J34" s="31" t="inlineStr">
        <is>
          <t>524109</t>
        </is>
      </c>
    </row>
    <row r="35">
      <c r="A35" s="31" t="inlineStr">
        <is>
          <t>KROSS</t>
        </is>
      </c>
      <c r="B35" s="31" t="inlineStr">
        <is>
          <t>Kross Ltd</t>
        </is>
      </c>
      <c r="C35" s="31" t="inlineStr">
        <is>
          <t>auto</t>
        </is>
      </c>
      <c r="D35" s="31" t="inlineStr">
        <is>
          <t>auto ancillaries</t>
        </is>
      </c>
      <c r="E35" s="31" t="inlineStr">
        <is>
          <t>smallcap</t>
        </is>
      </c>
      <c r="F35" s="31" t="n">
        <v>1279.03</v>
      </c>
      <c r="G35" s="31" t="n">
        <v>209.61</v>
      </c>
      <c r="H35" s="31" t="n">
        <v>5.72</v>
      </c>
      <c r="I35" s="31" t="n">
        <v>274876</v>
      </c>
      <c r="J35" s="31" t="inlineStr">
        <is>
          <t>544253</t>
        </is>
      </c>
    </row>
    <row r="36">
      <c r="A36" s="31" t="inlineStr">
        <is>
          <t>PRAJIND</t>
        </is>
      </c>
      <c r="B36" s="31" t="inlineStr">
        <is>
          <t>Praj Industries Limited</t>
        </is>
      </c>
      <c r="C36" s="31" t="inlineStr">
        <is>
          <t>industrials</t>
        </is>
      </c>
      <c r="D36" s="31" t="inlineStr">
        <is>
          <t>engineering</t>
        </is>
      </c>
      <c r="E36" s="31" t="inlineStr">
        <is>
          <t>midcap</t>
        </is>
      </c>
      <c r="F36" s="31" t="n">
        <v>6258.84</v>
      </c>
      <c r="G36" s="31" t="n">
        <v>359.3</v>
      </c>
      <c r="H36" s="31" t="n">
        <v>5.52</v>
      </c>
      <c r="I36" s="31" t="n">
        <v>1002384</v>
      </c>
      <c r="J36" s="31" t="inlineStr">
        <is>
          <t>522205</t>
        </is>
      </c>
    </row>
    <row r="37">
      <c r="A37" s="31" t="inlineStr">
        <is>
          <t>ZEEL</t>
        </is>
      </c>
      <c r="B37" s="31" t="inlineStr">
        <is>
          <t>Zee Entertainment Enterprises Limited</t>
        </is>
      </c>
      <c r="C37" s="31" t="inlineStr">
        <is>
          <t>media</t>
        </is>
      </c>
      <c r="D37" s="31" t="inlineStr">
        <is>
          <t>entertainment / electronic media software</t>
        </is>
      </c>
      <c r="E37" s="31" t="inlineStr">
        <is>
          <t>midcap</t>
        </is>
      </c>
      <c r="F37" s="31" t="n">
        <v>9818.43</v>
      </c>
      <c r="G37" s="31" t="n">
        <v>107.76</v>
      </c>
      <c r="H37" s="31" t="n">
        <v>5.42</v>
      </c>
      <c r="I37" s="31" t="n">
        <v>11350460</v>
      </c>
      <c r="J37" s="31" t="inlineStr">
        <is>
          <t>505537</t>
        </is>
      </c>
    </row>
    <row r="38">
      <c r="A38" s="31" t="inlineStr">
        <is>
          <t>MANINDS</t>
        </is>
      </c>
      <c r="B38" s="31" t="inlineStr">
        <is>
          <t>Man Industries (india) Limited</t>
        </is>
      </c>
      <c r="C38" s="31" t="inlineStr">
        <is>
          <t>metals &amp; mining</t>
        </is>
      </c>
      <c r="D38" s="31" t="inlineStr">
        <is>
          <t>steel - medium / small</t>
        </is>
      </c>
      <c r="E38" s="31" t="inlineStr">
        <is>
          <t>smallcap</t>
        </is>
      </c>
      <c r="F38" s="31" t="n">
        <v>4823.49</v>
      </c>
      <c r="G38" s="31" t="n">
        <v>677.6</v>
      </c>
      <c r="H38" s="31" t="n">
        <v>5.37</v>
      </c>
      <c r="I38" s="31" t="n">
        <v>738082</v>
      </c>
      <c r="J38" s="31" t="inlineStr">
        <is>
          <t>513269</t>
        </is>
      </c>
    </row>
    <row r="39">
      <c r="A39" s="31" t="inlineStr">
        <is>
          <t>SHANTIGOLD</t>
        </is>
      </c>
      <c r="B39" s="31" t="inlineStr">
        <is>
          <t>Shanti Gold International Ltd</t>
        </is>
      </c>
      <c r="C39" s="31" t="inlineStr">
        <is>
          <t>consumer discretionary</t>
        </is>
      </c>
      <c r="D39" s="31" t="inlineStr">
        <is>
          <t>diamond cutting / jewellery</t>
        </is>
      </c>
      <c r="E39" s="31" t="inlineStr">
        <is>
          <t>smallcap</t>
        </is>
      </c>
      <c r="F39" s="31" t="n">
        <v>1742.92</v>
      </c>
      <c r="G39" s="31" t="n">
        <v>254.2</v>
      </c>
      <c r="H39" s="31" t="n">
        <v>5.15</v>
      </c>
      <c r="I39" s="31" t="n">
        <v>773919</v>
      </c>
      <c r="J39" s="31" t="inlineStr">
        <is>
          <t>544459</t>
        </is>
      </c>
    </row>
    <row r="40">
      <c r="A40" s="31" t="inlineStr">
        <is>
          <t>MOLDTECH</t>
        </is>
      </c>
      <c r="B40" s="31" t="inlineStr">
        <is>
          <t>Mold-tek Technologies Limited</t>
        </is>
      </c>
      <c r="C40" s="31" t="inlineStr">
        <is>
          <t>realty</t>
        </is>
      </c>
      <c r="D40" s="31" t="inlineStr">
        <is>
          <t>engineering - turnkey services</t>
        </is>
      </c>
      <c r="E40" s="31" t="inlineStr">
        <is>
          <t>smallcap</t>
        </is>
      </c>
      <c r="F40" s="31" t="n">
        <v>518.6900000000001</v>
      </c>
      <c r="G40" s="31" t="n">
        <v>189.07</v>
      </c>
      <c r="H40" s="31" t="n">
        <v>5</v>
      </c>
      <c r="I40" s="31" t="n">
        <v>13087</v>
      </c>
      <c r="J40" s="31" t="inlineStr">
        <is>
          <t>526263</t>
        </is>
      </c>
    </row>
    <row r="41">
      <c r="A41" s="31" t="inlineStr">
        <is>
          <t>MENONBE</t>
        </is>
      </c>
      <c r="B41" s="31" t="inlineStr">
        <is>
          <t>Menon Bearings Limited</t>
        </is>
      </c>
      <c r="C41" s="31" t="inlineStr">
        <is>
          <t>auto</t>
        </is>
      </c>
      <c r="D41" s="31" t="inlineStr">
        <is>
          <t>auto ancillaries</t>
        </is>
      </c>
      <c r="E41" s="31" t="inlineStr">
        <is>
          <t>smallcap</t>
        </is>
      </c>
      <c r="F41" s="31" t="n">
        <v>1489.94</v>
      </c>
      <c r="G41" s="31" t="n">
        <v>279.16</v>
      </c>
      <c r="H41" s="31" t="n">
        <v>5</v>
      </c>
      <c r="I41" s="31" t="n">
        <v>97651</v>
      </c>
      <c r="J41" s="31" t="inlineStr">
        <is>
          <t>523828</t>
        </is>
      </c>
    </row>
    <row r="42">
      <c r="A42" s="31" t="inlineStr">
        <is>
          <t>CHEMBONDCH</t>
        </is>
      </c>
      <c r="B42" s="31" t="inlineStr">
        <is>
          <t>Chembond Chemicals Ltd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smallcap</t>
        </is>
      </c>
      <c r="F42" s="31" t="n">
        <v>725.62</v>
      </c>
      <c r="G42" s="31" t="n">
        <v>283.26</v>
      </c>
      <c r="H42" s="31" t="n">
        <v>5</v>
      </c>
      <c r="I42" s="31" t="n">
        <v>2499</v>
      </c>
      <c r="J42" s="31" t="inlineStr">
        <is>
          <t>544450</t>
        </is>
      </c>
    </row>
    <row r="43">
      <c r="A43" s="31" t="inlineStr">
        <is>
          <t>GANESHBE</t>
        </is>
      </c>
      <c r="B43" s="31" t="inlineStr">
        <is>
          <t>Ganesh Benzoplast Ltd</t>
        </is>
      </c>
      <c r="C43" s="31" t="inlineStr">
        <is>
          <t>miscellaneous</t>
        </is>
      </c>
      <c r="D43" s="31" t="inlineStr">
        <is>
          <t>miscellaneous</t>
        </is>
      </c>
      <c r="E43" s="31" t="inlineStr">
        <is>
          <t>smallcap</t>
        </is>
      </c>
      <c r="F43" s="31" t="n">
        <v>809.45</v>
      </c>
      <c r="G43" s="31" t="n">
        <v>118.06</v>
      </c>
      <c r="H43" s="31" t="n">
        <v>5</v>
      </c>
      <c r="I43" s="31" t="n">
        <v>34450</v>
      </c>
      <c r="J43" s="31" t="inlineStr">
        <is>
          <t>500153</t>
        </is>
      </c>
    </row>
    <row r="44">
      <c r="A44" s="31" t="inlineStr">
        <is>
          <t>BODALCHEM</t>
        </is>
      </c>
      <c r="B44" s="31" t="inlineStr">
        <is>
          <t>Bodal Chemicals Limited</t>
        </is>
      </c>
      <c r="C44" s="31" t="inlineStr">
        <is>
          <t>chemicals</t>
        </is>
      </c>
      <c r="D44" s="31" t="inlineStr">
        <is>
          <t>dyes and pigments</t>
        </is>
      </c>
      <c r="E44" s="31" t="inlineStr">
        <is>
          <t>smallcap</t>
        </is>
      </c>
      <c r="F44" s="31" t="n">
        <v>903.65</v>
      </c>
      <c r="G44" s="31" t="n">
        <v>75.33</v>
      </c>
      <c r="H44" s="31" t="n">
        <v>4.99</v>
      </c>
      <c r="I44" s="31" t="n">
        <v>212803</v>
      </c>
      <c r="J44" s="31" t="inlineStr">
        <is>
          <t>524370</t>
        </is>
      </c>
    </row>
    <row r="45">
      <c r="A45" s="31" t="inlineStr">
        <is>
          <t>GAEL</t>
        </is>
      </c>
      <c r="B45" s="31" t="inlineStr">
        <is>
          <t>Gujarat Ambuja Exports Limited</t>
        </is>
      </c>
      <c r="C45" s="31" t="inlineStr">
        <is>
          <t>fmcg</t>
        </is>
      </c>
      <c r="D45" s="31" t="inlineStr">
        <is>
          <t>miscellaneous</t>
        </is>
      </c>
      <c r="E45" s="31" t="inlineStr">
        <is>
          <t>midcap</t>
        </is>
      </c>
      <c r="F45" s="31" t="n">
        <v>7973.07</v>
      </c>
      <c r="G45" s="31" t="n">
        <v>182.5</v>
      </c>
      <c r="H45" s="31" t="n">
        <v>4.99</v>
      </c>
      <c r="I45" s="31" t="n">
        <v>459454</v>
      </c>
      <c r="J45" s="31" t="inlineStr">
        <is>
          <t>524226</t>
        </is>
      </c>
    </row>
    <row r="46">
      <c r="A46" s="31" t="inlineStr">
        <is>
          <t>MCX</t>
        </is>
      </c>
      <c r="B46" s="31" t="inlineStr">
        <is>
          <t>Multi Commodity Exchange Of India Limited</t>
        </is>
      </c>
      <c r="C46" s="31" t="inlineStr">
        <is>
          <t>financials</t>
        </is>
      </c>
      <c r="D46" s="31" t="inlineStr">
        <is>
          <t>miscellaneous</t>
        </is>
      </c>
      <c r="E46" s="31" t="inlineStr">
        <is>
          <t>largecap</t>
        </is>
      </c>
      <c r="F46" s="31" t="n">
        <v>75809.08</v>
      </c>
      <c r="G46" s="31" t="n">
        <v>3120</v>
      </c>
      <c r="H46" s="31" t="n">
        <v>4.94</v>
      </c>
      <c r="I46" s="31" t="n">
        <v>1306529</v>
      </c>
      <c r="J46" s="31" t="inlineStr">
        <is>
          <t>534091</t>
        </is>
      </c>
    </row>
    <row r="47">
      <c r="A47" s="31" t="inlineStr">
        <is>
          <t>ACMESOLAR</t>
        </is>
      </c>
      <c r="B47" s="31" t="inlineStr">
        <is>
          <t>ACME Solar Holdings Ltd</t>
        </is>
      </c>
      <c r="C47" s="31" t="inlineStr">
        <is>
          <t>realty</t>
        </is>
      </c>
      <c r="D47" s="31" t="inlineStr">
        <is>
          <t>engineering - turnkey services</t>
        </is>
      </c>
      <c r="E47" s="31" t="inlineStr">
        <is>
          <t>largecap</t>
        </is>
      </c>
      <c r="F47" s="31" t="n">
        <v>26889.5</v>
      </c>
      <c r="G47" s="31" t="n">
        <v>398.75</v>
      </c>
      <c r="H47" s="31" t="n">
        <v>4.82</v>
      </c>
      <c r="I47" s="31" t="n">
        <v>2556612</v>
      </c>
      <c r="J47" s="31" t="inlineStr">
        <is>
          <t>544283</t>
        </is>
      </c>
    </row>
    <row r="48">
      <c r="A48" s="31" t="inlineStr">
        <is>
          <t>DBOL</t>
        </is>
      </c>
      <c r="B48" s="31" t="inlineStr">
        <is>
          <t>Dhampur Bio Organics Ltd</t>
        </is>
      </c>
      <c r="C48" s="31" t="inlineStr">
        <is>
          <t>fmcg</t>
        </is>
      </c>
      <c r="D48" s="31" t="inlineStr">
        <is>
          <t>sugar</t>
        </is>
      </c>
      <c r="E48" s="31" t="inlineStr">
        <is>
          <t>smallcap</t>
        </is>
      </c>
      <c r="F48" s="31" t="n">
        <v>858.13</v>
      </c>
      <c r="G48" s="31" t="n">
        <v>135.46</v>
      </c>
      <c r="H48" s="31" t="n">
        <v>4.8</v>
      </c>
      <c r="I48" s="31" t="n">
        <v>387280</v>
      </c>
      <c r="J48" s="31" t="inlineStr">
        <is>
          <t>543593</t>
        </is>
      </c>
    </row>
    <row r="49">
      <c r="A49" s="31" t="inlineStr">
        <is>
          <t>APOLLOPIPE</t>
        </is>
      </c>
      <c r="B49" s="31" t="inlineStr">
        <is>
          <t>Apollo Pipes Ltd</t>
        </is>
      </c>
      <c r="C49" s="31" t="inlineStr">
        <is>
          <t>plastic products</t>
        </is>
      </c>
      <c r="D49" s="31" t="inlineStr">
        <is>
          <t>plastics products</t>
        </is>
      </c>
      <c r="E49" s="31" t="inlineStr">
        <is>
          <t>smallcap</t>
        </is>
      </c>
      <c r="F49" s="31" t="n">
        <v>2539.16</v>
      </c>
      <c r="G49" s="31" t="n">
        <v>602.8</v>
      </c>
      <c r="H49" s="31" t="n">
        <v>4.57</v>
      </c>
      <c r="I49" s="31" t="n">
        <v>328196</v>
      </c>
      <c r="J49" s="31" t="inlineStr">
        <is>
          <t>531761</t>
        </is>
      </c>
    </row>
    <row r="50">
      <c r="A50" s="31" t="inlineStr">
        <is>
          <t>IOLCP</t>
        </is>
      </c>
      <c r="B50" s="31" t="inlineStr">
        <is>
          <t>Iol Chemicals And Pharmaceuticals Limited</t>
        </is>
      </c>
      <c r="C50" s="31" t="inlineStr">
        <is>
          <t>healthcare</t>
        </is>
      </c>
      <c r="D50" s="31" t="inlineStr">
        <is>
          <t>pharmaceuticals - indian - bulk drugs &amp; formln</t>
        </is>
      </c>
      <c r="E50" s="31" t="inlineStr">
        <is>
          <t>smallcap</t>
        </is>
      </c>
      <c r="F50" s="31" t="n">
        <v>4606.03</v>
      </c>
      <c r="G50" s="31" t="n">
        <v>163.95</v>
      </c>
      <c r="H50" s="31" t="n">
        <v>4.48</v>
      </c>
      <c r="I50" s="31" t="n">
        <v>617476</v>
      </c>
      <c r="J50" s="31" t="inlineStr">
        <is>
          <t>524164</t>
        </is>
      </c>
    </row>
    <row r="51">
      <c r="A51" s="31" t="inlineStr">
        <is>
          <t>RAMCOIND</t>
        </is>
      </c>
      <c r="B51" s="31" t="inlineStr">
        <is>
          <t>Ramco Industries Limited</t>
        </is>
      </c>
      <c r="C51" s="31" t="n">
        <v/>
      </c>
      <c r="D51" s="31" t="n">
        <v/>
      </c>
      <c r="E51" s="31" t="n">
        <v/>
      </c>
      <c r="F51" s="31" t="n">
        <v/>
      </c>
      <c r="G51" s="31" t="n">
        <v>354.7</v>
      </c>
      <c r="H51" s="31" t="n">
        <v>4.35</v>
      </c>
      <c r="I51" s="31" t="n">
        <v>69467</v>
      </c>
      <c r="J51" s="31" t="inlineStr">
        <is>
          <t>532369</t>
        </is>
      </c>
    </row>
    <row r="52">
      <c r="A52" s="31" t="inlineStr">
        <is>
          <t>BCLIND</t>
        </is>
      </c>
      <c r="B52" s="31" t="inlineStr">
        <is>
          <t>BCL Industries Ltd</t>
        </is>
      </c>
      <c r="C52" s="31" t="inlineStr">
        <is>
          <t>fmcg</t>
        </is>
      </c>
      <c r="D52" s="31" t="inlineStr">
        <is>
          <t>breweries &amp; distilleries</t>
        </is>
      </c>
      <c r="E52" s="31" t="inlineStr">
        <is>
          <t>smallcap</t>
        </is>
      </c>
      <c r="F52" s="31" t="n">
        <v>1057.28</v>
      </c>
      <c r="G52" s="31" t="n">
        <v>37.37</v>
      </c>
      <c r="H52" s="31" t="n">
        <v>4.33</v>
      </c>
      <c r="I52" s="31" t="n">
        <v>341210</v>
      </c>
      <c r="J52" s="31" t="inlineStr">
        <is>
          <t>524332</t>
        </is>
      </c>
    </row>
    <row r="53">
      <c r="A53" s="31" t="inlineStr">
        <is>
          <t>STYLEBAAZA</t>
        </is>
      </c>
      <c r="B53" s="31" t="inlineStr">
        <is>
          <t>Baazar Style Retail Ltd</t>
        </is>
      </c>
      <c r="C53" s="31" t="inlineStr">
        <is>
          <t>consumer discretionary</t>
        </is>
      </c>
      <c r="D53" s="31" t="inlineStr">
        <is>
          <t>trading</t>
        </is>
      </c>
      <c r="E53" s="31" t="inlineStr">
        <is>
          <t>smallcap</t>
        </is>
      </c>
      <c r="F53" s="31" t="n">
        <v>3217.86</v>
      </c>
      <c r="G53" s="31" t="n">
        <v>441</v>
      </c>
      <c r="H53" s="31" t="n">
        <v>4.32</v>
      </c>
      <c r="I53" s="31" t="n">
        <v>1702467</v>
      </c>
      <c r="J53" s="31" t="inlineStr">
        <is>
          <t>544243</t>
        </is>
      </c>
    </row>
    <row r="54">
      <c r="A54" s="31" t="inlineStr">
        <is>
          <t>RBA</t>
        </is>
      </c>
      <c r="B54" s="31" t="inlineStr">
        <is>
          <t>Restaurant Brands Asia Ltd</t>
        </is>
      </c>
      <c r="C54" s="31" t="inlineStr">
        <is>
          <t>consumer discretionary</t>
        </is>
      </c>
      <c r="D54" s="31" t="inlineStr">
        <is>
          <t>hotels</t>
        </is>
      </c>
      <c r="E54" s="31" t="inlineStr">
        <is>
          <t>midcap</t>
        </is>
      </c>
      <c r="F54" s="31" t="n">
        <v>7192.63</v>
      </c>
      <c r="G54" s="31" t="n">
        <v>105.4</v>
      </c>
      <c r="H54" s="31" t="n">
        <v>4.29</v>
      </c>
      <c r="I54" s="31" t="n">
        <v>1850732</v>
      </c>
      <c r="J54" s="31" t="inlineStr">
        <is>
          <t>543248</t>
        </is>
      </c>
    </row>
    <row r="55">
      <c r="A55" s="31" t="inlineStr">
        <is>
          <t>WABAG</t>
        </is>
      </c>
      <c r="B55" s="31" t="inlineStr">
        <is>
          <t>Va Tech Wabag Limited</t>
        </is>
      </c>
      <c r="C55" s="31" t="inlineStr">
        <is>
          <t>realty</t>
        </is>
      </c>
      <c r="D55" s="31" t="inlineStr">
        <is>
          <t>engineering - turnkey services</t>
        </is>
      </c>
      <c r="E55" s="31" t="inlineStr">
        <is>
          <t>midcap</t>
        </is>
      </c>
      <c r="F55" s="31" t="n">
        <v>12329.41</v>
      </c>
      <c r="G55" s="31" t="n">
        <v>2057.9</v>
      </c>
      <c r="H55" s="31" t="n">
        <v>4.08</v>
      </c>
      <c r="I55" s="31" t="n">
        <v>413654</v>
      </c>
      <c r="J55" s="31" t="inlineStr">
        <is>
          <t>533269</t>
        </is>
      </c>
    </row>
    <row r="56">
      <c r="A56" s="31" t="inlineStr">
        <is>
          <t>CARTRADE</t>
        </is>
      </c>
      <c r="B56" s="31" t="inlineStr">
        <is>
          <t>Cartrade Tech Ltd</t>
        </is>
      </c>
      <c r="C56" s="31" t="inlineStr">
        <is>
          <t>consumer discretionary</t>
        </is>
      </c>
      <c r="D56" s="31" t="inlineStr">
        <is>
          <t>miscellaneous</t>
        </is>
      </c>
      <c r="E56" s="31" t="inlineStr">
        <is>
          <t>midcap</t>
        </is>
      </c>
      <c r="F56" s="31" t="n">
        <v>13367.21</v>
      </c>
      <c r="G56" s="31" t="n">
        <v>2894.7</v>
      </c>
      <c r="H56" s="31" t="n">
        <v>4</v>
      </c>
      <c r="I56" s="31" t="n">
        <v>147607</v>
      </c>
      <c r="J56" s="31" t="inlineStr">
        <is>
          <t>543333</t>
        </is>
      </c>
    </row>
    <row r="57">
      <c r="A57" s="31" t="inlineStr">
        <is>
          <t>MODISONLTD</t>
        </is>
      </c>
      <c r="B57" s="31" t="inlineStr">
        <is>
          <t>Modison Ltd</t>
        </is>
      </c>
      <c r="C57" s="31" t="inlineStr">
        <is>
          <t>industrials</t>
        </is>
      </c>
      <c r="D57" s="31" t="inlineStr">
        <is>
          <t>electric equipment</t>
        </is>
      </c>
      <c r="E57" s="31" t="inlineStr">
        <is>
          <t>smallcap</t>
        </is>
      </c>
      <c r="F57" s="31" t="n">
        <v>1273.18</v>
      </c>
      <c r="G57" s="31" t="n">
        <v>408</v>
      </c>
      <c r="H57" s="31" t="n">
        <v>3.99</v>
      </c>
      <c r="I57" s="31" t="n">
        <v>99064</v>
      </c>
      <c r="J57" s="31" t="inlineStr">
        <is>
          <t>506261</t>
        </is>
      </c>
    </row>
    <row r="58">
      <c r="A58" s="31" t="inlineStr">
        <is>
          <t>OMAXE</t>
        </is>
      </c>
      <c r="B58" s="31" t="inlineStr">
        <is>
          <t>Omaxe Limited</t>
        </is>
      </c>
      <c r="C58" s="31" t="inlineStr">
        <is>
          <t>realty</t>
        </is>
      </c>
      <c r="D58" s="31" t="inlineStr">
        <is>
          <t>construction</t>
        </is>
      </c>
      <c r="E58" s="31" t="inlineStr">
        <is>
          <t>smallcap</t>
        </is>
      </c>
      <c r="F58" s="31" t="n">
        <v>1818.21</v>
      </c>
      <c r="G58" s="31" t="n">
        <v>103.36</v>
      </c>
      <c r="H58" s="31" t="n">
        <v>3.97</v>
      </c>
      <c r="I58" s="31" t="n">
        <v>379097</v>
      </c>
      <c r="J58" s="31" t="inlineStr">
        <is>
          <t>532880</t>
        </is>
      </c>
    </row>
    <row r="59">
      <c r="A59" s="31" t="inlineStr">
        <is>
          <t>20MICRONS</t>
        </is>
      </c>
      <c r="B59" s="31" t="inlineStr">
        <is>
          <t>20 Microns Limited</t>
        </is>
      </c>
      <c r="C59" s="31" t="inlineStr">
        <is>
          <t>metals &amp; mining</t>
        </is>
      </c>
      <c r="D59" s="31" t="inlineStr">
        <is>
          <t>mining / minerals / metals</t>
        </is>
      </c>
      <c r="E59" s="31" t="inlineStr">
        <is>
          <t>smallcap</t>
        </is>
      </c>
      <c r="F59" s="31" t="n">
        <v>691.76</v>
      </c>
      <c r="G59" s="31" t="n">
        <v>203.8</v>
      </c>
      <c r="H59" s="31" t="n">
        <v>3.96</v>
      </c>
      <c r="I59" s="31" t="n">
        <v>113826</v>
      </c>
      <c r="J59" s="31" t="inlineStr">
        <is>
          <t>533022</t>
        </is>
      </c>
    </row>
    <row r="60">
      <c r="A60" s="31" t="inlineStr">
        <is>
          <t>REDINGTON</t>
        </is>
      </c>
      <c r="B60" s="31" t="inlineStr">
        <is>
          <t>Redington (india) Limited</t>
        </is>
      </c>
      <c r="C60" s="31" t="inlineStr">
        <is>
          <t>services</t>
        </is>
      </c>
      <c r="D60" s="31" t="inlineStr">
        <is>
          <t>trading</t>
        </is>
      </c>
      <c r="E60" s="31" t="inlineStr">
        <is>
          <t>largecap</t>
        </is>
      </c>
      <c r="F60" s="31" t="n">
        <v>26193.35</v>
      </c>
      <c r="G60" s="31" t="n">
        <v>348.25</v>
      </c>
      <c r="H60" s="31" t="n">
        <v>3.94</v>
      </c>
      <c r="I60" s="31" t="n">
        <v>4120685</v>
      </c>
      <c r="J60" s="31" t="inlineStr">
        <is>
          <t>532805</t>
        </is>
      </c>
    </row>
    <row r="61">
      <c r="A61" s="31" t="inlineStr">
        <is>
          <t>SEAMECLTD</t>
        </is>
      </c>
      <c r="B61" s="31" t="inlineStr">
        <is>
          <t>Seamec Limited</t>
        </is>
      </c>
      <c r="C61" s="31" t="inlineStr">
        <is>
          <t>miscellaneous</t>
        </is>
      </c>
      <c r="D61" s="31" t="inlineStr">
        <is>
          <t>miscellaneous</t>
        </is>
      </c>
      <c r="E61" s="31" t="inlineStr">
        <is>
          <t>smallcap</t>
        </is>
      </c>
      <c r="F61" s="31" t="n">
        <v>4158.77</v>
      </c>
      <c r="G61" s="31" t="n">
        <v>1700</v>
      </c>
      <c r="H61" s="31" t="n">
        <v>3.93</v>
      </c>
      <c r="I61" s="31" t="n">
        <v>242323</v>
      </c>
      <c r="J61" s="31" t="inlineStr">
        <is>
          <t>526807</t>
        </is>
      </c>
    </row>
    <row r="62">
      <c r="A62" s="31" t="inlineStr">
        <is>
          <t>WELSPUNLIV</t>
        </is>
      </c>
      <c r="B62" s="31" t="inlineStr">
        <is>
          <t>Welspun Living Ltd</t>
        </is>
      </c>
      <c r="C62" s="31" t="inlineStr">
        <is>
          <t>textiles</t>
        </is>
      </c>
      <c r="D62" s="31" t="inlineStr">
        <is>
          <t>textiles - products</t>
        </is>
      </c>
      <c r="E62" s="31" t="inlineStr">
        <is>
          <t>midcap</t>
        </is>
      </c>
      <c r="F62" s="31" t="n">
        <v>17122.69</v>
      </c>
      <c r="G62" s="31" t="n">
        <v>188.24</v>
      </c>
      <c r="H62" s="31" t="n">
        <v>3.86</v>
      </c>
      <c r="I62" s="31" t="n">
        <v>7366892</v>
      </c>
      <c r="J62" s="31" t="inlineStr">
        <is>
          <t>514162</t>
        </is>
      </c>
    </row>
    <row r="63">
      <c r="A63" s="31" t="inlineStr">
        <is>
          <t>GLENMARK</t>
        </is>
      </c>
      <c r="B63" s="31" t="inlineStr">
        <is>
          <t>Glenmark Pharmaceuticals Limited</t>
        </is>
      </c>
      <c r="C63" s="31" t="inlineStr">
        <is>
          <t>healthcare</t>
        </is>
      </c>
      <c r="D63" s="31" t="inlineStr">
        <is>
          <t>pharmaceuticals - indian - bulk drugs &amp; formln</t>
        </is>
      </c>
      <c r="E63" s="31" t="inlineStr">
        <is>
          <t>largecap</t>
        </is>
      </c>
      <c r="F63" s="31" t="n">
        <v>63396.41</v>
      </c>
      <c r="G63" s="31" t="n">
        <v>2332.9</v>
      </c>
      <c r="H63" s="31" t="n">
        <v>3.85</v>
      </c>
      <c r="I63" s="31" t="n">
        <v>184152</v>
      </c>
      <c r="J63" s="31" t="inlineStr">
        <is>
          <t>532296</t>
        </is>
      </c>
    </row>
    <row r="64">
      <c r="A64" s="31" t="inlineStr">
        <is>
          <t>INNOVACAP</t>
        </is>
      </c>
      <c r="B64" s="31" t="inlineStr">
        <is>
          <t>Innova Captab Ltd</t>
        </is>
      </c>
      <c r="C64" s="31" t="inlineStr">
        <is>
          <t>healthcare</t>
        </is>
      </c>
      <c r="D64" s="31" t="inlineStr">
        <is>
          <t>pharmaceuticals - indian - bulk drugs &amp; formln</t>
        </is>
      </c>
      <c r="E64" s="31" t="inlineStr">
        <is>
          <t>midcap</t>
        </is>
      </c>
      <c r="F64" s="31" t="n">
        <v>5949.96</v>
      </c>
      <c r="G64" s="31" t="n">
        <v>1078.95</v>
      </c>
      <c r="H64" s="31" t="n">
        <v>3.77</v>
      </c>
      <c r="I64" s="31" t="n">
        <v>20596</v>
      </c>
      <c r="J64" s="31" t="inlineStr">
        <is>
          <t>544067</t>
        </is>
      </c>
    </row>
    <row r="65">
      <c r="A65" s="31" t="inlineStr">
        <is>
          <t>TMB</t>
        </is>
      </c>
      <c r="B65" s="31" t="inlineStr">
        <is>
          <t>Tamilnad Mercantile Bank Ltd</t>
        </is>
      </c>
      <c r="C65" s="31" t="inlineStr">
        <is>
          <t>bank</t>
        </is>
      </c>
      <c r="D65" s="31" t="inlineStr">
        <is>
          <t>banks - private sector</t>
        </is>
      </c>
      <c r="E65" s="31" t="inlineStr">
        <is>
          <t>midcap</t>
        </is>
      </c>
      <c r="F65" s="31" t="n">
        <v>13283.31</v>
      </c>
      <c r="G65" s="31" t="n">
        <v>870.5</v>
      </c>
      <c r="H65" s="31" t="n">
        <v>3.77</v>
      </c>
      <c r="I65" s="31" t="n">
        <v>64133</v>
      </c>
      <c r="J65" s="31" t="inlineStr">
        <is>
          <t>543596</t>
        </is>
      </c>
    </row>
    <row r="66">
      <c r="A66" s="31" t="inlineStr">
        <is>
          <t>INDSWFTLAB</t>
        </is>
      </c>
      <c r="B66" s="31" t="inlineStr">
        <is>
          <t>Ind-swift Laboratories Limited</t>
        </is>
      </c>
      <c r="C66" s="31" t="inlineStr">
        <is>
          <t>healthcare</t>
        </is>
      </c>
      <c r="D66" s="31" t="inlineStr">
        <is>
          <t>pharmaceuticals - indian - bulk drugs &amp; formln</t>
        </is>
      </c>
      <c r="E66" s="31" t="inlineStr">
        <is>
          <t>smallcap</t>
        </is>
      </c>
      <c r="F66" s="31" t="n">
        <v>2800.68</v>
      </c>
      <c r="G66" s="31" t="n">
        <v>334</v>
      </c>
      <c r="H66" s="31" t="n">
        <v>3.71</v>
      </c>
      <c r="I66" s="31" t="n">
        <v>288409</v>
      </c>
      <c r="J66" s="31" t="inlineStr">
        <is>
          <t>532305</t>
        </is>
      </c>
    </row>
    <row r="67">
      <c r="A67" s="31" t="inlineStr">
        <is>
          <t>COFORGE</t>
        </is>
      </c>
      <c r="B67" s="31" t="inlineStr">
        <is>
          <t>Coforge (Niit Tech) Ltd</t>
        </is>
      </c>
      <c r="C67" s="31" t="inlineStr">
        <is>
          <t>i.t</t>
        </is>
      </c>
      <c r="D67" s="31" t="inlineStr">
        <is>
          <t>computers - software - large</t>
        </is>
      </c>
      <c r="E67" s="31" t="inlineStr">
        <is>
          <t>largecap</t>
        </is>
      </c>
      <c r="F67" s="31" t="n">
        <v>80264.27</v>
      </c>
      <c r="G67" s="31" t="n">
        <v>1877.2</v>
      </c>
      <c r="H67" s="31" t="n">
        <v>3.54</v>
      </c>
      <c r="I67" s="31" t="n">
        <v>1201259</v>
      </c>
      <c r="J67" s="31" t="inlineStr">
        <is>
          <t>532541</t>
        </is>
      </c>
    </row>
    <row r="68">
      <c r="A68" s="31" t="inlineStr">
        <is>
          <t>BEPL</t>
        </is>
      </c>
      <c r="B68" s="31" t="inlineStr">
        <is>
          <t>Bhansali Engineering Polymers Limited</t>
        </is>
      </c>
      <c r="C68" s="31" t="inlineStr">
        <is>
          <t>energy</t>
        </is>
      </c>
      <c r="D68" s="31" t="inlineStr">
        <is>
          <t>petrochemicals</t>
        </is>
      </c>
      <c r="E68" s="31" t="inlineStr">
        <is>
          <t>smallcap</t>
        </is>
      </c>
      <c r="F68" s="31" t="n">
        <v>2962.66</v>
      </c>
      <c r="G68" s="31" t="n">
        <v>123.23</v>
      </c>
      <c r="H68" s="31" t="n">
        <v>3.51</v>
      </c>
      <c r="I68" s="31" t="n">
        <v>330814</v>
      </c>
      <c r="J68" s="31" t="inlineStr">
        <is>
          <t>500052</t>
        </is>
      </c>
    </row>
    <row r="69">
      <c r="A69" s="31" t="inlineStr">
        <is>
          <t>EDELWEISS</t>
        </is>
      </c>
      <c r="B69" s="31" t="inlineStr">
        <is>
          <t>Edelweiss Financial Services Limited</t>
        </is>
      </c>
      <c r="C69" s="31" t="inlineStr">
        <is>
          <t>financials</t>
        </is>
      </c>
      <c r="D69" s="31" t="inlineStr">
        <is>
          <t>finance &amp; investments</t>
        </is>
      </c>
      <c r="E69" s="31" t="inlineStr">
        <is>
          <t>midcap</t>
        </is>
      </c>
      <c r="F69" s="31" t="n">
        <v>11573.24</v>
      </c>
      <c r="G69" s="31" t="n">
        <v>126.45</v>
      </c>
      <c r="H69" s="31" t="n">
        <v>3.42</v>
      </c>
      <c r="I69" s="31" t="n">
        <v>3871363</v>
      </c>
      <c r="J69" s="31" t="inlineStr">
        <is>
          <t>532922</t>
        </is>
      </c>
    </row>
    <row r="70">
      <c r="A70" s="31" t="inlineStr">
        <is>
          <t>VOLTAMP</t>
        </is>
      </c>
      <c r="B70" s="31" t="inlineStr">
        <is>
          <t>Voltamp Transformers Limited</t>
        </is>
      </c>
      <c r="C70" s="31" t="inlineStr">
        <is>
          <t>industrials</t>
        </is>
      </c>
      <c r="D70" s="31" t="inlineStr">
        <is>
          <t>electric equipment</t>
        </is>
      </c>
      <c r="E70" s="31" t="inlineStr">
        <is>
          <t>midcap</t>
        </is>
      </c>
      <c r="F70" s="31" t="n">
        <v>10117.12</v>
      </c>
      <c r="G70" s="31" t="n">
        <v>10340</v>
      </c>
      <c r="H70" s="31" t="n">
        <v>3.4</v>
      </c>
      <c r="I70" s="31" t="n">
        <v>21860</v>
      </c>
      <c r="J70" s="31" t="inlineStr">
        <is>
          <t>532757</t>
        </is>
      </c>
    </row>
    <row r="71">
      <c r="A71" s="31" t="inlineStr">
        <is>
          <t>ONWARDTEC</t>
        </is>
      </c>
      <c r="B71" s="31" t="inlineStr">
        <is>
          <t>Onward Technologies Limited</t>
        </is>
      </c>
      <c r="C71" s="31" t="inlineStr">
        <is>
          <t>i.t</t>
        </is>
      </c>
      <c r="D71" s="31" t="inlineStr">
        <is>
          <t>computers - software - medium / small</t>
        </is>
      </c>
      <c r="E71" s="31" t="inlineStr">
        <is>
          <t>smallcap</t>
        </is>
      </c>
      <c r="F71" s="31" t="n">
        <v>628.14</v>
      </c>
      <c r="G71" s="31" t="n">
        <v>292</v>
      </c>
      <c r="H71" s="31" t="n">
        <v>3.4</v>
      </c>
      <c r="I71" s="31" t="n">
        <v>9002</v>
      </c>
      <c r="J71" s="31" t="inlineStr">
        <is>
          <t>517536</t>
        </is>
      </c>
    </row>
    <row r="72">
      <c r="A72" s="31" t="inlineStr">
        <is>
          <t>KANPRPLA</t>
        </is>
      </c>
      <c r="B72" s="31" t="inlineStr">
        <is>
          <t>Kanpur Plastipack Ltd</t>
        </is>
      </c>
      <c r="C72" s="31" t="inlineStr">
        <is>
          <t>industrials</t>
        </is>
      </c>
      <c r="D72" s="31" t="inlineStr">
        <is>
          <t>packaging</t>
        </is>
      </c>
      <c r="E72" s="31" t="inlineStr">
        <is>
          <t>smallcap</t>
        </is>
      </c>
      <c r="F72" s="31" t="n">
        <v>628.11</v>
      </c>
      <c r="G72" s="31" t="n">
        <v>265.2</v>
      </c>
      <c r="H72" s="31" t="n">
        <v>3.36</v>
      </c>
      <c r="I72" s="31" t="n">
        <v>15108</v>
      </c>
      <c r="J72" s="31" t="inlineStr">
        <is>
          <t>507779</t>
        </is>
      </c>
    </row>
    <row r="73">
      <c r="A73" s="31" t="inlineStr">
        <is>
          <t>MOTILALOFS</t>
        </is>
      </c>
      <c r="B73" s="31" t="inlineStr">
        <is>
          <t>Motilal Oswal Financial Services Limited</t>
        </is>
      </c>
      <c r="C73" s="31" t="inlineStr">
        <is>
          <t>financials</t>
        </is>
      </c>
      <c r="D73" s="31" t="inlineStr">
        <is>
          <t>finance &amp; investments</t>
        </is>
      </c>
      <c r="E73" s="31" t="inlineStr">
        <is>
          <t>largecap</t>
        </is>
      </c>
      <c r="F73" s="31" t="n">
        <v>56728.24</v>
      </c>
      <c r="G73" s="31" t="n">
        <v>973.4</v>
      </c>
      <c r="H73" s="31" t="n">
        <v>3.32</v>
      </c>
      <c r="I73" s="31" t="n">
        <v>739946</v>
      </c>
      <c r="J73" s="31" t="inlineStr">
        <is>
          <t>532892</t>
        </is>
      </c>
    </row>
    <row r="74">
      <c r="A74" s="31" t="inlineStr">
        <is>
          <t>UFBL</t>
        </is>
      </c>
      <c r="B74" s="31" t="inlineStr">
        <is>
          <t>United Foodbrands Ltd</t>
        </is>
      </c>
      <c r="C74" s="31" t="inlineStr">
        <is>
          <t>consumer discretionary</t>
        </is>
      </c>
      <c r="D74" s="31" t="inlineStr">
        <is>
          <t>hotels</t>
        </is>
      </c>
      <c r="E74" s="31" t="inlineStr">
        <is>
          <t>smallcap</t>
        </is>
      </c>
      <c r="F74" s="31" t="n">
        <v>3046</v>
      </c>
      <c r="G74" s="31" t="n">
        <v>805</v>
      </c>
      <c r="H74" s="31" t="n">
        <v>3.3</v>
      </c>
      <c r="I74" s="31" t="n">
        <v>51580</v>
      </c>
      <c r="J74" s="31" t="inlineStr">
        <is>
          <t>543283</t>
        </is>
      </c>
    </row>
    <row r="75">
      <c r="A75" s="31" t="inlineStr">
        <is>
          <t>PPLPHARMA</t>
        </is>
      </c>
      <c r="B75" s="31" t="inlineStr">
        <is>
          <t>Piramal Pharma Ltd</t>
        </is>
      </c>
      <c r="C75" s="31" t="inlineStr">
        <is>
          <t>healthcare</t>
        </is>
      </c>
      <c r="D75" s="31" t="inlineStr">
        <is>
          <t>pharmaceuticals - indian - bulk drugs &amp; formln</t>
        </is>
      </c>
      <c r="E75" s="31" t="inlineStr">
        <is>
          <t>largecap</t>
        </is>
      </c>
      <c r="F75" s="31" t="n">
        <v>27910.38</v>
      </c>
      <c r="G75" s="31" t="n">
        <v>216.54</v>
      </c>
      <c r="H75" s="31" t="n">
        <v>3.29</v>
      </c>
      <c r="I75" s="31" t="n">
        <v>1135007</v>
      </c>
      <c r="J75" s="31" t="inlineStr">
        <is>
          <t>543635</t>
        </is>
      </c>
    </row>
    <row r="76">
      <c r="A76" s="31" t="inlineStr">
        <is>
          <t>COMSYN</t>
        </is>
      </c>
      <c r="B76" s="31" t="inlineStr">
        <is>
          <t>Commercial Syn Bags Ltd</t>
        </is>
      </c>
      <c r="C76" s="31" t="inlineStr">
        <is>
          <t>industrials</t>
        </is>
      </c>
      <c r="D76" s="31" t="inlineStr">
        <is>
          <t>packaging</t>
        </is>
      </c>
      <c r="E76" s="31" t="inlineStr">
        <is>
          <t>smallcap</t>
        </is>
      </c>
      <c r="F76" s="31" t="n">
        <v>1131.72</v>
      </c>
      <c r="G76" s="31" t="n">
        <v>289.77</v>
      </c>
      <c r="H76" s="31" t="n">
        <v>3.29</v>
      </c>
      <c r="I76" s="31" t="n">
        <v>32566</v>
      </c>
      <c r="J76" s="31" t="inlineStr">
        <is>
          <t>539986</t>
        </is>
      </c>
    </row>
    <row r="77">
      <c r="A77" s="31" t="inlineStr">
        <is>
          <t>LUMAXIND</t>
        </is>
      </c>
      <c r="B77" s="31" t="inlineStr">
        <is>
          <t>Lumax Industries Limited</t>
        </is>
      </c>
      <c r="C77" s="31" t="inlineStr">
        <is>
          <t>auto</t>
        </is>
      </c>
      <c r="D77" s="31" t="inlineStr">
        <is>
          <t>auto ancillaries</t>
        </is>
      </c>
      <c r="E77" s="31" t="inlineStr">
        <is>
          <t>midcap</t>
        </is>
      </c>
      <c r="F77" s="31" t="n">
        <v>5261.84</v>
      </c>
      <c r="G77" s="31" t="n">
        <v>5813</v>
      </c>
      <c r="H77" s="31" t="n">
        <v>3.27</v>
      </c>
      <c r="I77" s="31" t="n">
        <v>7525</v>
      </c>
      <c r="J77" s="31" t="inlineStr">
        <is>
          <t>517206</t>
        </is>
      </c>
    </row>
    <row r="78">
      <c r="A78" s="31" t="inlineStr">
        <is>
          <t>ESAFSFB</t>
        </is>
      </c>
      <c r="B78" s="31" t="inlineStr">
        <is>
          <t>ESAF Small Finance Bank Ltd</t>
        </is>
      </c>
      <c r="C78" s="31" t="inlineStr">
        <is>
          <t>bank</t>
        </is>
      </c>
      <c r="D78" s="31" t="inlineStr">
        <is>
          <t>banks - private sector</t>
        </is>
      </c>
      <c r="E78" s="31" t="inlineStr">
        <is>
          <t>smallcap</t>
        </is>
      </c>
      <c r="F78" s="31" t="n">
        <v>2162.87</v>
      </c>
      <c r="G78" s="31" t="n">
        <v>43.28</v>
      </c>
      <c r="H78" s="31" t="n">
        <v>3.24</v>
      </c>
      <c r="I78" s="31" t="n">
        <v>442202</v>
      </c>
      <c r="J78" s="31" t="inlineStr">
        <is>
          <t>544020</t>
        </is>
      </c>
    </row>
    <row r="79">
      <c r="A79" s="31" t="inlineStr">
        <is>
          <t>SAILIFE</t>
        </is>
      </c>
      <c r="B79" s="31" t="inlineStr">
        <is>
          <t>Sai Life Sciences Ltd</t>
        </is>
      </c>
      <c r="C79" s="31" t="inlineStr">
        <is>
          <t>healthcare</t>
        </is>
      </c>
      <c r="D79" s="31" t="inlineStr">
        <is>
          <t>pharmaceuticals - indian - bulk drugs &amp; formln</t>
        </is>
      </c>
      <c r="E79" s="31" t="inlineStr">
        <is>
          <t>largecap</t>
        </is>
      </c>
      <c r="F79" s="31" t="n">
        <v>30191.32</v>
      </c>
      <c r="G79" s="31" t="n">
        <v>1468.3</v>
      </c>
      <c r="H79" s="31" t="n">
        <v>3.24</v>
      </c>
      <c r="I79" s="31" t="n">
        <v>142574</v>
      </c>
      <c r="J79" s="31" t="inlineStr">
        <is>
          <t>544306</t>
        </is>
      </c>
    </row>
    <row r="80">
      <c r="A80" s="31" t="inlineStr">
        <is>
          <t>TEGA</t>
        </is>
      </c>
      <c r="B80" s="31" t="inlineStr">
        <is>
          <t>Tega Industries Ltd</t>
        </is>
      </c>
      <c r="C80" s="31" t="inlineStr">
        <is>
          <t>industrials</t>
        </is>
      </c>
      <c r="D80" s="31" t="inlineStr">
        <is>
          <t>engineering</t>
        </is>
      </c>
      <c r="E80" s="31" t="inlineStr">
        <is>
          <t>midcap</t>
        </is>
      </c>
      <c r="F80" s="31" t="n">
        <v>12971.55</v>
      </c>
      <c r="G80" s="31" t="n">
        <v>1781.7</v>
      </c>
      <c r="H80" s="31" t="n">
        <v>3.19</v>
      </c>
      <c r="I80" s="31" t="n">
        <v>414638</v>
      </c>
      <c r="J80" s="31" t="inlineStr">
        <is>
          <t>543413</t>
        </is>
      </c>
    </row>
    <row r="81">
      <c r="A81" s="31" t="inlineStr">
        <is>
          <t>TBOTEK</t>
        </is>
      </c>
      <c r="B81" s="31" t="inlineStr">
        <is>
          <t>TBO Tek Ltd</t>
        </is>
      </c>
      <c r="C81" s="31" t="inlineStr">
        <is>
          <t>i.t</t>
        </is>
      </c>
      <c r="D81" s="31" t="inlineStr">
        <is>
          <t>travel agencies</t>
        </is>
      </c>
      <c r="E81" s="31" t="inlineStr">
        <is>
          <t>midcap</t>
        </is>
      </c>
      <c r="F81" s="31" t="n">
        <v>18040.77</v>
      </c>
      <c r="G81" s="31" t="n">
        <v>1714</v>
      </c>
      <c r="H81" s="31" t="n">
        <v>3.17</v>
      </c>
      <c r="I81" s="31" t="n">
        <v>57029</v>
      </c>
      <c r="J81" s="31" t="inlineStr">
        <is>
          <t>544174</t>
        </is>
      </c>
    </row>
    <row r="82">
      <c r="A82" s="31" t="inlineStr">
        <is>
          <t>RAYMOND</t>
        </is>
      </c>
      <c r="B82" s="31" t="inlineStr">
        <is>
          <t>Raymond Limited</t>
        </is>
      </c>
      <c r="C82" s="31" t="inlineStr">
        <is>
          <t>transportation</t>
        </is>
      </c>
      <c r="D82" s="31" t="inlineStr">
        <is>
          <t>transport - airlines</t>
        </is>
      </c>
      <c r="E82" s="31" t="inlineStr">
        <is>
          <t>smallcap</t>
        </is>
      </c>
      <c r="F82" s="31" t="n">
        <v>4197.47</v>
      </c>
      <c r="G82" s="31" t="n">
        <v>650.3</v>
      </c>
      <c r="H82" s="31" t="n">
        <v>3.14</v>
      </c>
      <c r="I82" s="31" t="n">
        <v>197861</v>
      </c>
      <c r="J82" s="31" t="inlineStr">
        <is>
          <t>500330</t>
        </is>
      </c>
    </row>
    <row r="83">
      <c r="A83" s="31" t="inlineStr">
        <is>
          <t>WSTCSTPAPR</t>
        </is>
      </c>
      <c r="B83" s="31" t="inlineStr">
        <is>
          <t>West Coast Paper Mills Limited</t>
        </is>
      </c>
      <c r="C83" s="31" t="inlineStr">
        <is>
          <t>building materials</t>
        </is>
      </c>
      <c r="D83" s="31" t="inlineStr">
        <is>
          <t>paper</t>
        </is>
      </c>
      <c r="E83" s="31" t="inlineStr">
        <is>
          <t>smallcap</t>
        </is>
      </c>
      <c r="F83" s="31" t="n">
        <v>4062.34</v>
      </c>
      <c r="G83" s="31" t="n">
        <v>634.15</v>
      </c>
      <c r="H83" s="31" t="n">
        <v>3.11</v>
      </c>
      <c r="I83" s="31" t="n">
        <v>56621</v>
      </c>
      <c r="J83" s="31" t="inlineStr">
        <is>
          <t>500444</t>
        </is>
      </c>
    </row>
    <row r="84">
      <c r="A84" s="31" t="inlineStr">
        <is>
          <t>RITCO</t>
        </is>
      </c>
      <c r="B84" s="31" t="inlineStr">
        <is>
          <t>Ritco Logistics Ltd</t>
        </is>
      </c>
      <c r="C84" s="31" t="inlineStr">
        <is>
          <t>transportation</t>
        </is>
      </c>
      <c r="D84" s="31" t="inlineStr">
        <is>
          <t>miscellaneous</t>
        </is>
      </c>
      <c r="E84" s="31" t="inlineStr">
        <is>
          <t>smallcap</t>
        </is>
      </c>
      <c r="F84" s="31" t="n">
        <v>895.89</v>
      </c>
      <c r="G84" s="31" t="n">
        <v>322.7</v>
      </c>
      <c r="H84" s="31" t="n">
        <v>3.1</v>
      </c>
      <c r="I84" s="31" t="n">
        <v>66619</v>
      </c>
      <c r="J84" s="31" t="inlineStr">
        <is>
          <t>542383</t>
        </is>
      </c>
    </row>
    <row r="85">
      <c r="A85" s="31" t="inlineStr">
        <is>
          <t>KTKBANK</t>
        </is>
      </c>
      <c r="B85" s="31" t="inlineStr">
        <is>
          <t>The Karnataka Bank Limited</t>
        </is>
      </c>
      <c r="C85" s="31" t="inlineStr">
        <is>
          <t>bank</t>
        </is>
      </c>
      <c r="D85" s="31" t="inlineStr">
        <is>
          <t>banks - private sector</t>
        </is>
      </c>
      <c r="E85" s="31" t="inlineStr">
        <is>
          <t>midcap</t>
        </is>
      </c>
      <c r="F85" s="31" t="n">
        <v>12255.68</v>
      </c>
      <c r="G85" s="31" t="n">
        <v>334.05</v>
      </c>
      <c r="H85" s="31" t="n">
        <v>3.09</v>
      </c>
      <c r="I85" s="31" t="n">
        <v>1483343</v>
      </c>
      <c r="J85" s="31" t="inlineStr">
        <is>
          <t>532652</t>
        </is>
      </c>
    </row>
    <row r="86">
      <c r="A86" s="31" t="inlineStr">
        <is>
          <t>QPOWER</t>
        </is>
      </c>
      <c r="B86" s="31" t="inlineStr">
        <is>
          <t>Quality Power Electrical Equipments Ltd</t>
        </is>
      </c>
      <c r="C86" s="31" t="inlineStr">
        <is>
          <t>industrials</t>
        </is>
      </c>
      <c r="D86" s="31" t="inlineStr">
        <is>
          <t>electric equipment</t>
        </is>
      </c>
      <c r="E86" s="31" t="inlineStr">
        <is>
          <t>midcap</t>
        </is>
      </c>
      <c r="F86" s="31" t="n">
        <v>10031.33</v>
      </c>
      <c r="G86" s="31" t="n">
        <v>1334.9</v>
      </c>
      <c r="H86" s="31" t="n">
        <v>3.06</v>
      </c>
      <c r="I86" s="31" t="n">
        <v>84309</v>
      </c>
      <c r="J86" s="31" t="inlineStr">
        <is>
          <t>544367</t>
        </is>
      </c>
    </row>
    <row r="87">
      <c r="A87" s="31" t="inlineStr">
        <is>
          <t>HATSUN</t>
        </is>
      </c>
      <c r="B87" s="31" t="inlineStr">
        <is>
          <t>Hatsun Agro Product Limited</t>
        </is>
      </c>
      <c r="C87" s="31" t="inlineStr">
        <is>
          <t>fmcg</t>
        </is>
      </c>
      <c r="D87" s="31" t="inlineStr">
        <is>
          <t>food - processing - indian</t>
        </is>
      </c>
      <c r="E87" s="31" t="inlineStr">
        <is>
          <t>largecap</t>
        </is>
      </c>
      <c r="F87" s="31" t="n">
        <v>20722.27</v>
      </c>
      <c r="G87" s="31" t="n">
        <v>958.65</v>
      </c>
      <c r="H87" s="31" t="n">
        <v>3.05</v>
      </c>
      <c r="I87" s="31" t="n">
        <v>26793</v>
      </c>
      <c r="J87" s="31" t="inlineStr">
        <is>
          <t>531531</t>
        </is>
      </c>
    </row>
    <row r="88">
      <c r="A88" s="31" t="inlineStr">
        <is>
          <t>PERSISTENT</t>
        </is>
      </c>
      <c r="B88" s="31" t="inlineStr">
        <is>
          <t>Persistent Systems Limited</t>
        </is>
      </c>
      <c r="C88" s="31" t="inlineStr">
        <is>
          <t>i.t</t>
        </is>
      </c>
      <c r="D88" s="31" t="inlineStr">
        <is>
          <t>computers - software - large</t>
        </is>
      </c>
      <c r="E88" s="31" t="inlineStr">
        <is>
          <t>largecap</t>
        </is>
      </c>
      <c r="F88" s="31" t="n">
        <v>86920.25</v>
      </c>
      <c r="G88" s="31" t="n">
        <v>5677.5</v>
      </c>
      <c r="H88" s="31" t="n">
        <v>3.04</v>
      </c>
      <c r="I88" s="31" t="n">
        <v>232193</v>
      </c>
      <c r="J88" s="31" t="inlineStr">
        <is>
          <t>533179</t>
        </is>
      </c>
    </row>
    <row r="89">
      <c r="A89" s="31" t="inlineStr">
        <is>
          <t>ADOR</t>
        </is>
      </c>
      <c r="B89" s="31" t="inlineStr">
        <is>
          <t>Ador Welding Ltd</t>
        </is>
      </c>
      <c r="C89" s="31" t="inlineStr">
        <is>
          <t>industrials</t>
        </is>
      </c>
      <c r="D89" s="31" t="inlineStr">
        <is>
          <t>electrodes - welding equipment</t>
        </is>
      </c>
      <c r="E89" s="31" t="inlineStr">
        <is>
          <t>smallcap</t>
        </is>
      </c>
      <c r="F89" s="31" t="n">
        <v>2844.66</v>
      </c>
      <c r="G89" s="31" t="n">
        <v>1684</v>
      </c>
      <c r="H89" s="31" t="n">
        <v>3.02</v>
      </c>
      <c r="I89" s="31" t="n">
        <v>55372</v>
      </c>
      <c r="J89" s="31" t="inlineStr">
        <is>
          <t>517041</t>
        </is>
      </c>
    </row>
    <row r="90">
      <c r="A90" s="31" t="inlineStr">
        <is>
          <t>ORIENTELEC</t>
        </is>
      </c>
      <c r="B90" s="31" t="inlineStr">
        <is>
          <t>Orient Electric Ltd</t>
        </is>
      </c>
      <c r="C90" s="31" t="inlineStr">
        <is>
          <t>consumer discretionary</t>
        </is>
      </c>
      <c r="D90" s="31" t="inlineStr">
        <is>
          <t>domestic appliances</t>
        </is>
      </c>
      <c r="E90" s="31" t="inlineStr">
        <is>
          <t>smallcap</t>
        </is>
      </c>
      <c r="F90" s="31" t="n">
        <v>3853.17</v>
      </c>
      <c r="G90" s="31" t="n">
        <v>186</v>
      </c>
      <c r="H90" s="31" t="n">
        <v>3</v>
      </c>
      <c r="I90" s="31" t="n">
        <v>71417</v>
      </c>
      <c r="J90" s="31" t="inlineStr">
        <is>
          <t>541301</t>
        </is>
      </c>
    </row>
    <row r="91">
      <c r="A91" s="31" t="inlineStr">
        <is>
          <t>CHEVIOT</t>
        </is>
      </c>
      <c r="B91" s="31" t="inlineStr">
        <is>
          <t>Cheviot Company Ltd</t>
        </is>
      </c>
      <c r="C91" s="31" t="inlineStr">
        <is>
          <t>textiles</t>
        </is>
      </c>
      <c r="D91" s="31" t="inlineStr">
        <is>
          <t>textiles - jute - yarn / products</t>
        </is>
      </c>
      <c r="E91" s="31" t="inlineStr">
        <is>
          <t>smallcap</t>
        </is>
      </c>
      <c r="F91" s="31" t="n">
        <v>666.62</v>
      </c>
      <c r="G91" s="31" t="n">
        <v>1175</v>
      </c>
      <c r="H91" s="31" t="n">
        <v>2.97</v>
      </c>
      <c r="I91" s="31" t="n">
        <v>989</v>
      </c>
      <c r="J91" s="31" t="inlineStr">
        <is>
          <t>526817</t>
        </is>
      </c>
    </row>
    <row r="92">
      <c r="A92" s="31" t="inlineStr">
        <is>
          <t>LUMAXTECH</t>
        </is>
      </c>
      <c r="B92" s="31" t="inlineStr">
        <is>
          <t>Lumax Auto Technologies Limited</t>
        </is>
      </c>
      <c r="C92" s="31" t="inlineStr">
        <is>
          <t>auto</t>
        </is>
      </c>
      <c r="D92" s="31" t="inlineStr">
        <is>
          <t>auto ancillaries</t>
        </is>
      </c>
      <c r="E92" s="31" t="inlineStr">
        <is>
          <t>midcap</t>
        </is>
      </c>
      <c r="F92" s="31" t="n">
        <v>13543.62</v>
      </c>
      <c r="G92" s="31" t="n">
        <v>2045.6</v>
      </c>
      <c r="H92" s="31" t="n">
        <v>2.94</v>
      </c>
      <c r="I92" s="31" t="n">
        <v>42346</v>
      </c>
      <c r="J92" s="31" t="inlineStr">
        <is>
          <t>532796</t>
        </is>
      </c>
    </row>
    <row r="93">
      <c r="A93" s="31" t="inlineStr">
        <is>
          <t>MTARTECH</t>
        </is>
      </c>
      <c r="B93" s="31" t="inlineStr">
        <is>
          <t>MTAR Technologies Ltd</t>
        </is>
      </c>
      <c r="C93" s="31" t="inlineStr">
        <is>
          <t>aerospace &amp; defence</t>
        </is>
      </c>
      <c r="D93" s="31" t="inlineStr">
        <is>
          <t>engineering</t>
        </is>
      </c>
      <c r="E93" s="31" t="inlineStr">
        <is>
          <t>largecap</t>
        </is>
      </c>
      <c r="F93" s="31" t="n">
        <v>21281.02</v>
      </c>
      <c r="G93" s="31" t="n">
        <v>7120</v>
      </c>
      <c r="H93" s="31" t="n">
        <v>2.91</v>
      </c>
      <c r="I93" s="31" t="n">
        <v>20454</v>
      </c>
      <c r="J93" s="31" t="inlineStr">
        <is>
          <t>543270</t>
        </is>
      </c>
    </row>
    <row r="94">
      <c r="A94" s="31" t="inlineStr">
        <is>
          <t>MUFIN</t>
        </is>
      </c>
      <c r="B94" s="31" t="inlineStr">
        <is>
          <t>Mufin Green Finance Ltd</t>
        </is>
      </c>
      <c r="C94" s="31" t="inlineStr">
        <is>
          <t>financials</t>
        </is>
      </c>
      <c r="D94" s="31" t="inlineStr">
        <is>
          <t>finance &amp; investments</t>
        </is>
      </c>
      <c r="E94" s="31" t="inlineStr">
        <is>
          <t>smallcap</t>
        </is>
      </c>
      <c r="F94" s="31" t="n">
        <v>2677.37</v>
      </c>
      <c r="G94" s="31" t="n">
        <v>139</v>
      </c>
      <c r="H94" s="31" t="n">
        <v>2.88</v>
      </c>
      <c r="I94" s="31" t="n">
        <v>466929</v>
      </c>
      <c r="J94" s="31" t="inlineStr">
        <is>
          <t>542774</t>
        </is>
      </c>
    </row>
    <row r="95">
      <c r="A95" s="31" t="inlineStr">
        <is>
          <t>ANDHRSUGAR</t>
        </is>
      </c>
      <c r="B95" s="31" t="inlineStr">
        <is>
          <t>The Andhra Sugars Limited</t>
        </is>
      </c>
      <c r="C95" s="31" t="inlineStr">
        <is>
          <t>chemicals</t>
        </is>
      </c>
      <c r="D95" s="31" t="inlineStr">
        <is>
          <t>chlor alkali / soda ash</t>
        </is>
      </c>
      <c r="E95" s="31" t="inlineStr">
        <is>
          <t>smallcap</t>
        </is>
      </c>
      <c r="F95" s="31" t="n">
        <v>1348.98</v>
      </c>
      <c r="G95" s="31" t="n">
        <v>102.39</v>
      </c>
      <c r="H95" s="31" t="n">
        <v>2.87</v>
      </c>
      <c r="I95" s="31" t="n">
        <v>541762</v>
      </c>
      <c r="J95" s="31" t="inlineStr">
        <is>
          <t>590062</t>
        </is>
      </c>
    </row>
    <row r="96">
      <c r="A96" s="31" t="inlineStr">
        <is>
          <t>RBLBANK</t>
        </is>
      </c>
      <c r="B96" s="31" t="inlineStr">
        <is>
          <t>Rbl Bank Limited</t>
        </is>
      </c>
      <c r="C96" s="31" t="inlineStr">
        <is>
          <t>bank</t>
        </is>
      </c>
      <c r="D96" s="31" t="inlineStr">
        <is>
          <t>banks - private sector</t>
        </is>
      </c>
      <c r="E96" s="31" t="inlineStr">
        <is>
          <t>largecap</t>
        </is>
      </c>
      <c r="F96" s="31" t="n">
        <v>59077.49</v>
      </c>
      <c r="G96" s="31" t="n">
        <v>392.3</v>
      </c>
      <c r="H96" s="31" t="n">
        <v>2.83</v>
      </c>
      <c r="I96" s="31" t="n">
        <v>813457</v>
      </c>
      <c r="J96" s="31" t="inlineStr">
        <is>
          <t>540065</t>
        </is>
      </c>
    </row>
    <row r="97">
      <c r="A97" s="31" t="inlineStr">
        <is>
          <t>TVSSRICHAK</t>
        </is>
      </c>
      <c r="B97" s="31" t="inlineStr">
        <is>
          <t>Tvs Srichakra Limited</t>
        </is>
      </c>
      <c r="C97" s="31" t="inlineStr">
        <is>
          <t>auto</t>
        </is>
      </c>
      <c r="D97" s="31" t="inlineStr">
        <is>
          <t>tyres</t>
        </is>
      </c>
      <c r="E97" s="31" t="inlineStr">
        <is>
          <t>smallcap</t>
        </is>
      </c>
      <c r="F97" s="31" t="n">
        <v>3692.08</v>
      </c>
      <c r="G97" s="31" t="n">
        <v>4955</v>
      </c>
      <c r="H97" s="31" t="n">
        <v>2.76</v>
      </c>
      <c r="I97" s="31" t="n">
        <v>21685</v>
      </c>
      <c r="J97" s="31" t="inlineStr">
        <is>
          <t>509243</t>
        </is>
      </c>
    </row>
    <row r="98">
      <c r="A98" s="31" t="inlineStr">
        <is>
          <t>MMP</t>
        </is>
      </c>
      <c r="B98" s="31" t="inlineStr">
        <is>
          <t>MMP Industries Ltd</t>
        </is>
      </c>
      <c r="C98" s="31" t="inlineStr">
        <is>
          <t>metals &amp; mining</t>
        </is>
      </c>
      <c r="D98" s="31" t="inlineStr">
        <is>
          <t>aluminium and aluminium products</t>
        </is>
      </c>
      <c r="E98" s="31" t="inlineStr">
        <is>
          <t>smallcap</t>
        </is>
      </c>
      <c r="F98" s="31" t="n">
        <v>740.75</v>
      </c>
      <c r="G98" s="31" t="n">
        <v>402.05</v>
      </c>
      <c r="H98" s="31" t="n">
        <v>2.69</v>
      </c>
      <c r="I98" s="31" t="n">
        <v>84018</v>
      </c>
      <c r="J98" s="31" t="inlineStr">
        <is>
          <t>535071</t>
        </is>
      </c>
    </row>
    <row r="99">
      <c r="A99" s="31" t="inlineStr">
        <is>
          <t>DIXON</t>
        </is>
      </c>
      <c r="B99" s="31" t="inlineStr">
        <is>
          <t>Dixon Technologies Ltd</t>
        </is>
      </c>
      <c r="C99" s="31" t="inlineStr">
        <is>
          <t>consumer discretionary</t>
        </is>
      </c>
      <c r="D99" s="31" t="inlineStr">
        <is>
          <t>electronics - consumer</t>
        </is>
      </c>
      <c r="E99" s="31" t="inlineStr">
        <is>
          <t>largecap</t>
        </is>
      </c>
      <c r="F99" s="31" t="n">
        <v>88342.46000000001</v>
      </c>
      <c r="G99" s="31" t="n">
        <v>14850</v>
      </c>
      <c r="H99" s="31" t="n">
        <v>2.68</v>
      </c>
      <c r="I99" s="31" t="n">
        <v>201283</v>
      </c>
      <c r="J99" s="31" t="inlineStr">
        <is>
          <t>540699</t>
        </is>
      </c>
    </row>
    <row r="100">
      <c r="A100" s="31" t="inlineStr">
        <is>
          <t>KENNAMET</t>
        </is>
      </c>
      <c r="B100" s="31" t="inlineStr">
        <is>
          <t>Kennametal India Ltd</t>
        </is>
      </c>
      <c r="C100" s="31" t="inlineStr">
        <is>
          <t>industrials</t>
        </is>
      </c>
      <c r="D100" s="31" t="inlineStr">
        <is>
          <t>castings &amp; forgings</t>
        </is>
      </c>
      <c r="E100" s="31" t="inlineStr">
        <is>
          <t>midcap</t>
        </is>
      </c>
      <c r="F100" s="31" t="n">
        <v>7947.55</v>
      </c>
      <c r="G100" s="31" t="n">
        <v>3707.5</v>
      </c>
      <c r="H100" s="31" t="n">
        <v>2.53</v>
      </c>
      <c r="I100" s="31" t="n">
        <v>25908</v>
      </c>
      <c r="J100" s="31" t="inlineStr">
        <is>
          <t>505890</t>
        </is>
      </c>
    </row>
    <row r="101">
      <c r="A101" s="31" t="inlineStr">
        <is>
          <t>ETERNAL</t>
        </is>
      </c>
      <c r="B101" s="31" t="inlineStr">
        <is>
          <t>Eternal Ltd</t>
        </is>
      </c>
      <c r="C101" s="31" t="inlineStr">
        <is>
          <t>i.t</t>
        </is>
      </c>
      <c r="D101" s="31" t="inlineStr">
        <is>
          <t>miscellaneous</t>
        </is>
      </c>
      <c r="E101" s="31" t="inlineStr">
        <is>
          <t>largecap</t>
        </is>
      </c>
      <c r="F101" s="31" t="n">
        <v>308811.22</v>
      </c>
      <c r="G101" s="31" t="n">
        <v>328.1</v>
      </c>
      <c r="H101" s="31" t="n">
        <v>2.53</v>
      </c>
      <c r="I101" s="31" t="n">
        <v>11572919</v>
      </c>
      <c r="J101" s="31" t="inlineStr">
        <is>
          <t>543320</t>
        </is>
      </c>
    </row>
    <row r="102">
      <c r="A102" s="31" t="inlineStr">
        <is>
          <t>LODHA</t>
        </is>
      </c>
      <c r="B102" s="31" t="inlineStr">
        <is>
          <t>Lodha Developers Ltd</t>
        </is>
      </c>
      <c r="C102" s="31" t="inlineStr">
        <is>
          <t>realty</t>
        </is>
      </c>
      <c r="D102" s="31" t="inlineStr">
        <is>
          <t>construction</t>
        </is>
      </c>
      <c r="E102" s="31" t="inlineStr">
        <is>
          <t>largecap</t>
        </is>
      </c>
      <c r="F102" s="31" t="n">
        <v>120890.42</v>
      </c>
      <c r="G102" s="31" t="n">
        <v>1240</v>
      </c>
      <c r="H102" s="31" t="n">
        <v>2.48</v>
      </c>
      <c r="I102" s="31" t="n">
        <v>288009</v>
      </c>
      <c r="J102" s="31" t="inlineStr">
        <is>
          <t>543287</t>
        </is>
      </c>
    </row>
    <row r="103">
      <c r="A103" s="31" t="inlineStr">
        <is>
          <t>KOLTEPATIL</t>
        </is>
      </c>
      <c r="B103" s="31" t="inlineStr">
        <is>
          <t>Kolte - Patil Developers Limited</t>
        </is>
      </c>
      <c r="C103" s="31" t="inlineStr">
        <is>
          <t>realty</t>
        </is>
      </c>
      <c r="D103" s="31" t="inlineStr">
        <is>
          <t>construction</t>
        </is>
      </c>
      <c r="E103" s="31" t="inlineStr">
        <is>
          <t>smallcap</t>
        </is>
      </c>
      <c r="F103" s="31" t="n">
        <v>4050.02</v>
      </c>
      <c r="G103" s="31" t="n">
        <v>467.6</v>
      </c>
      <c r="H103" s="31" t="n">
        <v>2.39</v>
      </c>
      <c r="I103" s="31" t="n">
        <v>290557</v>
      </c>
      <c r="J103" s="31" t="inlineStr">
        <is>
          <t>532924</t>
        </is>
      </c>
    </row>
    <row r="104">
      <c r="A104" s="31" t="inlineStr">
        <is>
          <t>UNIVASTU</t>
        </is>
      </c>
      <c r="B104" s="31" t="inlineStr">
        <is>
          <t>Univastu India Ltd</t>
        </is>
      </c>
      <c r="C104" s="31" t="inlineStr">
        <is>
          <t>realty</t>
        </is>
      </c>
      <c r="D104" s="31" t="inlineStr">
        <is>
          <t>construction</t>
        </is>
      </c>
      <c r="E104" s="31" t="inlineStr">
        <is>
          <t>smallcap</t>
        </is>
      </c>
      <c r="F104" s="31" t="n">
        <v>635.0599999999999</v>
      </c>
      <c r="G104" s="31" t="n">
        <v>172</v>
      </c>
      <c r="H104" s="31" t="n">
        <v>2.35</v>
      </c>
      <c r="I104" s="31" t="n">
        <v>83209</v>
      </c>
      <c r="J104" s="31" t="inlineStr">
        <is>
          <t>538442</t>
        </is>
      </c>
    </row>
    <row r="105">
      <c r="A105" s="31" t="inlineStr">
        <is>
          <t>TIIL</t>
        </is>
      </c>
      <c r="B105" s="31" t="inlineStr">
        <is>
          <t>Technocraft Industries (india) Limited</t>
        </is>
      </c>
      <c r="C105" s="31" t="inlineStr">
        <is>
          <t>metals &amp; mining</t>
        </is>
      </c>
      <c r="D105" s="31" t="inlineStr">
        <is>
          <t>steel - medium / small</t>
        </is>
      </c>
      <c r="E105" s="31" t="inlineStr">
        <is>
          <t>midcap</t>
        </is>
      </c>
      <c r="F105" s="31" t="n">
        <v>7090.92</v>
      </c>
      <c r="G105" s="31" t="n">
        <v>3200</v>
      </c>
      <c r="H105" s="31" t="n">
        <v>2.32</v>
      </c>
      <c r="I105" s="31" t="n">
        <v>16903</v>
      </c>
      <c r="J105" s="31" t="inlineStr">
        <is>
          <t>532804</t>
        </is>
      </c>
    </row>
    <row r="106">
      <c r="A106" s="31" t="inlineStr">
        <is>
          <t>ARTEMISMED</t>
        </is>
      </c>
      <c r="B106" s="31" t="inlineStr">
        <is>
          <t>Artemis Medicare Services Ltd</t>
        </is>
      </c>
      <c r="C106" s="31" t="inlineStr">
        <is>
          <t>healthcare</t>
        </is>
      </c>
      <c r="D106" s="31" t="inlineStr">
        <is>
          <t>healthcare</t>
        </is>
      </c>
      <c r="E106" s="31" t="inlineStr">
        <is>
          <t>smallcap</t>
        </is>
      </c>
      <c r="F106" s="31" t="n">
        <v>4970.02</v>
      </c>
      <c r="G106" s="31" t="n">
        <v>321.2</v>
      </c>
      <c r="H106" s="31" t="n">
        <v>2.31</v>
      </c>
      <c r="I106" s="31" t="n">
        <v>243029</v>
      </c>
      <c r="J106" s="31" t="inlineStr">
        <is>
          <t>542919</t>
        </is>
      </c>
    </row>
    <row r="107">
      <c r="A107" s="31" t="inlineStr">
        <is>
          <t>KPRMILL</t>
        </is>
      </c>
      <c r="B107" s="31" t="inlineStr">
        <is>
          <t>K.p.r. Mill Limited</t>
        </is>
      </c>
      <c r="C107" s="31" t="inlineStr">
        <is>
          <t>consumer discretionary</t>
        </is>
      </c>
      <c r="D107" s="31" t="inlineStr">
        <is>
          <t>textiles - products</t>
        </is>
      </c>
      <c r="E107" s="31" t="inlineStr">
        <is>
          <t>largecap</t>
        </is>
      </c>
      <c r="F107" s="31" t="n">
        <v>38495.09</v>
      </c>
      <c r="G107" s="31" t="n">
        <v>1152</v>
      </c>
      <c r="H107" s="31" t="n">
        <v>2.29</v>
      </c>
      <c r="I107" s="31" t="n">
        <v>57187</v>
      </c>
      <c r="J107" s="31" t="inlineStr">
        <is>
          <t>532889</t>
        </is>
      </c>
    </row>
    <row r="108">
      <c r="A108" s="31" t="inlineStr">
        <is>
          <t>DICIND</t>
        </is>
      </c>
      <c r="B108" s="31" t="inlineStr">
        <is>
          <t>Dic India Limited</t>
        </is>
      </c>
      <c r="C108" s="31" t="inlineStr">
        <is>
          <t>chemicals</t>
        </is>
      </c>
      <c r="D108" s="31" t="inlineStr">
        <is>
          <t>chemicals</t>
        </is>
      </c>
      <c r="E108" s="31" t="inlineStr">
        <is>
          <t>smallcap</t>
        </is>
      </c>
      <c r="F108" s="31" t="n">
        <v>529.54</v>
      </c>
      <c r="G108" s="31" t="n">
        <v>590</v>
      </c>
      <c r="H108" s="31" t="n">
        <v>2.27</v>
      </c>
      <c r="I108" s="31" t="n">
        <v>2493</v>
      </c>
      <c r="J108" s="31" t="inlineStr">
        <is>
          <t>500089</t>
        </is>
      </c>
    </row>
    <row r="109">
      <c r="A109" s="31" t="inlineStr">
        <is>
          <t>LINCOLN</t>
        </is>
      </c>
      <c r="B109" s="31" t="inlineStr">
        <is>
          <t>Lincoln Pharmaceuticals Limited</t>
        </is>
      </c>
      <c r="C109" s="31" t="inlineStr">
        <is>
          <t>healthcare</t>
        </is>
      </c>
      <c r="D109" s="31" t="inlineStr">
        <is>
          <t>pharmaceuticals - indian - formulations</t>
        </is>
      </c>
      <c r="E109" s="31" t="inlineStr">
        <is>
          <t>smallcap</t>
        </is>
      </c>
      <c r="F109" s="31" t="n">
        <v>1220.81</v>
      </c>
      <c r="G109" s="31" t="n">
        <v>623.2</v>
      </c>
      <c r="H109" s="31" t="n">
        <v>2.25</v>
      </c>
      <c r="I109" s="31" t="n">
        <v>5936</v>
      </c>
      <c r="J109" s="31" t="inlineStr">
        <is>
          <t>531633</t>
        </is>
      </c>
    </row>
    <row r="110">
      <c r="A110" s="31" t="inlineStr">
        <is>
          <t>KANORICHEM</t>
        </is>
      </c>
      <c r="B110" s="31" t="inlineStr">
        <is>
          <t>Kanoria Chemicals &amp; Industries Limited</t>
        </is>
      </c>
      <c r="C110" s="31" t="inlineStr">
        <is>
          <t>chemicals</t>
        </is>
      </c>
      <c r="D110" s="31" t="inlineStr">
        <is>
          <t>chemicals</t>
        </is>
      </c>
      <c r="E110" s="31" t="inlineStr">
        <is>
          <t>smallcap</t>
        </is>
      </c>
      <c r="F110" s="31" t="n">
        <v>662.39</v>
      </c>
      <c r="G110" s="31" t="n">
        <v>155</v>
      </c>
      <c r="H110" s="31" t="n">
        <v>2.24</v>
      </c>
      <c r="I110" s="31" t="n">
        <v>18441</v>
      </c>
      <c r="J110" s="31" t="inlineStr">
        <is>
          <t>506525</t>
        </is>
      </c>
    </row>
    <row r="111">
      <c r="A111" s="31" t="inlineStr">
        <is>
          <t>BLSE</t>
        </is>
      </c>
      <c r="B111" s="31" t="inlineStr">
        <is>
          <t>BLS E-Services Ltd</t>
        </is>
      </c>
      <c r="C111" s="31" t="inlineStr">
        <is>
          <t>i.t</t>
        </is>
      </c>
      <c r="D111" s="31" t="inlineStr">
        <is>
          <t>computers - software - medium / small</t>
        </is>
      </c>
      <c r="E111" s="31" t="inlineStr">
        <is>
          <t>smallcap</t>
        </is>
      </c>
      <c r="F111" s="31" t="n">
        <v>2853.8</v>
      </c>
      <c r="G111" s="31" t="n">
        <v>321.1</v>
      </c>
      <c r="H111" s="31" t="n">
        <v>2.23</v>
      </c>
      <c r="I111" s="31" t="n">
        <v>651673</v>
      </c>
      <c r="J111" s="31" t="inlineStr">
        <is>
          <t>544107</t>
        </is>
      </c>
    </row>
    <row r="112">
      <c r="A112" s="31" t="inlineStr">
        <is>
          <t>RPTECH</t>
        </is>
      </c>
      <c r="B112" s="31" t="inlineStr">
        <is>
          <t>Rashi Peripherals Ltd</t>
        </is>
      </c>
      <c r="C112" s="31" t="inlineStr">
        <is>
          <t>i.t</t>
        </is>
      </c>
      <c r="D112" s="31" t="inlineStr">
        <is>
          <t>trading</t>
        </is>
      </c>
      <c r="E112" s="31" t="inlineStr">
        <is>
          <t>midcap</t>
        </is>
      </c>
      <c r="F112" s="31" t="n">
        <v>5524.04</v>
      </c>
      <c r="G112" s="31" t="n">
        <v>856.9</v>
      </c>
      <c r="H112" s="31" t="n">
        <v>2.22</v>
      </c>
      <c r="I112" s="31" t="n">
        <v>148820</v>
      </c>
      <c r="J112" s="31" t="n"/>
    </row>
    <row r="113">
      <c r="A113" s="31" t="inlineStr">
        <is>
          <t>LICI</t>
        </is>
      </c>
      <c r="B113" s="31" t="inlineStr">
        <is>
          <t>Life Insurance Corporation of India Ltd</t>
        </is>
      </c>
      <c r="C113" s="31" t="n">
        <v/>
      </c>
      <c r="D113" s="31" t="n">
        <v/>
      </c>
      <c r="E113" s="31" t="n">
        <v/>
      </c>
      <c r="F113" s="31" t="n">
        <v/>
      </c>
      <c r="G113" s="31" t="n">
        <v>422.25</v>
      </c>
      <c r="H113" s="31" t="n">
        <v>2.22</v>
      </c>
      <c r="I113" s="31" t="n">
        <v>6014748</v>
      </c>
      <c r="J113" s="31" t="inlineStr">
        <is>
          <t>543526</t>
        </is>
      </c>
    </row>
    <row r="114">
      <c r="A114" s="31" t="inlineStr">
        <is>
          <t>VISAKAIND</t>
        </is>
      </c>
      <c r="B114" s="31" t="inlineStr">
        <is>
          <t>Visaka Industries Limited</t>
        </is>
      </c>
      <c r="C114" s="31" t="inlineStr">
        <is>
          <t>building materials</t>
        </is>
      </c>
      <c r="D114" s="31" t="inlineStr">
        <is>
          <t>cement products</t>
        </is>
      </c>
      <c r="E114" s="31" t="inlineStr">
        <is>
          <t>smallcap</t>
        </is>
      </c>
      <c r="F114" s="31" t="n">
        <v>806.0700000000001</v>
      </c>
      <c r="G114" s="31" t="n">
        <v>95.31</v>
      </c>
      <c r="H114" s="31" t="n">
        <v>2.17</v>
      </c>
      <c r="I114" s="31" t="n">
        <v>36705</v>
      </c>
      <c r="J114" s="31" t="inlineStr">
        <is>
          <t>509055</t>
        </is>
      </c>
    </row>
    <row r="115">
      <c r="A115" s="31" t="inlineStr">
        <is>
          <t>BLACKBUCK</t>
        </is>
      </c>
      <c r="B115" s="31" t="inlineStr">
        <is>
          <t>BlackBuck Ltd</t>
        </is>
      </c>
      <c r="C115" s="31" t="inlineStr">
        <is>
          <t>transportation</t>
        </is>
      </c>
      <c r="D115" s="31" t="inlineStr">
        <is>
          <t>miscellaneous</t>
        </is>
      </c>
      <c r="E115" s="31" t="inlineStr">
        <is>
          <t>midcap</t>
        </is>
      </c>
      <c r="F115" s="31" t="n">
        <v>11226.11</v>
      </c>
      <c r="G115" s="31" t="n">
        <v>629.65</v>
      </c>
      <c r="H115" s="31" t="n">
        <v>2.16</v>
      </c>
      <c r="I115" s="31" t="n">
        <v>364118</v>
      </c>
      <c r="J115" s="31" t="inlineStr">
        <is>
          <t>544288</t>
        </is>
      </c>
    </row>
    <row r="116">
      <c r="A116" s="31" t="inlineStr">
        <is>
          <t>OBEROIRLTY</t>
        </is>
      </c>
      <c r="B116" s="31" t="inlineStr">
        <is>
          <t>Oberoi Realty Limited</t>
        </is>
      </c>
      <c r="C116" s="31" t="inlineStr">
        <is>
          <t>realty</t>
        </is>
      </c>
      <c r="D116" s="31" t="inlineStr">
        <is>
          <t>construction</t>
        </is>
      </c>
      <c r="E116" s="31" t="inlineStr">
        <is>
          <t>largecap</t>
        </is>
      </c>
      <c r="F116" s="31" t="n">
        <v>67982.71000000001</v>
      </c>
      <c r="G116" s="31" t="n">
        <v>1909.1</v>
      </c>
      <c r="H116" s="31" t="n">
        <v>2.11</v>
      </c>
      <c r="I116" s="31" t="n">
        <v>134700</v>
      </c>
      <c r="J116" s="31" t="inlineStr">
        <is>
          <t>533273</t>
        </is>
      </c>
    </row>
    <row r="117">
      <c r="A117" s="31" t="inlineStr">
        <is>
          <t>BLISSGVS</t>
        </is>
      </c>
      <c r="B117" s="31" t="inlineStr">
        <is>
          <t>Bliss Gvs Pharma Limited</t>
        </is>
      </c>
      <c r="C117" s="31" t="inlineStr">
        <is>
          <t>healthcare</t>
        </is>
      </c>
      <c r="D117" s="31" t="inlineStr">
        <is>
          <t>pharmaceuticals - indian - formulations</t>
        </is>
      </c>
      <c r="E117" s="31" t="inlineStr">
        <is>
          <t>midcap</t>
        </is>
      </c>
      <c r="F117" s="31" t="n">
        <v>6085.51</v>
      </c>
      <c r="G117" s="31" t="n">
        <v>585.9</v>
      </c>
      <c r="H117" s="31" t="n">
        <v>2.11</v>
      </c>
      <c r="I117" s="31" t="n">
        <v>350555</v>
      </c>
      <c r="J117" s="31" t="inlineStr">
        <is>
          <t>506197</t>
        </is>
      </c>
    </row>
    <row r="118">
      <c r="A118" s="31" t="inlineStr">
        <is>
          <t>AVTNPL</t>
        </is>
      </c>
      <c r="B118" s="31" t="inlineStr">
        <is>
          <t>Avt Natural Products Limited</t>
        </is>
      </c>
      <c r="C118" s="31" t="inlineStr">
        <is>
          <t>fmcg</t>
        </is>
      </c>
      <c r="D118" s="31" t="inlineStr">
        <is>
          <t>solvent extraction</t>
        </is>
      </c>
      <c r="E118" s="31" t="inlineStr">
        <is>
          <t>smallcap</t>
        </is>
      </c>
      <c r="F118" s="31" t="n">
        <v>1318.63</v>
      </c>
      <c r="G118" s="31" t="n">
        <v>88.41</v>
      </c>
      <c r="H118" s="31" t="n">
        <v>2.1</v>
      </c>
      <c r="I118" s="31" t="n">
        <v>109005</v>
      </c>
      <c r="J118" s="31" t="inlineStr">
        <is>
          <t>519105</t>
        </is>
      </c>
    </row>
    <row r="119">
      <c r="A119" s="31" t="inlineStr">
        <is>
          <t>SMARTWORKS</t>
        </is>
      </c>
      <c r="B119" s="31" t="inlineStr">
        <is>
          <t>Smartworks Coworking Spaces Ltd</t>
        </is>
      </c>
      <c r="C119" s="31" t="inlineStr">
        <is>
          <t>co-working</t>
        </is>
      </c>
      <c r="D119" s="31" t="inlineStr">
        <is>
          <t>miscellaneous</t>
        </is>
      </c>
      <c r="E119" s="31" t="inlineStr">
        <is>
          <t>midcap</t>
        </is>
      </c>
      <c r="F119" s="31" t="n">
        <v>5739.96</v>
      </c>
      <c r="G119" s="31" t="n">
        <v>512.9</v>
      </c>
      <c r="H119" s="31" t="n">
        <v>2.1</v>
      </c>
      <c r="I119" s="31" t="n">
        <v>26501</v>
      </c>
      <c r="J119" s="31" t="inlineStr">
        <is>
          <t>544447</t>
        </is>
      </c>
    </row>
    <row r="120">
      <c r="A120" s="31" t="inlineStr">
        <is>
          <t>SHRIRAMFIN</t>
        </is>
      </c>
      <c r="B120" s="31" t="inlineStr">
        <is>
          <t>Shriram Finance Ltd</t>
        </is>
      </c>
      <c r="C120" s="31" t="inlineStr">
        <is>
          <t>financials</t>
        </is>
      </c>
      <c r="D120" s="31" t="inlineStr">
        <is>
          <t>finance &amp; investments</t>
        </is>
      </c>
      <c r="E120" s="31" t="inlineStr">
        <is>
          <t>largecap</t>
        </is>
      </c>
      <c r="F120" s="31" t="n">
        <v>260232.41</v>
      </c>
      <c r="G120" s="31" t="n">
        <v>1128.2</v>
      </c>
      <c r="H120" s="31" t="n">
        <v>2.01</v>
      </c>
      <c r="I120" s="31" t="n">
        <v>4416996</v>
      </c>
      <c r="J120" s="31" t="inlineStr">
        <is>
          <t>511218</t>
        </is>
      </c>
    </row>
    <row r="121">
      <c r="A121" s="31" t="inlineStr">
        <is>
          <t>WINDMACHIN</t>
        </is>
      </c>
      <c r="B121" s="31" t="inlineStr">
        <is>
          <t>Windsor Machines Limited</t>
        </is>
      </c>
      <c r="C121" s="31" t="inlineStr">
        <is>
          <t>industrials</t>
        </is>
      </c>
      <c r="D121" s="31" t="inlineStr">
        <is>
          <t>engineering</t>
        </is>
      </c>
      <c r="E121" s="31" t="inlineStr">
        <is>
          <t>smallcap</t>
        </is>
      </c>
      <c r="F121" s="31" t="n">
        <v>3197.28</v>
      </c>
      <c r="G121" s="31" t="n">
        <v>320.5</v>
      </c>
      <c r="H121" s="31" t="n">
        <v>1.97</v>
      </c>
      <c r="I121" s="31" t="n">
        <v>56516</v>
      </c>
      <c r="J121" s="31" t="inlineStr">
        <is>
          <t>522029</t>
        </is>
      </c>
    </row>
    <row r="122">
      <c r="A122" s="31" t="inlineStr">
        <is>
          <t>KOTAKBANK</t>
        </is>
      </c>
      <c r="B122" s="31" t="inlineStr">
        <is>
          <t>Kotak Mahindra Bank Limited</t>
        </is>
      </c>
      <c r="C122" s="31" t="inlineStr">
        <is>
          <t>bank</t>
        </is>
      </c>
      <c r="D122" s="31" t="inlineStr">
        <is>
          <t>banks - private sector</t>
        </is>
      </c>
      <c r="E122" s="31" t="inlineStr">
        <is>
          <t>largecap</t>
        </is>
      </c>
      <c r="F122" s="31" t="n">
        <v>388170.32</v>
      </c>
      <c r="G122" s="31" t="n">
        <v>397.9</v>
      </c>
      <c r="H122" s="31" t="n">
        <v>1.96</v>
      </c>
      <c r="I122" s="31" t="n">
        <v>1835726</v>
      </c>
      <c r="J122" s="31" t="inlineStr">
        <is>
          <t>500247</t>
        </is>
      </c>
    </row>
    <row r="123">
      <c r="A123" s="31" t="inlineStr">
        <is>
          <t>360ONE</t>
        </is>
      </c>
      <c r="B123" s="31" t="inlineStr">
        <is>
          <t>360 ONE WAM Ltd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largecap</t>
        </is>
      </c>
      <c r="F123" s="31" t="n">
        <v>48009.17</v>
      </c>
      <c r="G123" s="31" t="n">
        <v>1203</v>
      </c>
      <c r="H123" s="31" t="n">
        <v>1.91</v>
      </c>
      <c r="I123" s="31" t="n">
        <v>404379</v>
      </c>
      <c r="J123" s="31" t="inlineStr">
        <is>
          <t>542772</t>
        </is>
      </c>
    </row>
    <row r="124">
      <c r="A124" s="31" t="inlineStr">
        <is>
          <t>CYIENTDLM</t>
        </is>
      </c>
      <c r="B124" s="31" t="inlineStr">
        <is>
          <t>Cyient DLM Ltd</t>
        </is>
      </c>
      <c r="C124" s="31" t="inlineStr">
        <is>
          <t>aerospace &amp; defence</t>
        </is>
      </c>
      <c r="D124" s="31" t="inlineStr">
        <is>
          <t>electronics - components</t>
        </is>
      </c>
      <c r="E124" s="31" t="inlineStr">
        <is>
          <t>midcap</t>
        </is>
      </c>
      <c r="F124" s="31" t="n">
        <v>5680.67</v>
      </c>
      <c r="G124" s="31" t="n">
        <v>729</v>
      </c>
      <c r="H124" s="31" t="n">
        <v>1.87</v>
      </c>
      <c r="I124" s="31" t="n">
        <v>166785</v>
      </c>
      <c r="J124" s="31" t="inlineStr">
        <is>
          <t>543933</t>
        </is>
      </c>
    </row>
    <row r="125">
      <c r="A125" s="31" t="inlineStr">
        <is>
          <t>WINDLAS</t>
        </is>
      </c>
      <c r="B125" s="31" t="inlineStr">
        <is>
          <t>Windlas Biotech Ltd</t>
        </is>
      </c>
      <c r="C125" s="31" t="inlineStr">
        <is>
          <t>healthcare</t>
        </is>
      </c>
      <c r="D125" s="31" t="inlineStr">
        <is>
          <t>pharmaceuticals - indian - formulations</t>
        </is>
      </c>
      <c r="E125" s="31" t="inlineStr">
        <is>
          <t>smallcap</t>
        </is>
      </c>
      <c r="F125" s="31" t="n">
        <v>1991.29</v>
      </c>
      <c r="G125" s="31" t="n">
        <v>982.85</v>
      </c>
      <c r="H125" s="31" t="n">
        <v>1.86</v>
      </c>
      <c r="I125" s="31" t="n">
        <v>42144</v>
      </c>
      <c r="J125" s="31" t="inlineStr">
        <is>
          <t>543329</t>
        </is>
      </c>
    </row>
    <row r="126">
      <c r="A126" s="31" t="inlineStr">
        <is>
          <t>GANDHAR</t>
        </is>
      </c>
      <c r="B126" s="31" t="inlineStr">
        <is>
          <t>Gandhar Oil Refinery (India) Ltd</t>
        </is>
      </c>
      <c r="C126" s="31" t="inlineStr">
        <is>
          <t>energy</t>
        </is>
      </c>
      <c r="D126" s="31" t="inlineStr">
        <is>
          <t>refineries</t>
        </is>
      </c>
      <c r="E126" s="31" t="inlineStr">
        <is>
          <t>smallcap</t>
        </is>
      </c>
      <c r="F126" s="31" t="n">
        <v>2448.46</v>
      </c>
      <c r="G126" s="31" t="n">
        <v>254.75</v>
      </c>
      <c r="H126" s="31" t="n">
        <v>1.84</v>
      </c>
      <c r="I126" s="31" t="n">
        <v>282417</v>
      </c>
      <c r="J126" s="31" t="inlineStr">
        <is>
          <t>544029</t>
        </is>
      </c>
    </row>
    <row r="127">
      <c r="A127" s="31" t="inlineStr">
        <is>
          <t>ENTERO</t>
        </is>
      </c>
      <c r="B127" s="31" t="inlineStr">
        <is>
          <t>Entero Healthcare Solutions Ltd</t>
        </is>
      </c>
      <c r="C127" s="31" t="inlineStr">
        <is>
          <t>healthcare</t>
        </is>
      </c>
      <c r="D127" s="31" t="inlineStr">
        <is>
          <t>trading</t>
        </is>
      </c>
      <c r="E127" s="31" t="inlineStr">
        <is>
          <t>midcap</t>
        </is>
      </c>
      <c r="F127" s="31" t="n">
        <v>6035.78</v>
      </c>
      <c r="G127" s="31" t="n">
        <v>1411.9</v>
      </c>
      <c r="H127" s="31" t="n">
        <v>1.81</v>
      </c>
      <c r="I127" s="31" t="n">
        <v>19762</v>
      </c>
      <c r="J127" s="31" t="inlineStr">
        <is>
          <t>544122</t>
        </is>
      </c>
    </row>
    <row r="128">
      <c r="A128" s="31" t="inlineStr">
        <is>
          <t>INDHOTEL</t>
        </is>
      </c>
      <c r="B128" s="31" t="inlineStr">
        <is>
          <t>The Indian Hotels Company Limited</t>
        </is>
      </c>
      <c r="C128" s="31" t="inlineStr">
        <is>
          <t>services</t>
        </is>
      </c>
      <c r="D128" s="31" t="inlineStr">
        <is>
          <t>hotels</t>
        </is>
      </c>
      <c r="E128" s="31" t="inlineStr">
        <is>
          <t>largecap</t>
        </is>
      </c>
      <c r="F128" s="31" t="n">
        <v>102963.97</v>
      </c>
      <c r="G128" s="31" t="n">
        <v>735.85</v>
      </c>
      <c r="H128" s="31" t="n">
        <v>1.73</v>
      </c>
      <c r="I128" s="31" t="n">
        <v>424867</v>
      </c>
      <c r="J128" s="31" t="inlineStr">
        <is>
          <t>500850</t>
        </is>
      </c>
    </row>
    <row r="129">
      <c r="A129" s="31" t="inlineStr">
        <is>
          <t>KINGFA</t>
        </is>
      </c>
      <c r="B129" s="31" t="inlineStr">
        <is>
          <t>Kingfa Science &amp; Technology (india) Limited</t>
        </is>
      </c>
      <c r="C129" s="31" t="inlineStr">
        <is>
          <t>plastic products</t>
        </is>
      </c>
      <c r="D129" s="31" t="inlineStr">
        <is>
          <t>plastics products</t>
        </is>
      </c>
      <c r="E129" s="31" t="inlineStr">
        <is>
          <t>midcap</t>
        </is>
      </c>
      <c r="F129" s="31" t="n">
        <v>7832.7</v>
      </c>
      <c r="G129" s="31" t="n">
        <v>5878.5</v>
      </c>
      <c r="H129" s="31" t="n">
        <v>1.7</v>
      </c>
      <c r="I129" s="31" t="n">
        <v>7435</v>
      </c>
      <c r="J129" s="31" t="inlineStr">
        <is>
          <t>524019</t>
        </is>
      </c>
    </row>
    <row r="130">
      <c r="A130" s="31" t="inlineStr">
        <is>
          <t>MAXESTATES</t>
        </is>
      </c>
      <c r="B130" s="31" t="inlineStr">
        <is>
          <t>Max Estates Ltd</t>
        </is>
      </c>
      <c r="C130" s="31" t="inlineStr">
        <is>
          <t>realty</t>
        </is>
      </c>
      <c r="D130" s="31" t="inlineStr">
        <is>
          <t>construction</t>
        </is>
      </c>
      <c r="E130" s="31" t="inlineStr">
        <is>
          <t>midcap</t>
        </is>
      </c>
      <c r="F130" s="31" t="n">
        <v>8013.82</v>
      </c>
      <c r="G130" s="31" t="n">
        <v>498.5</v>
      </c>
      <c r="H130" s="31" t="n">
        <v>1.7</v>
      </c>
      <c r="I130" s="31" t="n">
        <v>55461</v>
      </c>
      <c r="J130" s="31" t="inlineStr">
        <is>
          <t>544008</t>
        </is>
      </c>
    </row>
    <row r="131">
      <c r="A131" s="31" t="inlineStr">
        <is>
          <t>HNDFDS</t>
        </is>
      </c>
      <c r="B131" s="31" t="inlineStr">
        <is>
          <t>Hindustan Foods Ltd</t>
        </is>
      </c>
      <c r="C131" s="31" t="inlineStr">
        <is>
          <t>fmcg</t>
        </is>
      </c>
      <c r="D131" s="31" t="inlineStr">
        <is>
          <t>diversified - large</t>
        </is>
      </c>
      <c r="E131" s="31" t="inlineStr">
        <is>
          <t>midcap</t>
        </is>
      </c>
      <c r="F131" s="31" t="n">
        <v>7793.79</v>
      </c>
      <c r="G131" s="31" t="n">
        <v>654.1</v>
      </c>
      <c r="H131" s="31" t="n">
        <v>1.69</v>
      </c>
      <c r="I131" s="31" t="n">
        <v>39472</v>
      </c>
      <c r="J131" s="31" t="inlineStr">
        <is>
          <t>519126</t>
        </is>
      </c>
    </row>
    <row r="132">
      <c r="A132" s="31" t="inlineStr">
        <is>
          <t>MONARCH</t>
        </is>
      </c>
      <c r="B132" s="31" t="inlineStr">
        <is>
          <t>Monarch Networth Capital Ltd</t>
        </is>
      </c>
      <c r="C132" s="31" t="inlineStr">
        <is>
          <t>financials</t>
        </is>
      </c>
      <c r="D132" s="31" t="inlineStr">
        <is>
          <t>finance &amp; investments</t>
        </is>
      </c>
      <c r="E132" s="31" t="inlineStr">
        <is>
          <t>smallcap</t>
        </is>
      </c>
      <c r="F132" s="31" t="n">
        <v>3054.56</v>
      </c>
      <c r="G132" s="31" t="n">
        <v>391.65</v>
      </c>
      <c r="H132" s="31" t="n">
        <v>1.69</v>
      </c>
      <c r="I132" s="31" t="n">
        <v>44071</v>
      </c>
      <c r="J132" s="31" t="inlineStr">
        <is>
          <t>511551</t>
        </is>
      </c>
    </row>
    <row r="133">
      <c r="A133" s="31" t="inlineStr">
        <is>
          <t>SIRCA</t>
        </is>
      </c>
      <c r="B133" s="31" t="inlineStr">
        <is>
          <t>Sirca Paints India Ltd</t>
        </is>
      </c>
      <c r="C133" s="31" t="inlineStr">
        <is>
          <t>building materials</t>
        </is>
      </c>
      <c r="D133" s="31" t="inlineStr">
        <is>
          <t>paints / varnishes</t>
        </is>
      </c>
      <c r="E133" s="31" t="inlineStr">
        <is>
          <t>smallcap</t>
        </is>
      </c>
      <c r="F133" s="31" t="n">
        <v>2511.95</v>
      </c>
      <c r="G133" s="31" t="n">
        <v>449.75</v>
      </c>
      <c r="H133" s="31" t="n">
        <v>1.68</v>
      </c>
      <c r="I133" s="31" t="n">
        <v>472532</v>
      </c>
      <c r="J133" s="31" t="inlineStr">
        <is>
          <t>535083</t>
        </is>
      </c>
    </row>
    <row r="134">
      <c r="A134" s="31" t="inlineStr">
        <is>
          <t>DYCL</t>
        </is>
      </c>
      <c r="B134" s="31" t="inlineStr">
        <is>
          <t>Dynamic Cables Ltd</t>
        </is>
      </c>
      <c r="C134" s="31" t="inlineStr">
        <is>
          <t>industrials</t>
        </is>
      </c>
      <c r="D134" s="31" t="inlineStr">
        <is>
          <t>cables - power</t>
        </is>
      </c>
      <c r="E134" s="31" t="inlineStr">
        <is>
          <t>smallcap</t>
        </is>
      </c>
      <c r="F134" s="31" t="n">
        <v>2161.01</v>
      </c>
      <c r="G134" s="31" t="n">
        <v>453.3</v>
      </c>
      <c r="H134" s="31" t="n">
        <v>1.65</v>
      </c>
      <c r="I134" s="31" t="n">
        <v>141165</v>
      </c>
      <c r="J134" s="31" t="inlineStr">
        <is>
          <t>540795</t>
        </is>
      </c>
    </row>
    <row r="135">
      <c r="A135" s="31" t="inlineStr">
        <is>
          <t>TNPETRO</t>
        </is>
      </c>
      <c r="B135" s="31" t="inlineStr">
        <is>
          <t>Tamilnadu Petroproducts Limited</t>
        </is>
      </c>
      <c r="C135" s="31" t="inlineStr">
        <is>
          <t>energy</t>
        </is>
      </c>
      <c r="D135" s="31" t="inlineStr">
        <is>
          <t>petrochemicals</t>
        </is>
      </c>
      <c r="E135" s="31" t="inlineStr">
        <is>
          <t>smallcap</t>
        </is>
      </c>
      <c r="F135" s="31" t="n">
        <v>1020.91</v>
      </c>
      <c r="G135" s="31" t="n">
        <v>115.32</v>
      </c>
      <c r="H135" s="31" t="n">
        <v>1.63</v>
      </c>
      <c r="I135" s="31" t="n">
        <v>149188</v>
      </c>
      <c r="J135" s="31" t="inlineStr">
        <is>
          <t>500777</t>
        </is>
      </c>
    </row>
    <row r="136">
      <c r="A136" s="31" t="inlineStr">
        <is>
          <t>WELCORP</t>
        </is>
      </c>
      <c r="B136" s="31" t="inlineStr">
        <is>
          <t>Welspun Corp Limited</t>
        </is>
      </c>
      <c r="C136" s="31" t="inlineStr">
        <is>
          <t>industrials</t>
        </is>
      </c>
      <c r="D136" s="31" t="inlineStr">
        <is>
          <t>steel - large</t>
        </is>
      </c>
      <c r="E136" s="31" t="inlineStr">
        <is>
          <t>largecap</t>
        </is>
      </c>
      <c r="F136" s="31" t="n">
        <v>52069.64</v>
      </c>
      <c r="G136" s="31" t="n">
        <v>2005.6</v>
      </c>
      <c r="H136" s="31" t="n">
        <v>1.61</v>
      </c>
      <c r="I136" s="31" t="n">
        <v>278554</v>
      </c>
      <c r="J136" s="31" t="inlineStr">
        <is>
          <t>532144</t>
        </is>
      </c>
    </row>
    <row r="137">
      <c r="A137" s="31" t="inlineStr">
        <is>
          <t>ESABINDIA</t>
        </is>
      </c>
      <c r="B137" s="31" t="inlineStr">
        <is>
          <t>Esab India Limited</t>
        </is>
      </c>
      <c r="C137" s="31" t="inlineStr">
        <is>
          <t>industrials</t>
        </is>
      </c>
      <c r="D137" s="31" t="inlineStr">
        <is>
          <t>electrodes - welding equipment</t>
        </is>
      </c>
      <c r="E137" s="31" t="inlineStr">
        <is>
          <t>midcap</t>
        </is>
      </c>
      <c r="F137" s="31" t="n">
        <v>9324.32</v>
      </c>
      <c r="G137" s="31" t="n">
        <v>6154</v>
      </c>
      <c r="H137" s="31" t="n">
        <v>1.59</v>
      </c>
      <c r="I137" s="31" t="n">
        <v>999</v>
      </c>
      <c r="J137" s="31" t="inlineStr">
        <is>
          <t>500133</t>
        </is>
      </c>
    </row>
    <row r="138">
      <c r="A138" s="31" t="inlineStr">
        <is>
          <t>PVRINOX</t>
        </is>
      </c>
      <c r="B138" s="31" t="inlineStr">
        <is>
          <t>PVR Inox Ltd</t>
        </is>
      </c>
      <c r="C138" s="31" t="inlineStr">
        <is>
          <t>media</t>
        </is>
      </c>
      <c r="D138" s="31" t="inlineStr">
        <is>
          <t>entertainment / electronic media software</t>
        </is>
      </c>
      <c r="E138" s="31" t="inlineStr">
        <is>
          <t>midcap</t>
        </is>
      </c>
      <c r="F138" s="31" t="n">
        <v>11792.83</v>
      </c>
      <c r="G138" s="31" t="n">
        <v>1220</v>
      </c>
      <c r="H138" s="31" t="n">
        <v>1.59</v>
      </c>
      <c r="I138" s="31" t="n">
        <v>83973</v>
      </c>
      <c r="J138" s="31" t="inlineStr">
        <is>
          <t>532689</t>
        </is>
      </c>
    </row>
    <row r="139">
      <c r="A139" s="31" t="inlineStr">
        <is>
          <t>PRECWIRE</t>
        </is>
      </c>
      <c r="B139" s="31" t="inlineStr">
        <is>
          <t>Precision Wires India Limited</t>
        </is>
      </c>
      <c r="C139" s="31" t="inlineStr">
        <is>
          <t>metals &amp; mining</t>
        </is>
      </c>
      <c r="D139" s="31" t="inlineStr">
        <is>
          <t>mining / minerals / metals</t>
        </is>
      </c>
      <c r="E139" s="31" t="inlineStr">
        <is>
          <t>midcap</t>
        </is>
      </c>
      <c r="F139" s="31" t="n">
        <v>7855.26</v>
      </c>
      <c r="G139" s="31" t="n">
        <v>436.45</v>
      </c>
      <c r="H139" s="31" t="n">
        <v>1.57</v>
      </c>
      <c r="I139" s="31" t="n">
        <v>113256</v>
      </c>
      <c r="J139" s="31" t="inlineStr">
        <is>
          <t>523539</t>
        </is>
      </c>
    </row>
    <row r="140">
      <c r="A140" s="31" t="inlineStr">
        <is>
          <t>HONASA</t>
        </is>
      </c>
      <c r="B140" s="31" t="inlineStr">
        <is>
          <t>Honasa Consumer Ltd</t>
        </is>
      </c>
      <c r="C140" s="31" t="inlineStr">
        <is>
          <t>services</t>
        </is>
      </c>
      <c r="D140" s="31" t="inlineStr">
        <is>
          <t>trading</t>
        </is>
      </c>
      <c r="E140" s="31" t="inlineStr">
        <is>
          <t>midcap</t>
        </is>
      </c>
      <c r="F140" s="31" t="n">
        <v>15538.31</v>
      </c>
      <c r="G140" s="31" t="n">
        <v>484.05</v>
      </c>
      <c r="H140" s="31" t="n">
        <v>1.56</v>
      </c>
      <c r="I140" s="31" t="n">
        <v>212117</v>
      </c>
      <c r="J140" s="31" t="inlineStr">
        <is>
          <t>544014</t>
        </is>
      </c>
    </row>
    <row r="141">
      <c r="A141" s="31" t="inlineStr">
        <is>
          <t>TI</t>
        </is>
      </c>
      <c r="B141" s="31" t="inlineStr">
        <is>
          <t>Tilaknagar Industries Limited</t>
        </is>
      </c>
      <c r="C141" s="31" t="inlineStr">
        <is>
          <t>fmcg</t>
        </is>
      </c>
      <c r="D141" s="31" t="inlineStr">
        <is>
          <t>breweries &amp; distilleries</t>
        </is>
      </c>
      <c r="E141" s="31" t="inlineStr">
        <is>
          <t>midcap</t>
        </is>
      </c>
      <c r="F141" s="31" t="n">
        <v>14201.29</v>
      </c>
      <c r="G141" s="31" t="n">
        <v>582.75</v>
      </c>
      <c r="H141" s="31" t="n">
        <v>1.55</v>
      </c>
      <c r="I141" s="31" t="n">
        <v>187044</v>
      </c>
      <c r="J141" s="31" t="inlineStr">
        <is>
          <t>507205</t>
        </is>
      </c>
    </row>
    <row r="142">
      <c r="A142" s="31" t="inlineStr">
        <is>
          <t>NAM-INDIA</t>
        </is>
      </c>
      <c r="B142" s="31" t="inlineStr">
        <is>
          <t>Nippon Life India Asset Management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largecap</t>
        </is>
      </c>
      <c r="F142" s="31" t="n">
        <v>77802.31</v>
      </c>
      <c r="G142" s="31" t="n">
        <v>1235.8</v>
      </c>
      <c r="H142" s="31" t="n">
        <v>1.54</v>
      </c>
      <c r="I142" s="31" t="n">
        <v>1107038</v>
      </c>
      <c r="J142" s="31" t="inlineStr">
        <is>
          <t>540767</t>
        </is>
      </c>
    </row>
    <row r="143">
      <c r="A143" s="31" t="inlineStr">
        <is>
          <t>SHILPAMED</t>
        </is>
      </c>
      <c r="B143" s="31" t="inlineStr">
        <is>
          <t>Shilpa Medicare Limited</t>
        </is>
      </c>
      <c r="C143" s="31" t="inlineStr">
        <is>
          <t>healthcare</t>
        </is>
      </c>
      <c r="D143" s="31" t="inlineStr">
        <is>
          <t>pharmaceuticals - indian - formulations</t>
        </is>
      </c>
      <c r="E143" s="31" t="inlineStr">
        <is>
          <t>midcap</t>
        </is>
      </c>
      <c r="F143" s="31" t="n">
        <v>15798.12</v>
      </c>
      <c r="G143" s="31" t="n">
        <v>820.05</v>
      </c>
      <c r="H143" s="31" t="n">
        <v>1.52</v>
      </c>
      <c r="I143" s="31" t="n">
        <v>392545</v>
      </c>
      <c r="J143" s="31" t="inlineStr">
        <is>
          <t>530549</t>
        </is>
      </c>
    </row>
    <row r="144">
      <c r="A144" s="31" t="inlineStr">
        <is>
          <t>KRN</t>
        </is>
      </c>
      <c r="B144" s="31" t="inlineStr">
        <is>
          <t>KRN Heat Exchanger and Refrigeration Ltd</t>
        </is>
      </c>
      <c r="C144" s="31" t="inlineStr">
        <is>
          <t>industrials</t>
        </is>
      </c>
      <c r="D144" s="31" t="inlineStr">
        <is>
          <t>engineering</t>
        </is>
      </c>
      <c r="E144" s="31" t="inlineStr">
        <is>
          <t>midcap</t>
        </is>
      </c>
      <c r="F144" s="31" t="n">
        <v>9826.629999999999</v>
      </c>
      <c r="G144" s="31" t="n">
        <v>1523.6</v>
      </c>
      <c r="H144" s="31" t="n">
        <v>1.49</v>
      </c>
      <c r="I144" s="31" t="n">
        <v>50832</v>
      </c>
      <c r="J144" s="31" t="inlineStr">
        <is>
          <t>544263</t>
        </is>
      </c>
    </row>
    <row r="145">
      <c r="A145" s="31" t="inlineStr">
        <is>
          <t>INGERRAND</t>
        </is>
      </c>
      <c r="B145" s="31" t="inlineStr">
        <is>
          <t>Ingersoll Rand (india) Limited</t>
        </is>
      </c>
      <c r="C145" s="31" t="inlineStr">
        <is>
          <t>industrials</t>
        </is>
      </c>
      <c r="D145" s="31" t="inlineStr">
        <is>
          <t>compressors / drilling equipment</t>
        </is>
      </c>
      <c r="E145" s="31" t="inlineStr">
        <is>
          <t>midcap</t>
        </is>
      </c>
      <c r="F145" s="31" t="n">
        <v>14651.97</v>
      </c>
      <c r="G145" s="31" t="n">
        <v>4710.4</v>
      </c>
      <c r="H145" s="31" t="n">
        <v>1.49</v>
      </c>
      <c r="I145" s="31" t="n">
        <v>7302</v>
      </c>
      <c r="J145" s="31" t="inlineStr">
        <is>
          <t>500210</t>
        </is>
      </c>
    </row>
    <row r="146">
      <c r="A146" s="31" t="inlineStr">
        <is>
          <t>MATRIMONY</t>
        </is>
      </c>
      <c r="B146" s="31" t="inlineStr">
        <is>
          <t>Matrimony.com Ltd</t>
        </is>
      </c>
      <c r="C146" s="31" t="inlineStr">
        <is>
          <t>miscellaneous</t>
        </is>
      </c>
      <c r="D146" s="31" t="inlineStr">
        <is>
          <t>miscellaneous</t>
        </is>
      </c>
      <c r="E146" s="31" t="inlineStr">
        <is>
          <t>smallcap</t>
        </is>
      </c>
      <c r="F146" s="31" t="n">
        <v>1141.89</v>
      </c>
      <c r="G146" s="31" t="n">
        <v>560</v>
      </c>
      <c r="H146" s="31" t="n">
        <v>1.39</v>
      </c>
      <c r="I146" s="31" t="n">
        <v>11840</v>
      </c>
      <c r="J146" s="31" t="inlineStr">
        <is>
          <t>540704</t>
        </is>
      </c>
    </row>
    <row r="147">
      <c r="A147" s="31" t="inlineStr">
        <is>
          <t>BAJFINANCE</t>
        </is>
      </c>
      <c r="B147" s="31" t="inlineStr">
        <is>
          <t>Bajaj Finance Limited</t>
        </is>
      </c>
      <c r="C147" s="31" t="inlineStr">
        <is>
          <t>financials</t>
        </is>
      </c>
      <c r="D147" s="31" t="inlineStr">
        <is>
          <t>finance &amp; investments</t>
        </is>
      </c>
      <c r="E147" s="31" t="inlineStr">
        <is>
          <t>largecap</t>
        </is>
      </c>
      <c r="F147" s="31" t="n">
        <v>672527.58</v>
      </c>
      <c r="G147" s="31" t="n">
        <v>1095</v>
      </c>
      <c r="H147" s="31" t="n">
        <v>1.37</v>
      </c>
      <c r="I147" s="31" t="n">
        <v>2040411</v>
      </c>
      <c r="J147" s="31" t="inlineStr">
        <is>
          <t>500034</t>
        </is>
      </c>
    </row>
    <row r="148">
      <c r="A148" s="31" t="inlineStr">
        <is>
          <t>TATATECH</t>
        </is>
      </c>
      <c r="B148" s="31" t="inlineStr">
        <is>
          <t>Tata Technologies Ltd</t>
        </is>
      </c>
      <c r="C148" s="31" t="inlineStr">
        <is>
          <t>i.t</t>
        </is>
      </c>
      <c r="D148" s="31" t="inlineStr">
        <is>
          <t>computers - software - medium / small</t>
        </is>
      </c>
      <c r="E148" s="31" t="inlineStr">
        <is>
          <t>largecap</t>
        </is>
      </c>
      <c r="F148" s="31" t="n">
        <v>32993.74</v>
      </c>
      <c r="G148" s="31" t="n">
        <v>823.5</v>
      </c>
      <c r="H148" s="31" t="n">
        <v>1.35</v>
      </c>
      <c r="I148" s="31" t="n">
        <v>351473</v>
      </c>
      <c r="J148" s="31" t="inlineStr">
        <is>
          <t>544028</t>
        </is>
      </c>
    </row>
    <row r="149">
      <c r="A149" s="31" t="inlineStr">
        <is>
          <t>SHRIPISTON</t>
        </is>
      </c>
      <c r="B149" s="31" t="inlineStr">
        <is>
          <t>Shriram Pistons &amp; Rings Limited</t>
        </is>
      </c>
      <c r="C149" s="31" t="inlineStr">
        <is>
          <t>auto</t>
        </is>
      </c>
      <c r="D149" s="31" t="inlineStr">
        <is>
          <t>auto ancillaries</t>
        </is>
      </c>
      <c r="E149" s="31" t="inlineStr">
        <is>
          <t>midcap</t>
        </is>
      </c>
      <c r="F149" s="31" t="n">
        <v>19619.79</v>
      </c>
      <c r="G149" s="31" t="n">
        <v>4513.2</v>
      </c>
      <c r="H149" s="31" t="n">
        <v>1.33</v>
      </c>
      <c r="I149" s="31" t="n">
        <v>23915</v>
      </c>
      <c r="J149" s="31" t="n"/>
    </row>
    <row r="150">
      <c r="A150" s="31" t="inlineStr">
        <is>
          <t>UNITDSPR</t>
        </is>
      </c>
      <c r="B150" s="31" t="inlineStr">
        <is>
          <t>United Spirits Ltd</t>
        </is>
      </c>
      <c r="C150" s="31" t="inlineStr">
        <is>
          <t>fmcg</t>
        </is>
      </c>
      <c r="D150" s="31" t="inlineStr">
        <is>
          <t>breweries &amp; distilleries</t>
        </is>
      </c>
      <c r="E150" s="31" t="inlineStr">
        <is>
          <t>largecap</t>
        </is>
      </c>
      <c r="F150" s="31" t="n">
        <v>110848.27</v>
      </c>
      <c r="G150" s="31" t="n">
        <v>1544</v>
      </c>
      <c r="H150" s="31" t="n">
        <v>1.31</v>
      </c>
      <c r="I150" s="31" t="n">
        <v>1114744</v>
      </c>
      <c r="J150" s="31" t="inlineStr">
        <is>
          <t>532432</t>
        </is>
      </c>
    </row>
    <row r="151">
      <c r="A151" s="31" t="inlineStr">
        <is>
          <t>LAURUSLABS</t>
        </is>
      </c>
      <c r="B151" s="31" t="inlineStr">
        <is>
          <t>Laurus Labs Limited</t>
        </is>
      </c>
      <c r="C151" s="31" t="inlineStr">
        <is>
          <t>healthcare</t>
        </is>
      </c>
      <c r="D151" s="31" t="inlineStr">
        <is>
          <t>pharmaceuticals - indian - bulk drugs &amp; formln</t>
        </is>
      </c>
      <c r="E151" s="31" t="inlineStr">
        <is>
          <t>largecap</t>
        </is>
      </c>
      <c r="F151" s="31" t="n">
        <v>97342.17</v>
      </c>
      <c r="G151" s="31" t="n">
        <v>1825</v>
      </c>
      <c r="H151" s="31" t="n">
        <v>1.29</v>
      </c>
      <c r="I151" s="31" t="n">
        <v>442047</v>
      </c>
      <c r="J151" s="31" t="inlineStr">
        <is>
          <t>540222</t>
        </is>
      </c>
    </row>
    <row r="152">
      <c r="A152" s="31" t="inlineStr">
        <is>
          <t>PAYTM</t>
        </is>
      </c>
      <c r="B152" s="31" t="inlineStr">
        <is>
          <t>One 97 Communications Ltd</t>
        </is>
      </c>
      <c r="C152" s="31" t="inlineStr">
        <is>
          <t>i.t</t>
        </is>
      </c>
      <c r="D152" s="31" t="inlineStr">
        <is>
          <t>miscellaneous</t>
        </is>
      </c>
      <c r="E152" s="31" t="inlineStr">
        <is>
          <t>largecap</t>
        </is>
      </c>
      <c r="F152" s="31" t="n">
        <v>101397.36</v>
      </c>
      <c r="G152" s="31" t="n">
        <v>1603.6</v>
      </c>
      <c r="H152" s="31" t="n">
        <v>1.27</v>
      </c>
      <c r="I152" s="31" t="n">
        <v>1684916</v>
      </c>
      <c r="J152" s="31" t="inlineStr">
        <is>
          <t>543396</t>
        </is>
      </c>
    </row>
    <row r="153">
      <c r="A153" s="31" t="inlineStr">
        <is>
          <t>SAIL</t>
        </is>
      </c>
      <c r="B153" s="31" t="inlineStr">
        <is>
          <t>Steel Authority Of India Limited</t>
        </is>
      </c>
      <c r="C153" s="31" t="inlineStr">
        <is>
          <t>metals &amp; mining</t>
        </is>
      </c>
      <c r="D153" s="31" t="inlineStr">
        <is>
          <t>steel - large</t>
        </is>
      </c>
      <c r="E153" s="31" t="inlineStr">
        <is>
          <t>largecap</t>
        </is>
      </c>
      <c r="F153" s="31" t="n">
        <v>71354.82000000001</v>
      </c>
      <c r="G153" s="31" t="n">
        <v>174.9</v>
      </c>
      <c r="H153" s="31" t="n">
        <v>1.24</v>
      </c>
      <c r="I153" s="31" t="n">
        <v>18122523</v>
      </c>
      <c r="J153" s="31" t="inlineStr">
        <is>
          <t>500113</t>
        </is>
      </c>
    </row>
    <row r="154">
      <c r="A154" s="31" t="inlineStr">
        <is>
          <t>NEULANDLAB</t>
        </is>
      </c>
      <c r="B154" s="31" t="inlineStr">
        <is>
          <t>Neuland Laboratories Limited</t>
        </is>
      </c>
      <c r="C154" s="31" t="inlineStr">
        <is>
          <t>healthcare</t>
        </is>
      </c>
      <c r="D154" s="31" t="inlineStr">
        <is>
          <t>pharmaceuticals - indian - bulk drugs</t>
        </is>
      </c>
      <c r="E154" s="31" t="inlineStr">
        <is>
          <t>largecap</t>
        </is>
      </c>
      <c r="F154" s="31" t="n">
        <v>29880.81</v>
      </c>
      <c r="G154" s="31" t="n">
        <v>23576</v>
      </c>
      <c r="H154" s="31" t="n">
        <v>1.23</v>
      </c>
      <c r="I154" s="31" t="n">
        <v>12440</v>
      </c>
      <c r="J154" s="31" t="inlineStr">
        <is>
          <t>524558</t>
        </is>
      </c>
    </row>
    <row r="155">
      <c r="A155" s="31" t="inlineStr">
        <is>
          <t>YUKEN</t>
        </is>
      </c>
      <c r="B155" s="31" t="inlineStr">
        <is>
          <t>Yuken India Ltd</t>
        </is>
      </c>
      <c r="C155" s="31" t="inlineStr">
        <is>
          <t>industrials</t>
        </is>
      </c>
      <c r="D155" s="31" t="inlineStr">
        <is>
          <t>engineering</t>
        </is>
      </c>
      <c r="E155" s="31" t="inlineStr">
        <is>
          <t>smallcap</t>
        </is>
      </c>
      <c r="F155" s="31" t="n">
        <v>1274.04</v>
      </c>
      <c r="G155" s="31" t="n">
        <v>949.4</v>
      </c>
      <c r="H155" s="31" t="n">
        <v>1.23</v>
      </c>
      <c r="I155" s="31" t="n">
        <v>21009</v>
      </c>
      <c r="J155" s="31" t="inlineStr">
        <is>
          <t>522108</t>
        </is>
      </c>
    </row>
    <row r="156">
      <c r="A156" s="31" t="inlineStr">
        <is>
          <t>KPIL</t>
        </is>
      </c>
      <c r="B156" s="31" t="inlineStr">
        <is>
          <t>Kalpataru Projects International Ltd</t>
        </is>
      </c>
      <c r="C156" s="31" t="inlineStr">
        <is>
          <t>realty</t>
        </is>
      </c>
      <c r="D156" s="31" t="inlineStr">
        <is>
          <t>transmisson line towers / equipment</t>
        </is>
      </c>
      <c r="E156" s="31" t="inlineStr">
        <is>
          <t>largecap</t>
        </is>
      </c>
      <c r="F156" s="31" t="n">
        <v>23508.55</v>
      </c>
      <c r="G156" s="31" t="n">
        <v>1393</v>
      </c>
      <c r="H156" s="31" t="n">
        <v>1.19</v>
      </c>
      <c r="I156" s="31" t="n">
        <v>32992</v>
      </c>
      <c r="J156" s="31" t="inlineStr">
        <is>
          <t>522287</t>
        </is>
      </c>
    </row>
    <row r="157">
      <c r="A157" s="31" t="inlineStr">
        <is>
          <t>SPORTKING</t>
        </is>
      </c>
      <c r="B157" s="31" t="inlineStr">
        <is>
          <t>Sportking India Ltd</t>
        </is>
      </c>
      <c r="C157" s="31" t="inlineStr">
        <is>
          <t>textiles</t>
        </is>
      </c>
      <c r="D157" s="31" t="inlineStr">
        <is>
          <t>textiles - spinning - synthetic / blended</t>
        </is>
      </c>
      <c r="E157" s="31" t="inlineStr">
        <is>
          <t>smallcap</t>
        </is>
      </c>
      <c r="F157" s="31" t="n">
        <v>2663.68</v>
      </c>
      <c r="G157" s="31" t="n">
        <v>212.05</v>
      </c>
      <c r="H157" s="31" t="n">
        <v>1.16</v>
      </c>
      <c r="I157" s="31" t="n">
        <v>156631</v>
      </c>
      <c r="J157" s="31" t="inlineStr">
        <is>
          <t>539221</t>
        </is>
      </c>
    </row>
    <row r="158">
      <c r="A158" s="31" t="inlineStr">
        <is>
          <t>ANURAS</t>
        </is>
      </c>
      <c r="B158" s="31" t="inlineStr">
        <is>
          <t>Anupam Rasayan India Ltd</t>
        </is>
      </c>
      <c r="C158" s="31" t="inlineStr">
        <is>
          <t>chemicals</t>
        </is>
      </c>
      <c r="D158" s="31" t="inlineStr">
        <is>
          <t>chemicals</t>
        </is>
      </c>
      <c r="E158" s="31" t="inlineStr">
        <is>
          <t>midcap</t>
        </is>
      </c>
      <c r="F158" s="31" t="n">
        <v>13950.97</v>
      </c>
      <c r="G158" s="31" t="n">
        <v>1239.4</v>
      </c>
      <c r="H158" s="31" t="n">
        <v>1.14</v>
      </c>
      <c r="I158" s="31" t="n">
        <v>82202</v>
      </c>
      <c r="J158" s="31" t="inlineStr">
        <is>
          <t>543275</t>
        </is>
      </c>
    </row>
    <row r="159">
      <c r="A159" s="31" t="inlineStr">
        <is>
          <t>KRISHANA</t>
        </is>
      </c>
      <c r="B159" s="31" t="inlineStr">
        <is>
          <t>Krishana Phoschem Ltd</t>
        </is>
      </c>
      <c r="C159" s="31" t="inlineStr">
        <is>
          <t>chemicals</t>
        </is>
      </c>
      <c r="D159" s="31" t="inlineStr">
        <is>
          <t>fertilizers</t>
        </is>
      </c>
      <c r="E159" s="31" t="inlineStr">
        <is>
          <t>smallcap</t>
        </is>
      </c>
      <c r="F159" s="31" t="n">
        <v>1201.31</v>
      </c>
      <c r="G159" s="31" t="n">
        <v>196.52</v>
      </c>
      <c r="H159" s="31" t="n">
        <v>1.14</v>
      </c>
      <c r="I159" s="31" t="n">
        <v>272866</v>
      </c>
      <c r="J159" s="31" t="inlineStr">
        <is>
          <t>538405</t>
        </is>
      </c>
    </row>
    <row r="160">
      <c r="A160" s="31" t="inlineStr">
        <is>
          <t>MANORAMA</t>
        </is>
      </c>
      <c r="B160" s="31" t="inlineStr">
        <is>
          <t>Manorama Industries Ltd</t>
        </is>
      </c>
      <c r="C160" s="31" t="inlineStr">
        <is>
          <t>fmcg</t>
        </is>
      </c>
      <c r="D160" s="31" t="inlineStr">
        <is>
          <t>food - processing - indian</t>
        </is>
      </c>
      <c r="E160" s="31" t="inlineStr">
        <is>
          <t>midcap</t>
        </is>
      </c>
      <c r="F160" s="31" t="n">
        <v>11553.6</v>
      </c>
      <c r="G160" s="31" t="n">
        <v>1956.7</v>
      </c>
      <c r="H160" s="31" t="n">
        <v>1.12</v>
      </c>
      <c r="I160" s="31" t="n">
        <v>138904</v>
      </c>
      <c r="J160" s="31" t="inlineStr">
        <is>
          <t>541974</t>
        </is>
      </c>
    </row>
    <row r="161">
      <c r="A161" s="31" t="inlineStr">
        <is>
          <t>EXIDEIND</t>
        </is>
      </c>
      <c r="B161" s="31" t="inlineStr">
        <is>
          <t>Exide Industries Limited</t>
        </is>
      </c>
      <c r="C161" s="31" t="n">
        <v/>
      </c>
      <c r="D161" s="31" t="n">
        <v/>
      </c>
      <c r="E161" s="31" t="n">
        <v/>
      </c>
      <c r="F161" s="31" t="n">
        <v/>
      </c>
      <c r="G161" s="31" t="n">
        <v>464.6</v>
      </c>
      <c r="H161" s="31" t="n">
        <v>1.11</v>
      </c>
      <c r="I161" s="31" t="n">
        <v>637978</v>
      </c>
      <c r="J161" s="31" t="inlineStr">
        <is>
          <t>500086</t>
        </is>
      </c>
    </row>
    <row r="162">
      <c r="A162" s="31" t="inlineStr">
        <is>
          <t>OIL</t>
        </is>
      </c>
      <c r="B162" s="31" t="inlineStr">
        <is>
          <t>Oil India Limited</t>
        </is>
      </c>
      <c r="C162" s="31" t="inlineStr">
        <is>
          <t>energy</t>
        </is>
      </c>
      <c r="D162" s="31" t="inlineStr">
        <is>
          <t>oil drilling / allied services</t>
        </is>
      </c>
      <c r="E162" s="31" t="inlineStr">
        <is>
          <t>largecap</t>
        </is>
      </c>
      <c r="F162" s="31" t="n">
        <v>77239.47</v>
      </c>
      <c r="G162" s="31" t="n">
        <v>480.05</v>
      </c>
      <c r="H162" s="31" t="n">
        <v>1.1</v>
      </c>
      <c r="I162" s="31" t="n">
        <v>481676</v>
      </c>
      <c r="J162" s="31" t="inlineStr">
        <is>
          <t>533106</t>
        </is>
      </c>
    </row>
    <row r="163">
      <c r="A163" s="31" t="inlineStr">
        <is>
          <t>AUBANK</t>
        </is>
      </c>
      <c r="B163" s="31" t="inlineStr">
        <is>
          <t>AU Small Finance Bank Ltd</t>
        </is>
      </c>
      <c r="C163" s="31" t="inlineStr">
        <is>
          <t>bank</t>
        </is>
      </c>
      <c r="D163" s="31" t="inlineStr">
        <is>
          <t>banks - private sector</t>
        </is>
      </c>
      <c r="E163" s="31" t="inlineStr">
        <is>
          <t>largecap</t>
        </is>
      </c>
      <c r="F163" s="31" t="n">
        <v>80514.49000000001</v>
      </c>
      <c r="G163" s="31" t="n">
        <v>1086.5</v>
      </c>
      <c r="H163" s="31" t="n">
        <v>1.07</v>
      </c>
      <c r="I163" s="31" t="n">
        <v>717678</v>
      </c>
      <c r="J163" s="31" t="inlineStr">
        <is>
          <t>540611</t>
        </is>
      </c>
    </row>
    <row r="164">
      <c r="A164" s="31" t="inlineStr">
        <is>
          <t>WHEELS</t>
        </is>
      </c>
      <c r="B164" s="31" t="inlineStr">
        <is>
          <t>Wheels India Limited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smallcap</t>
        </is>
      </c>
      <c r="F164" s="31" t="n">
        <v>3582.12</v>
      </c>
      <c r="G164" s="31" t="n">
        <v>1481.8</v>
      </c>
      <c r="H164" s="31" t="n">
        <v>1.07</v>
      </c>
      <c r="I164" s="31" t="n">
        <v>38387</v>
      </c>
      <c r="J164" s="31" t="inlineStr">
        <is>
          <t>590073</t>
        </is>
      </c>
    </row>
    <row r="165">
      <c r="A165" s="31" t="inlineStr">
        <is>
          <t>PETRONET</t>
        </is>
      </c>
      <c r="B165" s="31" t="inlineStr">
        <is>
          <t>Petronet Lng Limited</t>
        </is>
      </c>
      <c r="C165" s="31" t="inlineStr">
        <is>
          <t>energy</t>
        </is>
      </c>
      <c r="D165" s="31" t="inlineStr">
        <is>
          <t>miscellaneous</t>
        </is>
      </c>
      <c r="E165" s="31" t="inlineStr">
        <is>
          <t>largecap</t>
        </is>
      </c>
      <c r="F165" s="31" t="n">
        <v>43222.5</v>
      </c>
      <c r="G165" s="31" t="n">
        <v>291.2</v>
      </c>
      <c r="H165" s="31" t="n">
        <v>1.06</v>
      </c>
      <c r="I165" s="31" t="n">
        <v>1087636</v>
      </c>
      <c r="J165" s="31" t="inlineStr">
        <is>
          <t>532522</t>
        </is>
      </c>
    </row>
    <row r="166">
      <c r="A166" s="31" t="inlineStr">
        <is>
          <t>IIFL</t>
        </is>
      </c>
      <c r="B166" s="31" t="inlineStr">
        <is>
          <t>IIFL Finance Ltd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largecap</t>
        </is>
      </c>
      <c r="F166" s="31" t="n">
        <v>26831.63</v>
      </c>
      <c r="G166" s="31" t="n">
        <v>637.45</v>
      </c>
      <c r="H166" s="31" t="n">
        <v>1.05</v>
      </c>
      <c r="I166" s="31" t="n">
        <v>454353</v>
      </c>
      <c r="J166" s="31" t="inlineStr">
        <is>
          <t>532636</t>
        </is>
      </c>
    </row>
    <row r="167">
      <c r="A167" s="31" t="inlineStr">
        <is>
          <t>APARINDS</t>
        </is>
      </c>
      <c r="B167" s="31" t="inlineStr">
        <is>
          <t>Apar Industries Limited</t>
        </is>
      </c>
      <c r="C167" s="31" t="inlineStr">
        <is>
          <t>industrials</t>
        </is>
      </c>
      <c r="D167" s="31" t="inlineStr">
        <is>
          <t>electric equipment</t>
        </is>
      </c>
      <c r="E167" s="31" t="inlineStr">
        <is>
          <t>largecap</t>
        </is>
      </c>
      <c r="F167" s="31" t="n">
        <v>66749.49000000001</v>
      </c>
      <c r="G167" s="31" t="n">
        <v>16784</v>
      </c>
      <c r="H167" s="31" t="n">
        <v>1.02</v>
      </c>
      <c r="I167" s="31" t="n">
        <v>45660</v>
      </c>
      <c r="J167" s="31" t="inlineStr">
        <is>
          <t>532259</t>
        </is>
      </c>
    </row>
    <row r="168">
      <c r="A168" s="31" t="inlineStr">
        <is>
          <t>BBTCL</t>
        </is>
      </c>
      <c r="B168" s="31" t="inlineStr">
        <is>
          <t>B&amp;B Triplewall Containers Ltd</t>
        </is>
      </c>
      <c r="C168" s="31" t="inlineStr">
        <is>
          <t>industrials</t>
        </is>
      </c>
      <c r="D168" s="31" t="inlineStr">
        <is>
          <t>packaging</t>
        </is>
      </c>
      <c r="E168" s="31" t="inlineStr">
        <is>
          <t>smallcap</t>
        </is>
      </c>
      <c r="F168" s="31" t="n">
        <v>504.66</v>
      </c>
      <c r="G168" s="31" t="n">
        <v>248.4</v>
      </c>
      <c r="H168" s="31" t="n">
        <v>0.96</v>
      </c>
      <c r="I168" s="31" t="n">
        <v>10151</v>
      </c>
      <c r="J168" s="31" t="inlineStr">
        <is>
          <t>535120</t>
        </is>
      </c>
    </row>
    <row r="169">
      <c r="A169" s="31" t="inlineStr">
        <is>
          <t>HAPPYFORGE</t>
        </is>
      </c>
      <c r="B169" s="31" t="inlineStr">
        <is>
          <t>Happy Forgings Ltd</t>
        </is>
      </c>
      <c r="C169" s="31" t="inlineStr">
        <is>
          <t>industrials</t>
        </is>
      </c>
      <c r="D169" s="31" t="inlineStr">
        <is>
          <t>castings &amp; forgings</t>
        </is>
      </c>
      <c r="E169" s="31" t="inlineStr">
        <is>
          <t>largecap</t>
        </is>
      </c>
      <c r="F169" s="31" t="n">
        <v>21781.67</v>
      </c>
      <c r="G169" s="31" t="n">
        <v>2329.4</v>
      </c>
      <c r="H169" s="31" t="n">
        <v>0.93</v>
      </c>
      <c r="I169" s="31" t="n">
        <v>23049</v>
      </c>
      <c r="J169" s="31" t="inlineStr">
        <is>
          <t>544057</t>
        </is>
      </c>
    </row>
    <row r="170">
      <c r="A170" s="31" t="inlineStr">
        <is>
          <t>DLF</t>
        </is>
      </c>
      <c r="B170" s="31" t="inlineStr">
        <is>
          <t>Dlf Limited</t>
        </is>
      </c>
      <c r="C170" s="31" t="inlineStr">
        <is>
          <t>realty</t>
        </is>
      </c>
      <c r="D170" s="31" t="inlineStr">
        <is>
          <t>construction</t>
        </is>
      </c>
      <c r="E170" s="31" t="inlineStr">
        <is>
          <t>largecap</t>
        </is>
      </c>
      <c r="F170" s="31" t="n">
        <v>165821.13</v>
      </c>
      <c r="G170" s="31" t="n">
        <v>676.15</v>
      </c>
      <c r="H170" s="31" t="n">
        <v>0.93</v>
      </c>
      <c r="I170" s="31" t="n">
        <v>716171</v>
      </c>
      <c r="J170" s="31" t="inlineStr">
        <is>
          <t>532868</t>
        </is>
      </c>
    </row>
    <row r="171">
      <c r="A171" s="31" t="inlineStr">
        <is>
          <t>GRASIM</t>
        </is>
      </c>
      <c r="B171" s="31" t="inlineStr">
        <is>
          <t>Grasim Industries Limited</t>
        </is>
      </c>
      <c r="C171" s="31" t="inlineStr">
        <is>
          <t>textiles</t>
        </is>
      </c>
      <c r="D171" s="31" t="inlineStr">
        <is>
          <t>textiles - manmade</t>
        </is>
      </c>
      <c r="E171" s="31" t="inlineStr">
        <is>
          <t>largecap</t>
        </is>
      </c>
      <c r="F171" s="31" t="n">
        <v>222549.85</v>
      </c>
      <c r="G171" s="31" t="n">
        <v>3300</v>
      </c>
      <c r="H171" s="31" t="n">
        <v>0.92</v>
      </c>
      <c r="I171" s="31" t="n">
        <v>283792</v>
      </c>
      <c r="J171" s="31" t="inlineStr">
        <is>
          <t>500300</t>
        </is>
      </c>
    </row>
    <row r="172">
      <c r="A172" s="31" t="inlineStr">
        <is>
          <t>APLAPOLLO</t>
        </is>
      </c>
      <c r="B172" s="31" t="inlineStr">
        <is>
          <t>Apl Apollo Tubes Limited</t>
        </is>
      </c>
      <c r="C172" s="31" t="inlineStr">
        <is>
          <t>industrials</t>
        </is>
      </c>
      <c r="D172" s="31" t="inlineStr">
        <is>
          <t>steel - large</t>
        </is>
      </c>
      <c r="E172" s="31" t="inlineStr">
        <is>
          <t>largecap</t>
        </is>
      </c>
      <c r="F172" s="31" t="n">
        <v>58913.56</v>
      </c>
      <c r="G172" s="31" t="n">
        <v>2141.2</v>
      </c>
      <c r="H172" s="31" t="n">
        <v>0.91</v>
      </c>
      <c r="I172" s="31" t="n">
        <v>161287</v>
      </c>
      <c r="J172" s="31" t="inlineStr">
        <is>
          <t>533758</t>
        </is>
      </c>
    </row>
    <row r="173">
      <c r="A173" s="31" t="inlineStr">
        <is>
          <t>SYNCOMF</t>
        </is>
      </c>
      <c r="B173" s="31" t="inlineStr">
        <is>
          <t>Syncom Formulations (India) Ltd</t>
        </is>
      </c>
      <c r="C173" s="31" t="inlineStr">
        <is>
          <t>healthcare</t>
        </is>
      </c>
      <c r="D173" s="31" t="inlineStr">
        <is>
          <t>pharmaceuticals - indian - bulk drugs &amp; formln</t>
        </is>
      </c>
      <c r="E173" s="31" t="inlineStr">
        <is>
          <t>smallcap</t>
        </is>
      </c>
      <c r="F173" s="31" t="n">
        <v>1441.02</v>
      </c>
      <c r="G173" s="31" t="n">
        <v>15.47</v>
      </c>
      <c r="H173" s="31" t="n">
        <v>0.91</v>
      </c>
      <c r="I173" s="31" t="n">
        <v>829354</v>
      </c>
      <c r="J173" s="31" t="inlineStr">
        <is>
          <t>524470</t>
        </is>
      </c>
    </row>
    <row r="174">
      <c r="A174" s="31" t="inlineStr">
        <is>
          <t>CONCOR</t>
        </is>
      </c>
      <c r="B174" s="31" t="inlineStr">
        <is>
          <t>Container Corporation Of India Limited</t>
        </is>
      </c>
      <c r="C174" s="31" t="inlineStr">
        <is>
          <t>transportation</t>
        </is>
      </c>
      <c r="D174" s="31" t="inlineStr">
        <is>
          <t>miscellaneous</t>
        </is>
      </c>
      <c r="E174" s="31" t="inlineStr">
        <is>
          <t>largecap</t>
        </is>
      </c>
      <c r="F174" s="31" t="n">
        <v>39173.82</v>
      </c>
      <c r="G174" s="31" t="n">
        <v>519</v>
      </c>
      <c r="H174" s="31" t="n">
        <v>0.9</v>
      </c>
      <c r="I174" s="31" t="n">
        <v>166400</v>
      </c>
      <c r="J174" s="31" t="inlineStr">
        <is>
          <t>531344</t>
        </is>
      </c>
    </row>
    <row r="175">
      <c r="A175" s="31" t="inlineStr">
        <is>
          <t>KOVAI</t>
        </is>
      </c>
      <c r="B175" s="31" t="inlineStr">
        <is>
          <t>Kovai Medical Center &amp; Hospital Ltd</t>
        </is>
      </c>
      <c r="C175" s="31" t="inlineStr">
        <is>
          <t>healthcare</t>
        </is>
      </c>
      <c r="D175" s="31" t="inlineStr">
        <is>
          <t>healthcare</t>
        </is>
      </c>
      <c r="E175" s="31" t="inlineStr">
        <is>
          <t>midcap</t>
        </is>
      </c>
      <c r="F175" s="31" t="n">
        <v>6564.81</v>
      </c>
      <c r="G175" s="31" t="n">
        <v>6052.5</v>
      </c>
      <c r="H175" s="31" t="n">
        <v>0.88</v>
      </c>
      <c r="I175" s="31" t="n">
        <v>1319</v>
      </c>
      <c r="J175" s="31" t="inlineStr">
        <is>
          <t>523323</t>
        </is>
      </c>
    </row>
    <row r="176">
      <c r="A176" s="31" t="inlineStr">
        <is>
          <t>M&amp;M</t>
        </is>
      </c>
      <c r="B176" s="31" t="inlineStr">
        <is>
          <t>Mahindra &amp; Mahindra Limited</t>
        </is>
      </c>
      <c r="C176" s="31" t="inlineStr">
        <is>
          <t>auto</t>
        </is>
      </c>
      <c r="D176" s="31" t="inlineStr">
        <is>
          <t>automobiles - passenger cars</t>
        </is>
      </c>
      <c r="E176" s="31" t="inlineStr">
        <is>
          <t>largecap</t>
        </is>
      </c>
      <c r="F176" s="31" t="n">
        <v>424665.1</v>
      </c>
      <c r="G176" s="31" t="n">
        <v>3444.7</v>
      </c>
      <c r="H176" s="31" t="n">
        <v>0.87</v>
      </c>
      <c r="I176" s="31" t="n">
        <v>373572</v>
      </c>
      <c r="J176" s="31" t="inlineStr">
        <is>
          <t>500520</t>
        </is>
      </c>
    </row>
    <row r="177">
      <c r="A177" s="31" t="inlineStr">
        <is>
          <t>FOSECOIND</t>
        </is>
      </c>
      <c r="B177" s="31" t="inlineStr">
        <is>
          <t>Foseco India Limited</t>
        </is>
      </c>
      <c r="C177" s="31" t="inlineStr">
        <is>
          <t>chemicals</t>
        </is>
      </c>
      <c r="D177" s="31" t="inlineStr">
        <is>
          <t>chemicals</t>
        </is>
      </c>
      <c r="E177" s="31" t="inlineStr">
        <is>
          <t>smallcap</t>
        </is>
      </c>
      <c r="F177" s="31" t="n">
        <v>4120.62</v>
      </c>
      <c r="G177" s="31" t="n">
        <v>5514.5</v>
      </c>
      <c r="H177" s="31" t="n">
        <v>0.87</v>
      </c>
      <c r="I177" s="31" t="n">
        <v>2349</v>
      </c>
      <c r="J177" s="31" t="inlineStr">
        <is>
          <t>500150</t>
        </is>
      </c>
    </row>
    <row r="178">
      <c r="A178" s="31" t="inlineStr">
        <is>
          <t>EMAMIPAP</t>
        </is>
      </c>
      <c r="B178" s="31" t="inlineStr">
        <is>
          <t>Emami Paper Mills Ltd</t>
        </is>
      </c>
      <c r="C178" s="31" t="inlineStr">
        <is>
          <t>building materials</t>
        </is>
      </c>
      <c r="D178" s="31" t="inlineStr">
        <is>
          <t>paper</t>
        </is>
      </c>
      <c r="E178" s="31" t="inlineStr">
        <is>
          <t>smallcap</t>
        </is>
      </c>
      <c r="F178" s="31" t="n">
        <v>688.0599999999999</v>
      </c>
      <c r="G178" s="31" t="n">
        <v>114.69</v>
      </c>
      <c r="H178" s="31" t="n">
        <v>0.84</v>
      </c>
      <c r="I178" s="31" t="n">
        <v>4269</v>
      </c>
      <c r="J178" s="31" t="inlineStr">
        <is>
          <t>533208</t>
        </is>
      </c>
    </row>
    <row r="179">
      <c r="A179" s="31" t="inlineStr">
        <is>
          <t>COSMOFIRST</t>
        </is>
      </c>
      <c r="B179" s="31" t="inlineStr">
        <is>
          <t>Cosmo First Ltd</t>
        </is>
      </c>
      <c r="C179" s="31" t="inlineStr">
        <is>
          <t>industrials</t>
        </is>
      </c>
      <c r="D179" s="31" t="inlineStr">
        <is>
          <t>packaging</t>
        </is>
      </c>
      <c r="E179" s="31" t="inlineStr">
        <is>
          <t>smallcap</t>
        </is>
      </c>
      <c r="F179" s="31" t="n">
        <v>2443.06</v>
      </c>
      <c r="G179" s="31" t="n">
        <v>938.45</v>
      </c>
      <c r="H179" s="31" t="n">
        <v>0.83</v>
      </c>
      <c r="I179" s="31" t="n">
        <v>24148</v>
      </c>
      <c r="J179" s="31" t="inlineStr">
        <is>
          <t>508814</t>
        </is>
      </c>
    </row>
    <row r="180">
      <c r="A180" s="31" t="inlineStr">
        <is>
          <t>TFCILTD</t>
        </is>
      </c>
      <c r="B180" s="31" t="inlineStr">
        <is>
          <t>Tourism Finance Corporation Of India Limited</t>
        </is>
      </c>
      <c r="C180" s="31" t="inlineStr">
        <is>
          <t>financials</t>
        </is>
      </c>
      <c r="D180" s="31" t="inlineStr">
        <is>
          <t>finance - term-lending institutions</t>
        </is>
      </c>
      <c r="E180" s="31" t="inlineStr">
        <is>
          <t>midcap</t>
        </is>
      </c>
      <c r="F180" s="31" t="n">
        <v>6083.98</v>
      </c>
      <c r="G180" s="31" t="n">
        <v>132.48</v>
      </c>
      <c r="H180" s="31" t="n">
        <v>0.8100000000000001</v>
      </c>
      <c r="I180" s="31" t="n">
        <v>7764319</v>
      </c>
      <c r="J180" s="31" t="inlineStr">
        <is>
          <t>526650</t>
        </is>
      </c>
    </row>
    <row r="181">
      <c r="A181" s="31" t="inlineStr">
        <is>
          <t>ZIMLAB</t>
        </is>
      </c>
      <c r="B181" s="31" t="inlineStr">
        <is>
          <t>Zim Laboratories Ltd</t>
        </is>
      </c>
      <c r="C181" s="31" t="inlineStr">
        <is>
          <t>healthcare</t>
        </is>
      </c>
      <c r="D181" s="31" t="inlineStr">
        <is>
          <t>pharmaceuticals - indian - bulk drugs &amp; formln</t>
        </is>
      </c>
      <c r="E181" s="31" t="inlineStr">
        <is>
          <t>smallcap</t>
        </is>
      </c>
      <c r="F181" s="31" t="n">
        <v>632.09</v>
      </c>
      <c r="G181" s="31" t="n">
        <v>119</v>
      </c>
      <c r="H181" s="31" t="n">
        <v>0.8100000000000001</v>
      </c>
      <c r="I181" s="31" t="n">
        <v>38336</v>
      </c>
      <c r="J181" s="31" t="inlineStr">
        <is>
          <t>541400</t>
        </is>
      </c>
    </row>
    <row r="182">
      <c r="A182" s="31" t="inlineStr">
        <is>
          <t>GEOJITFSL</t>
        </is>
      </c>
      <c r="B182" s="31" t="inlineStr">
        <is>
          <t>Geojit Financial Services Ltd</t>
        </is>
      </c>
      <c r="C182" s="31" t="inlineStr">
        <is>
          <t>financials</t>
        </is>
      </c>
      <c r="D182" s="31" t="inlineStr">
        <is>
          <t>finance &amp; investments</t>
        </is>
      </c>
      <c r="E182" s="31" t="inlineStr">
        <is>
          <t>smallcap</t>
        </is>
      </c>
      <c r="F182" s="31" t="n">
        <v>2233.26</v>
      </c>
      <c r="G182" s="31" t="n">
        <v>80.65000000000001</v>
      </c>
      <c r="H182" s="31" t="n">
        <v>0.8</v>
      </c>
      <c r="I182" s="31" t="n">
        <v>76714</v>
      </c>
      <c r="J182" s="31" t="inlineStr">
        <is>
          <t>532285</t>
        </is>
      </c>
    </row>
    <row r="183">
      <c r="A183" s="31" t="inlineStr">
        <is>
          <t>VGUARD</t>
        </is>
      </c>
      <c r="B183" s="31" t="inlineStr">
        <is>
          <t>V-guard Industries Limited</t>
        </is>
      </c>
      <c r="C183" s="31" t="inlineStr">
        <is>
          <t>industrials</t>
        </is>
      </c>
      <c r="D183" s="31" t="inlineStr">
        <is>
          <t>electric equipment</t>
        </is>
      </c>
      <c r="E183" s="31" t="inlineStr">
        <is>
          <t>midcap</t>
        </is>
      </c>
      <c r="F183" s="31" t="n">
        <v>14563.76</v>
      </c>
      <c r="G183" s="31" t="n">
        <v>336</v>
      </c>
      <c r="H183" s="31" t="n">
        <v>0.8</v>
      </c>
      <c r="I183" s="31" t="n">
        <v>120958</v>
      </c>
      <c r="J183" s="31" t="inlineStr">
        <is>
          <t>532953</t>
        </is>
      </c>
    </row>
    <row r="184">
      <c r="A184" s="31" t="inlineStr">
        <is>
          <t>DOLPHIN</t>
        </is>
      </c>
      <c r="B184" s="31" t="inlineStr">
        <is>
          <t>Dolphin Offshore Enterprises (India) Ltd</t>
        </is>
      </c>
      <c r="C184" s="31" t="inlineStr">
        <is>
          <t>energy</t>
        </is>
      </c>
      <c r="D184" s="31" t="inlineStr">
        <is>
          <t>oil drilling / allied services</t>
        </is>
      </c>
      <c r="E184" s="31" t="inlineStr">
        <is>
          <t>smallcap</t>
        </is>
      </c>
      <c r="F184" s="31" t="n">
        <v>2477.28</v>
      </c>
      <c r="G184" s="31" t="n">
        <v>624.1</v>
      </c>
      <c r="H184" s="31" t="n">
        <v>0.78</v>
      </c>
      <c r="I184" s="31" t="n">
        <v>53323</v>
      </c>
      <c r="J184" s="31" t="inlineStr">
        <is>
          <t>522261</t>
        </is>
      </c>
    </row>
    <row r="185">
      <c r="A185" s="31" t="inlineStr">
        <is>
          <t>IRISDOREME</t>
        </is>
      </c>
      <c r="B185" s="31" t="inlineStr">
        <is>
          <t>Iris Clothings Ltd</t>
        </is>
      </c>
      <c r="C185" s="31" t="inlineStr">
        <is>
          <t>consumer discretionary</t>
        </is>
      </c>
      <c r="D185" s="31" t="inlineStr">
        <is>
          <t>textiles - products</t>
        </is>
      </c>
      <c r="E185" s="31" t="inlineStr">
        <is>
          <t>smallcap</t>
        </is>
      </c>
      <c r="F185" s="31" t="n">
        <v>1115.72</v>
      </c>
      <c r="G185" s="31" t="n">
        <v>59.06</v>
      </c>
      <c r="H185" s="31" t="n">
        <v>0.75</v>
      </c>
      <c r="I185" s="31" t="n">
        <v>451478</v>
      </c>
      <c r="J185" s="31" t="inlineStr">
        <is>
          <t>535123</t>
        </is>
      </c>
    </row>
    <row r="186">
      <c r="A186" s="31" t="inlineStr">
        <is>
          <t>LT</t>
        </is>
      </c>
      <c r="B186" s="31" t="inlineStr">
        <is>
          <t>Larsen &amp; Toubro Limited</t>
        </is>
      </c>
      <c r="C186" s="31" t="inlineStr">
        <is>
          <t>realty</t>
        </is>
      </c>
      <c r="D186" s="31" t="inlineStr">
        <is>
          <t>engineering - turnkey services</t>
        </is>
      </c>
      <c r="E186" s="31" t="inlineStr">
        <is>
          <t>largecap</t>
        </is>
      </c>
      <c r="F186" s="31" t="n">
        <v>555973.4300000001</v>
      </c>
      <c r="G186" s="31" t="n">
        <v>4070</v>
      </c>
      <c r="H186" s="31" t="n">
        <v>0.71</v>
      </c>
      <c r="I186" s="31" t="n">
        <v>308327</v>
      </c>
      <c r="J186" s="31" t="inlineStr">
        <is>
          <t>500510</t>
        </is>
      </c>
    </row>
    <row r="187">
      <c r="A187" s="31" t="inlineStr">
        <is>
          <t>HEG</t>
        </is>
      </c>
      <c r="B187" s="31" t="inlineStr">
        <is>
          <t>Heg Limited</t>
        </is>
      </c>
      <c r="C187" s="31" t="inlineStr">
        <is>
          <t>industrials</t>
        </is>
      </c>
      <c r="D187" s="31" t="inlineStr">
        <is>
          <t>electrodes - graphites</t>
        </is>
      </c>
      <c r="E187" s="31" t="inlineStr">
        <is>
          <t>midcap</t>
        </is>
      </c>
      <c r="F187" s="31" t="n">
        <v>13663.77</v>
      </c>
      <c r="G187" s="31" t="n">
        <v>713.1</v>
      </c>
      <c r="H187" s="31" t="n">
        <v>0.71</v>
      </c>
      <c r="I187" s="31" t="n">
        <v>439572</v>
      </c>
      <c r="J187" s="31" t="inlineStr">
        <is>
          <t>509631</t>
        </is>
      </c>
    </row>
    <row r="188">
      <c r="A188" s="31" t="inlineStr">
        <is>
          <t>PANACHE</t>
        </is>
      </c>
      <c r="B188" s="31" t="inlineStr">
        <is>
          <t>Panache Digilife Ltd</t>
        </is>
      </c>
      <c r="C188" s="31" t="inlineStr">
        <is>
          <t>i.t</t>
        </is>
      </c>
      <c r="D188" s="31" t="inlineStr">
        <is>
          <t>computers - hardware</t>
        </is>
      </c>
      <c r="E188" s="31" t="inlineStr">
        <is>
          <t>smallcap</t>
        </is>
      </c>
      <c r="F188" s="31" t="n">
        <v>866.52</v>
      </c>
      <c r="G188" s="31" t="n">
        <v>544.9</v>
      </c>
      <c r="H188" s="31" t="n">
        <v>0.7</v>
      </c>
      <c r="I188" s="31" t="n">
        <v>2689</v>
      </c>
      <c r="J188" s="31" t="inlineStr">
        <is>
          <t>538424</t>
        </is>
      </c>
    </row>
    <row r="189">
      <c r="A189" s="31" t="inlineStr">
        <is>
          <t>BAJAJ-AUTO</t>
        </is>
      </c>
      <c r="B189" s="31" t="inlineStr">
        <is>
          <t>Bajaj Auto Limited</t>
        </is>
      </c>
      <c r="C189" s="31" t="inlineStr">
        <is>
          <t>auto</t>
        </is>
      </c>
      <c r="D189" s="31" t="inlineStr">
        <is>
          <t>automobiles - scooters and 3 - wheelers</t>
        </is>
      </c>
      <c r="E189" s="31" t="inlineStr">
        <is>
          <t>largecap</t>
        </is>
      </c>
      <c r="F189" s="31" t="n">
        <v>325475.23</v>
      </c>
      <c r="G189" s="31" t="n">
        <v>11725</v>
      </c>
      <c r="H189" s="31" t="n">
        <v>0.6899999999999999</v>
      </c>
      <c r="I189" s="31" t="n">
        <v>48223</v>
      </c>
      <c r="J189" s="31" t="inlineStr">
        <is>
          <t>532977</t>
        </is>
      </c>
    </row>
    <row r="190">
      <c r="A190" s="31" t="inlineStr">
        <is>
          <t>VIJAYA</t>
        </is>
      </c>
      <c r="B190" s="31" t="inlineStr">
        <is>
          <t>Vijaya Diagnostic Centre Ltd</t>
        </is>
      </c>
      <c r="C190" s="31" t="inlineStr">
        <is>
          <t>healthcare</t>
        </is>
      </c>
      <c r="D190" s="31" t="inlineStr">
        <is>
          <t>healthcare</t>
        </is>
      </c>
      <c r="E190" s="31" t="inlineStr">
        <is>
          <t>midcap</t>
        </is>
      </c>
      <c r="F190" s="31" t="n">
        <v>15331.61</v>
      </c>
      <c r="G190" s="31" t="n">
        <v>1500</v>
      </c>
      <c r="H190" s="31" t="n">
        <v>0.67</v>
      </c>
      <c r="I190" s="31" t="n">
        <v>17525</v>
      </c>
      <c r="J190" s="31" t="inlineStr">
        <is>
          <t>543350</t>
        </is>
      </c>
    </row>
    <row r="191">
      <c r="A191" s="31" t="inlineStr">
        <is>
          <t>TVSMOTOR</t>
        </is>
      </c>
      <c r="B191" s="31" t="inlineStr">
        <is>
          <t>Tvs Motor Company Limited</t>
        </is>
      </c>
      <c r="C191" s="31" t="inlineStr">
        <is>
          <t>auto</t>
        </is>
      </c>
      <c r="D191" s="31" t="inlineStr">
        <is>
          <t>automobiles - motorcycles / mopeds</t>
        </is>
      </c>
      <c r="E191" s="31" t="inlineStr">
        <is>
          <t>largecap</t>
        </is>
      </c>
      <c r="F191" s="31" t="n">
        <v>207190.24</v>
      </c>
      <c r="G191" s="31" t="n">
        <v>4390</v>
      </c>
      <c r="H191" s="31" t="n">
        <v>0.66</v>
      </c>
      <c r="I191" s="31" t="n">
        <v>664216</v>
      </c>
      <c r="J191" s="31" t="inlineStr">
        <is>
          <t>532343</t>
        </is>
      </c>
    </row>
    <row r="192">
      <c r="A192" s="31" t="inlineStr">
        <is>
          <t>UNIMECH</t>
        </is>
      </c>
      <c r="B192" s="31" t="inlineStr">
        <is>
          <t>Unimech Aerospace and Manufacturing Ltd</t>
        </is>
      </c>
      <c r="C192" s="31" t="inlineStr">
        <is>
          <t>aerospace &amp; defence</t>
        </is>
      </c>
      <c r="D192" s="31" t="inlineStr">
        <is>
          <t>engineering</t>
        </is>
      </c>
      <c r="E192" s="31" t="inlineStr">
        <is>
          <t>midcap</t>
        </is>
      </c>
      <c r="F192" s="31" t="n">
        <v>7620.4</v>
      </c>
      <c r="G192" s="31" t="n">
        <v>1508.3</v>
      </c>
      <c r="H192" s="31" t="n">
        <v>0.66</v>
      </c>
      <c r="I192" s="31" t="n">
        <v>53946</v>
      </c>
      <c r="J192" s="31" t="inlineStr">
        <is>
          <t>544322</t>
        </is>
      </c>
    </row>
    <row r="193">
      <c r="A193" s="31" t="inlineStr">
        <is>
          <t>AEROENTER</t>
        </is>
      </c>
      <c r="B193" s="31" t="inlineStr">
        <is>
          <t>Aeroflex Enterprises Ltd</t>
        </is>
      </c>
      <c r="C193" s="31" t="inlineStr">
        <is>
          <t>metals &amp; mining</t>
        </is>
      </c>
      <c r="D193" s="31" t="inlineStr">
        <is>
          <t>steel - medium / small</t>
        </is>
      </c>
      <c r="E193" s="31" t="inlineStr">
        <is>
          <t>smallcap</t>
        </is>
      </c>
      <c r="F193" s="31" t="n">
        <v>1472.72</v>
      </c>
      <c r="G193" s="31" t="n">
        <v>131</v>
      </c>
      <c r="H193" s="31" t="n">
        <v>0.66</v>
      </c>
      <c r="I193" s="31" t="n">
        <v>95505</v>
      </c>
      <c r="J193" s="31" t="inlineStr">
        <is>
          <t>511076</t>
        </is>
      </c>
    </row>
    <row r="194">
      <c r="A194" s="31" t="inlineStr">
        <is>
          <t>INDOTECH</t>
        </is>
      </c>
      <c r="B194" s="31" t="inlineStr">
        <is>
          <t>Indo Tech Transformers Limited</t>
        </is>
      </c>
      <c r="C194" s="31" t="inlineStr">
        <is>
          <t>industrials</t>
        </is>
      </c>
      <c r="D194" s="31" t="inlineStr">
        <is>
          <t>electric equipment</t>
        </is>
      </c>
      <c r="E194" s="31" t="inlineStr">
        <is>
          <t>smallcap</t>
        </is>
      </c>
      <c r="F194" s="31" t="n">
        <v>3939.81</v>
      </c>
      <c r="G194" s="31" t="n">
        <v>3734</v>
      </c>
      <c r="H194" s="31" t="n">
        <v>0.65</v>
      </c>
      <c r="I194" s="31" t="n">
        <v>9694</v>
      </c>
      <c r="J194" s="31" t="inlineStr">
        <is>
          <t>532717</t>
        </is>
      </c>
    </row>
    <row r="195">
      <c r="A195" s="31" t="inlineStr">
        <is>
          <t>EICHERMOT</t>
        </is>
      </c>
      <c r="B195" s="31" t="inlineStr">
        <is>
          <t>Eicher Motors Limited</t>
        </is>
      </c>
      <c r="C195" s="31" t="inlineStr">
        <is>
          <t>auto</t>
        </is>
      </c>
      <c r="D195" s="31" t="inlineStr">
        <is>
          <t>automobiles - motorcycles / mopeds</t>
        </is>
      </c>
      <c r="E195" s="31" t="inlineStr">
        <is>
          <t>largecap</t>
        </is>
      </c>
      <c r="F195" s="31" t="n">
        <v>219337.25</v>
      </c>
      <c r="G195" s="31" t="n">
        <v>8042</v>
      </c>
      <c r="H195" s="31" t="n">
        <v>0.64</v>
      </c>
      <c r="I195" s="31" t="n">
        <v>102811</v>
      </c>
      <c r="J195" s="31" t="inlineStr">
        <is>
          <t>505200</t>
        </is>
      </c>
    </row>
    <row r="196">
      <c r="A196" s="31" t="inlineStr">
        <is>
          <t>CHOLAFIN</t>
        </is>
      </c>
      <c r="B196" s="31" t="inlineStr">
        <is>
          <t>Cholamandalam Investment And Finance Company Limited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largecap</t>
        </is>
      </c>
      <c r="F196" s="31" t="n">
        <v>159732.11</v>
      </c>
      <c r="G196" s="31" t="n">
        <v>1885</v>
      </c>
      <c r="H196" s="31" t="n">
        <v>0.61</v>
      </c>
      <c r="I196" s="31" t="n">
        <v>175716</v>
      </c>
      <c r="J196" s="31" t="inlineStr">
        <is>
          <t>511243</t>
        </is>
      </c>
    </row>
    <row r="197">
      <c r="A197" s="31" t="inlineStr">
        <is>
          <t>BOSCHLTD</t>
        </is>
      </c>
      <c r="B197" s="31" t="inlineStr">
        <is>
          <t>Bosch Limited</t>
        </is>
      </c>
      <c r="C197" s="31" t="inlineStr">
        <is>
          <t>auto</t>
        </is>
      </c>
      <c r="D197" s="31" t="inlineStr">
        <is>
          <t>auto ancillaries</t>
        </is>
      </c>
      <c r="E197" s="31" t="inlineStr">
        <is>
          <t>largecap</t>
        </is>
      </c>
      <c r="F197" s="31" t="n">
        <v>142938.1</v>
      </c>
      <c r="G197" s="31" t="n">
        <v>48750</v>
      </c>
      <c r="H197" s="31" t="n">
        <v>0.6</v>
      </c>
      <c r="I197" s="31" t="n">
        <v>14832</v>
      </c>
      <c r="J197" s="31" t="inlineStr">
        <is>
          <t>500530</t>
        </is>
      </c>
    </row>
    <row r="198">
      <c r="A198" s="31" t="inlineStr">
        <is>
          <t>THELEELA</t>
        </is>
      </c>
      <c r="B198" s="31" t="inlineStr">
        <is>
          <t>Leela Palaces Hotels &amp; Resorts Ltd</t>
        </is>
      </c>
      <c r="C198" s="31" t="inlineStr">
        <is>
          <t>services</t>
        </is>
      </c>
      <c r="D198" s="31" t="inlineStr">
        <is>
          <t>hotels</t>
        </is>
      </c>
      <c r="E198" s="31" t="inlineStr">
        <is>
          <t>midcap</t>
        </is>
      </c>
      <c r="F198" s="31" t="n">
        <v>17793.28</v>
      </c>
      <c r="G198" s="31" t="n">
        <v>536</v>
      </c>
      <c r="H198" s="31" t="n">
        <v>0.6</v>
      </c>
      <c r="I198" s="31" t="n">
        <v>701693</v>
      </c>
      <c r="J198" s="31" t="inlineStr">
        <is>
          <t>544408</t>
        </is>
      </c>
    </row>
    <row r="199">
      <c r="A199" s="31" t="inlineStr">
        <is>
          <t>LTFOODS</t>
        </is>
      </c>
      <c r="B199" s="31" t="inlineStr">
        <is>
          <t>L T Foods Ltd</t>
        </is>
      </c>
      <c r="C199" s="31" t="inlineStr">
        <is>
          <t>fmcg</t>
        </is>
      </c>
      <c r="D199" s="31" t="inlineStr">
        <is>
          <t>food - processing - indian</t>
        </is>
      </c>
      <c r="E199" s="31" t="inlineStr">
        <is>
          <t>midcap</t>
        </is>
      </c>
      <c r="F199" s="31" t="n">
        <v>14914.51</v>
      </c>
      <c r="G199" s="31" t="n">
        <v>432</v>
      </c>
      <c r="H199" s="31" t="n">
        <v>0.58</v>
      </c>
      <c r="I199" s="31" t="n">
        <v>134471</v>
      </c>
      <c r="J199" s="31" t="inlineStr">
        <is>
          <t>532783</t>
        </is>
      </c>
    </row>
    <row r="200">
      <c r="A200" s="31" t="inlineStr">
        <is>
          <t>RAMRAT</t>
        </is>
      </c>
      <c r="B200" s="31" t="inlineStr">
        <is>
          <t>Ram Ratna Wires Ltd</t>
        </is>
      </c>
      <c r="C200" s="31" t="inlineStr">
        <is>
          <t>metals &amp; mining</t>
        </is>
      </c>
      <c r="D200" s="31" t="inlineStr">
        <is>
          <t>mining / minerals / metals</t>
        </is>
      </c>
      <c r="E200" s="31" t="inlineStr">
        <is>
          <t>smallcap</t>
        </is>
      </c>
      <c r="F200" s="31" t="n">
        <v>4524.16</v>
      </c>
      <c r="G200" s="31" t="n">
        <v>487.3</v>
      </c>
      <c r="H200" s="31" t="n">
        <v>0.55</v>
      </c>
      <c r="I200" s="31" t="n">
        <v>47014</v>
      </c>
      <c r="J200" s="31" t="inlineStr">
        <is>
          <t>522281</t>
        </is>
      </c>
    </row>
    <row r="201">
      <c r="A201" s="31" t="inlineStr">
        <is>
          <t>GIPCL</t>
        </is>
      </c>
      <c r="B201" s="31" t="inlineStr">
        <is>
          <t>Gujarat Industries Power Company Limited</t>
        </is>
      </c>
      <c r="C201" s="31" t="inlineStr">
        <is>
          <t>power &amp; utilities</t>
        </is>
      </c>
      <c r="D201" s="31" t="inlineStr">
        <is>
          <t>power generation and supply</t>
        </is>
      </c>
      <c r="E201" s="31" t="inlineStr">
        <is>
          <t>smallcap</t>
        </is>
      </c>
      <c r="F201" s="31" t="n">
        <v>2669.09</v>
      </c>
      <c r="G201" s="31" t="n">
        <v>172.9</v>
      </c>
      <c r="H201" s="31" t="n">
        <v>0.55</v>
      </c>
      <c r="I201" s="31" t="n">
        <v>202684</v>
      </c>
      <c r="J201" s="31" t="inlineStr">
        <is>
          <t>517300</t>
        </is>
      </c>
    </row>
    <row r="202">
      <c r="A202" s="31" t="inlineStr">
        <is>
          <t>MINDACORP</t>
        </is>
      </c>
      <c r="B202" s="31" t="inlineStr">
        <is>
          <t>Minda Corporation Limited</t>
        </is>
      </c>
      <c r="C202" s="31" t="inlineStr">
        <is>
          <t>auto</t>
        </is>
      </c>
      <c r="D202" s="31" t="inlineStr">
        <is>
          <t>auto ancillaries</t>
        </is>
      </c>
      <c r="E202" s="31" t="inlineStr">
        <is>
          <t>midcap</t>
        </is>
      </c>
      <c r="F202" s="31" t="n">
        <v>17665.58</v>
      </c>
      <c r="G202" s="31" t="n">
        <v>742.9</v>
      </c>
      <c r="H202" s="31" t="n">
        <v>0.54</v>
      </c>
      <c r="I202" s="31" t="n">
        <v>153771</v>
      </c>
      <c r="J202" s="31" t="inlineStr">
        <is>
          <t>538962</t>
        </is>
      </c>
    </row>
    <row r="203">
      <c r="A203" s="31" t="inlineStr">
        <is>
          <t>PTCIL</t>
        </is>
      </c>
      <c r="B203" s="31" t="inlineStr">
        <is>
          <t>PTC Industries Ltd</t>
        </is>
      </c>
      <c r="C203" s="31" t="inlineStr">
        <is>
          <t>industrials</t>
        </is>
      </c>
      <c r="D203" s="31" t="inlineStr">
        <is>
          <t>castings &amp; forgings</t>
        </is>
      </c>
      <c r="E203" s="31" t="inlineStr">
        <is>
          <t>largecap</t>
        </is>
      </c>
      <c r="F203" s="31" t="n">
        <v>29197.99</v>
      </c>
      <c r="G203" s="31" t="n">
        <v>19576</v>
      </c>
      <c r="H203" s="31" t="n">
        <v>0.52</v>
      </c>
      <c r="I203" s="31" t="n">
        <v>4539</v>
      </c>
      <c r="J203" s="31" t="inlineStr">
        <is>
          <t>539006</t>
        </is>
      </c>
    </row>
    <row r="204">
      <c r="A204" s="31" t="inlineStr">
        <is>
          <t>INDGN</t>
        </is>
      </c>
      <c r="B204" s="31" t="inlineStr">
        <is>
          <t>Indegene Ltd</t>
        </is>
      </c>
      <c r="C204" s="31" t="inlineStr">
        <is>
          <t>healthcare</t>
        </is>
      </c>
      <c r="D204" s="31" t="inlineStr">
        <is>
          <t>miscellaneous</t>
        </is>
      </c>
      <c r="E204" s="31" t="inlineStr">
        <is>
          <t>midcap</t>
        </is>
      </c>
      <c r="F204" s="31" t="n">
        <v>13628.38</v>
      </c>
      <c r="G204" s="31" t="n">
        <v>568.5</v>
      </c>
      <c r="H204" s="31" t="n">
        <v>0.51</v>
      </c>
      <c r="I204" s="31" t="n">
        <v>165241</v>
      </c>
      <c r="J204" s="31" t="inlineStr">
        <is>
          <t>544172</t>
        </is>
      </c>
    </row>
    <row r="205">
      <c r="A205" s="31" t="inlineStr">
        <is>
          <t>IDFCFIRSTB</t>
        </is>
      </c>
      <c r="B205" s="31" t="inlineStr">
        <is>
          <t>IDFC First Bank Ltd</t>
        </is>
      </c>
      <c r="C205" s="31" t="inlineStr">
        <is>
          <t>bank</t>
        </is>
      </c>
      <c r="D205" s="31" t="inlineStr">
        <is>
          <t>banks - private sector</t>
        </is>
      </c>
      <c r="E205" s="31" t="inlineStr">
        <is>
          <t>largecap</t>
        </is>
      </c>
      <c r="F205" s="31" t="n">
        <v>73647.38</v>
      </c>
      <c r="G205" s="31" t="n">
        <v>85.93000000000001</v>
      </c>
      <c r="H205" s="31" t="n">
        <v>0.51</v>
      </c>
      <c r="I205" s="31" t="n">
        <v>4396673</v>
      </c>
      <c r="J205" s="31" t="inlineStr">
        <is>
          <t>539437</t>
        </is>
      </c>
    </row>
    <row r="206">
      <c r="A206" s="31" t="inlineStr">
        <is>
          <t>MARINE</t>
        </is>
      </c>
      <c r="B206" s="31" t="inlineStr">
        <is>
          <t>Marine Electricals (India) Ltd</t>
        </is>
      </c>
      <c r="C206" s="31" t="inlineStr">
        <is>
          <t>industrials</t>
        </is>
      </c>
      <c r="D206" s="31" t="inlineStr">
        <is>
          <t>electric equipment</t>
        </is>
      </c>
      <c r="E206" s="31" t="inlineStr">
        <is>
          <t>midcap</t>
        </is>
      </c>
      <c r="F206" s="31" t="n">
        <v>5198.24</v>
      </c>
      <c r="G206" s="31" t="n">
        <v>373.25</v>
      </c>
      <c r="H206" s="31" t="n">
        <v>0.48</v>
      </c>
      <c r="I206" s="31" t="n">
        <v>332937</v>
      </c>
      <c r="J206" s="31" t="inlineStr">
        <is>
          <t>535119</t>
        </is>
      </c>
    </row>
    <row r="207">
      <c r="A207" s="31" t="inlineStr">
        <is>
          <t>VISHNU</t>
        </is>
      </c>
      <c r="B207" s="31" t="inlineStr">
        <is>
          <t>Vishnu Chemicals Limited</t>
        </is>
      </c>
      <c r="C207" s="31" t="inlineStr">
        <is>
          <t>chemicals</t>
        </is>
      </c>
      <c r="D207" s="31" t="inlineStr">
        <is>
          <t>chemicals</t>
        </is>
      </c>
      <c r="E207" s="31" t="inlineStr">
        <is>
          <t>smallcap</t>
        </is>
      </c>
      <c r="F207" s="31" t="n">
        <v>4187.68</v>
      </c>
      <c r="G207" s="31" t="n">
        <v>625</v>
      </c>
      <c r="H207" s="31" t="n">
        <v>0.47</v>
      </c>
      <c r="I207" s="31" t="n">
        <v>15210</v>
      </c>
      <c r="J207" s="31" t="inlineStr">
        <is>
          <t>516072</t>
        </is>
      </c>
    </row>
    <row r="208">
      <c r="A208" s="31" t="inlineStr">
        <is>
          <t>ASIANENE</t>
        </is>
      </c>
      <c r="B208" s="31" t="inlineStr">
        <is>
          <t>Asian Energy Services Ltd</t>
        </is>
      </c>
      <c r="C208" s="31" t="inlineStr">
        <is>
          <t>energy</t>
        </is>
      </c>
      <c r="D208" s="31" t="inlineStr">
        <is>
          <t>oil drilling / allied services</t>
        </is>
      </c>
      <c r="E208" s="31" t="inlineStr">
        <is>
          <t>smallcap</t>
        </is>
      </c>
      <c r="F208" s="31" t="n">
        <v>2328.14</v>
      </c>
      <c r="G208" s="31" t="n">
        <v>481</v>
      </c>
      <c r="H208" s="31" t="n">
        <v>0.47</v>
      </c>
      <c r="I208" s="31" t="n">
        <v>272845</v>
      </c>
      <c r="J208" s="31" t="inlineStr">
        <is>
          <t>530355</t>
        </is>
      </c>
    </row>
    <row r="209">
      <c r="A209" s="31" t="inlineStr">
        <is>
          <t>ATHERENERG</t>
        </is>
      </c>
      <c r="B209" s="31" t="inlineStr">
        <is>
          <t>Ather Energy Ltd</t>
        </is>
      </c>
      <c r="C209" s="31" t="inlineStr">
        <is>
          <t>auto</t>
        </is>
      </c>
      <c r="D209" s="31" t="inlineStr">
        <is>
          <t>automobiles - scooters and 3 - wheelers</t>
        </is>
      </c>
      <c r="E209" s="31" t="inlineStr">
        <is>
          <t>largecap</t>
        </is>
      </c>
      <c r="F209" s="31" t="n">
        <v>56683.1</v>
      </c>
      <c r="G209" s="31" t="n">
        <v>1445</v>
      </c>
      <c r="H209" s="31" t="n">
        <v>0.47</v>
      </c>
      <c r="I209" s="31" t="n">
        <v>518082</v>
      </c>
      <c r="J209" s="31" t="inlineStr">
        <is>
          <t>544397</t>
        </is>
      </c>
    </row>
    <row r="210">
      <c r="A210" s="31" t="inlineStr">
        <is>
          <t>NITINSPIN</t>
        </is>
      </c>
      <c r="B210" s="31" t="inlineStr">
        <is>
          <t>Nitin Spinners Limited</t>
        </is>
      </c>
      <c r="C210" s="31" t="inlineStr">
        <is>
          <t>textiles</t>
        </is>
      </c>
      <c r="D210" s="31" t="inlineStr">
        <is>
          <t>textiles - cotton/blended</t>
        </is>
      </c>
      <c r="E210" s="31" t="inlineStr">
        <is>
          <t>smallcap</t>
        </is>
      </c>
      <c r="F210" s="31" t="n">
        <v>3280.72</v>
      </c>
      <c r="G210" s="31" t="n">
        <v>586.25</v>
      </c>
      <c r="H210" s="31" t="n">
        <v>0.46</v>
      </c>
      <c r="I210" s="31" t="n">
        <v>30645</v>
      </c>
      <c r="J210" s="31" t="inlineStr">
        <is>
          <t>532698</t>
        </is>
      </c>
    </row>
    <row r="211">
      <c r="A211" s="31" t="inlineStr">
        <is>
          <t>STEELCAS</t>
        </is>
      </c>
      <c r="B211" s="31" t="inlineStr">
        <is>
          <t>Steelcast Ltd</t>
        </is>
      </c>
      <c r="C211" s="31" t="inlineStr">
        <is>
          <t>industrials</t>
        </is>
      </c>
      <c r="D211" s="31" t="inlineStr">
        <is>
          <t>castings &amp; forgings</t>
        </is>
      </c>
      <c r="E211" s="31" t="inlineStr">
        <is>
          <t>smallcap</t>
        </is>
      </c>
      <c r="F211" s="31" t="n">
        <v>3616.38</v>
      </c>
      <c r="G211" s="31" t="n">
        <v>359</v>
      </c>
      <c r="H211" s="31" t="n">
        <v>0.46</v>
      </c>
      <c r="I211" s="31" t="n">
        <v>53243</v>
      </c>
      <c r="J211" s="31" t="inlineStr">
        <is>
          <t>513517</t>
        </is>
      </c>
    </row>
    <row r="212">
      <c r="A212" s="31" t="inlineStr">
        <is>
          <t>POLYPLEX</t>
        </is>
      </c>
      <c r="B212" s="31" t="inlineStr">
        <is>
          <t>Polyplex Corporation Limited</t>
        </is>
      </c>
      <c r="C212" s="31" t="inlineStr">
        <is>
          <t>industrials</t>
        </is>
      </c>
      <c r="D212" s="31" t="inlineStr">
        <is>
          <t>packaging</t>
        </is>
      </c>
      <c r="E212" s="31" t="inlineStr">
        <is>
          <t>smallcap</t>
        </is>
      </c>
      <c r="F212" s="31" t="n">
        <v>3678.88</v>
      </c>
      <c r="G212" s="31" t="n">
        <v>1177</v>
      </c>
      <c r="H212" s="31" t="n">
        <v>0.44</v>
      </c>
      <c r="I212" s="31" t="n">
        <v>10656</v>
      </c>
      <c r="J212" s="31" t="inlineStr">
        <is>
          <t>524051</t>
        </is>
      </c>
    </row>
    <row r="213">
      <c r="A213" s="31" t="inlineStr">
        <is>
          <t>OFSS</t>
        </is>
      </c>
      <c r="B213" s="31" t="inlineStr">
        <is>
          <t>Oracle Financial Services Software Limited</t>
        </is>
      </c>
      <c r="C213" s="31" t="inlineStr">
        <is>
          <t>i.t</t>
        </is>
      </c>
      <c r="D213" s="31" t="inlineStr">
        <is>
          <t>computers - software - large</t>
        </is>
      </c>
      <c r="E213" s="31" t="inlineStr">
        <is>
          <t>largecap</t>
        </is>
      </c>
      <c r="F213" s="31" t="n">
        <v>102518.74</v>
      </c>
      <c r="G213" s="31" t="n">
        <v>11826</v>
      </c>
      <c r="H213" s="31" t="n">
        <v>0.44</v>
      </c>
      <c r="I213" s="31" t="n">
        <v>62254</v>
      </c>
      <c r="J213" s="31" t="inlineStr">
        <is>
          <t>532466</t>
        </is>
      </c>
    </row>
    <row r="214">
      <c r="A214" s="31" t="inlineStr">
        <is>
          <t>QUESS</t>
        </is>
      </c>
      <c r="B214" s="31" t="inlineStr">
        <is>
          <t>Quess Corp Limited</t>
        </is>
      </c>
      <c r="C214" s="31" t="inlineStr">
        <is>
          <t>miscellaneous</t>
        </is>
      </c>
      <c r="D214" s="31" t="inlineStr">
        <is>
          <t>diversified - large</t>
        </is>
      </c>
      <c r="E214" s="31" t="inlineStr">
        <is>
          <t>midcap</t>
        </is>
      </c>
      <c r="F214" s="31" t="n">
        <v>5026.71</v>
      </c>
      <c r="G214" s="31" t="n">
        <v>338</v>
      </c>
      <c r="H214" s="31" t="n">
        <v>0.43</v>
      </c>
      <c r="I214" s="31" t="n">
        <v>69587</v>
      </c>
      <c r="J214" s="31" t="inlineStr">
        <is>
          <t>539978</t>
        </is>
      </c>
    </row>
    <row r="215">
      <c r="A215" s="31" t="inlineStr">
        <is>
          <t>EIMCOELECO</t>
        </is>
      </c>
      <c r="B215" s="31" t="inlineStr">
        <is>
          <t>Eimco Elecon (india) Limited</t>
        </is>
      </c>
      <c r="C215" s="31" t="inlineStr">
        <is>
          <t>industrials</t>
        </is>
      </c>
      <c r="D215" s="31" t="inlineStr">
        <is>
          <t>engineering</t>
        </is>
      </c>
      <c r="E215" s="31" t="inlineStr">
        <is>
          <t>smallcap</t>
        </is>
      </c>
      <c r="F215" s="31" t="n">
        <v>1252.2</v>
      </c>
      <c r="G215" s="31" t="n">
        <v>2180</v>
      </c>
      <c r="H215" s="31" t="n">
        <v>0.42</v>
      </c>
      <c r="I215" s="31" t="n">
        <v>25722</v>
      </c>
      <c r="J215" s="31" t="inlineStr">
        <is>
          <t>523708</t>
        </is>
      </c>
    </row>
    <row r="216">
      <c r="A216" s="31" t="inlineStr">
        <is>
          <t>AEROFLEX</t>
        </is>
      </c>
      <c r="B216" s="31" t="inlineStr">
        <is>
          <t>Aeroflex Industries Ltd</t>
        </is>
      </c>
      <c r="C216" s="31" t="inlineStr">
        <is>
          <t>metals &amp; mining</t>
        </is>
      </c>
      <c r="D216" s="31" t="inlineStr">
        <is>
          <t>steel - medium / small</t>
        </is>
      </c>
      <c r="E216" s="31" t="inlineStr">
        <is>
          <t>midcap</t>
        </is>
      </c>
      <c r="F216" s="31" t="n">
        <v>6274.46</v>
      </c>
      <c r="G216" s="31" t="n">
        <v>476.15</v>
      </c>
      <c r="H216" s="31" t="n">
        <v>0.42</v>
      </c>
      <c r="I216" s="31" t="n">
        <v>242754</v>
      </c>
      <c r="J216" s="31" t="inlineStr">
        <is>
          <t>543972</t>
        </is>
      </c>
    </row>
    <row r="217">
      <c r="A217" s="31" t="inlineStr">
        <is>
          <t>PARAS</t>
        </is>
      </c>
      <c r="B217" s="31" t="inlineStr">
        <is>
          <t>Paras Defence and Space Technologies Ltd</t>
        </is>
      </c>
      <c r="C217" s="31" t="inlineStr">
        <is>
          <t>aerospace &amp; defence</t>
        </is>
      </c>
      <c r="D217" s="31" t="inlineStr">
        <is>
          <t>engineering</t>
        </is>
      </c>
      <c r="E217" s="31" t="inlineStr">
        <is>
          <t>midcap</t>
        </is>
      </c>
      <c r="F217" s="31" t="n">
        <v>12059.09</v>
      </c>
      <c r="G217" s="31" t="n">
        <v>1502.6</v>
      </c>
      <c r="H217" s="31" t="n">
        <v>0.41</v>
      </c>
      <c r="I217" s="31" t="n">
        <v>548586</v>
      </c>
      <c r="J217" s="31" t="inlineStr">
        <is>
          <t>543367</t>
        </is>
      </c>
    </row>
    <row r="218">
      <c r="A218" s="31" t="inlineStr">
        <is>
          <t>ENDURANCE</t>
        </is>
      </c>
      <c r="B218" s="31" t="inlineStr">
        <is>
          <t>Endurance Technologies Limited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largecap</t>
        </is>
      </c>
      <c r="F218" s="31" t="n">
        <v>42038.5</v>
      </c>
      <c r="G218" s="31" t="n">
        <v>3000.7</v>
      </c>
      <c r="H218" s="31" t="n">
        <v>0.4</v>
      </c>
      <c r="I218" s="31" t="n">
        <v>63882</v>
      </c>
      <c r="J218" s="31" t="inlineStr">
        <is>
          <t>540153</t>
        </is>
      </c>
    </row>
    <row r="219">
      <c r="A219" s="31" t="inlineStr">
        <is>
          <t>GOKULAGRO</t>
        </is>
      </c>
      <c r="B219" s="31" t="inlineStr">
        <is>
          <t>Gokul Agro Resources Limited</t>
        </is>
      </c>
      <c r="C219" s="31" t="inlineStr">
        <is>
          <t>fmcg</t>
        </is>
      </c>
      <c r="D219" s="31" t="inlineStr">
        <is>
          <t>solvent extraction</t>
        </is>
      </c>
      <c r="E219" s="31" t="inlineStr">
        <is>
          <t>midcap</t>
        </is>
      </c>
      <c r="F219" s="31" t="n">
        <v>7171.2</v>
      </c>
      <c r="G219" s="31" t="n">
        <v>243.98</v>
      </c>
      <c r="H219" s="31" t="n">
        <v>0.4</v>
      </c>
      <c r="I219" s="31" t="n">
        <v>1093554</v>
      </c>
      <c r="J219" s="31" t="inlineStr">
        <is>
          <t>539725</t>
        </is>
      </c>
    </row>
    <row r="220">
      <c r="A220" s="31" t="inlineStr">
        <is>
          <t>JINDALSAW</t>
        </is>
      </c>
      <c r="B220" s="31" t="inlineStr">
        <is>
          <t>Jindal Saw Limited</t>
        </is>
      </c>
      <c r="C220" s="31" t="inlineStr">
        <is>
          <t>industrials</t>
        </is>
      </c>
      <c r="D220" s="31" t="inlineStr">
        <is>
          <t>steel - large</t>
        </is>
      </c>
      <c r="E220" s="31" t="inlineStr">
        <is>
          <t>midcap</t>
        </is>
      </c>
      <c r="F220" s="31" t="n">
        <v>17183.59</v>
      </c>
      <c r="G220" s="31" t="n">
        <v>269.75</v>
      </c>
      <c r="H220" s="31" t="n">
        <v>0.39</v>
      </c>
      <c r="I220" s="31" t="n">
        <v>194227</v>
      </c>
      <c r="J220" s="31" t="inlineStr">
        <is>
          <t>500378</t>
        </is>
      </c>
    </row>
    <row r="221">
      <c r="A221" s="31" t="inlineStr">
        <is>
          <t>JINDALSTEL</t>
        </is>
      </c>
      <c r="B221" s="31" t="inlineStr">
        <is>
          <t>Jindal Steel Ltd</t>
        </is>
      </c>
      <c r="C221" s="31" t="inlineStr">
        <is>
          <t>metals &amp; mining</t>
        </is>
      </c>
      <c r="D221" s="31" t="inlineStr">
        <is>
          <t>steel - large</t>
        </is>
      </c>
      <c r="E221" s="31" t="inlineStr">
        <is>
          <t>largecap</t>
        </is>
      </c>
      <c r="F221" s="31" t="n">
        <v>113739.82</v>
      </c>
      <c r="G221" s="31" t="n">
        <v>1118.9</v>
      </c>
      <c r="H221" s="31" t="n">
        <v>0.35</v>
      </c>
      <c r="I221" s="31" t="n">
        <v>267177</v>
      </c>
      <c r="J221" s="31" t="inlineStr">
        <is>
          <t>532286</t>
        </is>
      </c>
    </row>
    <row r="222">
      <c r="A222" s="31" t="inlineStr">
        <is>
          <t>HARSHA</t>
        </is>
      </c>
      <c r="B222" s="31" t="inlineStr">
        <is>
          <t>Harsha Engineers International Ltd</t>
        </is>
      </c>
      <c r="C222" s="31" t="inlineStr">
        <is>
          <t>industrials</t>
        </is>
      </c>
      <c r="D222" s="31" t="inlineStr">
        <is>
          <t>engineering</t>
        </is>
      </c>
      <c r="E222" s="31" t="inlineStr">
        <is>
          <t>smallcap</t>
        </is>
      </c>
      <c r="F222" s="31" t="n">
        <v>3974.53</v>
      </c>
      <c r="G222" s="31" t="n">
        <v>438.05</v>
      </c>
      <c r="H222" s="31" t="n">
        <v>0.34</v>
      </c>
      <c r="I222" s="31" t="n">
        <v>66365</v>
      </c>
      <c r="J222" s="31" t="inlineStr">
        <is>
          <t>543600</t>
        </is>
      </c>
    </row>
    <row r="223">
      <c r="A223" s="31" t="inlineStr">
        <is>
          <t>SHALPAINTS</t>
        </is>
      </c>
      <c r="B223" s="31" t="inlineStr">
        <is>
          <t>Shalimar Paints Limited</t>
        </is>
      </c>
      <c r="C223" s="31" t="inlineStr">
        <is>
          <t>building materials</t>
        </is>
      </c>
      <c r="D223" s="31" t="inlineStr">
        <is>
          <t>paints / varnishes</t>
        </is>
      </c>
      <c r="E223" s="31" t="inlineStr">
        <is>
          <t>smallcap</t>
        </is>
      </c>
      <c r="F223" s="31" t="n">
        <v>690.95</v>
      </c>
      <c r="G223" s="31" t="n">
        <v>82.8</v>
      </c>
      <c r="H223" s="31" t="n">
        <v>0.32</v>
      </c>
      <c r="I223" s="31" t="n">
        <v>64625</v>
      </c>
      <c r="J223" s="31" t="inlineStr">
        <is>
          <t>509874</t>
        </is>
      </c>
    </row>
    <row r="224">
      <c r="A224" s="31" t="inlineStr">
        <is>
          <t>VRLLOG</t>
        </is>
      </c>
      <c r="B224" s="31" t="inlineStr">
        <is>
          <t>Vrl Logistics Limited</t>
        </is>
      </c>
      <c r="C224" s="31" t="inlineStr">
        <is>
          <t>transportation</t>
        </is>
      </c>
      <c r="D224" s="31" t="inlineStr">
        <is>
          <t>miscellaneous</t>
        </is>
      </c>
      <c r="E224" s="31" t="inlineStr">
        <is>
          <t>midcap</t>
        </is>
      </c>
      <c r="F224" s="31" t="n">
        <v>5162.39</v>
      </c>
      <c r="G224" s="31" t="n">
        <v>296</v>
      </c>
      <c r="H224" s="31" t="n">
        <v>0.31</v>
      </c>
      <c r="I224" s="31" t="n">
        <v>33382</v>
      </c>
      <c r="J224" s="31" t="inlineStr">
        <is>
          <t>539118</t>
        </is>
      </c>
    </row>
    <row r="225">
      <c r="A225" s="31" t="inlineStr">
        <is>
          <t>HEROMOTOCO</t>
        </is>
      </c>
      <c r="B225" s="31" t="inlineStr">
        <is>
          <t>Hero Motocorp Limited</t>
        </is>
      </c>
      <c r="C225" s="31" t="inlineStr">
        <is>
          <t>auto</t>
        </is>
      </c>
      <c r="D225" s="31" t="inlineStr">
        <is>
          <t>automobiles - motorcycles / mopeds</t>
        </is>
      </c>
      <c r="E225" s="31" t="inlineStr">
        <is>
          <t>largecap</t>
        </is>
      </c>
      <c r="F225" s="31" t="n">
        <v>114243.06</v>
      </c>
      <c r="G225" s="31" t="n">
        <v>5726.5</v>
      </c>
      <c r="H225" s="31" t="n">
        <v>0.3</v>
      </c>
      <c r="I225" s="31" t="n">
        <v>99768</v>
      </c>
      <c r="J225" s="31" t="inlineStr">
        <is>
          <t>500182</t>
        </is>
      </c>
    </row>
    <row r="226">
      <c r="A226" s="31" t="inlineStr">
        <is>
          <t>VINDHYATEL</t>
        </is>
      </c>
      <c r="B226" s="31" t="inlineStr">
        <is>
          <t>Vindhya Telelinks Limited</t>
        </is>
      </c>
      <c r="C226" s="31" t="inlineStr">
        <is>
          <t>realty</t>
        </is>
      </c>
      <c r="D226" s="31" t="inlineStr">
        <is>
          <t>construction</t>
        </is>
      </c>
      <c r="E226" s="31" t="inlineStr">
        <is>
          <t>smallcap</t>
        </is>
      </c>
      <c r="F226" s="31" t="n">
        <v>2890.19</v>
      </c>
      <c r="G226" s="31" t="n">
        <v>2446</v>
      </c>
      <c r="H226" s="31" t="n">
        <v>0.3</v>
      </c>
      <c r="I226" s="31" t="n">
        <v>4359</v>
      </c>
      <c r="J226" s="31" t="inlineStr">
        <is>
          <t>517015</t>
        </is>
      </c>
    </row>
    <row r="227">
      <c r="A227" s="31" t="inlineStr">
        <is>
          <t>AVALON</t>
        </is>
      </c>
      <c r="B227" s="31" t="inlineStr">
        <is>
          <t>Avalon Technologies Ltd</t>
        </is>
      </c>
      <c r="C227" s="31" t="inlineStr">
        <is>
          <t>consumer discretionary</t>
        </is>
      </c>
      <c r="D227" s="31" t="inlineStr">
        <is>
          <t>electronics - components</t>
        </is>
      </c>
      <c r="E227" s="31" t="inlineStr">
        <is>
          <t>midcap</t>
        </is>
      </c>
      <c r="F227" s="31" t="n">
        <v>15003.25</v>
      </c>
      <c r="G227" s="31" t="n">
        <v>2252</v>
      </c>
      <c r="H227" s="31" t="n">
        <v>0.29</v>
      </c>
      <c r="I227" s="31" t="n">
        <v>272556</v>
      </c>
      <c r="J227" s="31" t="inlineStr">
        <is>
          <t>543896</t>
        </is>
      </c>
    </row>
    <row r="228">
      <c r="A228" s="31" t="inlineStr">
        <is>
          <t>BOSCH-HCIL</t>
        </is>
      </c>
      <c r="B228" s="31" t="inlineStr">
        <is>
          <t>Bosch Home Comfort India Ltd</t>
        </is>
      </c>
      <c r="C228" s="31" t="inlineStr">
        <is>
          <t>consumer discretionary</t>
        </is>
      </c>
      <c r="D228" s="31" t="inlineStr">
        <is>
          <t>air-conditioners</t>
        </is>
      </c>
      <c r="E228" s="31" t="inlineStr">
        <is>
          <t>smallcap</t>
        </is>
      </c>
      <c r="F228" s="31" t="n">
        <v>4792.67</v>
      </c>
      <c r="G228" s="31" t="n">
        <v>1767.7</v>
      </c>
      <c r="H228" s="31" t="n">
        <v>0.29</v>
      </c>
      <c r="I228" s="31" t="n">
        <v>17793</v>
      </c>
      <c r="J228" s="31" t="inlineStr">
        <is>
          <t>523398</t>
        </is>
      </c>
    </row>
    <row r="229">
      <c r="A229" s="31" t="inlineStr">
        <is>
          <t>DYNAMATECH</t>
        </is>
      </c>
      <c r="B229" s="31" t="inlineStr">
        <is>
          <t>Dynamatic Technologies Limited</t>
        </is>
      </c>
      <c r="C229" s="31" t="inlineStr">
        <is>
          <t>industrials</t>
        </is>
      </c>
      <c r="D229" s="31" t="inlineStr">
        <is>
          <t>engineering</t>
        </is>
      </c>
      <c r="E229" s="31" t="inlineStr">
        <is>
          <t>midcap</t>
        </is>
      </c>
      <c r="F229" s="31" t="n">
        <v>7969.76</v>
      </c>
      <c r="G229" s="31" t="n">
        <v>11765</v>
      </c>
      <c r="H229" s="31" t="n">
        <v>0.26</v>
      </c>
      <c r="I229" s="31" t="n">
        <v>3536</v>
      </c>
      <c r="J229" s="31" t="inlineStr">
        <is>
          <t>505242</t>
        </is>
      </c>
    </row>
    <row r="230">
      <c r="A230" s="31" t="inlineStr">
        <is>
          <t>DIVISLAB</t>
        </is>
      </c>
      <c r="B230" s="31" t="inlineStr">
        <is>
          <t>Divi's Laboratories Limited</t>
        </is>
      </c>
      <c r="C230" s="31" t="inlineStr">
        <is>
          <t>healthcare</t>
        </is>
      </c>
      <c r="D230" s="31" t="inlineStr">
        <is>
          <t>pharmaceuticals - indian - bulk drugs</t>
        </is>
      </c>
      <c r="E230" s="31" t="inlineStr">
        <is>
          <t>largecap</t>
        </is>
      </c>
      <c r="F230" s="31" t="n">
        <v>227241.1</v>
      </c>
      <c r="G230" s="31" t="n">
        <v>8582</v>
      </c>
      <c r="H230" s="31" t="n">
        <v>0.26</v>
      </c>
      <c r="I230" s="31" t="n">
        <v>63084</v>
      </c>
      <c r="J230" s="31" t="inlineStr">
        <is>
          <t>532488</t>
        </is>
      </c>
    </row>
    <row r="231">
      <c r="A231" s="31" t="inlineStr">
        <is>
          <t>ASHOKLEY</t>
        </is>
      </c>
      <c r="B231" s="31" t="inlineStr">
        <is>
          <t>Ashok Leyland Limited</t>
        </is>
      </c>
      <c r="C231" s="31" t="inlineStr">
        <is>
          <t>auto</t>
        </is>
      </c>
      <c r="D231" s="31" t="inlineStr">
        <is>
          <t>automobiles - lcvs / hcvs</t>
        </is>
      </c>
      <c r="E231" s="31" t="inlineStr">
        <is>
          <t>largecap</t>
        </is>
      </c>
      <c r="F231" s="31" t="n">
        <v>101676.42</v>
      </c>
      <c r="G231" s="31" t="n">
        <v>173.53</v>
      </c>
      <c r="H231" s="31" t="n">
        <v>0.25</v>
      </c>
      <c r="I231" s="31" t="n">
        <v>1668267</v>
      </c>
      <c r="J231" s="31" t="inlineStr">
        <is>
          <t>500477</t>
        </is>
      </c>
    </row>
    <row r="232">
      <c r="A232" s="31" t="inlineStr">
        <is>
          <t>NILKAMAL</t>
        </is>
      </c>
      <c r="B232" s="31" t="inlineStr">
        <is>
          <t>Nilkamal Limited</t>
        </is>
      </c>
      <c r="C232" s="31" t="inlineStr">
        <is>
          <t>plastic products</t>
        </is>
      </c>
      <c r="D232" s="31" t="inlineStr">
        <is>
          <t>plastics products</t>
        </is>
      </c>
      <c r="E232" s="31" t="inlineStr">
        <is>
          <t>smallcap</t>
        </is>
      </c>
      <c r="F232" s="31" t="n">
        <v>3034.94</v>
      </c>
      <c r="G232" s="31" t="n">
        <v>2038.9</v>
      </c>
      <c r="H232" s="31" t="n">
        <v>0.25</v>
      </c>
      <c r="I232" s="31" t="n">
        <v>90879</v>
      </c>
      <c r="J232" s="31" t="inlineStr">
        <is>
          <t>523385</t>
        </is>
      </c>
    </row>
    <row r="233">
      <c r="A233" s="31" t="inlineStr">
        <is>
          <t>MAZDOCK</t>
        </is>
      </c>
      <c r="B233" s="31" t="inlineStr">
        <is>
          <t>Mazagon Dock Shipbuilders Ltd</t>
        </is>
      </c>
      <c r="C233" s="31" t="inlineStr">
        <is>
          <t>aerospace &amp; defence</t>
        </is>
      </c>
      <c r="D233" s="31" t="inlineStr">
        <is>
          <t>miscellaneous</t>
        </is>
      </c>
      <c r="E233" s="31" t="inlineStr">
        <is>
          <t>largecap</t>
        </is>
      </c>
      <c r="F233" s="31" t="n">
        <v>103418.56</v>
      </c>
      <c r="G233" s="31" t="n">
        <v>2570</v>
      </c>
      <c r="H233" s="31" t="n">
        <v>0.24</v>
      </c>
      <c r="I233" s="31" t="n">
        <v>154372</v>
      </c>
      <c r="J233" s="31" t="inlineStr">
        <is>
          <t>543237</t>
        </is>
      </c>
    </row>
    <row r="234">
      <c r="A234" s="31" t="inlineStr">
        <is>
          <t>NRBBEARING</t>
        </is>
      </c>
      <c r="B234" s="31" t="inlineStr">
        <is>
          <t>Nrb Bearing Limited</t>
        </is>
      </c>
      <c r="C234" s="31" t="inlineStr">
        <is>
          <t>industrials</t>
        </is>
      </c>
      <c r="D234" s="31" t="inlineStr">
        <is>
          <t>bearings</t>
        </is>
      </c>
      <c r="E234" s="31" t="inlineStr">
        <is>
          <t>smallcap</t>
        </is>
      </c>
      <c r="F234" s="31" t="n">
        <v>4682.82</v>
      </c>
      <c r="G234" s="31" t="n">
        <v>484.25</v>
      </c>
      <c r="H234" s="31" t="n">
        <v>0.23</v>
      </c>
      <c r="I234" s="31" t="n">
        <v>74153</v>
      </c>
      <c r="J234" s="31" t="inlineStr">
        <is>
          <t>530367</t>
        </is>
      </c>
    </row>
    <row r="235">
      <c r="A235" s="31" t="inlineStr">
        <is>
          <t>ANANTRAJ</t>
        </is>
      </c>
      <c r="B235" s="31" t="inlineStr">
        <is>
          <t>Anant Raj Limited</t>
        </is>
      </c>
      <c r="C235" s="31" t="inlineStr">
        <is>
          <t>realty</t>
        </is>
      </c>
      <c r="D235" s="31" t="inlineStr">
        <is>
          <t>construction</t>
        </is>
      </c>
      <c r="E235" s="31" t="inlineStr">
        <is>
          <t>largecap</t>
        </is>
      </c>
      <c r="F235" s="31" t="n">
        <v>22728.03</v>
      </c>
      <c r="G235" s="31" t="n">
        <v>633</v>
      </c>
      <c r="H235" s="31" t="n">
        <v>0.23</v>
      </c>
      <c r="I235" s="31" t="n">
        <v>1568114</v>
      </c>
      <c r="J235" s="31" t="inlineStr">
        <is>
          <t>515055</t>
        </is>
      </c>
    </row>
    <row r="236">
      <c r="A236" s="31" t="inlineStr">
        <is>
          <t>SKIPPER</t>
        </is>
      </c>
      <c r="B236" s="31" t="inlineStr">
        <is>
          <t>Skipper Limited</t>
        </is>
      </c>
      <c r="C236" s="31" t="inlineStr">
        <is>
          <t>industrials</t>
        </is>
      </c>
      <c r="D236" s="31" t="inlineStr">
        <is>
          <t>engineering</t>
        </is>
      </c>
      <c r="E236" s="31" t="inlineStr">
        <is>
          <t>midcap</t>
        </is>
      </c>
      <c r="F236" s="31" t="n">
        <v>6727.39</v>
      </c>
      <c r="G236" s="31" t="n">
        <v>552</v>
      </c>
      <c r="H236" s="31" t="n">
        <v>0.21</v>
      </c>
      <c r="I236" s="31" t="n">
        <v>223237</v>
      </c>
      <c r="J236" s="31" t="inlineStr">
        <is>
          <t>538562</t>
        </is>
      </c>
    </row>
    <row r="237">
      <c r="A237" s="31" t="inlineStr">
        <is>
          <t>SICALLOG</t>
        </is>
      </c>
      <c r="B237" s="31" t="inlineStr">
        <is>
          <t>Sical Logistics Ltd</t>
        </is>
      </c>
      <c r="C237" s="31" t="inlineStr">
        <is>
          <t>transportation</t>
        </is>
      </c>
      <c r="D237" s="31" t="inlineStr">
        <is>
          <t>miscellaneous</t>
        </is>
      </c>
      <c r="E237" s="31" t="inlineStr">
        <is>
          <t>smallcap</t>
        </is>
      </c>
      <c r="F237" s="31" t="n">
        <v>876.4400000000001</v>
      </c>
      <c r="G237" s="31" t="n">
        <v>110.05</v>
      </c>
      <c r="H237" s="31" t="n">
        <v>0.18</v>
      </c>
      <c r="I237" s="31" t="n">
        <v>1557</v>
      </c>
      <c r="J237" s="31" t="inlineStr">
        <is>
          <t>520086</t>
        </is>
      </c>
    </row>
    <row r="238">
      <c r="A238" s="31" t="inlineStr">
        <is>
          <t>UJJIVANSFB</t>
        </is>
      </c>
      <c r="B238" s="31" t="inlineStr">
        <is>
          <t>Ujjivan Small Finance Bank Ltd</t>
        </is>
      </c>
      <c r="C238" s="31" t="inlineStr">
        <is>
          <t>bank</t>
        </is>
      </c>
      <c r="D238" s="31" t="inlineStr">
        <is>
          <t>banks - private sector</t>
        </is>
      </c>
      <c r="E238" s="31" t="inlineStr">
        <is>
          <t>midcap</t>
        </is>
      </c>
      <c r="F238" s="31" t="n">
        <v>13966.94</v>
      </c>
      <c r="G238" s="31" t="n">
        <v>71.93000000000001</v>
      </c>
      <c r="H238" s="31" t="n">
        <v>0.18</v>
      </c>
      <c r="I238" s="31" t="n">
        <v>10124577</v>
      </c>
      <c r="J238" s="31" t="inlineStr">
        <is>
          <t>542904</t>
        </is>
      </c>
    </row>
    <row r="239">
      <c r="A239" s="31" t="inlineStr">
        <is>
          <t>PNB</t>
        </is>
      </c>
      <c r="B239" s="31" t="inlineStr">
        <is>
          <t>Punjab National Bank Ltd</t>
        </is>
      </c>
      <c r="C239" s="31" t="inlineStr">
        <is>
          <t>bank</t>
        </is>
      </c>
      <c r="D239" s="31" t="inlineStr">
        <is>
          <t>banks - public sector</t>
        </is>
      </c>
      <c r="E239" s="31" t="inlineStr">
        <is>
          <t>largecap</t>
        </is>
      </c>
      <c r="F239" s="31" t="n">
        <v>135019.1</v>
      </c>
      <c r="G239" s="31" t="n">
        <v>117.69</v>
      </c>
      <c r="H239" s="31" t="n">
        <v>0.18</v>
      </c>
      <c r="I239" s="31" t="n">
        <v>3289649</v>
      </c>
      <c r="J239" s="31" t="inlineStr">
        <is>
          <t>532461</t>
        </is>
      </c>
    </row>
    <row r="240">
      <c r="A240" s="31" t="inlineStr">
        <is>
          <t>VMART</t>
        </is>
      </c>
      <c r="B240" s="31" t="inlineStr">
        <is>
          <t>V-mart Retail Limited</t>
        </is>
      </c>
      <c r="C240" s="31" t="inlineStr">
        <is>
          <t>consumer discretionary</t>
        </is>
      </c>
      <c r="D240" s="31" t="inlineStr">
        <is>
          <t>trading</t>
        </is>
      </c>
      <c r="E240" s="31" t="inlineStr">
        <is>
          <t>midcap</t>
        </is>
      </c>
      <c r="F240" s="31" t="n">
        <v>6419.13</v>
      </c>
      <c r="G240" s="31" t="n">
        <v>808.4</v>
      </c>
      <c r="H240" s="31" t="n">
        <v>0.18</v>
      </c>
      <c r="I240" s="31" t="n">
        <v>16263</v>
      </c>
      <c r="J240" s="31" t="inlineStr">
        <is>
          <t>534976</t>
        </is>
      </c>
    </row>
    <row r="241">
      <c r="A241" s="31" t="inlineStr">
        <is>
          <t>PNBHOUSING</t>
        </is>
      </c>
      <c r="B241" s="31" t="inlineStr">
        <is>
          <t>Pnb Housing Finance Limited</t>
        </is>
      </c>
      <c r="C241" s="31" t="inlineStr">
        <is>
          <t>financials</t>
        </is>
      </c>
      <c r="D241" s="31" t="inlineStr">
        <is>
          <t>finance - housing</t>
        </is>
      </c>
      <c r="E241" s="31" t="inlineStr">
        <is>
          <t>largecap</t>
        </is>
      </c>
      <c r="F241" s="31" t="n">
        <v>30593.26</v>
      </c>
      <c r="G241" s="31" t="n">
        <v>1176</v>
      </c>
      <c r="H241" s="31" t="n">
        <v>0.17</v>
      </c>
      <c r="I241" s="31" t="n">
        <v>705438</v>
      </c>
      <c r="J241" s="31" t="inlineStr">
        <is>
          <t>540173</t>
        </is>
      </c>
    </row>
    <row r="242">
      <c r="A242" s="31" t="inlineStr">
        <is>
          <t>SKYGOLD</t>
        </is>
      </c>
      <c r="B242" s="31" t="inlineStr">
        <is>
          <t>Sky Gold Ltd</t>
        </is>
      </c>
      <c r="C242" s="31" t="inlineStr">
        <is>
          <t>consumer discretionary</t>
        </is>
      </c>
      <c r="D242" s="31" t="inlineStr">
        <is>
          <t>diamond cutting / jewellery</t>
        </is>
      </c>
      <c r="E242" s="31" t="inlineStr">
        <is>
          <t>midcap</t>
        </is>
      </c>
      <c r="F242" s="31" t="n">
        <v>12045.32</v>
      </c>
      <c r="G242" s="31" t="n">
        <v>778.95</v>
      </c>
      <c r="H242" s="31" t="n">
        <v>0.15</v>
      </c>
      <c r="I242" s="31" t="n">
        <v>198216</v>
      </c>
      <c r="J242" s="31" t="inlineStr">
        <is>
          <t>541967</t>
        </is>
      </c>
    </row>
    <row r="243">
      <c r="A243" s="31" t="inlineStr">
        <is>
          <t>POONAWALLA</t>
        </is>
      </c>
      <c r="B243" s="31" t="inlineStr">
        <is>
          <t>Poonawalla Fincorp Ltd</t>
        </is>
      </c>
      <c r="C243" s="31" t="inlineStr">
        <is>
          <t>financials</t>
        </is>
      </c>
      <c r="D243" s="31" t="inlineStr">
        <is>
          <t>finance &amp; investments</t>
        </is>
      </c>
      <c r="E243" s="31" t="inlineStr">
        <is>
          <t>largecap</t>
        </is>
      </c>
      <c r="F243" s="31" t="n">
        <v>43435</v>
      </c>
      <c r="G243" s="31" t="n">
        <v>494.05</v>
      </c>
      <c r="H243" s="31" t="n">
        <v>0.15</v>
      </c>
      <c r="I243" s="31" t="n">
        <v>375933</v>
      </c>
      <c r="J243" s="31" t="inlineStr">
        <is>
          <t>524000</t>
        </is>
      </c>
    </row>
    <row r="244">
      <c r="A244" s="31" t="inlineStr">
        <is>
          <t>LALPATHLAB</t>
        </is>
      </c>
      <c r="B244" s="31" t="inlineStr">
        <is>
          <t>Dr. Lal Path Labs Ltd.</t>
        </is>
      </c>
      <c r="C244" s="31" t="inlineStr">
        <is>
          <t>healthcare</t>
        </is>
      </c>
      <c r="D244" s="31" t="inlineStr">
        <is>
          <t>healthcare</t>
        </is>
      </c>
      <c r="E244" s="31" t="inlineStr">
        <is>
          <t>largecap</t>
        </is>
      </c>
      <c r="F244" s="31" t="n">
        <v>31636.6</v>
      </c>
      <c r="G244" s="31" t="n">
        <v>1890</v>
      </c>
      <c r="H244" s="31" t="n">
        <v>0.15</v>
      </c>
      <c r="I244" s="31" t="n">
        <v>95934</v>
      </c>
      <c r="J244" s="31" t="inlineStr">
        <is>
          <t>539524</t>
        </is>
      </c>
    </row>
    <row r="245">
      <c r="A245" s="31" t="inlineStr">
        <is>
          <t>RGL</t>
        </is>
      </c>
      <c r="B245" s="31" t="inlineStr">
        <is>
          <t>Renaissance Global Ltd</t>
        </is>
      </c>
      <c r="C245" s="31" t="inlineStr">
        <is>
          <t>consumer discretionary</t>
        </is>
      </c>
      <c r="D245" s="31" t="inlineStr">
        <is>
          <t>diamond cutting / jewellery</t>
        </is>
      </c>
      <c r="E245" s="31" t="inlineStr">
        <is>
          <t>smallcap</t>
        </is>
      </c>
      <c r="F245" s="31" t="n">
        <v>1397.19</v>
      </c>
      <c r="G245" s="31" t="n">
        <v>130.33</v>
      </c>
      <c r="H245" s="31" t="n">
        <v>0.15</v>
      </c>
      <c r="I245" s="31" t="n">
        <v>161782</v>
      </c>
      <c r="J245" s="31" t="inlineStr">
        <is>
          <t>532923</t>
        </is>
      </c>
    </row>
    <row r="246">
      <c r="A246" s="31" t="inlineStr">
        <is>
          <t>KALYANKJIL</t>
        </is>
      </c>
      <c r="B246" s="31" t="inlineStr">
        <is>
          <t>Kalyan Jewellers India Ltd</t>
        </is>
      </c>
      <c r="C246" s="31" t="inlineStr">
        <is>
          <t>consumer discretionary</t>
        </is>
      </c>
      <c r="D246" s="31" t="inlineStr">
        <is>
          <t>diamond cutting / jewellery</t>
        </is>
      </c>
      <c r="E246" s="31" t="inlineStr">
        <is>
          <t>largecap</t>
        </is>
      </c>
      <c r="F246" s="31" t="n">
        <v>61468.7</v>
      </c>
      <c r="G246" s="31" t="n">
        <v>596</v>
      </c>
      <c r="H246" s="31" t="n">
        <v>0.13</v>
      </c>
      <c r="I246" s="31" t="n">
        <v>1625226</v>
      </c>
      <c r="J246" s="31" t="inlineStr">
        <is>
          <t>543278</t>
        </is>
      </c>
    </row>
    <row r="247">
      <c r="A247" s="31" t="inlineStr">
        <is>
          <t>PFIZER</t>
        </is>
      </c>
      <c r="B247" s="31" t="inlineStr">
        <is>
          <t>Pfizer Limited</t>
        </is>
      </c>
      <c r="C247" s="31" t="inlineStr">
        <is>
          <t>healthcare</t>
        </is>
      </c>
      <c r="D247" s="31" t="inlineStr">
        <is>
          <t>pharmaceuticals - multinational</t>
        </is>
      </c>
      <c r="E247" s="31" t="inlineStr">
        <is>
          <t>largecap</t>
        </is>
      </c>
      <c r="F247" s="31" t="n">
        <v>22505.6</v>
      </c>
      <c r="G247" s="31" t="n">
        <v>4926</v>
      </c>
      <c r="H247" s="31" t="n">
        <v>0.13</v>
      </c>
      <c r="I247" s="31" t="n">
        <v>22390</v>
      </c>
      <c r="J247" s="31" t="inlineStr">
        <is>
          <t>500680</t>
        </is>
      </c>
    </row>
    <row r="248">
      <c r="A248" s="31" t="inlineStr">
        <is>
          <t>BAJAJFINSV</t>
        </is>
      </c>
      <c r="B248" s="31" t="inlineStr">
        <is>
          <t>Bajaj Finserv Limited</t>
        </is>
      </c>
      <c r="C248" s="31" t="inlineStr">
        <is>
          <t>financials</t>
        </is>
      </c>
      <c r="D248" s="31" t="inlineStr">
        <is>
          <t>finance &amp; investments</t>
        </is>
      </c>
      <c r="E248" s="31" t="inlineStr">
        <is>
          <t>largecap</t>
        </is>
      </c>
      <c r="F248" s="31" t="n">
        <v>322030.66</v>
      </c>
      <c r="G248" s="31" t="n">
        <v>2014.5</v>
      </c>
      <c r="H248" s="31" t="n">
        <v>0.12</v>
      </c>
      <c r="I248" s="31" t="n">
        <v>139238</v>
      </c>
      <c r="J248" s="31" t="inlineStr">
        <is>
          <t>532978</t>
        </is>
      </c>
    </row>
    <row r="249">
      <c r="A249" s="31" t="inlineStr">
        <is>
          <t>KAPSTON</t>
        </is>
      </c>
      <c r="B249" s="31" t="inlineStr">
        <is>
          <t>Kapston Services Ltd</t>
        </is>
      </c>
      <c r="C249" s="31" t="inlineStr">
        <is>
          <t>miscellaneous</t>
        </is>
      </c>
      <c r="D249" s="31" t="inlineStr">
        <is>
          <t>miscellaneous</t>
        </is>
      </c>
      <c r="E249" s="31" t="inlineStr">
        <is>
          <t>smallcap</t>
        </is>
      </c>
      <c r="F249" s="31" t="n">
        <v>1592.82</v>
      </c>
      <c r="G249" s="31" t="n">
        <v>524</v>
      </c>
      <c r="H249" s="31" t="n">
        <v>0.11</v>
      </c>
      <c r="I249" s="31" t="n">
        <v>7306</v>
      </c>
      <c r="J249" s="31" t="inlineStr">
        <is>
          <t>535064</t>
        </is>
      </c>
    </row>
    <row r="250">
      <c r="A250" s="31" t="inlineStr">
        <is>
          <t>STLTECH</t>
        </is>
      </c>
      <c r="B250" s="31" t="inlineStr">
        <is>
          <t>Sterlite Technologies Limited</t>
        </is>
      </c>
      <c r="C250" s="31" t="inlineStr">
        <is>
          <t>industrials</t>
        </is>
      </c>
      <c r="D250" s="31" t="inlineStr">
        <is>
          <t>cables - telephone</t>
        </is>
      </c>
      <c r="E250" s="31" t="inlineStr">
        <is>
          <t>largecap</t>
        </is>
      </c>
      <c r="F250" s="31" t="n">
        <v>31923.23</v>
      </c>
      <c r="G250" s="31" t="n">
        <v>621.9</v>
      </c>
      <c r="H250" s="31" t="n">
        <v>0.11</v>
      </c>
      <c r="I250" s="31" t="n">
        <v>337885</v>
      </c>
      <c r="J250" s="31" t="inlineStr">
        <is>
          <t>532374</t>
        </is>
      </c>
    </row>
    <row r="251">
      <c r="A251" s="31" t="inlineStr">
        <is>
          <t>VADILALIND</t>
        </is>
      </c>
      <c r="B251" s="31" t="inlineStr">
        <is>
          <t>Vadilal Industries Limited</t>
        </is>
      </c>
      <c r="C251" s="31" t="inlineStr">
        <is>
          <t>fmcg</t>
        </is>
      </c>
      <c r="D251" s="31" t="inlineStr">
        <is>
          <t>food - processing - indian</t>
        </is>
      </c>
      <c r="E251" s="31" t="inlineStr">
        <is>
          <t>midcap</t>
        </is>
      </c>
      <c r="F251" s="31" t="n">
        <v>5320.07</v>
      </c>
      <c r="G251" s="31" t="n">
        <v>7409.5</v>
      </c>
      <c r="H251" s="31" t="n">
        <v>0.11</v>
      </c>
      <c r="I251" s="31" t="n">
        <v>7527</v>
      </c>
      <c r="J251" s="31" t="inlineStr">
        <is>
          <t>519156</t>
        </is>
      </c>
    </row>
    <row r="252">
      <c r="A252" s="31" t="inlineStr">
        <is>
          <t>GRAPHITE</t>
        </is>
      </c>
      <c r="B252" s="31" t="inlineStr">
        <is>
          <t>Graphite India Limited</t>
        </is>
      </c>
      <c r="C252" s="31" t="inlineStr">
        <is>
          <t>industrials</t>
        </is>
      </c>
      <c r="D252" s="31" t="inlineStr">
        <is>
          <t>electrodes - graphites</t>
        </is>
      </c>
      <c r="E252" s="31" t="inlineStr">
        <is>
          <t>midcap</t>
        </is>
      </c>
      <c r="F252" s="31" t="n">
        <v>14019.18</v>
      </c>
      <c r="G252" s="31" t="n">
        <v>718.2</v>
      </c>
      <c r="H252" s="31" t="n">
        <v>0.09</v>
      </c>
      <c r="I252" s="31" t="n">
        <v>115558</v>
      </c>
      <c r="J252" s="31" t="inlineStr">
        <is>
          <t>509488</t>
        </is>
      </c>
    </row>
    <row r="253">
      <c r="A253" s="31" t="inlineStr">
        <is>
          <t>STEL</t>
        </is>
      </c>
      <c r="B253" s="31" t="inlineStr">
        <is>
          <t>Stel Holdings Limited</t>
        </is>
      </c>
      <c r="C253" s="31" t="inlineStr">
        <is>
          <t>financials</t>
        </is>
      </c>
      <c r="D253" s="31" t="inlineStr">
        <is>
          <t>finance &amp; investments</t>
        </is>
      </c>
      <c r="E253" s="31" t="inlineStr">
        <is>
          <t>smallcap</t>
        </is>
      </c>
      <c r="F253" s="31" t="n">
        <v>1072.26</v>
      </c>
      <c r="G253" s="31" t="n">
        <v>581.5</v>
      </c>
      <c r="H253" s="31" t="n">
        <v>0.09</v>
      </c>
      <c r="I253" s="31" t="n">
        <v>1463</v>
      </c>
      <c r="J253" s="31" t="n"/>
    </row>
    <row r="254">
      <c r="A254" s="31" t="inlineStr">
        <is>
          <t>ALIVUS</t>
        </is>
      </c>
      <c r="B254" s="31" t="inlineStr">
        <is>
          <t>Alivus Life Sciences Ltd</t>
        </is>
      </c>
      <c r="C254" s="31" t="inlineStr">
        <is>
          <t>healthcare</t>
        </is>
      </c>
      <c r="D254" s="31" t="inlineStr">
        <is>
          <t>pharmaceuticals - indian - bulk drugs &amp; formln</t>
        </is>
      </c>
      <c r="E254" s="31" t="inlineStr">
        <is>
          <t>midcap</t>
        </is>
      </c>
      <c r="F254" s="31" t="n">
        <v>16802.61</v>
      </c>
      <c r="G254" s="31" t="n">
        <v>1370</v>
      </c>
      <c r="H254" s="31" t="n">
        <v>0.07000000000000001</v>
      </c>
      <c r="I254" s="31" t="n">
        <v>7984</v>
      </c>
      <c r="J254" s="31" t="inlineStr">
        <is>
          <t>543322</t>
        </is>
      </c>
    </row>
    <row r="255">
      <c r="A255" s="31" t="inlineStr">
        <is>
          <t>INDIANB</t>
        </is>
      </c>
      <c r="B255" s="31" t="inlineStr">
        <is>
          <t>Indian Bank Ltd</t>
        </is>
      </c>
      <c r="C255" s="31" t="n">
        <v/>
      </c>
      <c r="D255" s="31" t="n">
        <v/>
      </c>
      <c r="E255" s="31" t="n">
        <v/>
      </c>
      <c r="F255" s="31" t="n">
        <v/>
      </c>
      <c r="G255" s="31" t="n">
        <v>873.7</v>
      </c>
      <c r="H255" s="31" t="n">
        <v>0.06</v>
      </c>
      <c r="I255" s="31" t="n">
        <v>166410</v>
      </c>
      <c r="J255" s="31" t="inlineStr">
        <is>
          <t>532814</t>
        </is>
      </c>
    </row>
    <row r="256">
      <c r="A256" s="31" t="inlineStr">
        <is>
          <t>GANESHHOU</t>
        </is>
      </c>
      <c r="B256" s="31" t="inlineStr">
        <is>
          <t>Ganesh Housing Ltd</t>
        </is>
      </c>
      <c r="C256" s="31" t="inlineStr">
        <is>
          <t>realty</t>
        </is>
      </c>
      <c r="D256" s="31" t="inlineStr">
        <is>
          <t>construction</t>
        </is>
      </c>
      <c r="E256" s="31" t="inlineStr">
        <is>
          <t>midcap</t>
        </is>
      </c>
      <c r="F256" s="31" t="n">
        <v>6886.94</v>
      </c>
      <c r="G256" s="31" t="n">
        <v>826.2</v>
      </c>
      <c r="H256" s="31" t="n">
        <v>0.04</v>
      </c>
      <c r="I256" s="31" t="n">
        <v>5069</v>
      </c>
      <c r="J256" s="31" t="inlineStr">
        <is>
          <t>526367</t>
        </is>
      </c>
    </row>
    <row r="257">
      <c r="A257" s="31" t="inlineStr">
        <is>
          <t>NAZARA</t>
        </is>
      </c>
      <c r="B257" s="31" t="inlineStr">
        <is>
          <t>Nazara Technologies Ltd</t>
        </is>
      </c>
      <c r="C257" s="31" t="inlineStr">
        <is>
          <t>i.t</t>
        </is>
      </c>
      <c r="D257" s="31" t="inlineStr">
        <is>
          <t>telecommunications - service provider</t>
        </is>
      </c>
      <c r="E257" s="31" t="inlineStr">
        <is>
          <t>midcap</t>
        </is>
      </c>
      <c r="F257" s="31" t="n">
        <v>13747.11</v>
      </c>
      <c r="G257" s="31" t="n">
        <v>357.45</v>
      </c>
      <c r="H257" s="31" t="n">
        <v>0.03</v>
      </c>
      <c r="I257" s="31" t="n">
        <v>643304</v>
      </c>
      <c r="J257" s="31" t="inlineStr">
        <is>
          <t>543280</t>
        </is>
      </c>
    </row>
    <row r="258">
      <c r="A258" s="31" t="inlineStr">
        <is>
          <t>AURUM</t>
        </is>
      </c>
      <c r="B258" s="31" t="inlineStr">
        <is>
          <t>Aurum Proptech Ltd</t>
        </is>
      </c>
      <c r="C258" s="31" t="inlineStr">
        <is>
          <t>i.t</t>
        </is>
      </c>
      <c r="D258" s="31" t="inlineStr">
        <is>
          <t>computers - software - medium / small</t>
        </is>
      </c>
      <c r="E258" s="31" t="inlineStr">
        <is>
          <t>smallcap</t>
        </is>
      </c>
      <c r="F258" s="31" t="n">
        <v>1762.86</v>
      </c>
      <c r="G258" s="31" t="n">
        <v>229.8</v>
      </c>
      <c r="H258" s="31" t="n">
        <v>0.03</v>
      </c>
      <c r="I258" s="31" t="n">
        <v>18471</v>
      </c>
      <c r="J258" s="31" t="inlineStr">
        <is>
          <t>539289</t>
        </is>
      </c>
    </row>
    <row r="259">
      <c r="A259" s="31" t="inlineStr">
        <is>
          <t>FLUOROCHEM</t>
        </is>
      </c>
      <c r="B259" s="31" t="inlineStr">
        <is>
          <t>Gujarat Fluorochemicals Ltd</t>
        </is>
      </c>
      <c r="C259" s="31" t="inlineStr">
        <is>
          <t>chemicals</t>
        </is>
      </c>
      <c r="D259" s="31" t="inlineStr">
        <is>
          <t>chemicals</t>
        </is>
      </c>
      <c r="E259" s="31" t="inlineStr">
        <is>
          <t>largecap</t>
        </is>
      </c>
      <c r="F259" s="31" t="n">
        <v>51509.76</v>
      </c>
      <c r="G259" s="31" t="n">
        <v>4690.3</v>
      </c>
      <c r="H259" s="31" t="n">
        <v>0.03</v>
      </c>
      <c r="I259" s="31" t="n">
        <v>79835</v>
      </c>
      <c r="J259" s="31" t="inlineStr">
        <is>
          <t>542812</t>
        </is>
      </c>
    </row>
    <row r="260">
      <c r="A260" s="31" t="inlineStr">
        <is>
          <t>ASKAUTOLTD</t>
        </is>
      </c>
      <c r="B260" s="31" t="inlineStr">
        <is>
          <t>ASK Automotive Ltd</t>
        </is>
      </c>
      <c r="C260" s="31" t="inlineStr">
        <is>
          <t>auto</t>
        </is>
      </c>
      <c r="D260" s="31" t="inlineStr">
        <is>
          <t>auto ancillaries</t>
        </is>
      </c>
      <c r="E260" s="31" t="inlineStr">
        <is>
          <t>midcap</t>
        </is>
      </c>
      <c r="F260" s="31" t="n">
        <v>12742.31</v>
      </c>
      <c r="G260" s="31" t="n">
        <v>646.5</v>
      </c>
      <c r="H260" s="31" t="n">
        <v>0.02</v>
      </c>
      <c r="I260" s="31" t="n">
        <v>156542</v>
      </c>
      <c r="J260" s="31" t="inlineStr">
        <is>
          <t>544022</t>
        </is>
      </c>
    </row>
    <row r="261">
      <c r="A261" s="31" t="inlineStr">
        <is>
          <t>KDDL</t>
        </is>
      </c>
      <c r="B261" s="31" t="inlineStr">
        <is>
          <t>Kddl Limited</t>
        </is>
      </c>
      <c r="C261" s="31" t="inlineStr">
        <is>
          <t>consumer discretionary</t>
        </is>
      </c>
      <c r="D261" s="31" t="inlineStr">
        <is>
          <t>miscellaneous</t>
        </is>
      </c>
      <c r="E261" s="31" t="inlineStr">
        <is>
          <t>smallcap</t>
        </is>
      </c>
      <c r="F261" s="31" t="n">
        <v>4858.34</v>
      </c>
      <c r="G261" s="31" t="n">
        <v>3950</v>
      </c>
      <c r="H261" s="31" t="n">
        <v>0</v>
      </c>
      <c r="I261" s="31" t="n">
        <v>6591</v>
      </c>
      <c r="J261" s="31" t="inlineStr">
        <is>
          <t>532054</t>
        </is>
      </c>
    </row>
    <row r="262">
      <c r="A262" s="31" t="inlineStr">
        <is>
          <t>JYOTICNC</t>
        </is>
      </c>
      <c r="B262" s="31" t="inlineStr">
        <is>
          <t>Jyoti CNC Automation Ltd</t>
        </is>
      </c>
      <c r="C262" s="31" t="inlineStr">
        <is>
          <t>industrials</t>
        </is>
      </c>
      <c r="D262" s="31" t="inlineStr">
        <is>
          <t>engineering</t>
        </is>
      </c>
      <c r="E262" s="31" t="inlineStr">
        <is>
          <t>largecap</t>
        </is>
      </c>
      <c r="F262" s="31" t="n">
        <v>21619.98</v>
      </c>
      <c r="G262" s="31" t="n">
        <v>950.65</v>
      </c>
      <c r="H262" s="31" t="n">
        <v>0</v>
      </c>
      <c r="I262" s="31" t="n">
        <v>317757</v>
      </c>
      <c r="J262" s="31" t="inlineStr">
        <is>
          <t>544081</t>
        </is>
      </c>
    </row>
    <row r="263">
      <c r="A263" s="31" t="inlineStr">
        <is>
          <t>TITAN</t>
        </is>
      </c>
      <c r="B263" s="31" t="inlineStr">
        <is>
          <t>Titan Company Limited</t>
        </is>
      </c>
      <c r="C263" s="31" t="inlineStr">
        <is>
          <t>consumer discretionary</t>
        </is>
      </c>
      <c r="D263" s="31" t="inlineStr">
        <is>
          <t>diamond cutting / jewellery</t>
        </is>
      </c>
      <c r="E263" s="31" t="inlineStr">
        <is>
          <t>largecap</t>
        </is>
      </c>
      <c r="F263" s="31" t="n">
        <v>449930.03</v>
      </c>
      <c r="G263" s="31" t="n">
        <v>5068</v>
      </c>
      <c r="H263" s="31" t="n">
        <v>0</v>
      </c>
      <c r="I263" s="31" t="n">
        <v>788351</v>
      </c>
      <c r="J263" s="31" t="inlineStr">
        <is>
          <t>500114</t>
        </is>
      </c>
    </row>
    <row r="264">
      <c r="A264" s="31" t="inlineStr">
        <is>
          <t>NAVINFLUOR</t>
        </is>
      </c>
      <c r="B264" s="31" t="inlineStr">
        <is>
          <t>Navin Fluorine International Limited</t>
        </is>
      </c>
      <c r="C264" s="31" t="inlineStr">
        <is>
          <t>chemicals</t>
        </is>
      </c>
      <c r="D264" s="31" t="inlineStr">
        <is>
          <t>chemicals</t>
        </is>
      </c>
      <c r="E264" s="31" t="inlineStr">
        <is>
          <t>largecap</t>
        </is>
      </c>
      <c r="F264" s="31" t="n">
        <v>42456.26</v>
      </c>
      <c r="G264" s="31" t="n">
        <v>8275.5</v>
      </c>
      <c r="H264" s="31" t="n">
        <v>-0.02</v>
      </c>
      <c r="I264" s="31" t="n">
        <v>18849</v>
      </c>
      <c r="J264" s="31" t="inlineStr">
        <is>
          <t>532504</t>
        </is>
      </c>
    </row>
    <row r="265">
      <c r="A265" s="31" t="inlineStr">
        <is>
          <t>PRICOLLTD</t>
        </is>
      </c>
      <c r="B265" s="31" t="inlineStr">
        <is>
          <t>Pricol Ltd.</t>
        </is>
      </c>
      <c r="C265" s="31" t="inlineStr">
        <is>
          <t>auto</t>
        </is>
      </c>
      <c r="D265" s="31" t="inlineStr">
        <is>
          <t>auto ancillaries</t>
        </is>
      </c>
      <c r="E265" s="31" t="inlineStr">
        <is>
          <t>midcap</t>
        </is>
      </c>
      <c r="F265" s="31" t="n">
        <v>9806.59</v>
      </c>
      <c r="G265" s="31" t="n">
        <v>804.4</v>
      </c>
      <c r="H265" s="31" t="n">
        <v>-0.02</v>
      </c>
      <c r="I265" s="31" t="n">
        <v>116238</v>
      </c>
      <c r="J265" s="31" t="inlineStr">
        <is>
          <t>540293</t>
        </is>
      </c>
    </row>
    <row r="266">
      <c r="A266" s="31" t="inlineStr">
        <is>
          <t>GRAVITA</t>
        </is>
      </c>
      <c r="B266" s="31" t="inlineStr">
        <is>
          <t>Gravita India Limited</t>
        </is>
      </c>
      <c r="C266" s="31" t="inlineStr">
        <is>
          <t>metals &amp; mining</t>
        </is>
      </c>
      <c r="D266" s="31" t="inlineStr">
        <is>
          <t>mining / minerals / metals</t>
        </is>
      </c>
      <c r="E266" s="31" t="inlineStr">
        <is>
          <t>midcap</t>
        </is>
      </c>
      <c r="F266" s="31" t="n">
        <v>13234.59</v>
      </c>
      <c r="G266" s="31" t="n">
        <v>1792.3</v>
      </c>
      <c r="H266" s="31" t="n">
        <v>-0.04</v>
      </c>
      <c r="I266" s="31" t="n">
        <v>64085</v>
      </c>
      <c r="J266" s="31" t="inlineStr">
        <is>
          <t>533282</t>
        </is>
      </c>
    </row>
    <row r="267">
      <c r="A267" s="31" t="inlineStr">
        <is>
          <t>AKUMS</t>
        </is>
      </c>
      <c r="B267" s="31" t="inlineStr">
        <is>
          <t>Akums Drugs &amp; Pharmaceuticals Ltd</t>
        </is>
      </c>
      <c r="C267" s="31" t="inlineStr">
        <is>
          <t>healthcare</t>
        </is>
      </c>
      <c r="D267" s="31" t="inlineStr">
        <is>
          <t>pharmaceuticals - indian - bulk drugs &amp; formln</t>
        </is>
      </c>
      <c r="E267" s="31" t="inlineStr">
        <is>
          <t>midcap</t>
        </is>
      </c>
      <c r="F267" s="31" t="n">
        <v>11856.49</v>
      </c>
      <c r="G267" s="31" t="n">
        <v>753</v>
      </c>
      <c r="H267" s="31" t="n">
        <v>-0.04</v>
      </c>
      <c r="I267" s="31" t="n">
        <v>153306</v>
      </c>
      <c r="J267" s="31" t="inlineStr">
        <is>
          <t>544222</t>
        </is>
      </c>
    </row>
    <row r="268">
      <c r="A268" s="31" t="inlineStr">
        <is>
          <t>SMCGLOBAL</t>
        </is>
      </c>
      <c r="B268" s="31" t="inlineStr">
        <is>
          <t>SMC Global Securities Ltd</t>
        </is>
      </c>
      <c r="C268" s="31" t="inlineStr">
        <is>
          <t>financials</t>
        </is>
      </c>
      <c r="D268" s="31" t="inlineStr">
        <is>
          <t>finance &amp; investments</t>
        </is>
      </c>
      <c r="E268" s="31" t="inlineStr">
        <is>
          <t>smallcap</t>
        </is>
      </c>
      <c r="F268" s="31" t="n">
        <v>1703.05</v>
      </c>
      <c r="G268" s="31" t="n">
        <v>81.3</v>
      </c>
      <c r="H268" s="31" t="n">
        <v>-0.04</v>
      </c>
      <c r="I268" s="31" t="n">
        <v>105558</v>
      </c>
      <c r="J268" s="31" t="inlineStr">
        <is>
          <t>543263</t>
        </is>
      </c>
    </row>
    <row r="269">
      <c r="A269" s="31" t="inlineStr">
        <is>
          <t>MUNJALAU</t>
        </is>
      </c>
      <c r="B269" s="31" t="inlineStr">
        <is>
          <t>Munjal Auto Industries Limited</t>
        </is>
      </c>
      <c r="C269" s="31" t="inlineStr">
        <is>
          <t>auto</t>
        </is>
      </c>
      <c r="D269" s="31" t="inlineStr">
        <is>
          <t>auto ancillaries</t>
        </is>
      </c>
      <c r="E269" s="31" t="inlineStr">
        <is>
          <t>smallcap</t>
        </is>
      </c>
      <c r="F269" s="31" t="n">
        <v>1148.5</v>
      </c>
      <c r="G269" s="31" t="n">
        <v>114.8</v>
      </c>
      <c r="H269" s="31" t="n">
        <v>-0.04</v>
      </c>
      <c r="I269" s="31" t="n">
        <v>459018</v>
      </c>
      <c r="J269" s="31" t="inlineStr">
        <is>
          <t>520059</t>
        </is>
      </c>
    </row>
    <row r="270">
      <c r="A270" s="31" t="inlineStr">
        <is>
          <t>RADICO</t>
        </is>
      </c>
      <c r="B270" s="31" t="inlineStr">
        <is>
          <t>Radico Khaitan Limited</t>
        </is>
      </c>
      <c r="C270" s="31" t="inlineStr">
        <is>
          <t>fmcg</t>
        </is>
      </c>
      <c r="D270" s="31" t="inlineStr">
        <is>
          <t>breweries &amp; distilleries</t>
        </is>
      </c>
      <c r="E270" s="31" t="inlineStr">
        <is>
          <t>largecap</t>
        </is>
      </c>
      <c r="F270" s="31" t="n">
        <v>62894.16</v>
      </c>
      <c r="G270" s="31" t="n">
        <v>4694.1</v>
      </c>
      <c r="H270" s="31" t="n">
        <v>-0.04</v>
      </c>
      <c r="I270" s="31" t="n">
        <v>110293</v>
      </c>
      <c r="J270" s="31" t="inlineStr">
        <is>
          <t>532497</t>
        </is>
      </c>
    </row>
    <row r="271">
      <c r="A271" s="31" t="inlineStr">
        <is>
          <t>OCCLLTD</t>
        </is>
      </c>
      <c r="B271" s="31" t="inlineStr">
        <is>
          <t>OCCL Ltd</t>
        </is>
      </c>
      <c r="C271" s="31" t="inlineStr">
        <is>
          <t>chemicals</t>
        </is>
      </c>
      <c r="D271" s="31" t="inlineStr">
        <is>
          <t>chemicals</t>
        </is>
      </c>
      <c r="E271" s="31" t="inlineStr">
        <is>
          <t>smallcap</t>
        </is>
      </c>
      <c r="F271" s="31" t="n">
        <v>824.88</v>
      </c>
      <c r="G271" s="31" t="n">
        <v>165.05</v>
      </c>
      <c r="H271" s="31" t="n">
        <v>-0.05</v>
      </c>
      <c r="I271" s="31" t="n">
        <v>13866</v>
      </c>
      <c r="J271" s="31" t="inlineStr">
        <is>
          <t>544278</t>
        </is>
      </c>
    </row>
    <row r="272">
      <c r="A272" s="31" t="inlineStr">
        <is>
          <t>MAHASTEEL</t>
        </is>
      </c>
      <c r="B272" s="31" t="inlineStr">
        <is>
          <t>Mahamaya Steel Industries Limited</t>
        </is>
      </c>
      <c r="C272" s="31" t="inlineStr">
        <is>
          <t>metals &amp; mining</t>
        </is>
      </c>
      <c r="D272" s="31" t="inlineStr">
        <is>
          <t>steel - medium / small</t>
        </is>
      </c>
      <c r="E272" s="31" t="inlineStr">
        <is>
          <t>smallcap</t>
        </is>
      </c>
      <c r="F272" s="31" t="n">
        <v>1874.67</v>
      </c>
      <c r="G272" s="31" t="n">
        <v>1140</v>
      </c>
      <c r="H272" s="31" t="n">
        <v>-0.06</v>
      </c>
      <c r="I272" s="31" t="n">
        <v>2441</v>
      </c>
      <c r="J272" s="31" t="inlineStr">
        <is>
          <t>513554</t>
        </is>
      </c>
    </row>
    <row r="273">
      <c r="A273" s="31" t="inlineStr">
        <is>
          <t>TCPLPACK</t>
        </is>
      </c>
      <c r="B273" s="31" t="inlineStr">
        <is>
          <t>TCPL Packaging Ltd</t>
        </is>
      </c>
      <c r="C273" s="31" t="inlineStr">
        <is>
          <t>industrials</t>
        </is>
      </c>
      <c r="D273" s="31" t="inlineStr">
        <is>
          <t>packaging</t>
        </is>
      </c>
      <c r="E273" s="31" t="inlineStr">
        <is>
          <t>smallcap</t>
        </is>
      </c>
      <c r="F273" s="31" t="n">
        <v>3725.72</v>
      </c>
      <c r="G273" s="31" t="n">
        <v>4091.6</v>
      </c>
      <c r="H273" s="31" t="n">
        <v>-0.06</v>
      </c>
      <c r="I273" s="31" t="n">
        <v>2295</v>
      </c>
      <c r="J273" s="31" t="inlineStr">
        <is>
          <t>523301</t>
        </is>
      </c>
    </row>
    <row r="274">
      <c r="A274" s="31" t="inlineStr">
        <is>
          <t>DPABHUSHAN</t>
        </is>
      </c>
      <c r="B274" s="31" t="inlineStr">
        <is>
          <t>D.P. Abhushan Ltd</t>
        </is>
      </c>
      <c r="C274" s="31" t="inlineStr">
        <is>
          <t>consumer discretionary</t>
        </is>
      </c>
      <c r="D274" s="31" t="inlineStr">
        <is>
          <t>diamond cutting / jewellery</t>
        </is>
      </c>
      <c r="E274" s="31" t="inlineStr">
        <is>
          <t>smallcap</t>
        </is>
      </c>
      <c r="F274" s="31" t="n">
        <v>3350.91</v>
      </c>
      <c r="G274" s="31" t="n">
        <v>1466.9</v>
      </c>
      <c r="H274" s="31" t="n">
        <v>-0.07000000000000001</v>
      </c>
      <c r="I274" s="31" t="n">
        <v>10299</v>
      </c>
      <c r="J274" s="31" t="inlineStr">
        <is>
          <t>535026</t>
        </is>
      </c>
    </row>
    <row r="275">
      <c r="A275" s="31" t="inlineStr">
        <is>
          <t>IDEA</t>
        </is>
      </c>
      <c r="B275" s="31" t="inlineStr">
        <is>
          <t>Vodafone Idea Ltd</t>
        </is>
      </c>
      <c r="C275" s="31" t="inlineStr">
        <is>
          <t>telecom-service</t>
        </is>
      </c>
      <c r="D275" s="31" t="inlineStr">
        <is>
          <t>telecommunications - service provider</t>
        </is>
      </c>
      <c r="E275" s="31" t="inlineStr">
        <is>
          <t>largecap</t>
        </is>
      </c>
      <c r="F275" s="31" t="n">
        <v>152438.65</v>
      </c>
      <c r="G275" s="31" t="n">
        <v>14.06</v>
      </c>
      <c r="H275" s="31" t="n">
        <v>-0.07000000000000001</v>
      </c>
      <c r="I275" s="31" t="n">
        <v>61569454</v>
      </c>
      <c r="J275" s="31" t="inlineStr">
        <is>
          <t>532822</t>
        </is>
      </c>
    </row>
    <row r="276">
      <c r="A276" s="31" t="inlineStr">
        <is>
          <t>NATIONALUM</t>
        </is>
      </c>
      <c r="B276" s="31" t="inlineStr">
        <is>
          <t>National Aluminium Company Limited</t>
        </is>
      </c>
      <c r="C276" s="31" t="inlineStr">
        <is>
          <t>metals &amp; mining</t>
        </is>
      </c>
      <c r="D276" s="31" t="inlineStr">
        <is>
          <t>aluminium and aluminium products</t>
        </is>
      </c>
      <c r="E276" s="31" t="inlineStr">
        <is>
          <t>largecap</t>
        </is>
      </c>
      <c r="F276" s="31" t="n">
        <v>70995</v>
      </c>
      <c r="G276" s="31" t="n">
        <v>386.25</v>
      </c>
      <c r="H276" s="31" t="n">
        <v>-0.08</v>
      </c>
      <c r="I276" s="31" t="n">
        <v>2083756</v>
      </c>
      <c r="J276" s="31" t="inlineStr">
        <is>
          <t>532234</t>
        </is>
      </c>
    </row>
    <row r="277">
      <c r="A277" s="31" t="inlineStr">
        <is>
          <t>AYMSYNTEX</t>
        </is>
      </c>
      <c r="B277" s="31" t="inlineStr">
        <is>
          <t>Aym Syntex Limited</t>
        </is>
      </c>
      <c r="C277" s="31" t="inlineStr">
        <is>
          <t>textiles</t>
        </is>
      </c>
      <c r="D277" s="31" t="inlineStr">
        <is>
          <t>textiles - processing</t>
        </is>
      </c>
      <c r="E277" s="31" t="inlineStr">
        <is>
          <t>smallcap</t>
        </is>
      </c>
      <c r="F277" s="31" t="n">
        <v>1557.63</v>
      </c>
      <c r="G277" s="31" t="n">
        <v>265</v>
      </c>
      <c r="H277" s="31" t="n">
        <v>-0.08</v>
      </c>
      <c r="I277" s="31" t="n">
        <v>5322</v>
      </c>
      <c r="J277" s="31" t="inlineStr">
        <is>
          <t>508933</t>
        </is>
      </c>
    </row>
    <row r="278">
      <c r="A278" s="31" t="inlineStr">
        <is>
          <t>MACPOWER</t>
        </is>
      </c>
      <c r="B278" s="31" t="inlineStr">
        <is>
          <t>Macpower CNC Machines Ltd</t>
        </is>
      </c>
      <c r="C278" s="31" t="inlineStr">
        <is>
          <t>industrials</t>
        </is>
      </c>
      <c r="D278" s="31" t="inlineStr">
        <is>
          <t>engineering</t>
        </is>
      </c>
      <c r="E278" s="31" t="inlineStr">
        <is>
          <t>smallcap</t>
        </is>
      </c>
      <c r="F278" s="31" t="n">
        <v>1944.01</v>
      </c>
      <c r="G278" s="31" t="n">
        <v>1941.2</v>
      </c>
      <c r="H278" s="31" t="n">
        <v>-0.1</v>
      </c>
      <c r="I278" s="31" t="n">
        <v>18002</v>
      </c>
      <c r="J278" s="31" t="inlineStr">
        <is>
          <t>535057</t>
        </is>
      </c>
    </row>
    <row r="279">
      <c r="A279" s="31" t="inlineStr">
        <is>
          <t>KEI</t>
        </is>
      </c>
      <c r="B279" s="31" t="inlineStr">
        <is>
          <t>Kei Industries Limited</t>
        </is>
      </c>
      <c r="C279" s="31" t="inlineStr">
        <is>
          <t>industrials</t>
        </is>
      </c>
      <c r="D279" s="31" t="inlineStr">
        <is>
          <t>cables - power</t>
        </is>
      </c>
      <c r="E279" s="31" t="inlineStr">
        <is>
          <t>largecap</t>
        </is>
      </c>
      <c r="F279" s="31" t="n">
        <v>54311.65</v>
      </c>
      <c r="G279" s="31" t="n">
        <v>5675</v>
      </c>
      <c r="H279" s="31" t="n">
        <v>-0.11</v>
      </c>
      <c r="I279" s="31" t="n">
        <v>86657</v>
      </c>
      <c r="J279" s="31" t="inlineStr">
        <is>
          <t>517569</t>
        </is>
      </c>
    </row>
    <row r="280">
      <c r="A280" s="31" t="inlineStr">
        <is>
          <t>SVLL</t>
        </is>
      </c>
      <c r="B280" s="31" t="inlineStr">
        <is>
          <t>Shree Vasu Logistics Ltd</t>
        </is>
      </c>
      <c r="C280" s="31" t="inlineStr">
        <is>
          <t>transportation</t>
        </is>
      </c>
      <c r="D280" s="31" t="inlineStr">
        <is>
          <t>miscellaneous</t>
        </is>
      </c>
      <c r="E280" s="31" t="inlineStr">
        <is>
          <t>smallcap</t>
        </is>
      </c>
      <c r="F280" s="31" t="n">
        <v>885.01</v>
      </c>
      <c r="G280" s="31" t="n">
        <v>770</v>
      </c>
      <c r="H280" s="31" t="n">
        <v>-0.13</v>
      </c>
      <c r="I280" s="31" t="n">
        <v>1350</v>
      </c>
      <c r="J280" s="31" t="inlineStr">
        <is>
          <t>535084</t>
        </is>
      </c>
    </row>
    <row r="281">
      <c r="A281" s="31" t="inlineStr">
        <is>
          <t>ROSSTECH</t>
        </is>
      </c>
      <c r="B281" s="31" t="inlineStr">
        <is>
          <t>Rossell Techsys Ltd</t>
        </is>
      </c>
      <c r="C281" s="31" t="inlineStr">
        <is>
          <t>aerospace &amp; defence</t>
        </is>
      </c>
      <c r="D281" s="31" t="inlineStr">
        <is>
          <t>engineering</t>
        </is>
      </c>
      <c r="E281" s="31" t="inlineStr">
        <is>
          <t>smallcap</t>
        </is>
      </c>
      <c r="F281" s="31" t="n">
        <v>4070.09</v>
      </c>
      <c r="G281" s="31" t="n">
        <v>1078</v>
      </c>
      <c r="H281" s="31" t="n">
        <v>-0.16</v>
      </c>
      <c r="I281" s="31" t="n">
        <v>43696</v>
      </c>
      <c r="J281" s="31" t="inlineStr">
        <is>
          <t>544294</t>
        </is>
      </c>
    </row>
    <row r="282">
      <c r="A282" s="31" t="inlineStr">
        <is>
          <t>GPPL</t>
        </is>
      </c>
      <c r="B282" s="31" t="inlineStr">
        <is>
          <t>Gujarat Pipavav Port Limited</t>
        </is>
      </c>
      <c r="C282" s="31" t="inlineStr">
        <is>
          <t>transportation</t>
        </is>
      </c>
      <c r="D282" s="31" t="inlineStr">
        <is>
          <t>miscellaneous</t>
        </is>
      </c>
      <c r="E282" s="31" t="inlineStr">
        <is>
          <t>midcap</t>
        </is>
      </c>
      <c r="F282" s="31" t="n">
        <v>7983.04</v>
      </c>
      <c r="G282" s="31" t="n">
        <v>164.83</v>
      </c>
      <c r="H282" s="31" t="n">
        <v>-0.18</v>
      </c>
      <c r="I282" s="31" t="n">
        <v>647869</v>
      </c>
      <c r="J282" s="31" t="inlineStr">
        <is>
          <t>533248</t>
        </is>
      </c>
    </row>
    <row r="283">
      <c r="A283" s="31" t="inlineStr">
        <is>
          <t>IPCALAB</t>
        </is>
      </c>
      <c r="B283" s="31" t="inlineStr">
        <is>
          <t>Ipca Laboratories Limited</t>
        </is>
      </c>
      <c r="C283" s="31" t="inlineStr">
        <is>
          <t>healthcare</t>
        </is>
      </c>
      <c r="D283" s="31" t="inlineStr">
        <is>
          <t>pharmaceuticals - indian - bulk drugs &amp; formln</t>
        </is>
      </c>
      <c r="E283" s="31" t="inlineStr">
        <is>
          <t>largecap</t>
        </is>
      </c>
      <c r="F283" s="31" t="n">
        <v>48297.67</v>
      </c>
      <c r="G283" s="31" t="n">
        <v>1900</v>
      </c>
      <c r="H283" s="31" t="n">
        <v>-0.19</v>
      </c>
      <c r="I283" s="31" t="n">
        <v>53574</v>
      </c>
      <c r="J283" s="31" t="inlineStr">
        <is>
          <t>524494</t>
        </is>
      </c>
    </row>
    <row r="284">
      <c r="A284" s="31" t="inlineStr">
        <is>
          <t>SONACOMS</t>
        </is>
      </c>
      <c r="B284" s="31" t="inlineStr">
        <is>
          <t>Sona BLW Precision Forgings Ltd</t>
        </is>
      </c>
      <c r="C284" s="31" t="inlineStr">
        <is>
          <t>auto</t>
        </is>
      </c>
      <c r="D284" s="31" t="inlineStr">
        <is>
          <t>auto ancillaries</t>
        </is>
      </c>
      <c r="E284" s="31" t="inlineStr">
        <is>
          <t>largecap</t>
        </is>
      </c>
      <c r="F284" s="31" t="n">
        <v>51224.57</v>
      </c>
      <c r="G284" s="31" t="n">
        <v>821.9</v>
      </c>
      <c r="H284" s="31" t="n">
        <v>-0.19</v>
      </c>
      <c r="I284" s="31" t="n">
        <v>3449880</v>
      </c>
      <c r="J284" s="31" t="inlineStr">
        <is>
          <t>543300</t>
        </is>
      </c>
    </row>
    <row r="285">
      <c r="A285" s="31" t="inlineStr">
        <is>
          <t>AETHER</t>
        </is>
      </c>
      <c r="B285" s="31" t="inlineStr">
        <is>
          <t>Aether Industries Ltd</t>
        </is>
      </c>
      <c r="C285" s="31" t="inlineStr">
        <is>
          <t>chemicals</t>
        </is>
      </c>
      <c r="D285" s="31" t="inlineStr">
        <is>
          <t>chemicals</t>
        </is>
      </c>
      <c r="E285" s="31" t="inlineStr">
        <is>
          <t>largecap</t>
        </is>
      </c>
      <c r="F285" s="31" t="n">
        <v>21766.19</v>
      </c>
      <c r="G285" s="31" t="n">
        <v>1636.8</v>
      </c>
      <c r="H285" s="31" t="n">
        <v>-0.2</v>
      </c>
      <c r="I285" s="31" t="n">
        <v>36496</v>
      </c>
      <c r="J285" s="31" t="inlineStr">
        <is>
          <t>543534</t>
        </is>
      </c>
    </row>
    <row r="286">
      <c r="A286" s="31" t="inlineStr">
        <is>
          <t>THEJO</t>
        </is>
      </c>
      <c r="B286" s="31" t="inlineStr">
        <is>
          <t>Thejo Engineering Ltd</t>
        </is>
      </c>
      <c r="C286" s="31" t="inlineStr">
        <is>
          <t>industrials</t>
        </is>
      </c>
      <c r="D286" s="31" t="inlineStr">
        <is>
          <t>engineering</t>
        </is>
      </c>
      <c r="E286" s="31" t="inlineStr">
        <is>
          <t>smallcap</t>
        </is>
      </c>
      <c r="F286" s="31" t="n">
        <v>2304.66</v>
      </c>
      <c r="G286" s="31" t="n">
        <v>2120.2</v>
      </c>
      <c r="H286" s="31" t="n">
        <v>-0.21</v>
      </c>
      <c r="I286" s="31" t="n">
        <v>6064</v>
      </c>
      <c r="J286" s="31" t="inlineStr">
        <is>
          <t>500492</t>
        </is>
      </c>
    </row>
    <row r="287">
      <c r="A287" s="31" t="inlineStr">
        <is>
          <t>TORNTPHARM</t>
        </is>
      </c>
      <c r="B287" s="31" t="inlineStr">
        <is>
          <t>Torrent Pharmaceuticals Limited</t>
        </is>
      </c>
      <c r="C287" s="31" t="inlineStr">
        <is>
          <t>healthcare</t>
        </is>
      </c>
      <c r="D287" s="31" t="inlineStr">
        <is>
          <t>pharmaceuticals - indian - formulations</t>
        </is>
      </c>
      <c r="E287" s="31" t="inlineStr">
        <is>
          <t>largecap</t>
        </is>
      </c>
      <c r="F287" s="31" t="n">
        <v>190678.41</v>
      </c>
      <c r="G287" s="31" t="n">
        <v>5001.5</v>
      </c>
      <c r="H287" s="31" t="n">
        <v>-0.23</v>
      </c>
      <c r="I287" s="31" t="n">
        <v>68027</v>
      </c>
      <c r="J287" s="31" t="inlineStr">
        <is>
          <t>500420</t>
        </is>
      </c>
    </row>
    <row r="288">
      <c r="A288" s="31" t="inlineStr">
        <is>
          <t>SANSERA</t>
        </is>
      </c>
      <c r="B288" s="31" t="inlineStr">
        <is>
          <t>Sansera Engineering Ltd</t>
        </is>
      </c>
      <c r="C288" s="31" t="inlineStr">
        <is>
          <t>auto</t>
        </is>
      </c>
      <c r="D288" s="31" t="inlineStr">
        <is>
          <t>auto ancillaries</t>
        </is>
      </c>
      <c r="E288" s="31" t="inlineStr">
        <is>
          <t>largecap</t>
        </is>
      </c>
      <c r="F288" s="31" t="n">
        <v>24301.82</v>
      </c>
      <c r="G288" s="31" t="n">
        <v>3885.2</v>
      </c>
      <c r="H288" s="31" t="n">
        <v>-0.23</v>
      </c>
      <c r="I288" s="31" t="n">
        <v>24880</v>
      </c>
      <c r="J288" s="31" t="inlineStr">
        <is>
          <t>543358</t>
        </is>
      </c>
    </row>
    <row r="289">
      <c r="A289" s="31" t="inlineStr">
        <is>
          <t>VENUSREM</t>
        </is>
      </c>
      <c r="B289" s="31" t="inlineStr">
        <is>
          <t>Venus Remedies Limited</t>
        </is>
      </c>
      <c r="C289" s="31" t="inlineStr">
        <is>
          <t>healthcare</t>
        </is>
      </c>
      <c r="D289" s="31" t="inlineStr">
        <is>
          <t>pharmaceuticals - indian - formulations</t>
        </is>
      </c>
      <c r="E289" s="31" t="inlineStr">
        <is>
          <t>smallcap</t>
        </is>
      </c>
      <c r="F289" s="31" t="n">
        <v>2365.69</v>
      </c>
      <c r="G289" s="31" t="n">
        <v>1765.5</v>
      </c>
      <c r="H289" s="31" t="n">
        <v>-0.24</v>
      </c>
      <c r="I289" s="31" t="n">
        <v>9851</v>
      </c>
      <c r="J289" s="31" t="inlineStr">
        <is>
          <t>526953</t>
        </is>
      </c>
    </row>
    <row r="290">
      <c r="A290" s="31" t="inlineStr">
        <is>
          <t>BEML</t>
        </is>
      </c>
      <c r="B290" s="31" t="inlineStr">
        <is>
          <t>Beml Limited</t>
        </is>
      </c>
      <c r="C290" s="31" t="inlineStr">
        <is>
          <t>aerospace &amp; defence</t>
        </is>
      </c>
      <c r="D290" s="31" t="inlineStr">
        <is>
          <t>engineering</t>
        </is>
      </c>
      <c r="E290" s="31" t="inlineStr">
        <is>
          <t>midcap</t>
        </is>
      </c>
      <c r="F290" s="31" t="n">
        <v>16382.11</v>
      </c>
      <c r="G290" s="31" t="n">
        <v>1962</v>
      </c>
      <c r="H290" s="31" t="n">
        <v>-0.25</v>
      </c>
      <c r="I290" s="31" t="n">
        <v>76321</v>
      </c>
      <c r="J290" s="31" t="inlineStr">
        <is>
          <t>500048</t>
        </is>
      </c>
    </row>
    <row r="291">
      <c r="A291" s="31" t="inlineStr">
        <is>
          <t>SUMICHEM</t>
        </is>
      </c>
      <c r="B291" s="31" t="inlineStr">
        <is>
          <t>Sumitomo Chemical India Ltd</t>
        </is>
      </c>
      <c r="C291" s="31" t="inlineStr">
        <is>
          <t>chemicals</t>
        </is>
      </c>
      <c r="D291" s="31" t="inlineStr">
        <is>
          <t>pesticides / agrochemicals - indian</t>
        </is>
      </c>
      <c r="E291" s="31" t="inlineStr">
        <is>
          <t>largecap</t>
        </is>
      </c>
      <c r="F291" s="31" t="n">
        <v>27662.66</v>
      </c>
      <c r="G291" s="31" t="n">
        <v>552.75</v>
      </c>
      <c r="H291" s="31" t="n">
        <v>-0.26</v>
      </c>
      <c r="I291" s="31" t="n">
        <v>51427</v>
      </c>
      <c r="J291" s="31" t="inlineStr">
        <is>
          <t>542920</t>
        </is>
      </c>
    </row>
    <row r="292">
      <c r="A292" s="31" t="inlineStr">
        <is>
          <t>BIRLACABLE</t>
        </is>
      </c>
      <c r="B292" s="31" t="inlineStr">
        <is>
          <t>Birla Cable Limited</t>
        </is>
      </c>
      <c r="C292" s="31" t="inlineStr">
        <is>
          <t>industrials</t>
        </is>
      </c>
      <c r="D292" s="31" t="inlineStr">
        <is>
          <t>cables - telephone</t>
        </is>
      </c>
      <c r="E292" s="31" t="inlineStr">
        <is>
          <t>smallcap</t>
        </is>
      </c>
      <c r="F292" s="31" t="n">
        <v>854.3099999999999</v>
      </c>
      <c r="G292" s="31" t="n">
        <v>284</v>
      </c>
      <c r="H292" s="31" t="n">
        <v>-0.27</v>
      </c>
      <c r="I292" s="31" t="n">
        <v>20491</v>
      </c>
      <c r="J292" s="31" t="inlineStr">
        <is>
          <t>500060</t>
        </is>
      </c>
    </row>
    <row r="293">
      <c r="A293" s="31" t="inlineStr">
        <is>
          <t>SALSTEEL</t>
        </is>
      </c>
      <c r="B293" s="31" t="inlineStr">
        <is>
          <t>SAL Steel</t>
        </is>
      </c>
      <c r="C293" s="31" t="inlineStr">
        <is>
          <t>metals &amp; mining</t>
        </is>
      </c>
      <c r="D293" s="31" t="inlineStr">
        <is>
          <t>steel - sponge iron</t>
        </is>
      </c>
      <c r="E293" s="31" t="inlineStr">
        <is>
          <t>smallcap</t>
        </is>
      </c>
      <c r="F293" s="31" t="n">
        <v>1146.84</v>
      </c>
      <c r="G293" s="31" t="n">
        <v>79</v>
      </c>
      <c r="H293" s="31" t="n">
        <v>-0.28</v>
      </c>
      <c r="I293" s="31" t="n">
        <v>253597</v>
      </c>
      <c r="J293" s="31" t="inlineStr">
        <is>
          <t>532604</t>
        </is>
      </c>
    </row>
    <row r="294">
      <c r="A294" s="31" t="inlineStr">
        <is>
          <t>GULFOILLUB</t>
        </is>
      </c>
      <c r="B294" s="31" t="inlineStr">
        <is>
          <t>Gulf Oil Lubricants India Limited</t>
        </is>
      </c>
      <c r="C294" s="31" t="inlineStr">
        <is>
          <t>chemicals</t>
        </is>
      </c>
      <c r="D294" s="31" t="inlineStr">
        <is>
          <t>chemicals</t>
        </is>
      </c>
      <c r="E294" s="31" t="inlineStr">
        <is>
          <t>midcap</t>
        </is>
      </c>
      <c r="F294" s="31" t="n">
        <v>5712.75</v>
      </c>
      <c r="G294" s="31" t="n">
        <v>1150.4</v>
      </c>
      <c r="H294" s="31" t="n">
        <v>-0.29</v>
      </c>
      <c r="I294" s="31" t="n">
        <v>9604</v>
      </c>
      <c r="J294" s="31" t="inlineStr">
        <is>
          <t>538567</t>
        </is>
      </c>
    </row>
    <row r="295">
      <c r="A295" s="31" t="inlineStr">
        <is>
          <t>RRKABEL</t>
        </is>
      </c>
      <c r="B295" s="31" t="inlineStr">
        <is>
          <t>R R Kabel Ltd</t>
        </is>
      </c>
      <c r="C295" s="31" t="inlineStr">
        <is>
          <t>industrials</t>
        </is>
      </c>
      <c r="D295" s="31" t="inlineStr">
        <is>
          <t>cables - power</t>
        </is>
      </c>
      <c r="E295" s="31" t="inlineStr">
        <is>
          <t>largecap</t>
        </is>
      </c>
      <c r="F295" s="31" t="n">
        <v>32787.02</v>
      </c>
      <c r="G295" s="31" t="n">
        <v>2890</v>
      </c>
      <c r="H295" s="31" t="n">
        <v>-0.3</v>
      </c>
      <c r="I295" s="31" t="n">
        <v>92586</v>
      </c>
      <c r="J295" s="31" t="inlineStr">
        <is>
          <t>543981</t>
        </is>
      </c>
    </row>
    <row r="296">
      <c r="A296" s="31" t="inlineStr">
        <is>
          <t>DIVGIITTS</t>
        </is>
      </c>
      <c r="B296" s="31" t="inlineStr">
        <is>
          <t>Divgi Torqtransfer Systems Ltd</t>
        </is>
      </c>
      <c r="C296" s="31" t="inlineStr">
        <is>
          <t>auto</t>
        </is>
      </c>
      <c r="D296" s="31" t="inlineStr">
        <is>
          <t>auto ancillaries</t>
        </is>
      </c>
      <c r="E296" s="31" t="inlineStr">
        <is>
          <t>smallcap</t>
        </is>
      </c>
      <c r="F296" s="31" t="n">
        <v>3876.08</v>
      </c>
      <c r="G296" s="31" t="n">
        <v>1263.45</v>
      </c>
      <c r="H296" s="31" t="n">
        <v>-0.31</v>
      </c>
      <c r="I296" s="31" t="n">
        <v>27873</v>
      </c>
      <c r="J296" s="31" t="inlineStr">
        <is>
          <t>543812</t>
        </is>
      </c>
    </row>
    <row r="297">
      <c r="A297" s="31" t="inlineStr">
        <is>
          <t>RKFORGE</t>
        </is>
      </c>
      <c r="B297" s="31" t="inlineStr">
        <is>
          <t>Ramkrishna Forgings Limited</t>
        </is>
      </c>
      <c r="C297" s="31" t="inlineStr">
        <is>
          <t>industrials</t>
        </is>
      </c>
      <c r="D297" s="31" t="inlineStr">
        <is>
          <t>castings &amp; forgings</t>
        </is>
      </c>
      <c r="E297" s="31" t="inlineStr">
        <is>
          <t>midcap</t>
        </is>
      </c>
      <c r="F297" s="31" t="n">
        <v>13648.18</v>
      </c>
      <c r="G297" s="31" t="n">
        <v>746.65</v>
      </c>
      <c r="H297" s="31" t="n">
        <v>-0.34</v>
      </c>
      <c r="I297" s="31" t="n">
        <v>153341</v>
      </c>
      <c r="J297" s="31" t="inlineStr">
        <is>
          <t>532527</t>
        </is>
      </c>
    </row>
    <row r="298">
      <c r="A298" s="31" t="inlineStr">
        <is>
          <t>SBCL</t>
        </is>
      </c>
      <c r="B298" s="31" t="inlineStr">
        <is>
          <t>Shivalik Bimetal Controls Ltd</t>
        </is>
      </c>
      <c r="C298" s="31" t="inlineStr">
        <is>
          <t>metals &amp; mining</t>
        </is>
      </c>
      <c r="D298" s="31" t="inlineStr">
        <is>
          <t>mining / minerals / metals</t>
        </is>
      </c>
      <c r="E298" s="31" t="inlineStr">
        <is>
          <t>midcap</t>
        </is>
      </c>
      <c r="F298" s="31" t="n">
        <v>5907.6</v>
      </c>
      <c r="G298" s="31" t="n">
        <v>1022</v>
      </c>
      <c r="H298" s="31" t="n">
        <v>-0.35</v>
      </c>
      <c r="I298" s="31" t="n">
        <v>109836</v>
      </c>
      <c r="J298" s="31" t="inlineStr">
        <is>
          <t>513097</t>
        </is>
      </c>
    </row>
    <row r="299">
      <c r="A299" s="31" t="inlineStr">
        <is>
          <t>MANAKSTEEL</t>
        </is>
      </c>
      <c r="B299" s="31" t="inlineStr">
        <is>
          <t>Manaksia Steels Limited</t>
        </is>
      </c>
      <c r="C299" s="31" t="inlineStr">
        <is>
          <t>metals &amp; mining</t>
        </is>
      </c>
      <c r="D299" s="31" t="inlineStr">
        <is>
          <t>steel - medium / small</t>
        </is>
      </c>
      <c r="E299" s="31" t="inlineStr">
        <is>
          <t>smallcap</t>
        </is>
      </c>
      <c r="F299" s="31" t="n">
        <v>560.64</v>
      </c>
      <c r="G299" s="31" t="n">
        <v>85.25</v>
      </c>
      <c r="H299" s="31" t="n">
        <v>-0.35</v>
      </c>
      <c r="I299" s="31" t="n">
        <v>12533</v>
      </c>
      <c r="J299" s="31" t="inlineStr">
        <is>
          <t>539044</t>
        </is>
      </c>
    </row>
    <row r="300">
      <c r="A300" s="31" t="inlineStr">
        <is>
          <t>KRBL</t>
        </is>
      </c>
      <c r="B300" s="31" t="inlineStr">
        <is>
          <t>Krbl Limited</t>
        </is>
      </c>
      <c r="C300" s="31" t="inlineStr">
        <is>
          <t>fmcg</t>
        </is>
      </c>
      <c r="D300" s="31" t="inlineStr">
        <is>
          <t>food - processing - indian</t>
        </is>
      </c>
      <c r="E300" s="31" t="inlineStr">
        <is>
          <t>midcap</t>
        </is>
      </c>
      <c r="F300" s="31" t="n">
        <v>9146.440000000001</v>
      </c>
      <c r="G300" s="31" t="n">
        <v>397.95</v>
      </c>
      <c r="H300" s="31" t="n">
        <v>-0.41</v>
      </c>
      <c r="I300" s="31" t="n">
        <v>158055</v>
      </c>
      <c r="J300" s="31" t="inlineStr">
        <is>
          <t>530813</t>
        </is>
      </c>
    </row>
    <row r="301">
      <c r="A301" s="31" t="inlineStr">
        <is>
          <t>SJS</t>
        </is>
      </c>
      <c r="B301" s="31" t="inlineStr">
        <is>
          <t>S J S Enterprises Ltd</t>
        </is>
      </c>
      <c r="C301" s="31" t="inlineStr">
        <is>
          <t>auto</t>
        </is>
      </c>
      <c r="D301" s="31" t="inlineStr">
        <is>
          <t>plastics products</t>
        </is>
      </c>
      <c r="E301" s="31" t="inlineStr">
        <is>
          <t>midcap</t>
        </is>
      </c>
      <c r="F301" s="31" t="n">
        <v>8026.89</v>
      </c>
      <c r="G301" s="31" t="n">
        <v>2497</v>
      </c>
      <c r="H301" s="31" t="n">
        <v>-0.44</v>
      </c>
      <c r="I301" s="31" t="n">
        <v>26533</v>
      </c>
      <c r="J301" s="31" t="inlineStr">
        <is>
          <t>543387</t>
        </is>
      </c>
    </row>
    <row r="302">
      <c r="A302" s="31" t="inlineStr">
        <is>
          <t>MUKKA</t>
        </is>
      </c>
      <c r="B302" s="31" t="inlineStr">
        <is>
          <t>Mukka Proteins Ltd</t>
        </is>
      </c>
      <c r="C302" s="31" t="inlineStr">
        <is>
          <t>fmcg</t>
        </is>
      </c>
      <c r="D302" s="31" t="inlineStr">
        <is>
          <t>food - processing - indian</t>
        </is>
      </c>
      <c r="E302" s="31" t="inlineStr">
        <is>
          <t>smallcap</t>
        </is>
      </c>
      <c r="F302" s="31" t="n">
        <v>791.4</v>
      </c>
      <c r="G302" s="31" t="n">
        <v>26.26</v>
      </c>
      <c r="H302" s="31" t="n">
        <v>-0.45</v>
      </c>
      <c r="I302" s="31" t="n">
        <v>82996</v>
      </c>
      <c r="J302" s="31" t="inlineStr">
        <is>
          <t>544135</t>
        </is>
      </c>
    </row>
    <row r="303">
      <c r="A303" s="31" t="inlineStr">
        <is>
          <t>PRUDENT</t>
        </is>
      </c>
      <c r="B303" s="31" t="inlineStr">
        <is>
          <t>Prudent Corporate Advisory Services Ltd</t>
        </is>
      </c>
      <c r="C303" s="31" t="inlineStr">
        <is>
          <t>financials</t>
        </is>
      </c>
      <c r="D303" s="31" t="inlineStr">
        <is>
          <t>finance &amp; investments</t>
        </is>
      </c>
      <c r="E303" s="31" t="inlineStr">
        <is>
          <t>midcap</t>
        </is>
      </c>
      <c r="F303" s="31" t="n">
        <v>14051.77</v>
      </c>
      <c r="G303" s="31" t="n">
        <v>3377.2</v>
      </c>
      <c r="H303" s="31" t="n">
        <v>-0.48</v>
      </c>
      <c r="I303" s="31" t="n">
        <v>3483</v>
      </c>
      <c r="J303" s="31" t="inlineStr">
        <is>
          <t>543527</t>
        </is>
      </c>
    </row>
    <row r="304">
      <c r="A304" s="31" t="inlineStr">
        <is>
          <t>LMW</t>
        </is>
      </c>
      <c r="B304" s="31" t="inlineStr">
        <is>
          <t>LMW Ltd</t>
        </is>
      </c>
      <c r="C304" s="31" t="inlineStr">
        <is>
          <t>industrials</t>
        </is>
      </c>
      <c r="D304" s="31" t="inlineStr">
        <is>
          <t>textile machinery</t>
        </is>
      </c>
      <c r="E304" s="31" t="inlineStr">
        <is>
          <t>largecap</t>
        </is>
      </c>
      <c r="F304" s="31" t="n">
        <v>21008.12</v>
      </c>
      <c r="G304" s="31" t="n">
        <v>19570</v>
      </c>
      <c r="H304" s="31" t="n">
        <v>-0.48</v>
      </c>
      <c r="I304" s="31" t="n">
        <v>1008</v>
      </c>
      <c r="J304" s="31" t="inlineStr">
        <is>
          <t>500252</t>
        </is>
      </c>
    </row>
    <row r="305">
      <c r="A305" s="31" t="inlineStr">
        <is>
          <t>MPSLTD</t>
        </is>
      </c>
      <c r="B305" s="31" t="inlineStr">
        <is>
          <t>Mps Limited</t>
        </is>
      </c>
      <c r="C305" s="31" t="inlineStr">
        <is>
          <t>i.t</t>
        </is>
      </c>
      <c r="D305" s="31" t="inlineStr">
        <is>
          <t>computers - software - medium / small</t>
        </is>
      </c>
      <c r="E305" s="31" t="inlineStr">
        <is>
          <t>midcap</t>
        </is>
      </c>
      <c r="F305" s="31" t="n">
        <v>5011.32</v>
      </c>
      <c r="G305" s="31" t="n">
        <v>2915.2</v>
      </c>
      <c r="H305" s="31" t="n">
        <v>-0.49</v>
      </c>
      <c r="I305" s="31" t="n">
        <v>11104</v>
      </c>
      <c r="J305" s="31" t="inlineStr">
        <is>
          <t>532440</t>
        </is>
      </c>
    </row>
    <row r="306">
      <c r="A306" s="31" t="inlineStr">
        <is>
          <t>CRISIL</t>
        </is>
      </c>
      <c r="B306" s="31" t="inlineStr">
        <is>
          <t>Crisil Limited</t>
        </is>
      </c>
      <c r="C306" s="31" t="n">
        <v/>
      </c>
      <c r="D306" s="31" t="n">
        <v/>
      </c>
      <c r="E306" s="31" t="n">
        <v/>
      </c>
      <c r="F306" s="31" t="n">
        <v/>
      </c>
      <c r="G306" s="31" t="n">
        <v>4477.5</v>
      </c>
      <c r="H306" s="31" t="n">
        <v>-0.49</v>
      </c>
      <c r="I306" s="31" t="n">
        <v>5662</v>
      </c>
      <c r="J306" s="31" t="inlineStr">
        <is>
          <t>500092</t>
        </is>
      </c>
    </row>
    <row r="307">
      <c r="A307" s="31" t="inlineStr">
        <is>
          <t>CONCORDBIO</t>
        </is>
      </c>
      <c r="B307" s="31" t="inlineStr">
        <is>
          <t>Concord Biotech Ltd</t>
        </is>
      </c>
      <c r="C307" s="31" t="inlineStr">
        <is>
          <t>healthcare</t>
        </is>
      </c>
      <c r="D307" s="31" t="inlineStr">
        <is>
          <t>pharmaceuticals - indian - bulk drugs &amp; formln</t>
        </is>
      </c>
      <c r="E307" s="31" t="inlineStr">
        <is>
          <t>midcap</t>
        </is>
      </c>
      <c r="F307" s="31" t="n">
        <v>16607.82</v>
      </c>
      <c r="G307" s="31" t="n">
        <v>1579.6</v>
      </c>
      <c r="H307" s="31" t="n">
        <v>-0.5</v>
      </c>
      <c r="I307" s="31" t="n">
        <v>38975</v>
      </c>
      <c r="J307" s="31" t="inlineStr">
        <is>
          <t>543960</t>
        </is>
      </c>
    </row>
    <row r="308">
      <c r="A308" s="31" t="inlineStr">
        <is>
          <t>GEECEE</t>
        </is>
      </c>
      <c r="B308" s="31" t="inlineStr">
        <is>
          <t>Geecee Ventures Limited</t>
        </is>
      </c>
      <c r="C308" s="31" t="inlineStr">
        <is>
          <t>financials</t>
        </is>
      </c>
      <c r="D308" s="31" t="inlineStr">
        <is>
          <t>finance &amp; investments</t>
        </is>
      </c>
      <c r="E308" s="31" t="inlineStr">
        <is>
          <t>smallcap</t>
        </is>
      </c>
      <c r="F308" s="31" t="n">
        <v>775.51</v>
      </c>
      <c r="G308" s="31" t="n">
        <v>369</v>
      </c>
      <c r="H308" s="31" t="n">
        <v>-0.5</v>
      </c>
      <c r="I308" s="31" t="n">
        <v>862</v>
      </c>
      <c r="J308" s="31" t="inlineStr">
        <is>
          <t>532764</t>
        </is>
      </c>
    </row>
    <row r="309">
      <c r="A309" s="31" t="inlineStr">
        <is>
          <t>MBAPL</t>
        </is>
      </c>
      <c r="B309" s="31" t="inlineStr">
        <is>
          <t>Madhya Bharat Agro Products Ltd</t>
        </is>
      </c>
      <c r="C309" s="31" t="inlineStr">
        <is>
          <t>chemicals</t>
        </is>
      </c>
      <c r="D309" s="31" t="inlineStr">
        <is>
          <t>fertilizers</t>
        </is>
      </c>
      <c r="E309" s="31" t="inlineStr">
        <is>
          <t>smallcap</t>
        </is>
      </c>
      <c r="F309" s="31" t="n">
        <v>1433.84</v>
      </c>
      <c r="G309" s="31" t="n">
        <v>162.79</v>
      </c>
      <c r="H309" s="31" t="n">
        <v>-0.51</v>
      </c>
      <c r="I309" s="31" t="n">
        <v>72037</v>
      </c>
      <c r="J309" s="31" t="inlineStr">
        <is>
          <t>538370</t>
        </is>
      </c>
    </row>
    <row r="310">
      <c r="A310" s="31" t="inlineStr">
        <is>
          <t>SHAILY</t>
        </is>
      </c>
      <c r="B310" s="31" t="inlineStr">
        <is>
          <t>Shaily Engineering Plastics Ltd</t>
        </is>
      </c>
      <c r="C310" s="31" t="inlineStr">
        <is>
          <t>plastic products</t>
        </is>
      </c>
      <c r="D310" s="31" t="inlineStr">
        <is>
          <t>plastics products</t>
        </is>
      </c>
      <c r="E310" s="31" t="inlineStr">
        <is>
          <t>midcap</t>
        </is>
      </c>
      <c r="F310" s="31" t="n">
        <v>15487.52</v>
      </c>
      <c r="G310" s="31" t="n">
        <v>3350.1</v>
      </c>
      <c r="H310" s="31" t="n">
        <v>-0.51</v>
      </c>
      <c r="I310" s="31" t="n">
        <v>17743</v>
      </c>
      <c r="J310" s="31" t="inlineStr">
        <is>
          <t>501423</t>
        </is>
      </c>
    </row>
    <row r="311">
      <c r="A311" s="31" t="inlineStr">
        <is>
          <t>ARVSMART</t>
        </is>
      </c>
      <c r="B311" s="31" t="inlineStr">
        <is>
          <t>Arvind Smartspaces Limited</t>
        </is>
      </c>
      <c r="C311" s="31" t="inlineStr">
        <is>
          <t>realty</t>
        </is>
      </c>
      <c r="D311" s="31" t="inlineStr">
        <is>
          <t>construction</t>
        </is>
      </c>
      <c r="E311" s="31" t="inlineStr">
        <is>
          <t>smallcap</t>
        </is>
      </c>
      <c r="F311" s="31" t="n">
        <v>3039.15</v>
      </c>
      <c r="G311" s="31" t="n">
        <v>659</v>
      </c>
      <c r="H311" s="31" t="n">
        <v>-0.54</v>
      </c>
      <c r="I311" s="31" t="n">
        <v>16304</v>
      </c>
      <c r="J311" s="31" t="inlineStr">
        <is>
          <t>539301</t>
        </is>
      </c>
    </row>
    <row r="312">
      <c r="A312" s="31" t="inlineStr">
        <is>
          <t>MAHSEAMLES</t>
        </is>
      </c>
      <c r="B312" s="31" t="inlineStr">
        <is>
          <t>Maharashtra Seamless Limited</t>
        </is>
      </c>
      <c r="C312" s="31" t="inlineStr">
        <is>
          <t>industrials</t>
        </is>
      </c>
      <c r="D312" s="31" t="inlineStr">
        <is>
          <t>steel - large</t>
        </is>
      </c>
      <c r="E312" s="31" t="inlineStr">
        <is>
          <t>midcap</t>
        </is>
      </c>
      <c r="F312" s="31" t="n">
        <v>8226.209999999999</v>
      </c>
      <c r="G312" s="31" t="n">
        <v>610.6</v>
      </c>
      <c r="H312" s="31" t="n">
        <v>-0.54</v>
      </c>
      <c r="I312" s="31" t="n">
        <v>33975</v>
      </c>
      <c r="J312" s="31" t="inlineStr">
        <is>
          <t>500265</t>
        </is>
      </c>
    </row>
    <row r="313">
      <c r="A313" s="31" t="inlineStr">
        <is>
          <t>ASAHIINDIA</t>
        </is>
      </c>
      <c r="B313" s="31" t="inlineStr">
        <is>
          <t>Asahi India Glass Limited</t>
        </is>
      </c>
      <c r="C313" s="31" t="inlineStr">
        <is>
          <t>building materials</t>
        </is>
      </c>
      <c r="D313" s="31" t="inlineStr">
        <is>
          <t>glass &amp; glass products</t>
        </is>
      </c>
      <c r="E313" s="31" t="inlineStr">
        <is>
          <t>largecap</t>
        </is>
      </c>
      <c r="F313" s="31" t="n">
        <v>24397.81</v>
      </c>
      <c r="G313" s="31" t="n">
        <v>951.8</v>
      </c>
      <c r="H313" s="31" t="n">
        <v>-0.55</v>
      </c>
      <c r="I313" s="31" t="n">
        <v>35100</v>
      </c>
      <c r="J313" s="31" t="inlineStr">
        <is>
          <t>515030</t>
        </is>
      </c>
    </row>
    <row r="314">
      <c r="A314" s="31" t="inlineStr">
        <is>
          <t>HITECHCORP</t>
        </is>
      </c>
      <c r="B314" s="31" t="inlineStr">
        <is>
          <t>Hitech Corporation</t>
        </is>
      </c>
      <c r="C314" s="31" t="inlineStr">
        <is>
          <t>industrials</t>
        </is>
      </c>
      <c r="D314" s="31" t="inlineStr">
        <is>
          <t>packaging</t>
        </is>
      </c>
      <c r="E314" s="31" t="inlineStr">
        <is>
          <t>smallcap</t>
        </is>
      </c>
      <c r="F314" s="31" t="n">
        <v>570.23</v>
      </c>
      <c r="G314" s="31" t="n">
        <v>330.1</v>
      </c>
      <c r="H314" s="31" t="n">
        <v>-0.57</v>
      </c>
      <c r="I314" s="31" t="n">
        <v>9036</v>
      </c>
      <c r="J314" s="31" t="inlineStr">
        <is>
          <t>526217</t>
        </is>
      </c>
    </row>
    <row r="315">
      <c r="A315" s="31" t="inlineStr">
        <is>
          <t>SOLARINDS</t>
        </is>
      </c>
      <c r="B315" s="31" t="inlineStr">
        <is>
          <t>Solar Industries India Limited</t>
        </is>
      </c>
      <c r="C315" s="31" t="inlineStr">
        <is>
          <t>aerospace &amp; defence</t>
        </is>
      </c>
      <c r="D315" s="31" t="inlineStr">
        <is>
          <t>chemicals</t>
        </is>
      </c>
      <c r="E315" s="31" t="inlineStr">
        <is>
          <t>largecap</t>
        </is>
      </c>
      <c r="F315" s="31" t="n">
        <v>178455.44</v>
      </c>
      <c r="G315" s="31" t="n">
        <v>19603</v>
      </c>
      <c r="H315" s="31" t="n">
        <v>-0.6</v>
      </c>
      <c r="I315" s="31" t="n">
        <v>37327</v>
      </c>
      <c r="J315" s="31" t="inlineStr">
        <is>
          <t>532725</t>
        </is>
      </c>
    </row>
    <row r="316">
      <c r="A316" s="31" t="inlineStr">
        <is>
          <t>AARTIPHARM</t>
        </is>
      </c>
      <c r="B316" s="31" t="inlineStr">
        <is>
          <t>Aarti Pharmalabs Ltd</t>
        </is>
      </c>
      <c r="C316" s="31" t="inlineStr">
        <is>
          <t>healthcare</t>
        </is>
      </c>
      <c r="D316" s="31" t="inlineStr">
        <is>
          <t>pharmaceuticals - indian - bulk drugs &amp; formln</t>
        </is>
      </c>
      <c r="E316" s="31" t="inlineStr">
        <is>
          <t>midcap</t>
        </is>
      </c>
      <c r="F316" s="31" t="n">
        <v>7564.06</v>
      </c>
      <c r="G316" s="31" t="n">
        <v>829</v>
      </c>
      <c r="H316" s="31" t="n">
        <v>-0.62</v>
      </c>
      <c r="I316" s="31" t="n">
        <v>86666</v>
      </c>
      <c r="J316" s="31" t="inlineStr">
        <is>
          <t>543748</t>
        </is>
      </c>
    </row>
    <row r="317">
      <c r="A317" s="31" t="inlineStr">
        <is>
          <t>MOTHERSON</t>
        </is>
      </c>
      <c r="B317" s="31" t="inlineStr">
        <is>
          <t>Samvardhana Motherson International Ltd</t>
        </is>
      </c>
      <c r="C317" s="31" t="inlineStr">
        <is>
          <t>auto</t>
        </is>
      </c>
      <c r="D317" s="31" t="inlineStr">
        <is>
          <t>auto ancillaries</t>
        </is>
      </c>
      <c r="E317" s="31" t="inlineStr">
        <is>
          <t>largecap</t>
        </is>
      </c>
      <c r="F317" s="31" t="n">
        <v>179731.6</v>
      </c>
      <c r="G317" s="31" t="n">
        <v>169.24</v>
      </c>
      <c r="H317" s="31" t="n">
        <v>-0.62</v>
      </c>
      <c r="I317" s="31" t="n">
        <v>4117619</v>
      </c>
      <c r="J317" s="31" t="inlineStr">
        <is>
          <t>517334</t>
        </is>
      </c>
    </row>
    <row r="318">
      <c r="A318" s="31" t="inlineStr">
        <is>
          <t>CUPID</t>
        </is>
      </c>
      <c r="B318" s="31" t="inlineStr">
        <is>
          <t>Cupid Limited</t>
        </is>
      </c>
      <c r="C318" s="31" t="inlineStr">
        <is>
          <t>fmcg</t>
        </is>
      </c>
      <c r="D318" s="31" t="inlineStr">
        <is>
          <t>personal care - indian</t>
        </is>
      </c>
      <c r="E318" s="31" t="inlineStr">
        <is>
          <t>largecap</t>
        </is>
      </c>
      <c r="F318" s="31" t="n">
        <v>38263.66</v>
      </c>
      <c r="G318" s="31" t="n">
        <v>282.77</v>
      </c>
      <c r="H318" s="31" t="n">
        <v>-0.63</v>
      </c>
      <c r="I318" s="31" t="n">
        <v>8120143</v>
      </c>
      <c r="J318" s="31" t="inlineStr">
        <is>
          <t>530843</t>
        </is>
      </c>
    </row>
    <row r="319">
      <c r="A319" s="31" t="inlineStr">
        <is>
          <t>EMIL</t>
        </is>
      </c>
      <c r="B319" s="31" t="inlineStr">
        <is>
          <t>Electronics Mart India Ltd</t>
        </is>
      </c>
      <c r="C319" s="31" t="inlineStr">
        <is>
          <t>consumer discretionary</t>
        </is>
      </c>
      <c r="D319" s="31" t="inlineStr">
        <is>
          <t>trading</t>
        </is>
      </c>
      <c r="E319" s="31" t="inlineStr">
        <is>
          <t>midcap</t>
        </is>
      </c>
      <c r="F319" s="31" t="n">
        <v>7357.94</v>
      </c>
      <c r="G319" s="31" t="n">
        <v>189.99</v>
      </c>
      <c r="H319" s="31" t="n">
        <v>-0.65</v>
      </c>
      <c r="I319" s="31" t="n">
        <v>493253</v>
      </c>
      <c r="J319" s="31" t="inlineStr">
        <is>
          <t>543626</t>
        </is>
      </c>
    </row>
    <row r="320">
      <c r="A320" s="31" t="inlineStr">
        <is>
          <t>HAL</t>
        </is>
      </c>
      <c r="B320" s="31" t="inlineStr">
        <is>
          <t>Hindustan Aeronautics Ltd</t>
        </is>
      </c>
      <c r="C320" s="31" t="inlineStr">
        <is>
          <t>aerospace &amp; defence</t>
        </is>
      </c>
      <c r="D320" s="31" t="inlineStr">
        <is>
          <t>engineering</t>
        </is>
      </c>
      <c r="E320" s="31" t="inlineStr">
        <is>
          <t>largecap</t>
        </is>
      </c>
      <c r="F320" s="31" t="n">
        <v>335524.42</v>
      </c>
      <c r="G320" s="31" t="n">
        <v>4982.3</v>
      </c>
      <c r="H320" s="31" t="n">
        <v>-0.6899999999999999</v>
      </c>
      <c r="I320" s="31" t="n">
        <v>141346</v>
      </c>
      <c r="J320" s="31" t="inlineStr">
        <is>
          <t>541154</t>
        </is>
      </c>
    </row>
    <row r="321">
      <c r="A321" s="31" t="inlineStr">
        <is>
          <t>ARIES</t>
        </is>
      </c>
      <c r="B321" s="31" t="inlineStr">
        <is>
          <t>Aries Agro Limited</t>
        </is>
      </c>
      <c r="C321" s="31" t="inlineStr">
        <is>
          <t>chemicals</t>
        </is>
      </c>
      <c r="D321" s="31" t="inlineStr">
        <is>
          <t>fertilizers</t>
        </is>
      </c>
      <c r="E321" s="31" t="inlineStr">
        <is>
          <t>smallcap</t>
        </is>
      </c>
      <c r="F321" s="31" t="n">
        <v>570.11</v>
      </c>
      <c r="G321" s="31" t="n">
        <v>435.35</v>
      </c>
      <c r="H321" s="31" t="n">
        <v>-0.7</v>
      </c>
      <c r="I321" s="31" t="n">
        <v>33498</v>
      </c>
      <c r="J321" s="31" t="inlineStr">
        <is>
          <t>532935</t>
        </is>
      </c>
    </row>
    <row r="322">
      <c r="A322" s="31" t="inlineStr">
        <is>
          <t>VARROC</t>
        </is>
      </c>
      <c r="B322" s="31" t="inlineStr">
        <is>
          <t>Varroc Engineering Ltd</t>
        </is>
      </c>
      <c r="C322" s="31" t="inlineStr">
        <is>
          <t>auto</t>
        </is>
      </c>
      <c r="D322" s="31" t="inlineStr">
        <is>
          <t>auto ancillaries</t>
        </is>
      </c>
      <c r="E322" s="31" t="inlineStr">
        <is>
          <t>midcap</t>
        </is>
      </c>
      <c r="F322" s="31" t="n">
        <v>12695.02</v>
      </c>
      <c r="G322" s="31" t="n">
        <v>825</v>
      </c>
      <c r="H322" s="31" t="n">
        <v>-0.71</v>
      </c>
      <c r="I322" s="31" t="n">
        <v>60655</v>
      </c>
      <c r="J322" s="31" t="inlineStr">
        <is>
          <t>541578</t>
        </is>
      </c>
    </row>
    <row r="323">
      <c r="A323" s="31" t="inlineStr">
        <is>
          <t>SCPL</t>
        </is>
      </c>
      <c r="B323" s="31" t="inlineStr">
        <is>
          <t>Sheetal Cool Products Ltd</t>
        </is>
      </c>
      <c r="C323" s="31" t="inlineStr">
        <is>
          <t>fmcg</t>
        </is>
      </c>
      <c r="D323" s="31" t="inlineStr">
        <is>
          <t>food - processing - indian</t>
        </is>
      </c>
      <c r="E323" s="31" t="inlineStr">
        <is>
          <t>smallcap</t>
        </is>
      </c>
      <c r="F323" s="31" t="n">
        <v>712.11</v>
      </c>
      <c r="G323" s="31" t="n">
        <v>673.35</v>
      </c>
      <c r="H323" s="31" t="n">
        <v>-0.72</v>
      </c>
      <c r="I323" s="31" t="n">
        <v>4405</v>
      </c>
      <c r="J323" s="31" t="inlineStr">
        <is>
          <t>540757</t>
        </is>
      </c>
    </row>
    <row r="324">
      <c r="A324" s="31" t="inlineStr">
        <is>
          <t>GLAND</t>
        </is>
      </c>
      <c r="B324" s="31" t="inlineStr">
        <is>
          <t>Gland Pharma Ltd</t>
        </is>
      </c>
      <c r="C324" s="31" t="inlineStr">
        <is>
          <t>healthcare</t>
        </is>
      </c>
      <c r="D324" s="31" t="inlineStr">
        <is>
          <t>pharmaceuticals - indian - formulations</t>
        </is>
      </c>
      <c r="E324" s="31" t="inlineStr">
        <is>
          <t>largecap</t>
        </is>
      </c>
      <c r="F324" s="31" t="n">
        <v>46869.99</v>
      </c>
      <c r="G324" s="31" t="n">
        <v>2820.1</v>
      </c>
      <c r="H324" s="31" t="n">
        <v>-0.75</v>
      </c>
      <c r="I324" s="31" t="n">
        <v>167337</v>
      </c>
      <c r="J324" s="31" t="inlineStr">
        <is>
          <t>543245</t>
        </is>
      </c>
    </row>
    <row r="325">
      <c r="A325" s="31" t="inlineStr">
        <is>
          <t>IFCI</t>
        </is>
      </c>
      <c r="B325" s="31" t="inlineStr">
        <is>
          <t>Ifci Limited</t>
        </is>
      </c>
      <c r="C325" s="31" t="inlineStr">
        <is>
          <t>financials</t>
        </is>
      </c>
      <c r="D325" s="31" t="inlineStr">
        <is>
          <t>finance - term-lending institutions</t>
        </is>
      </c>
      <c r="E325" s="31" t="inlineStr">
        <is>
          <t>largecap</t>
        </is>
      </c>
      <c r="F325" s="31" t="n">
        <v>22007.16</v>
      </c>
      <c r="G325" s="31" t="n">
        <v>81.05</v>
      </c>
      <c r="H325" s="31" t="n">
        <v>-0.77</v>
      </c>
      <c r="I325" s="31" t="n">
        <v>8901609</v>
      </c>
      <c r="J325" s="31" t="inlineStr">
        <is>
          <t>500106</t>
        </is>
      </c>
    </row>
    <row r="326">
      <c r="A326" s="31" t="inlineStr">
        <is>
          <t>CRAFTSMAN</t>
        </is>
      </c>
      <c r="B326" s="31" t="inlineStr">
        <is>
          <t>Craftsman Automation Ltd</t>
        </is>
      </c>
      <c r="C326" s="31" t="inlineStr">
        <is>
          <t>auto</t>
        </is>
      </c>
      <c r="D326" s="31" t="inlineStr">
        <is>
          <t>auto ancillaries</t>
        </is>
      </c>
      <c r="E326" s="31" t="inlineStr">
        <is>
          <t>largecap</t>
        </is>
      </c>
      <c r="F326" s="31" t="n">
        <v>28191.86</v>
      </c>
      <c r="G326" s="31" t="n">
        <v>10693</v>
      </c>
      <c r="H326" s="31" t="n">
        <v>-0.8</v>
      </c>
      <c r="I326" s="31" t="n">
        <v>4718</v>
      </c>
      <c r="J326" s="31" t="inlineStr">
        <is>
          <t>543276</t>
        </is>
      </c>
    </row>
    <row r="327">
      <c r="A327" s="31" t="inlineStr">
        <is>
          <t>RUBYMILLS</t>
        </is>
      </c>
      <c r="B327" s="31" t="inlineStr">
        <is>
          <t>The Ruby Mills Limited</t>
        </is>
      </c>
      <c r="C327" s="31" t="inlineStr">
        <is>
          <t>textiles</t>
        </is>
      </c>
      <c r="D327" s="31" t="inlineStr">
        <is>
          <t>textiles - composite</t>
        </is>
      </c>
      <c r="E327" s="31" t="inlineStr">
        <is>
          <t>smallcap</t>
        </is>
      </c>
      <c r="F327" s="31" t="n">
        <v>1371.88</v>
      </c>
      <c r="G327" s="31" t="n">
        <v>406.85</v>
      </c>
      <c r="H327" s="31" t="n">
        <v>-0.83</v>
      </c>
      <c r="I327" s="31" t="n">
        <v>2055</v>
      </c>
      <c r="J327" s="31" t="inlineStr">
        <is>
          <t>503169</t>
        </is>
      </c>
    </row>
    <row r="328">
      <c r="A328" s="31" t="inlineStr">
        <is>
          <t>SMLMAH</t>
        </is>
      </c>
      <c r="B328" s="31" t="inlineStr">
        <is>
          <t>SML Mahindra Ltd</t>
        </is>
      </c>
      <c r="C328" s="31" t="inlineStr">
        <is>
          <t>auto</t>
        </is>
      </c>
      <c r="D328" s="31" t="inlineStr">
        <is>
          <t>automobiles - lcvs / hcvs</t>
        </is>
      </c>
      <c r="E328" s="31" t="inlineStr">
        <is>
          <t>midcap</t>
        </is>
      </c>
      <c r="F328" s="31" t="n">
        <v>7566.5</v>
      </c>
      <c r="G328" s="31" t="n">
        <v>5185</v>
      </c>
      <c r="H328" s="31" t="n">
        <v>-0.83</v>
      </c>
      <c r="I328" s="31" t="n">
        <v>14013</v>
      </c>
      <c r="J328" s="31" t="inlineStr">
        <is>
          <t>505192</t>
        </is>
      </c>
    </row>
    <row r="329">
      <c r="A329" s="31" t="inlineStr">
        <is>
          <t>ELGIEQUIP</t>
        </is>
      </c>
      <c r="B329" s="31" t="inlineStr">
        <is>
          <t>Elgi Equipments Limited</t>
        </is>
      </c>
      <c r="C329" s="31" t="inlineStr">
        <is>
          <t>industrials</t>
        </is>
      </c>
      <c r="D329" s="31" t="inlineStr">
        <is>
          <t>compressors / drilling equipment</t>
        </is>
      </c>
      <c r="E329" s="31" t="inlineStr">
        <is>
          <t>largecap</t>
        </is>
      </c>
      <c r="F329" s="31" t="n">
        <v>20212.46</v>
      </c>
      <c r="G329" s="31" t="n">
        <v>632.45</v>
      </c>
      <c r="H329" s="31" t="n">
        <v>-0.84</v>
      </c>
      <c r="I329" s="31" t="n">
        <v>307137</v>
      </c>
      <c r="J329" s="31" t="inlineStr">
        <is>
          <t>522074</t>
        </is>
      </c>
    </row>
    <row r="330">
      <c r="A330" s="31" t="inlineStr">
        <is>
          <t>UNIVCABLES</t>
        </is>
      </c>
      <c r="B330" s="31" t="inlineStr">
        <is>
          <t>Universal Cables Limited</t>
        </is>
      </c>
      <c r="C330" s="31" t="inlineStr">
        <is>
          <t>industrials</t>
        </is>
      </c>
      <c r="D330" s="31" t="inlineStr">
        <is>
          <t>cables - power</t>
        </is>
      </c>
      <c r="E330" s="31" t="inlineStr">
        <is>
          <t>midcap</t>
        </is>
      </c>
      <c r="F330" s="31" t="n">
        <v>5766.37</v>
      </c>
      <c r="G330" s="31" t="n">
        <v>1648.1</v>
      </c>
      <c r="H330" s="31" t="n">
        <v>-0.84</v>
      </c>
      <c r="I330" s="31" t="n">
        <v>20265</v>
      </c>
      <c r="J330" s="31" t="inlineStr">
        <is>
          <t>504212</t>
        </is>
      </c>
    </row>
    <row r="331">
      <c r="A331" s="31" t="inlineStr">
        <is>
          <t>ASTRAL</t>
        </is>
      </c>
      <c r="B331" s="31" t="inlineStr">
        <is>
          <t>Astral Ltd</t>
        </is>
      </c>
      <c r="C331" s="31" t="inlineStr">
        <is>
          <t>plastic products</t>
        </is>
      </c>
      <c r="D331" s="31" t="inlineStr">
        <is>
          <t>plastics products</t>
        </is>
      </c>
      <c r="E331" s="31" t="inlineStr">
        <is>
          <t>largecap</t>
        </is>
      </c>
      <c r="F331" s="31" t="n">
        <v>41503.76</v>
      </c>
      <c r="G331" s="31" t="n">
        <v>1532</v>
      </c>
      <c r="H331" s="31" t="n">
        <v>-0.84</v>
      </c>
      <c r="I331" s="31" t="n">
        <v>93329</v>
      </c>
      <c r="J331" s="31" t="inlineStr">
        <is>
          <t>532830</t>
        </is>
      </c>
    </row>
    <row r="332">
      <c r="A332" s="31" t="inlineStr">
        <is>
          <t>APCOTEXIND</t>
        </is>
      </c>
      <c r="B332" s="31" t="inlineStr">
        <is>
          <t>Apcotex Industries Limited</t>
        </is>
      </c>
      <c r="C332" s="31" t="inlineStr">
        <is>
          <t>chemicals</t>
        </is>
      </c>
      <c r="D332" s="31" t="inlineStr">
        <is>
          <t>miscellaneous</t>
        </is>
      </c>
      <c r="E332" s="31" t="inlineStr">
        <is>
          <t>smallcap</t>
        </is>
      </c>
      <c r="F332" s="31" t="n">
        <v>3215.68</v>
      </c>
      <c r="G332" s="31" t="n">
        <v>615</v>
      </c>
      <c r="H332" s="31" t="n">
        <v>-0.85</v>
      </c>
      <c r="I332" s="31" t="n">
        <v>29120</v>
      </c>
      <c r="J332" s="31" t="inlineStr">
        <is>
          <t>523694</t>
        </is>
      </c>
    </row>
    <row r="333">
      <c r="A333" s="31" t="inlineStr">
        <is>
          <t>ETHOSLTD</t>
        </is>
      </c>
      <c r="B333" s="31" t="inlineStr">
        <is>
          <t>Ethos Ltd</t>
        </is>
      </c>
      <c r="C333" s="31" t="inlineStr">
        <is>
          <t>consumer discretionary</t>
        </is>
      </c>
      <c r="D333" s="31" t="inlineStr">
        <is>
          <t>trading</t>
        </is>
      </c>
      <c r="E333" s="31" t="inlineStr">
        <is>
          <t>midcap</t>
        </is>
      </c>
      <c r="F333" s="31" t="n">
        <v>7759.46</v>
      </c>
      <c r="G333" s="31" t="n">
        <v>2875.1</v>
      </c>
      <c r="H333" s="31" t="n">
        <v>-0.86</v>
      </c>
      <c r="I333" s="31" t="n">
        <v>10174</v>
      </c>
      <c r="J333" s="31" t="inlineStr">
        <is>
          <t>543532</t>
        </is>
      </c>
    </row>
    <row r="334">
      <c r="A334" s="31" t="inlineStr">
        <is>
          <t>ANTHEM</t>
        </is>
      </c>
      <c r="B334" s="31" t="inlineStr">
        <is>
          <t>Anthem Biosciences Ltd</t>
        </is>
      </c>
      <c r="C334" s="31" t="inlineStr">
        <is>
          <t>healthcare</t>
        </is>
      </c>
      <c r="D334" s="31" t="inlineStr">
        <is>
          <t>pharmaceuticals - indian - bulk drugs &amp; formln</t>
        </is>
      </c>
      <c r="E334" s="31" t="inlineStr">
        <is>
          <t>largecap</t>
        </is>
      </c>
      <c r="F334" s="31" t="n">
        <v>49684.9</v>
      </c>
      <c r="G334" s="31" t="n">
        <v>874.15</v>
      </c>
      <c r="H334" s="31" t="n">
        <v>-0.88</v>
      </c>
      <c r="I334" s="31" t="n">
        <v>90483</v>
      </c>
      <c r="J334" s="31" t="inlineStr">
        <is>
          <t>544449</t>
        </is>
      </c>
    </row>
    <row r="335">
      <c r="A335" s="31" t="inlineStr">
        <is>
          <t>RACLGEAR</t>
        </is>
      </c>
      <c r="B335" s="31" t="inlineStr">
        <is>
          <t>RACL Geartech Ltd</t>
        </is>
      </c>
      <c r="C335" s="31" t="inlineStr">
        <is>
          <t>auto</t>
        </is>
      </c>
      <c r="D335" s="31" t="inlineStr">
        <is>
          <t>auto ancillaries</t>
        </is>
      </c>
      <c r="E335" s="31" t="inlineStr">
        <is>
          <t>smallcap</t>
        </is>
      </c>
      <c r="F335" s="31" t="n">
        <v>1695.95</v>
      </c>
      <c r="G335" s="31" t="n">
        <v>1425.9</v>
      </c>
      <c r="H335" s="31" t="n">
        <v>-0.89</v>
      </c>
      <c r="I335" s="31" t="n">
        <v>4565</v>
      </c>
      <c r="J335" s="31" t="inlineStr">
        <is>
          <t>520073</t>
        </is>
      </c>
    </row>
    <row r="336">
      <c r="A336" s="31" t="inlineStr">
        <is>
          <t>UNOMINDA</t>
        </is>
      </c>
      <c r="B336" s="31" t="inlineStr">
        <is>
          <t>Uno Minda Ltd</t>
        </is>
      </c>
      <c r="C336" s="31" t="inlineStr">
        <is>
          <t>auto</t>
        </is>
      </c>
      <c r="D336" s="31" t="inlineStr">
        <is>
          <t>auto ancillaries</t>
        </is>
      </c>
      <c r="E336" s="31" t="inlineStr">
        <is>
          <t>largecap</t>
        </is>
      </c>
      <c r="F336" s="31" t="n">
        <v>73453.83</v>
      </c>
      <c r="G336" s="31" t="n">
        <v>1260.5</v>
      </c>
      <c r="H336" s="31" t="n">
        <v>-0.9</v>
      </c>
      <c r="I336" s="31" t="n">
        <v>576406</v>
      </c>
      <c r="J336" s="31" t="inlineStr">
        <is>
          <t>532539</t>
        </is>
      </c>
    </row>
    <row r="337">
      <c r="A337" s="31" t="inlineStr">
        <is>
          <t>ANANDRATHI</t>
        </is>
      </c>
      <c r="B337" s="31" t="inlineStr">
        <is>
          <t>Anand Rathi Wealth Ltd</t>
        </is>
      </c>
      <c r="C337" s="31" t="inlineStr">
        <is>
          <t>financials</t>
        </is>
      </c>
      <c r="D337" s="31" t="inlineStr">
        <is>
          <t>finance &amp; investments</t>
        </is>
      </c>
      <c r="E337" s="31" t="inlineStr">
        <is>
          <t>largecap</t>
        </is>
      </c>
      <c r="F337" s="31" t="n">
        <v>36349.75</v>
      </c>
      <c r="G337" s="31" t="n">
        <v>2169.6</v>
      </c>
      <c r="H337" s="31" t="n">
        <v>-0.9</v>
      </c>
      <c r="I337" s="31" t="n">
        <v>39993</v>
      </c>
      <c r="J337" s="31" t="inlineStr">
        <is>
          <t>543415</t>
        </is>
      </c>
    </row>
    <row r="338">
      <c r="A338" s="31" t="inlineStr">
        <is>
          <t>AARTIIND</t>
        </is>
      </c>
      <c r="B338" s="31" t="inlineStr">
        <is>
          <t>Aarti Industries Limited</t>
        </is>
      </c>
      <c r="C338" s="31" t="inlineStr">
        <is>
          <t>chemicals</t>
        </is>
      </c>
      <c r="D338" s="31" t="inlineStr">
        <is>
          <t>chemicals</t>
        </is>
      </c>
      <c r="E338" s="31" t="inlineStr">
        <is>
          <t>midcap</t>
        </is>
      </c>
      <c r="F338" s="31" t="n">
        <v>19117.51</v>
      </c>
      <c r="G338" s="31" t="n">
        <v>522.25</v>
      </c>
      <c r="H338" s="31" t="n">
        <v>-0.91</v>
      </c>
      <c r="I338" s="31" t="n">
        <v>252214</v>
      </c>
      <c r="J338" s="31" t="inlineStr">
        <is>
          <t>524208</t>
        </is>
      </c>
    </row>
    <row r="339">
      <c r="A339" s="31" t="inlineStr">
        <is>
          <t>SURAKSHA</t>
        </is>
      </c>
      <c r="B339" s="31" t="inlineStr">
        <is>
          <t>Suraksha Diagnostic Ltd</t>
        </is>
      </c>
      <c r="C339" s="31" t="inlineStr">
        <is>
          <t>healthcare</t>
        </is>
      </c>
      <c r="D339" s="31" t="inlineStr">
        <is>
          <t>healthcare</t>
        </is>
      </c>
      <c r="E339" s="31" t="inlineStr">
        <is>
          <t>smallcap</t>
        </is>
      </c>
      <c r="F339" s="31" t="n">
        <v>1606.69</v>
      </c>
      <c r="G339" s="31" t="n">
        <v>305.7</v>
      </c>
      <c r="H339" s="31" t="n">
        <v>-0.91</v>
      </c>
      <c r="I339" s="31" t="n">
        <v>38739</v>
      </c>
      <c r="J339" s="31" t="inlineStr">
        <is>
          <t>544293</t>
        </is>
      </c>
    </row>
    <row r="340">
      <c r="A340" s="31" t="inlineStr">
        <is>
          <t>DEEPAKNTR</t>
        </is>
      </c>
      <c r="B340" s="31" t="inlineStr">
        <is>
          <t>Deepak Nitrite Limited</t>
        </is>
      </c>
      <c r="C340" s="31" t="n">
        <v/>
      </c>
      <c r="D340" s="31" t="n">
        <v/>
      </c>
      <c r="E340" s="31" t="n">
        <v/>
      </c>
      <c r="F340" s="31" t="n">
        <v/>
      </c>
      <c r="G340" s="31" t="n">
        <v>1751.6</v>
      </c>
      <c r="H340" s="31" t="n">
        <v>-0.9399999999999999</v>
      </c>
      <c r="I340" s="31" t="n">
        <v>39590</v>
      </c>
      <c r="J340" s="31" t="inlineStr">
        <is>
          <t>506401</t>
        </is>
      </c>
    </row>
    <row r="341">
      <c r="A341" s="31" t="inlineStr">
        <is>
          <t>POLICYBZR</t>
        </is>
      </c>
      <c r="B341" s="31" t="inlineStr">
        <is>
          <t>PB Fintech Ltd</t>
        </is>
      </c>
      <c r="C341" s="31" t="inlineStr">
        <is>
          <t>i.t</t>
        </is>
      </c>
      <c r="D341" s="31" t="inlineStr">
        <is>
          <t>miscellaneous</t>
        </is>
      </c>
      <c r="E341" s="31" t="inlineStr">
        <is>
          <t>largecap</t>
        </is>
      </c>
      <c r="F341" s="31" t="n">
        <v>82456.85000000001</v>
      </c>
      <c r="G341" s="31" t="n">
        <v>1765</v>
      </c>
      <c r="H341" s="31" t="n">
        <v>-0.96</v>
      </c>
      <c r="I341" s="31" t="n">
        <v>342010</v>
      </c>
      <c r="J341" s="31" t="inlineStr">
        <is>
          <t>543390</t>
        </is>
      </c>
    </row>
    <row r="342">
      <c r="A342" s="31" t="inlineStr">
        <is>
          <t>E2E</t>
        </is>
      </c>
      <c r="B342" s="31" t="inlineStr">
        <is>
          <t>E2E Networks Ltd</t>
        </is>
      </c>
      <c r="C342" s="31" t="inlineStr">
        <is>
          <t>i.t</t>
        </is>
      </c>
      <c r="D342" s="31" t="inlineStr">
        <is>
          <t>computers - software - medium / small</t>
        </is>
      </c>
      <c r="E342" s="31" t="inlineStr">
        <is>
          <t>midcap</t>
        </is>
      </c>
      <c r="F342" s="31" t="n">
        <v>12978.34</v>
      </c>
      <c r="G342" s="31" t="n">
        <v>625</v>
      </c>
      <c r="H342" s="31" t="n">
        <v>-1.01</v>
      </c>
      <c r="I342" s="31" t="n">
        <v>365748</v>
      </c>
      <c r="J342" s="31" t="inlineStr">
        <is>
          <t>535080</t>
        </is>
      </c>
    </row>
    <row r="343">
      <c r="A343" s="31" t="inlineStr">
        <is>
          <t>NIACL</t>
        </is>
      </c>
      <c r="B343" s="31" t="inlineStr">
        <is>
          <t>New India Assurance Company Ltd</t>
        </is>
      </c>
      <c r="C343" s="31" t="inlineStr">
        <is>
          <t>financials</t>
        </is>
      </c>
      <c r="D343" s="31" t="inlineStr">
        <is>
          <t>finance &amp; investments</t>
        </is>
      </c>
      <c r="E343" s="31" t="inlineStr">
        <is>
          <t>largecap</t>
        </is>
      </c>
      <c r="F343" s="31" t="n">
        <v>30600.06</v>
      </c>
      <c r="G343" s="31" t="n">
        <v>183.76</v>
      </c>
      <c r="H343" s="31" t="n">
        <v>-1.03</v>
      </c>
      <c r="I343" s="31" t="n">
        <v>252187</v>
      </c>
      <c r="J343" s="31" t="inlineStr">
        <is>
          <t>540769</t>
        </is>
      </c>
    </row>
    <row r="344">
      <c r="A344" s="31" t="inlineStr">
        <is>
          <t>GLAXO</t>
        </is>
      </c>
      <c r="B344" s="31" t="inlineStr">
        <is>
          <t>Glaxosmithkline Pharmaceuticals Limited</t>
        </is>
      </c>
      <c r="C344" s="31" t="inlineStr">
        <is>
          <t>healthcare</t>
        </is>
      </c>
      <c r="D344" s="31" t="inlineStr">
        <is>
          <t>pharmaceuticals - multinational</t>
        </is>
      </c>
      <c r="E344" s="31" t="inlineStr">
        <is>
          <t>largecap</t>
        </is>
      </c>
      <c r="F344" s="31" t="n">
        <v>51370.69</v>
      </c>
      <c r="G344" s="31" t="n">
        <v>3000.1</v>
      </c>
      <c r="H344" s="31" t="n">
        <v>-1.07</v>
      </c>
      <c r="I344" s="31" t="n">
        <v>133324</v>
      </c>
      <c r="J344" s="31" t="inlineStr">
        <is>
          <t>500660</t>
        </is>
      </c>
    </row>
    <row r="345">
      <c r="A345" s="31" t="inlineStr">
        <is>
          <t>JINDRILL</t>
        </is>
      </c>
      <c r="B345" s="31" t="inlineStr">
        <is>
          <t>Jindal Drilling And Industries Limited</t>
        </is>
      </c>
      <c r="C345" s="31" t="inlineStr">
        <is>
          <t>energy</t>
        </is>
      </c>
      <c r="D345" s="31" t="inlineStr">
        <is>
          <t>oil drilling / allied services</t>
        </is>
      </c>
      <c r="E345" s="31" t="inlineStr">
        <is>
          <t>smallcap</t>
        </is>
      </c>
      <c r="F345" s="31" t="n">
        <v>1840.59</v>
      </c>
      <c r="G345" s="31" t="n">
        <v>628.2</v>
      </c>
      <c r="H345" s="31" t="n">
        <v>-1.09</v>
      </c>
      <c r="I345" s="31" t="n">
        <v>202631</v>
      </c>
      <c r="J345" s="31" t="inlineStr">
        <is>
          <t>511034</t>
        </is>
      </c>
    </row>
    <row r="346">
      <c r="A346" s="31" t="inlineStr">
        <is>
          <t>TIINDIA</t>
        </is>
      </c>
      <c r="B346" s="31" t="inlineStr">
        <is>
          <t>Tube Investments of India Ltd</t>
        </is>
      </c>
      <c r="C346" s="31" t="inlineStr">
        <is>
          <t>industrials</t>
        </is>
      </c>
      <c r="D346" s="31" t="inlineStr">
        <is>
          <t>steel - large</t>
        </is>
      </c>
      <c r="E346" s="31" t="inlineStr">
        <is>
          <t>largecap</t>
        </is>
      </c>
      <c r="F346" s="31" t="n">
        <v>57315.58</v>
      </c>
      <c r="G346" s="31" t="n">
        <v>2927.1</v>
      </c>
      <c r="H346" s="31" t="n">
        <v>-1.14</v>
      </c>
      <c r="I346" s="31" t="n">
        <v>57097</v>
      </c>
      <c r="J346" s="31" t="inlineStr">
        <is>
          <t>540762</t>
        </is>
      </c>
    </row>
    <row r="347">
      <c r="A347" s="31" t="inlineStr">
        <is>
          <t>FINCABLES</t>
        </is>
      </c>
      <c r="B347" s="31" t="inlineStr">
        <is>
          <t>Finolex Cables Limited</t>
        </is>
      </c>
      <c r="C347" s="31" t="inlineStr">
        <is>
          <t>industrials</t>
        </is>
      </c>
      <c r="D347" s="31" t="inlineStr">
        <is>
          <t>cables - power</t>
        </is>
      </c>
      <c r="E347" s="31" t="inlineStr">
        <is>
          <t>largecap</t>
        </is>
      </c>
      <c r="F347" s="31" t="n">
        <v>20091.64</v>
      </c>
      <c r="G347" s="31" t="n">
        <v>1298.6</v>
      </c>
      <c r="H347" s="31" t="n">
        <v>-1.15</v>
      </c>
      <c r="I347" s="31" t="n">
        <v>145627</v>
      </c>
      <c r="J347" s="31" t="inlineStr">
        <is>
          <t>500144</t>
        </is>
      </c>
    </row>
    <row r="348">
      <c r="A348" s="31" t="inlineStr">
        <is>
          <t>ZENTEC</t>
        </is>
      </c>
      <c r="B348" s="31" t="inlineStr">
        <is>
          <t>Zen Technologies Limited</t>
        </is>
      </c>
      <c r="C348" s="31" t="inlineStr">
        <is>
          <t>aerospace &amp; defence</t>
        </is>
      </c>
      <c r="D348" s="31" t="inlineStr">
        <is>
          <t>miscellaneous</t>
        </is>
      </c>
      <c r="E348" s="31" t="inlineStr">
        <is>
          <t>midcap</t>
        </is>
      </c>
      <c r="F348" s="31" t="n">
        <v>17449.51</v>
      </c>
      <c r="G348" s="31" t="n">
        <v>1910</v>
      </c>
      <c r="H348" s="31" t="n">
        <v>-1.17</v>
      </c>
      <c r="I348" s="31" t="n">
        <v>143767</v>
      </c>
      <c r="J348" s="31" t="inlineStr">
        <is>
          <t>533339</t>
        </is>
      </c>
    </row>
    <row r="349">
      <c r="A349" s="31" t="inlineStr">
        <is>
          <t>SGFIN</t>
        </is>
      </c>
      <c r="B349" s="31" t="inlineStr">
        <is>
          <t>SG Finserve Ltd</t>
        </is>
      </c>
      <c r="C349" s="31" t="inlineStr">
        <is>
          <t>financials</t>
        </is>
      </c>
      <c r="D349" s="31" t="inlineStr">
        <is>
          <t>finance &amp; investments</t>
        </is>
      </c>
      <c r="E349" s="31" t="inlineStr">
        <is>
          <t>smallcap</t>
        </is>
      </c>
      <c r="F349" s="31" t="n">
        <v>4564.88</v>
      </c>
      <c r="G349" s="31" t="n">
        <v>684.65</v>
      </c>
      <c r="H349" s="31" t="n">
        <v>-1.17</v>
      </c>
      <c r="I349" s="31" t="n">
        <v>70360</v>
      </c>
      <c r="J349" s="31" t="inlineStr">
        <is>
          <t>539199</t>
        </is>
      </c>
    </row>
    <row r="350">
      <c r="A350" s="31" t="inlineStr">
        <is>
          <t>UNIONBANK</t>
        </is>
      </c>
      <c r="B350" s="31" t="inlineStr">
        <is>
          <t>Union Bank Of India Ltd</t>
        </is>
      </c>
      <c r="C350" s="31" t="inlineStr">
        <is>
          <t>bank</t>
        </is>
      </c>
      <c r="D350" s="31" t="inlineStr">
        <is>
          <t>banks - public sector</t>
        </is>
      </c>
      <c r="E350" s="31" t="inlineStr">
        <is>
          <t>largecap</t>
        </is>
      </c>
      <c r="F350" s="31" t="n">
        <v>142672.09</v>
      </c>
      <c r="G350" s="31" t="n">
        <v>184.68</v>
      </c>
      <c r="H350" s="31" t="n">
        <v>-1.19</v>
      </c>
      <c r="I350" s="31" t="n">
        <v>12846759</v>
      </c>
      <c r="J350" s="31" t="inlineStr">
        <is>
          <t>532477</t>
        </is>
      </c>
    </row>
    <row r="351">
      <c r="A351" s="31" t="inlineStr">
        <is>
          <t>SUNDRMFAST</t>
        </is>
      </c>
      <c r="B351" s="31" t="inlineStr">
        <is>
          <t>Sundram Fasteners Limited</t>
        </is>
      </c>
      <c r="C351" s="31" t="inlineStr">
        <is>
          <t>auto</t>
        </is>
      </c>
      <c r="D351" s="31" t="inlineStr">
        <is>
          <t>auto ancillaries</t>
        </is>
      </c>
      <c r="E351" s="31" t="inlineStr">
        <is>
          <t>largecap</t>
        </is>
      </c>
      <c r="F351" s="31" t="n">
        <v>26102.15</v>
      </c>
      <c r="G351" s="31" t="n">
        <v>1227.25</v>
      </c>
      <c r="H351" s="31" t="n">
        <v>-1.2</v>
      </c>
      <c r="I351" s="31" t="n">
        <v>30425</v>
      </c>
      <c r="J351" s="31" t="inlineStr">
        <is>
          <t>500403</t>
        </is>
      </c>
    </row>
    <row r="352">
      <c r="A352" s="31" t="inlineStr">
        <is>
          <t>BIL</t>
        </is>
      </c>
      <c r="B352" s="31" t="inlineStr">
        <is>
          <t>Bhartiya International Limited</t>
        </is>
      </c>
      <c r="C352" s="31" t="inlineStr">
        <is>
          <t>consumer discretionary</t>
        </is>
      </c>
      <c r="D352" s="31" t="inlineStr">
        <is>
          <t>leather / leather products</t>
        </is>
      </c>
      <c r="E352" s="31" t="inlineStr">
        <is>
          <t>smallcap</t>
        </is>
      </c>
      <c r="F352" s="31" t="n">
        <v>1129.96</v>
      </c>
      <c r="G352" s="31" t="n">
        <v>832.5</v>
      </c>
      <c r="H352" s="31" t="n">
        <v>-1.2</v>
      </c>
      <c r="I352" s="31" t="n">
        <v>1354</v>
      </c>
      <c r="J352" s="31" t="inlineStr">
        <is>
          <t>526666</t>
        </is>
      </c>
    </row>
    <row r="353">
      <c r="A353" s="31" t="inlineStr">
        <is>
          <t>RPEL</t>
        </is>
      </c>
      <c r="B353" s="31" t="inlineStr">
        <is>
          <t>Raghav Productivity Enhancers Ltd</t>
        </is>
      </c>
      <c r="C353" s="31" t="inlineStr">
        <is>
          <t>building materials</t>
        </is>
      </c>
      <c r="D353" s="31" t="inlineStr">
        <is>
          <t>refractories / intermediates</t>
        </is>
      </c>
      <c r="E353" s="31" t="inlineStr">
        <is>
          <t>midcap</t>
        </is>
      </c>
      <c r="F353" s="31" t="n">
        <v>7519.26</v>
      </c>
      <c r="G353" s="31" t="n">
        <v>1617.4</v>
      </c>
      <c r="H353" s="31" t="n">
        <v>-1.22</v>
      </c>
      <c r="I353" s="31" t="n">
        <v>44625</v>
      </c>
      <c r="J353" s="31" t="inlineStr">
        <is>
          <t>539837</t>
        </is>
      </c>
    </row>
    <row r="354">
      <c r="A354" s="31" t="inlineStr">
        <is>
          <t>AJANTPHARM</t>
        </is>
      </c>
      <c r="B354" s="31" t="inlineStr">
        <is>
          <t>Ajanta Pharma Limited</t>
        </is>
      </c>
      <c r="C354" s="31" t="inlineStr">
        <is>
          <t>healthcare</t>
        </is>
      </c>
      <c r="D354" s="31" t="inlineStr">
        <is>
          <t>pharmaceuticals - indian - formulations</t>
        </is>
      </c>
      <c r="E354" s="31" t="inlineStr">
        <is>
          <t>largecap</t>
        </is>
      </c>
      <c r="F354" s="31" t="n">
        <v>46199.94</v>
      </c>
      <c r="G354" s="31" t="n">
        <v>3651.8</v>
      </c>
      <c r="H354" s="31" t="n">
        <v>-1.25</v>
      </c>
      <c r="I354" s="31" t="n">
        <v>19331</v>
      </c>
      <c r="J354" s="31" t="inlineStr">
        <is>
          <t>532331</t>
        </is>
      </c>
    </row>
    <row r="355">
      <c r="A355" s="31" t="inlineStr">
        <is>
          <t>NAUKRI</t>
        </is>
      </c>
      <c r="B355" s="31" t="inlineStr">
        <is>
          <t>Info Edge (india) Limited</t>
        </is>
      </c>
      <c r="C355" s="31" t="inlineStr">
        <is>
          <t>i.t</t>
        </is>
      </c>
      <c r="D355" s="31" t="inlineStr">
        <is>
          <t>miscellaneous</t>
        </is>
      </c>
      <c r="E355" s="31" t="inlineStr">
        <is>
          <t>largecap</t>
        </is>
      </c>
      <c r="F355" s="31" t="n">
        <v>89378.3</v>
      </c>
      <c r="G355" s="31" t="n">
        <v>1360.9</v>
      </c>
      <c r="H355" s="31" t="n">
        <v>-1.27</v>
      </c>
      <c r="I355" s="31" t="n">
        <v>292028</v>
      </c>
      <c r="J355" s="31" t="inlineStr">
        <is>
          <t>532777</t>
        </is>
      </c>
    </row>
    <row r="356">
      <c r="A356" s="31" t="inlineStr">
        <is>
          <t>VSSL</t>
        </is>
      </c>
      <c r="B356" s="31" t="inlineStr">
        <is>
          <t>Vardhman Special Steels Limited</t>
        </is>
      </c>
      <c r="C356" s="31" t="inlineStr">
        <is>
          <t>metals &amp; mining</t>
        </is>
      </c>
      <c r="D356" s="31" t="inlineStr">
        <is>
          <t>steel - medium / small</t>
        </is>
      </c>
      <c r="E356" s="31" t="inlineStr">
        <is>
          <t>smallcap</t>
        </is>
      </c>
      <c r="F356" s="31" t="n">
        <v>3467.63</v>
      </c>
      <c r="G356" s="31" t="n">
        <v>354.1</v>
      </c>
      <c r="H356" s="31" t="n">
        <v>-1.27</v>
      </c>
      <c r="I356" s="31" t="n">
        <v>36676</v>
      </c>
      <c r="J356" s="31" t="inlineStr">
        <is>
          <t>534392</t>
        </is>
      </c>
    </row>
    <row r="357">
      <c r="A357" s="31" t="inlineStr">
        <is>
          <t>JGCHEM</t>
        </is>
      </c>
      <c r="B357" s="31" t="inlineStr">
        <is>
          <t>J.G.Chemicals Ltd</t>
        </is>
      </c>
      <c r="C357" s="31" t="inlineStr">
        <is>
          <t>chemicals</t>
        </is>
      </c>
      <c r="D357" s="31" t="inlineStr">
        <is>
          <t>chemicals</t>
        </is>
      </c>
      <c r="E357" s="31" t="inlineStr">
        <is>
          <t>smallcap</t>
        </is>
      </c>
      <c r="F357" s="31" t="n">
        <v>2460.69</v>
      </c>
      <c r="G357" s="31" t="n">
        <v>619.9</v>
      </c>
      <c r="H357" s="31" t="n">
        <v>-1.28</v>
      </c>
      <c r="I357" s="31" t="n">
        <v>73836</v>
      </c>
      <c r="J357" s="31" t="n"/>
    </row>
    <row r="358">
      <c r="A358" s="31" t="inlineStr">
        <is>
          <t>ORIENTHOT</t>
        </is>
      </c>
      <c r="B358" s="31" t="inlineStr">
        <is>
          <t>Oriental Hotels Limited</t>
        </is>
      </c>
      <c r="C358" s="31" t="inlineStr">
        <is>
          <t>services</t>
        </is>
      </c>
      <c r="D358" s="31" t="inlineStr">
        <is>
          <t>hotels</t>
        </is>
      </c>
      <c r="E358" s="31" t="inlineStr">
        <is>
          <t>smallcap</t>
        </is>
      </c>
      <c r="F358" s="31" t="n">
        <v>2491.46</v>
      </c>
      <c r="G358" s="31" t="n">
        <v>137.68</v>
      </c>
      <c r="H358" s="31" t="n">
        <v>-1.3</v>
      </c>
      <c r="I358" s="31" t="n">
        <v>1809251</v>
      </c>
      <c r="J358" s="31" t="inlineStr">
        <is>
          <t>500314</t>
        </is>
      </c>
    </row>
    <row r="359">
      <c r="A359" s="31" t="inlineStr">
        <is>
          <t>HFCL</t>
        </is>
      </c>
      <c r="B359" s="31" t="inlineStr">
        <is>
          <t>HFCL Ltd</t>
        </is>
      </c>
      <c r="C359" s="31" t="inlineStr">
        <is>
          <t>telecom</t>
        </is>
      </c>
      <c r="D359" s="31" t="inlineStr">
        <is>
          <t>cables - telephone</t>
        </is>
      </c>
      <c r="E359" s="31" t="inlineStr">
        <is>
          <t>largecap</t>
        </is>
      </c>
      <c r="F359" s="31" t="n">
        <v>34672.74</v>
      </c>
      <c r="G359" s="31" t="n">
        <v>223.49</v>
      </c>
      <c r="H359" s="31" t="n">
        <v>-1.34</v>
      </c>
      <c r="I359" s="31" t="n">
        <v>3478565</v>
      </c>
      <c r="J359" s="31" t="inlineStr">
        <is>
          <t>500183</t>
        </is>
      </c>
    </row>
    <row r="360">
      <c r="A360" s="31" t="inlineStr">
        <is>
          <t>FILATEX</t>
        </is>
      </c>
      <c r="B360" s="31" t="inlineStr">
        <is>
          <t>Filatex India Limited</t>
        </is>
      </c>
      <c r="C360" s="31" t="inlineStr">
        <is>
          <t>textiles</t>
        </is>
      </c>
      <c r="D360" s="31" t="inlineStr">
        <is>
          <t>textiles - manmade</t>
        </is>
      </c>
      <c r="E360" s="31" t="inlineStr">
        <is>
          <t>smallcap</t>
        </is>
      </c>
      <c r="F360" s="31" t="n">
        <v>3692.35</v>
      </c>
      <c r="G360" s="31" t="n">
        <v>81.98999999999999</v>
      </c>
      <c r="H360" s="31" t="n">
        <v>-1.4</v>
      </c>
      <c r="I360" s="31" t="n">
        <v>393127</v>
      </c>
      <c r="J360" s="31" t="inlineStr">
        <is>
          <t>526227</t>
        </is>
      </c>
    </row>
    <row r="361">
      <c r="A361" s="31" t="inlineStr">
        <is>
          <t>DATAPATTNS</t>
        </is>
      </c>
      <c r="B361" s="31" t="inlineStr">
        <is>
          <t>Data Patterns (India) Ltd</t>
        </is>
      </c>
      <c r="C361" s="31" t="inlineStr">
        <is>
          <t>aerospace &amp; defence</t>
        </is>
      </c>
      <c r="D361" s="31" t="inlineStr">
        <is>
          <t>electronics - components</t>
        </is>
      </c>
      <c r="E361" s="31" t="inlineStr">
        <is>
          <t>largecap</t>
        </is>
      </c>
      <c r="F361" s="31" t="n">
        <v>26727.87</v>
      </c>
      <c r="G361" s="31" t="n">
        <v>4707.2</v>
      </c>
      <c r="H361" s="31" t="n">
        <v>-1.4</v>
      </c>
      <c r="I361" s="31" t="n">
        <v>499980</v>
      </c>
      <c r="J361" s="31" t="inlineStr">
        <is>
          <t>543428</t>
        </is>
      </c>
    </row>
    <row r="362">
      <c r="A362" s="31" t="inlineStr">
        <is>
          <t>ACE</t>
        </is>
      </c>
      <c r="B362" s="31" t="inlineStr">
        <is>
          <t>Action Construction Equipment Limited</t>
        </is>
      </c>
      <c r="C362" s="31" t="inlineStr">
        <is>
          <t>industrials</t>
        </is>
      </c>
      <c r="D362" s="31" t="inlineStr">
        <is>
          <t>engineering</t>
        </is>
      </c>
      <c r="E362" s="31" t="inlineStr">
        <is>
          <t>midcap</t>
        </is>
      </c>
      <c r="F362" s="31" t="n">
        <v>14066.11</v>
      </c>
      <c r="G362" s="31" t="n">
        <v>1164.4</v>
      </c>
      <c r="H362" s="31" t="n">
        <v>-1.42</v>
      </c>
      <c r="I362" s="31" t="n">
        <v>62383</v>
      </c>
      <c r="J362" s="31" t="inlineStr">
        <is>
          <t>532762</t>
        </is>
      </c>
    </row>
    <row r="363">
      <c r="A363" s="31" t="inlineStr">
        <is>
          <t>PITTIENG</t>
        </is>
      </c>
      <c r="B363" s="31" t="inlineStr">
        <is>
          <t>Pitti Engineering Ltd</t>
        </is>
      </c>
      <c r="C363" s="31" t="inlineStr">
        <is>
          <t>industrials</t>
        </is>
      </c>
      <c r="D363" s="31" t="inlineStr">
        <is>
          <t>engineering</t>
        </is>
      </c>
      <c r="E363" s="31" t="inlineStr">
        <is>
          <t>smallcap</t>
        </is>
      </c>
      <c r="F363" s="31" t="n">
        <v>4026.49</v>
      </c>
      <c r="G363" s="31" t="n">
        <v>1054</v>
      </c>
      <c r="H363" s="31" t="n">
        <v>-1.44</v>
      </c>
      <c r="I363" s="31" t="n">
        <v>34221</v>
      </c>
      <c r="J363" s="31" t="inlineStr">
        <is>
          <t>513519</t>
        </is>
      </c>
    </row>
    <row r="364">
      <c r="A364" s="31" t="inlineStr">
        <is>
          <t>UNIPARTS</t>
        </is>
      </c>
      <c r="B364" s="31" t="inlineStr">
        <is>
          <t>Uniparts India Ltd</t>
        </is>
      </c>
      <c r="C364" s="31" t="inlineStr">
        <is>
          <t>industrials</t>
        </is>
      </c>
      <c r="D364" s="31" t="inlineStr">
        <is>
          <t>engineering</t>
        </is>
      </c>
      <c r="E364" s="31" t="inlineStr">
        <is>
          <t>smallcap</t>
        </is>
      </c>
      <c r="F364" s="31" t="n">
        <v>3701.74</v>
      </c>
      <c r="G364" s="31" t="n">
        <v>808</v>
      </c>
      <c r="H364" s="31" t="n">
        <v>-1.46</v>
      </c>
      <c r="I364" s="31" t="n">
        <v>22401</v>
      </c>
      <c r="J364" s="31" t="inlineStr">
        <is>
          <t>543689</t>
        </is>
      </c>
    </row>
    <row r="365">
      <c r="A365" s="31" t="inlineStr">
        <is>
          <t>SOTL</t>
        </is>
      </c>
      <c r="B365" s="31" t="inlineStr">
        <is>
          <t>Savita Oil Technologies Limited</t>
        </is>
      </c>
      <c r="C365" s="31" t="inlineStr">
        <is>
          <t>energy</t>
        </is>
      </c>
      <c r="D365" s="31" t="inlineStr">
        <is>
          <t>petrochemicals</t>
        </is>
      </c>
      <c r="E365" s="31" t="inlineStr">
        <is>
          <t>smallcap</t>
        </is>
      </c>
      <c r="F365" s="31" t="n">
        <v>4795.12</v>
      </c>
      <c r="G365" s="31" t="n">
        <v>689</v>
      </c>
      <c r="H365" s="31" t="n">
        <v>-1.49</v>
      </c>
      <c r="I365" s="31" t="n">
        <v>61035</v>
      </c>
      <c r="J365" s="31" t="inlineStr">
        <is>
          <t>524667</t>
        </is>
      </c>
    </row>
    <row r="366">
      <c r="A366" s="31" t="inlineStr">
        <is>
          <t>DIACABS</t>
        </is>
      </c>
      <c r="B366" s="31" t="inlineStr">
        <is>
          <t>Diamond Power Infrastructure Ltd</t>
        </is>
      </c>
      <c r="C366" s="31" t="inlineStr">
        <is>
          <t>industrials</t>
        </is>
      </c>
      <c r="D366" s="31" t="inlineStr">
        <is>
          <t>cables - power</t>
        </is>
      </c>
      <c r="E366" s="31" t="inlineStr">
        <is>
          <t>midcap</t>
        </is>
      </c>
      <c r="F366" s="31" t="n">
        <v>18939.34</v>
      </c>
      <c r="G366" s="31" t="n">
        <v>354</v>
      </c>
      <c r="H366" s="31" t="n">
        <v>-1.5</v>
      </c>
      <c r="I366" s="31" t="n">
        <v>232989</v>
      </c>
      <c r="J366" s="31" t="inlineStr">
        <is>
          <t>522163</t>
        </is>
      </c>
    </row>
    <row r="367">
      <c r="A367" s="31" t="inlineStr">
        <is>
          <t>PGIL</t>
        </is>
      </c>
      <c r="B367" s="31" t="inlineStr">
        <is>
          <t>Pearl Global Industries Limited</t>
        </is>
      </c>
      <c r="C367" s="31" t="inlineStr">
        <is>
          <t>consumer discretionary</t>
        </is>
      </c>
      <c r="D367" s="31" t="inlineStr">
        <is>
          <t>textiles - products</t>
        </is>
      </c>
      <c r="E367" s="31" t="inlineStr">
        <is>
          <t>midcap</t>
        </is>
      </c>
      <c r="F367" s="31" t="n">
        <v>11147.46</v>
      </c>
      <c r="G367" s="31" t="n">
        <v>2377.2</v>
      </c>
      <c r="H367" s="31" t="n">
        <v>-1.51</v>
      </c>
      <c r="I367" s="31" t="n">
        <v>10954</v>
      </c>
      <c r="J367" s="31" t="inlineStr">
        <is>
          <t>532808</t>
        </is>
      </c>
    </row>
    <row r="368">
      <c r="A368" s="31" t="inlineStr">
        <is>
          <t>INDIGOPNTS</t>
        </is>
      </c>
      <c r="B368" s="31" t="inlineStr">
        <is>
          <t>Indigo Paints Ltd</t>
        </is>
      </c>
      <c r="C368" s="31" t="inlineStr">
        <is>
          <t>building materials</t>
        </is>
      </c>
      <c r="D368" s="31" t="inlineStr">
        <is>
          <t>paints / varnishes</t>
        </is>
      </c>
      <c r="E368" s="31" t="inlineStr">
        <is>
          <t>midcap</t>
        </is>
      </c>
      <c r="F368" s="31" t="n">
        <v>5476.98</v>
      </c>
      <c r="G368" s="31" t="n">
        <v>1131.2</v>
      </c>
      <c r="H368" s="31" t="n">
        <v>-1.53</v>
      </c>
      <c r="I368" s="31" t="n">
        <v>52690</v>
      </c>
      <c r="J368" s="31" t="inlineStr">
        <is>
          <t>543258</t>
        </is>
      </c>
    </row>
    <row r="369">
      <c r="A369" s="31" t="inlineStr">
        <is>
          <t>JSFB</t>
        </is>
      </c>
      <c r="B369" s="31" t="inlineStr">
        <is>
          <t>Jana Small Finance Bank Ltd</t>
        </is>
      </c>
      <c r="C369" s="31" t="inlineStr">
        <is>
          <t>bank</t>
        </is>
      </c>
      <c r="D369" s="31" t="inlineStr">
        <is>
          <t>banks - private sector</t>
        </is>
      </c>
      <c r="E369" s="31" t="inlineStr">
        <is>
          <t>midcap</t>
        </is>
      </c>
      <c r="F369" s="31" t="n">
        <v>6016.55</v>
      </c>
      <c r="G369" s="31" t="n">
        <v>562.35</v>
      </c>
      <c r="H369" s="31" t="n">
        <v>-1.54</v>
      </c>
      <c r="I369" s="31" t="n">
        <v>114463</v>
      </c>
      <c r="J369" s="31" t="n"/>
    </row>
    <row r="370">
      <c r="A370" s="31" t="inlineStr">
        <is>
          <t>KMEW</t>
        </is>
      </c>
      <c r="B370" s="31" t="inlineStr">
        <is>
          <t>Knowledge Marine &amp; Engineering Works Ltd</t>
        </is>
      </c>
      <c r="C370" s="31" t="inlineStr">
        <is>
          <t>transportation</t>
        </is>
      </c>
      <c r="D370" s="31" t="inlineStr">
        <is>
          <t>miscellaneous</t>
        </is>
      </c>
      <c r="E370" s="31" t="inlineStr">
        <is>
          <t>midcap</t>
        </is>
      </c>
      <c r="F370" s="31" t="n">
        <v>6718.22</v>
      </c>
      <c r="G370" s="31" t="n">
        <v>2705.4</v>
      </c>
      <c r="H370" s="31" t="n">
        <v>-1.56</v>
      </c>
      <c r="I370" s="31" t="n">
        <v>17848</v>
      </c>
      <c r="J370" s="31" t="inlineStr">
        <is>
          <t>543273</t>
        </is>
      </c>
    </row>
    <row r="371">
      <c r="A371" s="31" t="inlineStr">
        <is>
          <t>DEEPINDS</t>
        </is>
      </c>
      <c r="B371" s="31" t="inlineStr">
        <is>
          <t>Deep Industries Ltd</t>
        </is>
      </c>
      <c r="C371" s="31" t="inlineStr">
        <is>
          <t>energy</t>
        </is>
      </c>
      <c r="D371" s="31" t="inlineStr">
        <is>
          <t>oil drilling / allied services</t>
        </is>
      </c>
      <c r="E371" s="31" t="inlineStr">
        <is>
          <t>smallcap</t>
        </is>
      </c>
      <c r="F371" s="31" t="n">
        <v>4271.04</v>
      </c>
      <c r="G371" s="31" t="n">
        <v>656.9</v>
      </c>
      <c r="H371" s="31" t="n">
        <v>-1.57</v>
      </c>
      <c r="I371" s="31" t="n">
        <v>176841</v>
      </c>
      <c r="J371" s="31" t="inlineStr">
        <is>
          <t>543288</t>
        </is>
      </c>
    </row>
    <row r="372">
      <c r="A372" s="31" t="inlineStr">
        <is>
          <t>GNFC</t>
        </is>
      </c>
      <c r="B372" s="31" t="inlineStr">
        <is>
          <t>Gujarat Narmada Valley Fertilizers And Chemicals Limited</t>
        </is>
      </c>
      <c r="C372" s="31" t="inlineStr">
        <is>
          <t>chemicals</t>
        </is>
      </c>
      <c r="D372" s="31" t="inlineStr">
        <is>
          <t>chemicals</t>
        </is>
      </c>
      <c r="E372" s="31" t="inlineStr">
        <is>
          <t>midcap</t>
        </is>
      </c>
      <c r="F372" s="31" t="n">
        <v>8850.24</v>
      </c>
      <c r="G372" s="31" t="n">
        <v>592.8</v>
      </c>
      <c r="H372" s="31" t="n">
        <v>-1.58</v>
      </c>
      <c r="I372" s="31" t="n">
        <v>106160</v>
      </c>
      <c r="J372" s="31" t="inlineStr">
        <is>
          <t>500670</t>
        </is>
      </c>
    </row>
    <row r="373">
      <c r="A373" s="31" t="inlineStr">
        <is>
          <t>SANGHVIMOV</t>
        </is>
      </c>
      <c r="B373" s="31" t="inlineStr">
        <is>
          <t>Sanghvi Movers Limited</t>
        </is>
      </c>
      <c r="C373" s="31" t="inlineStr">
        <is>
          <t>miscellaneous</t>
        </is>
      </c>
      <c r="D373" s="31" t="inlineStr">
        <is>
          <t>miscellaneous</t>
        </is>
      </c>
      <c r="E373" s="31" t="inlineStr">
        <is>
          <t>smallcap</t>
        </is>
      </c>
      <c r="F373" s="31" t="n">
        <v>4317.98</v>
      </c>
      <c r="G373" s="31" t="n">
        <v>490.7</v>
      </c>
      <c r="H373" s="31" t="n">
        <v>-1.61</v>
      </c>
      <c r="I373" s="31" t="n">
        <v>59739</v>
      </c>
      <c r="J373" s="31" t="inlineStr">
        <is>
          <t>530073</t>
        </is>
      </c>
    </row>
    <row r="374">
      <c r="A374" s="31" t="inlineStr">
        <is>
          <t>RISHABH</t>
        </is>
      </c>
      <c r="B374" s="31" t="inlineStr">
        <is>
          <t>Rishabh Instruments Ltd</t>
        </is>
      </c>
      <c r="C374" s="31" t="inlineStr">
        <is>
          <t>industrials</t>
        </is>
      </c>
      <c r="D374" s="31" t="inlineStr">
        <is>
          <t>electric equipment</t>
        </is>
      </c>
      <c r="E374" s="31" t="inlineStr">
        <is>
          <t>smallcap</t>
        </is>
      </c>
      <c r="F374" s="31" t="n">
        <v>2678.95</v>
      </c>
      <c r="G374" s="31" t="n">
        <v>683.6</v>
      </c>
      <c r="H374" s="31" t="n">
        <v>-1.64</v>
      </c>
      <c r="I374" s="31" t="n">
        <v>462851</v>
      </c>
      <c r="J374" s="31" t="inlineStr">
        <is>
          <t>543977</t>
        </is>
      </c>
    </row>
    <row r="375">
      <c r="A375" s="31" t="inlineStr">
        <is>
          <t>NRL</t>
        </is>
      </c>
      <c r="B375" s="31" t="inlineStr">
        <is>
          <t>Nupur Recyclers Ltd</t>
        </is>
      </c>
      <c r="C375" s="31" t="inlineStr">
        <is>
          <t>services</t>
        </is>
      </c>
      <c r="D375" s="31" t="inlineStr">
        <is>
          <t>trading</t>
        </is>
      </c>
      <c r="E375" s="31" t="inlineStr">
        <is>
          <t>smallcap</t>
        </is>
      </c>
      <c r="F375" s="31" t="n">
        <v>781.17</v>
      </c>
      <c r="G375" s="31" t="n">
        <v>113.1</v>
      </c>
      <c r="H375" s="31" t="n">
        <v>-1.65</v>
      </c>
      <c r="I375" s="31" t="n">
        <v>18566</v>
      </c>
      <c r="J375" s="31" t="inlineStr">
        <is>
          <t>535413</t>
        </is>
      </c>
    </row>
    <row r="376">
      <c r="A376" s="31" t="inlineStr">
        <is>
          <t>ALKYLAMINE</t>
        </is>
      </c>
      <c r="B376" s="31" t="inlineStr">
        <is>
          <t>Alkyl Amines Chemicals Limited</t>
        </is>
      </c>
      <c r="C376" s="31" t="inlineStr">
        <is>
          <t>chemicals</t>
        </is>
      </c>
      <c r="D376" s="31" t="inlineStr">
        <is>
          <t>chemicals</t>
        </is>
      </c>
      <c r="E376" s="31" t="inlineStr">
        <is>
          <t>midcap</t>
        </is>
      </c>
      <c r="F376" s="31" t="n">
        <v>10004.7</v>
      </c>
      <c r="G376" s="31" t="n">
        <v>1923.8</v>
      </c>
      <c r="H376" s="31" t="n">
        <v>-1.65</v>
      </c>
      <c r="I376" s="31" t="n">
        <v>22846</v>
      </c>
      <c r="J376" s="31" t="inlineStr">
        <is>
          <t>506767</t>
        </is>
      </c>
    </row>
    <row r="377">
      <c r="A377" s="31" t="inlineStr">
        <is>
          <t>MSTCLTD</t>
        </is>
      </c>
      <c r="B377" s="31" t="inlineStr">
        <is>
          <t>MSTC Ltd</t>
        </is>
      </c>
      <c r="C377" s="31" t="inlineStr">
        <is>
          <t>i.t</t>
        </is>
      </c>
      <c r="D377" s="31" t="inlineStr">
        <is>
          <t>trading</t>
        </is>
      </c>
      <c r="E377" s="31" t="inlineStr">
        <is>
          <t>smallcap</t>
        </is>
      </c>
      <c r="F377" s="31" t="n">
        <v>4954.4</v>
      </c>
      <c r="G377" s="31" t="n">
        <v>692</v>
      </c>
      <c r="H377" s="31" t="n">
        <v>-1.67</v>
      </c>
      <c r="I377" s="31" t="n">
        <v>107328</v>
      </c>
      <c r="J377" s="31" t="inlineStr">
        <is>
          <t>542597</t>
        </is>
      </c>
    </row>
    <row r="378">
      <c r="A378" s="31" t="inlineStr">
        <is>
          <t>STYLAMIND</t>
        </is>
      </c>
      <c r="B378" s="31" t="inlineStr">
        <is>
          <t>Stylam Industries Ltd</t>
        </is>
      </c>
      <c r="C378" s="31" t="inlineStr">
        <is>
          <t>building materials</t>
        </is>
      </c>
      <c r="D378" s="31" t="inlineStr">
        <is>
          <t>miscellaneous</t>
        </is>
      </c>
      <c r="E378" s="31" t="inlineStr">
        <is>
          <t>midcap</t>
        </is>
      </c>
      <c r="F378" s="31" t="n">
        <v>6210.28</v>
      </c>
      <c r="G378" s="31" t="n">
        <v>3602.4</v>
      </c>
      <c r="H378" s="31" t="n">
        <v>-1.69</v>
      </c>
      <c r="I378" s="31" t="n">
        <v>6939</v>
      </c>
      <c r="J378" s="31" t="inlineStr">
        <is>
          <t>526951</t>
        </is>
      </c>
    </row>
    <row r="379">
      <c r="A379" s="31" t="inlineStr">
        <is>
          <t>BLUSPRING</t>
        </is>
      </c>
      <c r="B379" s="31" t="inlineStr">
        <is>
          <t>Bluspring Enterprises Ltd</t>
        </is>
      </c>
      <c r="C379" s="31" t="inlineStr">
        <is>
          <t>miscellaneous</t>
        </is>
      </c>
      <c r="D379" s="31" t="inlineStr">
        <is>
          <t>diversified - large</t>
        </is>
      </c>
      <c r="E379" s="31" t="inlineStr">
        <is>
          <t>smallcap</t>
        </is>
      </c>
      <c r="F379" s="31" t="n">
        <v>1791.2</v>
      </c>
      <c r="G379" s="31" t="n">
        <v>117.82</v>
      </c>
      <c r="H379" s="31" t="n">
        <v>-1.7</v>
      </c>
      <c r="I379" s="31" t="n">
        <v>119425</v>
      </c>
      <c r="J379" s="31" t="inlineStr">
        <is>
          <t>544414</t>
        </is>
      </c>
    </row>
    <row r="380">
      <c r="A380" s="31" t="inlineStr">
        <is>
          <t>SETL</t>
        </is>
      </c>
      <c r="B380" s="31" t="inlineStr">
        <is>
          <t>Standard Enginnering Technology Ltd</t>
        </is>
      </c>
      <c r="C380" s="31" t="inlineStr">
        <is>
          <t>industrials</t>
        </is>
      </c>
      <c r="D380" s="31" t="inlineStr">
        <is>
          <t>engineering</t>
        </is>
      </c>
      <c r="E380" s="31" t="inlineStr">
        <is>
          <t>midcap</t>
        </is>
      </c>
      <c r="F380" s="31" t="n">
        <v>6176.26</v>
      </c>
      <c r="G380" s="31" t="n">
        <v>304.3</v>
      </c>
      <c r="H380" s="31" t="n">
        <v>-1.71</v>
      </c>
      <c r="I380" s="31" t="n">
        <v>131923</v>
      </c>
      <c r="J380" s="31" t="inlineStr">
        <is>
          <t>544333</t>
        </is>
      </c>
    </row>
    <row r="381">
      <c r="A381" s="31" t="inlineStr">
        <is>
          <t>SREEL</t>
        </is>
      </c>
      <c r="B381" s="31" t="inlineStr">
        <is>
          <t>Sreeleathers Limited</t>
        </is>
      </c>
      <c r="C381" s="31" t="inlineStr">
        <is>
          <t>consumer discretionary</t>
        </is>
      </c>
      <c r="D381" s="31" t="inlineStr">
        <is>
          <t>trading</t>
        </is>
      </c>
      <c r="E381" s="31" t="inlineStr">
        <is>
          <t>smallcap</t>
        </is>
      </c>
      <c r="F381" s="31" t="n">
        <v>574.87</v>
      </c>
      <c r="G381" s="31" t="n">
        <v>244</v>
      </c>
      <c r="H381" s="31" t="n">
        <v>-1.72</v>
      </c>
      <c r="I381" s="31" t="n">
        <v>2327</v>
      </c>
      <c r="J381" s="31" t="inlineStr">
        <is>
          <t>535601</t>
        </is>
      </c>
    </row>
    <row r="382">
      <c r="A382" s="31" t="inlineStr">
        <is>
          <t>SENORES</t>
        </is>
      </c>
      <c r="B382" s="31" t="inlineStr">
        <is>
          <t>Senores Pharmaceuticals Ltd</t>
        </is>
      </c>
      <c r="C382" s="31" t="inlineStr">
        <is>
          <t>healthcare</t>
        </is>
      </c>
      <c r="D382" s="31" t="inlineStr">
        <is>
          <t>pharmaceuticals - indian - formulations</t>
        </is>
      </c>
      <c r="E382" s="31" t="inlineStr">
        <is>
          <t>midcap</t>
        </is>
      </c>
      <c r="F382" s="31" t="n">
        <v>7142.45</v>
      </c>
      <c r="G382" s="31" t="n">
        <v>1523.9</v>
      </c>
      <c r="H382" s="31" t="n">
        <v>-1.74</v>
      </c>
      <c r="I382" s="31" t="n">
        <v>45226</v>
      </c>
      <c r="J382" s="31" t="inlineStr">
        <is>
          <t>544319</t>
        </is>
      </c>
    </row>
    <row r="383">
      <c r="A383" s="31" t="inlineStr">
        <is>
          <t>TARSONS</t>
        </is>
      </c>
      <c r="B383" s="31" t="inlineStr">
        <is>
          <t>Tarsons Products Ltd</t>
        </is>
      </c>
      <c r="C383" s="31" t="inlineStr">
        <is>
          <t>healthcare</t>
        </is>
      </c>
      <c r="D383" s="31" t="inlineStr">
        <is>
          <t>miscellaneous</t>
        </is>
      </c>
      <c r="E383" s="31" t="inlineStr">
        <is>
          <t>smallcap</t>
        </is>
      </c>
      <c r="F383" s="31" t="n">
        <v>1825.51</v>
      </c>
      <c r="G383" s="31" t="n">
        <v>337.05</v>
      </c>
      <c r="H383" s="31" t="n">
        <v>-1.76</v>
      </c>
      <c r="I383" s="31" t="n">
        <v>50870</v>
      </c>
      <c r="J383" s="31" t="inlineStr">
        <is>
          <t>543399</t>
        </is>
      </c>
    </row>
    <row r="384">
      <c r="A384" s="31" t="inlineStr">
        <is>
          <t>UFLEX</t>
        </is>
      </c>
      <c r="B384" s="31" t="inlineStr">
        <is>
          <t>Uflex Limited</t>
        </is>
      </c>
      <c r="C384" s="31" t="inlineStr">
        <is>
          <t>industrials</t>
        </is>
      </c>
      <c r="D384" s="31" t="inlineStr">
        <is>
          <t>packaging</t>
        </is>
      </c>
      <c r="E384" s="31" t="inlineStr">
        <is>
          <t>smallcap</t>
        </is>
      </c>
      <c r="F384" s="31" t="n">
        <v>4483.97</v>
      </c>
      <c r="G384" s="31" t="n">
        <v>610</v>
      </c>
      <c r="H384" s="31" t="n">
        <v>-1.76</v>
      </c>
      <c r="I384" s="31" t="n">
        <v>117484</v>
      </c>
      <c r="J384" s="31" t="inlineStr">
        <is>
          <t>500148</t>
        </is>
      </c>
    </row>
    <row r="385">
      <c r="A385" s="31" t="inlineStr">
        <is>
          <t>GHCLTEXTIL</t>
        </is>
      </c>
      <c r="B385" s="31" t="inlineStr">
        <is>
          <t>GHCL Textiles Ltd</t>
        </is>
      </c>
      <c r="C385" s="31" t="inlineStr">
        <is>
          <t>textiles</t>
        </is>
      </c>
      <c r="D385" s="31" t="inlineStr">
        <is>
          <t>textiles - spinning - synthetic / blended</t>
        </is>
      </c>
      <c r="E385" s="31" t="inlineStr">
        <is>
          <t>smallcap</t>
        </is>
      </c>
      <c r="F385" s="31" t="n">
        <v>1208.2</v>
      </c>
      <c r="G385" s="31" t="n">
        <v>124.12</v>
      </c>
      <c r="H385" s="31" t="n">
        <v>-1.8</v>
      </c>
      <c r="I385" s="31" t="n">
        <v>126557</v>
      </c>
      <c r="J385" s="31" t="inlineStr">
        <is>
          <t>543918</t>
        </is>
      </c>
    </row>
    <row r="386">
      <c r="A386" s="31" t="inlineStr">
        <is>
          <t>GALAXYSURF</t>
        </is>
      </c>
      <c r="B386" s="31" t="inlineStr">
        <is>
          <t>Galaxy Surfactants Ltd</t>
        </is>
      </c>
      <c r="C386" s="31" t="inlineStr">
        <is>
          <t>chemicals</t>
        </is>
      </c>
      <c r="D386" s="31" t="inlineStr">
        <is>
          <t>chemicals</t>
        </is>
      </c>
      <c r="E386" s="31" t="inlineStr">
        <is>
          <t>midcap</t>
        </is>
      </c>
      <c r="F386" s="31" t="n">
        <v>8371.93</v>
      </c>
      <c r="G386" s="31" t="n">
        <v>2318.2</v>
      </c>
      <c r="H386" s="31" t="n">
        <v>-1.83</v>
      </c>
      <c r="I386" s="31" t="n">
        <v>17580</v>
      </c>
      <c r="J386" s="31" t="inlineStr">
        <is>
          <t>540935</t>
        </is>
      </c>
    </row>
    <row r="387">
      <c r="A387" s="31" t="inlineStr">
        <is>
          <t>GNA</t>
        </is>
      </c>
      <c r="B387" s="31" t="inlineStr">
        <is>
          <t>Gna Axles Limited</t>
        </is>
      </c>
      <c r="C387" s="31" t="inlineStr">
        <is>
          <t>auto</t>
        </is>
      </c>
      <c r="D387" s="31" t="inlineStr">
        <is>
          <t>auto ancillaries</t>
        </is>
      </c>
      <c r="E387" s="31" t="inlineStr">
        <is>
          <t>smallcap</t>
        </is>
      </c>
      <c r="F387" s="31" t="n">
        <v>2477.75</v>
      </c>
      <c r="G387" s="31" t="n">
        <v>566.15</v>
      </c>
      <c r="H387" s="31" t="n">
        <v>-1.91</v>
      </c>
      <c r="I387" s="31" t="n">
        <v>104310</v>
      </c>
      <c r="J387" s="31" t="inlineStr">
        <is>
          <t>540124</t>
        </is>
      </c>
    </row>
    <row r="388">
      <c r="A388" s="31" t="inlineStr">
        <is>
          <t>HCG</t>
        </is>
      </c>
      <c r="B388" s="31" t="inlineStr">
        <is>
          <t>Healthcare Global Enterprises Limited</t>
        </is>
      </c>
      <c r="C388" s="31" t="inlineStr">
        <is>
          <t>healthcare</t>
        </is>
      </c>
      <c r="D388" s="31" t="inlineStr">
        <is>
          <t>healthcare</t>
        </is>
      </c>
      <c r="E388" s="31" t="inlineStr">
        <is>
          <t>midcap</t>
        </is>
      </c>
      <c r="F388" s="31" t="n">
        <v>11126.75</v>
      </c>
      <c r="G388" s="31" t="n">
        <v>731</v>
      </c>
      <c r="H388" s="31" t="n">
        <v>-1.91</v>
      </c>
      <c r="I388" s="31" t="n">
        <v>25845</v>
      </c>
      <c r="J388" s="31" t="inlineStr">
        <is>
          <t>539787</t>
        </is>
      </c>
    </row>
    <row r="389">
      <c r="A389" s="31" t="inlineStr">
        <is>
          <t>GUFICBIO</t>
        </is>
      </c>
      <c r="B389" s="31" t="inlineStr">
        <is>
          <t>Gufic Biosciences Limited</t>
        </is>
      </c>
      <c r="C389" s="31" t="inlineStr">
        <is>
          <t>healthcare</t>
        </is>
      </c>
      <c r="D389" s="31" t="inlineStr">
        <is>
          <t>pharmaceuticals - indian - bulk drugs &amp; formln</t>
        </is>
      </c>
      <c r="E389" s="31" t="inlineStr">
        <is>
          <t>smallcap</t>
        </is>
      </c>
      <c r="F389" s="31" t="n">
        <v>4229.41</v>
      </c>
      <c r="G389" s="31" t="n">
        <v>413.4</v>
      </c>
      <c r="H389" s="31" t="n">
        <v>-1.98</v>
      </c>
      <c r="I389" s="31" t="n">
        <v>20719</v>
      </c>
      <c r="J389" s="31" t="inlineStr">
        <is>
          <t>509079</t>
        </is>
      </c>
    </row>
    <row r="390">
      <c r="A390" s="31" t="inlineStr">
        <is>
          <t>MARKSANS</t>
        </is>
      </c>
      <c r="B390" s="31" t="inlineStr">
        <is>
          <t>Marksans Pharma Limited</t>
        </is>
      </c>
      <c r="C390" s="31" t="inlineStr">
        <is>
          <t>healthcare</t>
        </is>
      </c>
      <c r="D390" s="31" t="inlineStr">
        <is>
          <t>pharmaceuticals - indian - formulations</t>
        </is>
      </c>
      <c r="E390" s="31" t="inlineStr">
        <is>
          <t>midcap</t>
        </is>
      </c>
      <c r="F390" s="31" t="n">
        <v>14818.45</v>
      </c>
      <c r="G390" s="31" t="n">
        <v>320.5</v>
      </c>
      <c r="H390" s="31" t="n">
        <v>-1.99</v>
      </c>
      <c r="I390" s="31" t="n">
        <v>711767</v>
      </c>
      <c r="J390" s="31" t="inlineStr">
        <is>
          <t>524404</t>
        </is>
      </c>
    </row>
    <row r="391">
      <c r="A391" s="31" t="inlineStr">
        <is>
          <t>BECTORFOOD</t>
        </is>
      </c>
      <c r="B391" s="31" t="inlineStr">
        <is>
          <t>Mrs Bectors Food Specialities Ltd</t>
        </is>
      </c>
      <c r="C391" s="31" t="inlineStr">
        <is>
          <t>fmcg</t>
        </is>
      </c>
      <c r="D391" s="31" t="inlineStr">
        <is>
          <t>food - processing - indian</t>
        </is>
      </c>
      <c r="E391" s="31" t="inlineStr">
        <is>
          <t>midcap</t>
        </is>
      </c>
      <c r="F391" s="31" t="n">
        <v>8083.68</v>
      </c>
      <c r="G391" s="31" t="n">
        <v>258.02</v>
      </c>
      <c r="H391" s="31" t="n">
        <v>-2.01</v>
      </c>
      <c r="I391" s="31" t="n">
        <v>390058</v>
      </c>
      <c r="J391" s="31" t="inlineStr">
        <is>
          <t>543253</t>
        </is>
      </c>
    </row>
    <row r="392">
      <c r="A392" s="31" t="inlineStr">
        <is>
          <t>ICIL</t>
        </is>
      </c>
      <c r="B392" s="31" t="inlineStr">
        <is>
          <t>Indo Count Industries Limited</t>
        </is>
      </c>
      <c r="C392" s="31" t="inlineStr">
        <is>
          <t>textiles</t>
        </is>
      </c>
      <c r="D392" s="31" t="inlineStr">
        <is>
          <t>textiles - cotton/blended</t>
        </is>
      </c>
      <c r="E392" s="31" t="inlineStr">
        <is>
          <t>midcap</t>
        </is>
      </c>
      <c r="F392" s="31" t="n">
        <v>8789.65</v>
      </c>
      <c r="G392" s="31" t="n">
        <v>434.4</v>
      </c>
      <c r="H392" s="31" t="n">
        <v>-2.12</v>
      </c>
      <c r="I392" s="31" t="n">
        <v>338408</v>
      </c>
      <c r="J392" s="31" t="inlineStr">
        <is>
          <t>521016</t>
        </is>
      </c>
    </row>
    <row r="393">
      <c r="A393" s="31" t="inlineStr">
        <is>
          <t>AZAD</t>
        </is>
      </c>
      <c r="B393" s="31" t="inlineStr">
        <is>
          <t>Azad Engineering Ltd</t>
        </is>
      </c>
      <c r="C393" s="31" t="inlineStr">
        <is>
          <t>aerospace &amp; defence</t>
        </is>
      </c>
      <c r="D393" s="31" t="inlineStr">
        <is>
          <t>engineering</t>
        </is>
      </c>
      <c r="E393" s="31" t="inlineStr">
        <is>
          <t>midcap</t>
        </is>
      </c>
      <c r="F393" s="31" t="n">
        <v>18266.3</v>
      </c>
      <c r="G393" s="31" t="n">
        <v>2765.8</v>
      </c>
      <c r="H393" s="31" t="n">
        <v>-2.21</v>
      </c>
      <c r="I393" s="31" t="n">
        <v>135583</v>
      </c>
      <c r="J393" s="31" t="inlineStr">
        <is>
          <t>544061</t>
        </is>
      </c>
    </row>
    <row r="394">
      <c r="A394" s="31" t="inlineStr">
        <is>
          <t>TDPOWERSYS</t>
        </is>
      </c>
      <c r="B394" s="31" t="inlineStr">
        <is>
          <t>Td Power Systems Limited</t>
        </is>
      </c>
      <c r="C394" s="31" t="inlineStr">
        <is>
          <t>industrials</t>
        </is>
      </c>
      <c r="D394" s="31" t="inlineStr">
        <is>
          <t>electric equipment</t>
        </is>
      </c>
      <c r="E394" s="31" t="inlineStr">
        <is>
          <t>largecap</t>
        </is>
      </c>
      <c r="F394" s="31" t="n">
        <v>24146.67</v>
      </c>
      <c r="G394" s="31" t="n">
        <v>1511.1</v>
      </c>
      <c r="H394" s="31" t="n">
        <v>-2.23</v>
      </c>
      <c r="I394" s="31" t="n">
        <v>519635</v>
      </c>
      <c r="J394" s="31" t="inlineStr">
        <is>
          <t>533553</t>
        </is>
      </c>
    </row>
    <row r="395">
      <c r="A395" s="31" t="inlineStr">
        <is>
          <t>EXCELINDUS</t>
        </is>
      </c>
      <c r="B395" s="31" t="inlineStr">
        <is>
          <t>Excel Industries Limited</t>
        </is>
      </c>
      <c r="C395" s="31" t="inlineStr">
        <is>
          <t>chemicals</t>
        </is>
      </c>
      <c r="D395" s="31" t="inlineStr">
        <is>
          <t>pesticides / agrochemicals - indian</t>
        </is>
      </c>
      <c r="E395" s="31" t="inlineStr">
        <is>
          <t>smallcap</t>
        </is>
      </c>
      <c r="F395" s="31" t="n">
        <v>1424.57</v>
      </c>
      <c r="G395" s="31" t="n">
        <v>1103.5</v>
      </c>
      <c r="H395" s="31" t="n">
        <v>-2.63</v>
      </c>
      <c r="I395" s="31" t="n">
        <v>42956</v>
      </c>
      <c r="J395" s="31" t="inlineStr">
        <is>
          <t>500650</t>
        </is>
      </c>
    </row>
    <row r="396">
      <c r="A396" s="31" t="inlineStr">
        <is>
          <t>PREMIERPOL</t>
        </is>
      </c>
      <c r="B396" s="31" t="inlineStr">
        <is>
          <t>Premier Polyfilm Limited</t>
        </is>
      </c>
      <c r="C396" s="31" t="inlineStr">
        <is>
          <t>plastic products</t>
        </is>
      </c>
      <c r="D396" s="31" t="inlineStr">
        <is>
          <t>plastics products</t>
        </is>
      </c>
      <c r="E396" s="31" t="inlineStr">
        <is>
          <t>smallcap</t>
        </is>
      </c>
      <c r="F396" s="31" t="n">
        <v>959.55</v>
      </c>
      <c r="G396" s="31" t="n">
        <v>89.15000000000001</v>
      </c>
      <c r="H396" s="31" t="n">
        <v>-2.69</v>
      </c>
      <c r="I396" s="31" t="n">
        <v>285748</v>
      </c>
      <c r="J396" s="31" t="inlineStr">
        <is>
          <t>514354</t>
        </is>
      </c>
    </row>
    <row r="397">
      <c r="A397" s="31" t="inlineStr">
        <is>
          <t>TASTYBITE</t>
        </is>
      </c>
      <c r="B397" s="31" t="inlineStr">
        <is>
          <t>Tasty Bite Eatables Ltd</t>
        </is>
      </c>
      <c r="C397" s="31" t="inlineStr">
        <is>
          <t>fmcg</t>
        </is>
      </c>
      <c r="D397" s="31" t="inlineStr">
        <is>
          <t>food - processing - indian</t>
        </is>
      </c>
      <c r="E397" s="31" t="inlineStr">
        <is>
          <t>smallcap</t>
        </is>
      </c>
      <c r="F397" s="31" t="n">
        <v>2666.59</v>
      </c>
      <c r="G397" s="31" t="n">
        <v>10110</v>
      </c>
      <c r="H397" s="31" t="n">
        <v>-2.71</v>
      </c>
      <c r="I397" s="31" t="n">
        <v>1512</v>
      </c>
      <c r="J397" s="31" t="inlineStr">
        <is>
          <t>519091</t>
        </is>
      </c>
    </row>
    <row r="398">
      <c r="A398" s="31" t="inlineStr">
        <is>
          <t>MMFL</t>
        </is>
      </c>
      <c r="B398" s="31" t="inlineStr">
        <is>
          <t>Mm Forgings Limited</t>
        </is>
      </c>
      <c r="C398" s="31" t="inlineStr">
        <is>
          <t>industrials</t>
        </is>
      </c>
      <c r="D398" s="31" t="inlineStr">
        <is>
          <t>castings &amp; forgings</t>
        </is>
      </c>
      <c r="E398" s="31" t="inlineStr">
        <is>
          <t>smallcap</t>
        </is>
      </c>
      <c r="F398" s="31" t="n">
        <v>3175.96</v>
      </c>
      <c r="G398" s="31" t="n">
        <v>639</v>
      </c>
      <c r="H398" s="31" t="n">
        <v>-2.86</v>
      </c>
      <c r="I398" s="31" t="n">
        <v>49165</v>
      </c>
      <c r="J398" s="31" t="inlineStr">
        <is>
          <t>522241</t>
        </is>
      </c>
    </row>
    <row r="399">
      <c r="A399" s="31" t="inlineStr">
        <is>
          <t>CHENNPETRO</t>
        </is>
      </c>
      <c r="B399" s="31" t="inlineStr">
        <is>
          <t>Chennai Petroleum Corporation Limited</t>
        </is>
      </c>
      <c r="C399" s="31" t="inlineStr">
        <is>
          <t>energy</t>
        </is>
      </c>
      <c r="D399" s="31" t="inlineStr">
        <is>
          <t>refineries</t>
        </is>
      </c>
      <c r="E399" s="31" t="inlineStr">
        <is>
          <t>largecap</t>
        </is>
      </c>
      <c r="F399" s="31" t="n">
        <v>21447.71</v>
      </c>
      <c r="G399" s="31" t="n">
        <v>1397.5</v>
      </c>
      <c r="H399" s="31" t="n">
        <v>-2.97</v>
      </c>
      <c r="I399" s="31" t="n">
        <v>857010</v>
      </c>
      <c r="J399" s="31" t="inlineStr">
        <is>
          <t>500110</t>
        </is>
      </c>
    </row>
    <row r="400">
      <c r="A400" s="31" t="inlineStr">
        <is>
          <t>NEOGEN</t>
        </is>
      </c>
      <c r="B400" s="31" t="inlineStr">
        <is>
          <t>Neogen Chemicals Ltd</t>
        </is>
      </c>
      <c r="C400" s="31" t="inlineStr">
        <is>
          <t>chemicals</t>
        </is>
      </c>
      <c r="D400" s="31" t="inlineStr">
        <is>
          <t>chemicals</t>
        </is>
      </c>
      <c r="E400" s="31" t="inlineStr">
        <is>
          <t>midcap</t>
        </is>
      </c>
      <c r="F400" s="31" t="n">
        <v>6376.64</v>
      </c>
      <c r="G400" s="31" t="n">
        <v>2254.1</v>
      </c>
      <c r="H400" s="31" t="n">
        <v>-3.21</v>
      </c>
      <c r="I400" s="31" t="n">
        <v>48531</v>
      </c>
      <c r="J400" s="31" t="inlineStr">
        <is>
          <t>542665</t>
        </is>
      </c>
    </row>
    <row r="401">
      <c r="A401" s="31" t="inlineStr">
        <is>
          <t>5PAISA</t>
        </is>
      </c>
      <c r="B401" s="31" t="inlineStr">
        <is>
          <t>5Paisa Capital Ltd</t>
        </is>
      </c>
      <c r="C401" s="31" t="inlineStr">
        <is>
          <t>financials</t>
        </is>
      </c>
      <c r="D401" s="31" t="inlineStr">
        <is>
          <t>finance &amp; investments</t>
        </is>
      </c>
      <c r="E401" s="31" t="inlineStr">
        <is>
          <t>smallcap</t>
        </is>
      </c>
      <c r="F401" s="31" t="n">
        <v>1901.54</v>
      </c>
      <c r="G401" s="31" t="n">
        <v>391.65</v>
      </c>
      <c r="H401" s="31" t="n">
        <v>-3.44</v>
      </c>
      <c r="I401" s="31" t="n">
        <v>43650</v>
      </c>
      <c r="J401" s="31" t="inlineStr">
        <is>
          <t>540776</t>
        </is>
      </c>
    </row>
    <row r="402">
      <c r="A402" s="31" t="inlineStr">
        <is>
          <t>SSWL</t>
        </is>
      </c>
      <c r="B402" s="31" t="inlineStr">
        <is>
          <t>Steel Strips Wheels Limited</t>
        </is>
      </c>
      <c r="C402" s="31" t="inlineStr">
        <is>
          <t>auto</t>
        </is>
      </c>
      <c r="D402" s="31" t="inlineStr">
        <is>
          <t>auto ancillaries</t>
        </is>
      </c>
      <c r="E402" s="31" t="inlineStr">
        <is>
          <t>smallcap</t>
        </is>
      </c>
      <c r="F402" s="31" t="n">
        <v>4964.54</v>
      </c>
      <c r="G402" s="31" t="n">
        <v>304.75</v>
      </c>
      <c r="H402" s="31" t="n">
        <v>-3.51</v>
      </c>
      <c r="I402" s="31" t="n">
        <v>137874</v>
      </c>
      <c r="J402" s="31" t="inlineStr">
        <is>
          <t>513262</t>
        </is>
      </c>
    </row>
    <row r="403">
      <c r="A403" s="31" t="inlineStr">
        <is>
          <t>FCL</t>
        </is>
      </c>
      <c r="B403" s="31" t="inlineStr">
        <is>
          <t>Fineotex Chemical Limited</t>
        </is>
      </c>
      <c r="C403" s="31" t="inlineStr">
        <is>
          <t>chemicals</t>
        </is>
      </c>
      <c r="D403" s="31" t="inlineStr">
        <is>
          <t>chemicals</t>
        </is>
      </c>
      <c r="E403" s="31" t="inlineStr">
        <is>
          <t>midcap</t>
        </is>
      </c>
      <c r="F403" s="31" t="n">
        <v>5237.93</v>
      </c>
      <c r="G403" s="31" t="n">
        <v>43.33</v>
      </c>
      <c r="H403" s="31" t="n">
        <v>-3.67</v>
      </c>
      <c r="I403" s="31" t="n">
        <v>2687995</v>
      </c>
      <c r="J403" s="31" t="inlineStr">
        <is>
          <t>533333</t>
        </is>
      </c>
    </row>
    <row r="404">
      <c r="A404" s="31" t="inlineStr">
        <is>
          <t>KOPRAN</t>
        </is>
      </c>
      <c r="B404" s="31" t="inlineStr">
        <is>
          <t>Kopran Limited</t>
        </is>
      </c>
      <c r="C404" s="31" t="inlineStr">
        <is>
          <t>healthcare</t>
        </is>
      </c>
      <c r="D404" s="31" t="inlineStr">
        <is>
          <t>pharmaceuticals - indian - bulk drugs &amp; formln</t>
        </is>
      </c>
      <c r="E404" s="31" t="inlineStr">
        <is>
          <t>smallcap</t>
        </is>
      </c>
      <c r="F404" s="31" t="n">
        <v>1001.73</v>
      </c>
      <c r="G404" s="31" t="n">
        <v>199.72</v>
      </c>
      <c r="H404" s="31" t="n">
        <v>-3.73</v>
      </c>
      <c r="I404" s="31" t="n">
        <v>41466</v>
      </c>
      <c r="J404" s="31" t="inlineStr">
        <is>
          <t>524280</t>
        </is>
      </c>
    </row>
    <row r="405">
      <c r="A405" s="31" t="inlineStr">
        <is>
          <t>SIGMAADV</t>
        </is>
      </c>
      <c r="B405" s="31" t="inlineStr">
        <is>
          <t>Sigma Advanced System Ltd</t>
        </is>
      </c>
      <c r="C405" s="31" t="inlineStr">
        <is>
          <t>aerospace &amp; defence</t>
        </is>
      </c>
      <c r="D405" s="31" t="inlineStr">
        <is>
          <t>electronics - components</t>
        </is>
      </c>
      <c r="E405" s="31" t="inlineStr">
        <is>
          <t>midcap</t>
        </is>
      </c>
      <c r="F405" s="31" t="n">
        <v>13100.82</v>
      </c>
      <c r="G405" s="31" t="n">
        <v>664</v>
      </c>
      <c r="H405" s="31" t="n">
        <v>-3.96</v>
      </c>
      <c r="I405" s="31" t="n">
        <v>324090</v>
      </c>
      <c r="J405" s="31" t="inlineStr">
        <is>
          <t>532408</t>
        </is>
      </c>
    </row>
    <row r="406">
      <c r="A406" s="31" t="inlineStr">
        <is>
          <t>YASHO</t>
        </is>
      </c>
      <c r="B406" s="31" t="inlineStr">
        <is>
          <t>Yasho Industries Ltd</t>
        </is>
      </c>
      <c r="C406" s="31" t="inlineStr">
        <is>
          <t>chemicals</t>
        </is>
      </c>
      <c r="D406" s="31" t="inlineStr">
        <is>
          <t>chemicals</t>
        </is>
      </c>
      <c r="E406" s="31" t="inlineStr">
        <is>
          <t>midcap</t>
        </is>
      </c>
      <c r="F406" s="31" t="n">
        <v>5390.49</v>
      </c>
      <c r="G406" s="31" t="n">
        <v>4284.8</v>
      </c>
      <c r="H406" s="31" t="n">
        <v>-4.16</v>
      </c>
      <c r="I406" s="31" t="n">
        <v>37713</v>
      </c>
      <c r="J406" s="31" t="inlineStr">
        <is>
          <t>541167</t>
        </is>
      </c>
    </row>
  </sheetData>
  <autoFilter ref="A1:J4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MODISONLTD</t>
        </is>
      </c>
      <c r="E2" s="31" t="inlineStr">
        <is>
          <t>Modison Ltd</t>
        </is>
      </c>
      <c r="F2" s="31" t="inlineStr">
        <is>
          <t>Capital Goods - Electric General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28</v>
      </c>
      <c r="K2" s="31" t="n">
        <v>14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NETWEB</t>
        </is>
      </c>
      <c r="E3" s="31" t="inlineStr">
        <is>
          <t>Netweb Technologies India Ltd</t>
        </is>
      </c>
      <c r="F3" s="31" t="inlineStr">
        <is>
          <t>Data Centre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19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KRISHANA</t>
        </is>
      </c>
      <c r="E4" s="31" t="inlineStr">
        <is>
          <t>Krishana Phoschem Ltd</t>
        </is>
      </c>
      <c r="F4" s="31" t="inlineStr">
        <is>
          <t>Fertilisers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24</v>
      </c>
      <c r="K4" s="31" t="n">
        <v>26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SEAMECLTD</t>
        </is>
      </c>
      <c r="E5" s="31" t="inlineStr">
        <is>
          <t>Seamec Limited</t>
        </is>
      </c>
      <c r="F5" s="31" t="inlineStr">
        <is>
          <t>Shipping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25</v>
      </c>
      <c r="K5" s="31" t="n">
        <v>14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RPTECH</t>
        </is>
      </c>
      <c r="E6" s="31" t="inlineStr">
        <is>
          <t>Rashi Peripherals Ltd</t>
        </is>
      </c>
      <c r="F6" s="31" t="inlineStr">
        <is>
          <t>Trading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23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VADILALIND</t>
        </is>
      </c>
      <c r="E7" s="31" t="inlineStr">
        <is>
          <t>Vadilal Industries Limited</t>
        </is>
      </c>
      <c r="F7" s="31" t="inlineStr">
        <is>
          <t>FMCG - Dairy Products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20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INDOBORAX</t>
        </is>
      </c>
      <c r="E8" s="31" t="inlineStr">
        <is>
          <t>Indo Borax &amp; Chemicals Ltd</t>
        </is>
      </c>
      <c r="F8" s="31" t="inlineStr">
        <is>
          <t>Chemicals - Inorganic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20</v>
      </c>
      <c r="K8" s="31" t="n">
        <v>13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SANGHVIMOV</t>
        </is>
      </c>
      <c r="E9" s="31" t="inlineStr">
        <is>
          <t>Sanghvi Movers Limited</t>
        </is>
      </c>
      <c r="F9" s="31" t="inlineStr">
        <is>
          <t>Capital Goods - EPC/Cranes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18</v>
      </c>
      <c r="K9" s="31" t="n">
        <v>22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CHEMBONDCH</t>
        </is>
      </c>
      <c r="E10" s="31" t="inlineStr">
        <is>
          <t>Chembond Chemicals Ltd</t>
        </is>
      </c>
      <c r="F10" s="31" t="inlineStr">
        <is>
          <t>unknown</t>
        </is>
      </c>
      <c r="G10" s="31" t="n">
        <v>2</v>
      </c>
      <c r="H10" s="31" t="inlineStr">
        <is>
          <t>52W Breakout</t>
        </is>
      </c>
      <c r="I10" s="31" t="inlineStr">
        <is>
          <t>Yes</t>
        </is>
      </c>
      <c r="J10" s="31" t="n">
        <v>0</v>
      </c>
      <c r="K10" s="31" t="n">
        <v>9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SENORES</t>
        </is>
      </c>
      <c r="E11" s="31" t="inlineStr">
        <is>
          <t>Senores Pharmaceuticals Ltd</t>
        </is>
      </c>
      <c r="F11" s="31" t="inlineStr">
        <is>
          <t>Pharma - API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21</v>
      </c>
      <c r="K11" s="31" t="n">
        <v>22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IOLCP</t>
        </is>
      </c>
      <c r="E12" s="31" t="inlineStr">
        <is>
          <t>Iol Chemicals And Pharmaceuticals Limited</t>
        </is>
      </c>
      <c r="F12" s="31" t="inlineStr">
        <is>
          <t>Pharma - API &amp; CRAMS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20</v>
      </c>
      <c r="K12" s="31" t="n">
        <v>16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FCL</t>
        </is>
      </c>
      <c r="E13" s="31" t="inlineStr">
        <is>
          <t>Fineotex Chemical Limited</t>
        </is>
      </c>
      <c r="F13" s="31" t="inlineStr">
        <is>
          <t>Speciality Chemicals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30</v>
      </c>
      <c r="K13" s="31" t="n">
        <v>17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RBLBANK</t>
        </is>
      </c>
      <c r="E14" s="31" t="inlineStr">
        <is>
          <t>Rbl Bank Limited</t>
        </is>
      </c>
      <c r="F14" s="31" t="inlineStr">
        <is>
          <t>unknown</t>
        </is>
      </c>
      <c r="G14" s="31" t="n">
        <v>2</v>
      </c>
      <c r="H14" s="31" t="inlineStr">
        <is>
          <t>52W Breakout</t>
        </is>
      </c>
      <c r="I14" s="31" t="inlineStr">
        <is>
          <t>Yes</t>
        </is>
      </c>
      <c r="J14" s="31" t="n">
        <v>0</v>
      </c>
      <c r="K14" s="31" t="n">
        <v>19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TFCILTD</t>
        </is>
      </c>
      <c r="E15" s="31" t="inlineStr">
        <is>
          <t>Tourism Finance Corporation Of India Limited</t>
        </is>
      </c>
      <c r="F15" s="31" t="inlineStr">
        <is>
          <t>unknown</t>
        </is>
      </c>
      <c r="G15" s="31" t="n">
        <v>2</v>
      </c>
      <c r="H15" s="31" t="inlineStr">
        <is>
          <t>52W Breakout</t>
        </is>
      </c>
      <c r="I15" s="31" t="inlineStr">
        <is>
          <t>Yes</t>
        </is>
      </c>
      <c r="J15" s="31" t="n">
        <v>0</v>
      </c>
      <c r="K15" s="31" t="n">
        <v>28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UNIVCABLES</t>
        </is>
      </c>
      <c r="E16" s="31" t="inlineStr">
        <is>
          <t>Universal Cables Limited</t>
        </is>
      </c>
      <c r="F16" s="31" t="inlineStr">
        <is>
          <t>Cables - Power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22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UNIPARTS</t>
        </is>
      </c>
      <c r="E17" s="31" t="inlineStr">
        <is>
          <t>Uniparts India Ltd</t>
        </is>
      </c>
      <c r="F17" s="31" t="inlineStr">
        <is>
          <t>Castings, Forgings &amp; Fastners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26</v>
      </c>
      <c r="K17" s="31" t="n">
        <v>29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MENONBE</t>
        </is>
      </c>
      <c r="E18" s="31" t="inlineStr">
        <is>
          <t>Menon Bearings Limited</t>
        </is>
      </c>
      <c r="F18" s="31" t="inlineStr">
        <is>
          <t>unknown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0</v>
      </c>
      <c r="K18" s="31" t="n">
        <v>26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ADOR</t>
        </is>
      </c>
      <c r="E19" s="31" t="inlineStr">
        <is>
          <t>Ador Welding Ltd</t>
        </is>
      </c>
      <c r="F19" s="31" t="inlineStr">
        <is>
          <t>unknown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0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WSTCSTPAPR</t>
        </is>
      </c>
      <c r="E20" s="31" t="inlineStr">
        <is>
          <t>West Coast Paper Mills Limited</t>
        </is>
      </c>
      <c r="F20" s="31" t="inlineStr">
        <is>
          <t>unknown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0</v>
      </c>
      <c r="K20" s="31" t="n">
        <v>24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VENUSREM</t>
        </is>
      </c>
      <c r="E21" s="31" t="inlineStr">
        <is>
          <t>Venus Remedies Limited</t>
        </is>
      </c>
      <c r="F21" s="31" t="inlineStr">
        <is>
          <t>Pharmaceuticals - I V Fluids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26</v>
      </c>
      <c r="K21" s="31" t="n">
        <v>13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DIACABS</t>
        </is>
      </c>
      <c r="E22" s="31" t="inlineStr">
        <is>
          <t>Diamond Power Infrastructure Ltd</t>
        </is>
      </c>
      <c r="F22" s="31" t="inlineStr">
        <is>
          <t>Cables - Power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29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HONASA</t>
        </is>
      </c>
      <c r="E23" s="31" t="inlineStr">
        <is>
          <t>Honasa Consumer Ltd</t>
        </is>
      </c>
      <c r="F23" s="31" t="inlineStr">
        <is>
          <t>New age - Platform - E-Retail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22</v>
      </c>
      <c r="K23" s="31" t="n">
        <v>23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DIVGIITTS</t>
        </is>
      </c>
      <c r="E24" s="31" t="inlineStr">
        <is>
          <t>Divgi Torqtransfer Systems Ltd</t>
        </is>
      </c>
      <c r="F24" s="31" t="inlineStr">
        <is>
          <t>Auto Ancillaries - Transmission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18</v>
      </c>
      <c r="K24" s="31" t="n">
        <v>27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MUFIN</t>
        </is>
      </c>
      <c r="E25" s="31" t="inlineStr">
        <is>
          <t>Mufin Green Finance Ltd</t>
        </is>
      </c>
      <c r="F25" s="31" t="inlineStr">
        <is>
          <t>unknown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0</v>
      </c>
      <c r="K25" s="31" t="n">
        <v>22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AVALON</t>
        </is>
      </c>
      <c r="E26" s="31" t="inlineStr">
        <is>
          <t>Avalon Technologies Ltd</t>
        </is>
      </c>
      <c r="F26" s="31" t="inlineStr">
        <is>
          <t>Consumer Electronics - EMS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21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HAPPYFORGE</t>
        </is>
      </c>
      <c r="E27" s="31" t="inlineStr">
        <is>
          <t>Happy Forgings Ltd</t>
        </is>
      </c>
      <c r="F27" s="31" t="inlineStr">
        <is>
          <t>unknown</t>
        </is>
      </c>
      <c r="G27" s="31" t="n">
        <v>2</v>
      </c>
      <c r="H27" s="31" t="inlineStr">
        <is>
          <t>52W Breakout</t>
        </is>
      </c>
      <c r="I27" s="31" t="inlineStr">
        <is>
          <t>Yes</t>
        </is>
      </c>
      <c r="J27" s="31" t="n">
        <v>0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CUPID</t>
        </is>
      </c>
      <c r="E28" s="31" t="inlineStr">
        <is>
          <t>Cupid Limited</t>
        </is>
      </c>
      <c r="F28" s="31" t="inlineStr">
        <is>
          <t>Contraceptives/Protectives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20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BLISSGVS</t>
        </is>
      </c>
      <c r="E29" s="31" t="inlineStr">
        <is>
          <t>Bliss Gvs Pharma Limited</t>
        </is>
      </c>
      <c r="F29" s="31" t="inlineStr">
        <is>
          <t>Pharma - Formulators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27</v>
      </c>
      <c r="K29" s="31" t="n">
        <v>17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SKYGOLD</t>
        </is>
      </c>
      <c r="E30" s="31" t="inlineStr">
        <is>
          <t>Sky Gold Ltd</t>
        </is>
      </c>
      <c r="F30" s="31" t="inlineStr">
        <is>
          <t>Diamond, Gems &amp; Jewellery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31</v>
      </c>
      <c r="K30" s="31" t="n">
        <v>25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SKIPPER</t>
        </is>
      </c>
      <c r="E31" s="31" t="inlineStr">
        <is>
          <t>Skipper Limited</t>
        </is>
      </c>
      <c r="F31" s="31" t="inlineStr">
        <is>
          <t>Electrical Equipments/HVDC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32</v>
      </c>
      <c r="K31" s="31" t="n">
        <v>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MINDACORP</t>
        </is>
      </c>
      <c r="E32" s="31" t="inlineStr">
        <is>
          <t>Minda Corporation Limited</t>
        </is>
      </c>
      <c r="F32" s="31" t="inlineStr">
        <is>
          <t>Auto Ancillaries - Diversified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27</v>
      </c>
      <c r="K32" s="31" t="n">
        <v>23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RRKABEL</t>
        </is>
      </c>
      <c r="E33" s="31" t="inlineStr">
        <is>
          <t>R R Kabel Ltd</t>
        </is>
      </c>
      <c r="F33" s="31" t="inlineStr">
        <is>
          <t>Cables - Power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24</v>
      </c>
      <c r="K33" s="31" t="n">
        <v>29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KINGFA</t>
        </is>
      </c>
      <c r="E34" s="31" t="inlineStr">
        <is>
          <t>Kingfa Science &amp; Technology (india) Limited</t>
        </is>
      </c>
      <c r="F34" s="31" t="inlineStr">
        <is>
          <t>Plastics - Plastic &amp; Plastic Products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20</v>
      </c>
      <c r="K34" s="31" t="n">
        <v>14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HFCL</t>
        </is>
      </c>
      <c r="E35" s="31" t="inlineStr">
        <is>
          <t>HFCL Ltd</t>
        </is>
      </c>
      <c r="F35" s="31" t="inlineStr">
        <is>
          <t>Telecom Services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27</v>
      </c>
      <c r="K35" s="31" t="n">
        <v>19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THELEELA</t>
        </is>
      </c>
      <c r="E36" s="31" t="inlineStr">
        <is>
          <t>Leela Palaces Hotels &amp; Resorts Ltd</t>
        </is>
      </c>
      <c r="F36" s="31" t="inlineStr">
        <is>
          <t>unknown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0</v>
      </c>
      <c r="K36" s="31" t="n">
        <v>24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GLAND</t>
        </is>
      </c>
      <c r="E37" s="31" t="inlineStr">
        <is>
          <t>Gland Pharma Ltd</t>
        </is>
      </c>
      <c r="F37" s="31" t="inlineStr">
        <is>
          <t>Pharma - API &amp; CRAMS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23</v>
      </c>
      <c r="K37" s="31" t="n">
        <v>25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MARKSANS</t>
        </is>
      </c>
      <c r="E38" s="31" t="inlineStr">
        <is>
          <t>Marksans Pharma Limited</t>
        </is>
      </c>
      <c r="F38" s="31" t="inlineStr">
        <is>
          <t>Pharma - Formulators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21</v>
      </c>
      <c r="K38" s="31" t="n">
        <v>21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SHILPAMED</t>
        </is>
      </c>
      <c r="E39" s="31" t="inlineStr">
        <is>
          <t>Shilpa Medicare Limited</t>
        </is>
      </c>
      <c r="F39" s="31" t="inlineStr">
        <is>
          <t>Pharma - API &amp; CRAMS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25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SANSERA</t>
        </is>
      </c>
      <c r="E40" s="31" t="inlineStr">
        <is>
          <t>Sansera Engineering Ltd</t>
        </is>
      </c>
      <c r="F40" s="31" t="inlineStr">
        <is>
          <t>Auto Ancillaries - Diversified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CRAFTSMAN</t>
        </is>
      </c>
      <c r="E41" s="31" t="inlineStr">
        <is>
          <t>Craftsman Automation Ltd</t>
        </is>
      </c>
      <c r="F41" s="31" t="inlineStr">
        <is>
          <t>Auto &amp; Auto Ancl - CV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19</v>
      </c>
      <c r="K41" s="31" t="n">
        <v>26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MOTHERSON</t>
        </is>
      </c>
      <c r="E42" s="31" t="inlineStr">
        <is>
          <t>Samvardhana Motherson International Ltd</t>
        </is>
      </c>
      <c r="F42" s="31" t="inlineStr">
        <is>
          <t>Auto Ancillaries - Diversified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20</v>
      </c>
      <c r="K42" s="31" t="n">
        <v>25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WELCORP</t>
        </is>
      </c>
      <c r="E43" s="31" t="inlineStr">
        <is>
          <t>Welspun Corp Limited</t>
        </is>
      </c>
      <c r="F43" s="31" t="inlineStr">
        <is>
          <t>unknown</t>
        </is>
      </c>
      <c r="G43" s="31" t="n">
        <v>2</v>
      </c>
      <c r="H43" s="31" t="inlineStr">
        <is>
          <t>52W Breakout</t>
        </is>
      </c>
      <c r="I43" s="31" t="inlineStr">
        <is>
          <t>Yes</t>
        </is>
      </c>
      <c r="J43" s="31" t="n">
        <v>0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YASHO</t>
        </is>
      </c>
      <c r="E44" s="31" t="inlineStr">
        <is>
          <t>Yasho Industries Ltd</t>
        </is>
      </c>
      <c r="F44" s="31" t="inlineStr">
        <is>
          <t>Speciality Chemicals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PRECWIRE</t>
        </is>
      </c>
      <c r="E45" s="31" t="inlineStr">
        <is>
          <t>Precision Wires India Limited</t>
        </is>
      </c>
      <c r="F45" s="31" t="inlineStr">
        <is>
          <t>Copper Wires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22</v>
      </c>
      <c r="K45" s="31" t="n">
        <v>13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MTARTECH</t>
        </is>
      </c>
      <c r="E46" s="31" t="inlineStr">
        <is>
          <t>MTAR Technologies Ltd</t>
        </is>
      </c>
      <c r="F46" s="31" t="inlineStr">
        <is>
          <t>Aerospace &amp; Defence - Equipments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21</v>
      </c>
      <c r="K46" s="31" t="n">
        <v>10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SGFIN</t>
        </is>
      </c>
      <c r="E47" s="31" t="inlineStr">
        <is>
          <t>SG Finserve Ltd</t>
        </is>
      </c>
      <c r="F47" s="31" t="inlineStr">
        <is>
          <t>Finance &amp; Investments - MSME Lending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18</v>
      </c>
      <c r="K47" s="31" t="n">
        <v>2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SIGMAADV</t>
        </is>
      </c>
      <c r="E48" s="31" t="inlineStr">
        <is>
          <t>Sigma Advanced System Ltd</t>
        </is>
      </c>
      <c r="F48" s="31" t="inlineStr">
        <is>
          <t>Aerospace &amp; Defence - Equipments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30</v>
      </c>
      <c r="K48" s="31" t="n">
        <v>23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WHEELS</t>
        </is>
      </c>
      <c r="E49" s="31" t="inlineStr">
        <is>
          <t>Wheels India Limited</t>
        </is>
      </c>
      <c r="F49" s="31" t="inlineStr">
        <is>
          <t>Auto Ancillaries - Wheels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23</v>
      </c>
      <c r="K49" s="31" t="n">
        <v>6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INGERRAND</t>
        </is>
      </c>
      <c r="E50" s="31" t="inlineStr">
        <is>
          <t>Ingersoll Rand (india) Limited</t>
        </is>
      </c>
      <c r="F50" s="31" t="inlineStr">
        <is>
          <t>unknown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0</v>
      </c>
      <c r="K50" s="31" t="n">
        <v>13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STEELCAS</t>
        </is>
      </c>
      <c r="E51" s="31" t="inlineStr">
        <is>
          <t>Steelcast Ltd</t>
        </is>
      </c>
      <c r="F51" s="31" t="inlineStr">
        <is>
          <t>unknown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0</v>
      </c>
      <c r="K51" s="31" t="n">
        <v>25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SAILIFE</t>
        </is>
      </c>
      <c r="E52" s="31" t="inlineStr">
        <is>
          <t>Sai Life Sciences Ltd</t>
        </is>
      </c>
      <c r="F52" s="31" t="inlineStr">
        <is>
          <t>unknown</t>
        </is>
      </c>
      <c r="G52" s="31" t="n">
        <v>2</v>
      </c>
      <c r="H52" s="31" t="inlineStr">
        <is>
          <t>52W Breakout</t>
        </is>
      </c>
      <c r="I52" s="31" t="inlineStr">
        <is>
          <t>Yes</t>
        </is>
      </c>
      <c r="J52" s="31" t="n">
        <v>0</v>
      </c>
      <c r="K52" s="31" t="n">
        <v>27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AVADHSUGAR</t>
        </is>
      </c>
      <c r="E53" s="31" t="inlineStr">
        <is>
          <t>Avadh Sugar &amp; Energy</t>
        </is>
      </c>
      <c r="F53" s="31" t="inlineStr">
        <is>
          <t>unknown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0</v>
      </c>
      <c r="K53" s="31" t="n">
        <v>21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BOSCHLTD</t>
        </is>
      </c>
      <c r="E54" s="31" t="inlineStr">
        <is>
          <t>Bosch Limited</t>
        </is>
      </c>
      <c r="F54" s="31" t="inlineStr">
        <is>
          <t>unknown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0</v>
      </c>
      <c r="K54" s="31" t="n">
        <v>25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PTCIL</t>
        </is>
      </c>
      <c r="E55" s="31" t="inlineStr">
        <is>
          <t>PTC Industries Ltd</t>
        </is>
      </c>
      <c r="F55" s="31" t="inlineStr">
        <is>
          <t>Castings - Steel/Alloy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26</v>
      </c>
      <c r="K55" s="31" t="n">
        <v>15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STLTECH</t>
        </is>
      </c>
      <c r="E56" s="31" t="inlineStr">
        <is>
          <t>Sterlite Technologies Limited</t>
        </is>
      </c>
      <c r="F56" s="31" t="inlineStr">
        <is>
          <t>Cables - Telecom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20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AEROFLEX</t>
        </is>
      </c>
      <c r="E57" s="31" t="inlineStr">
        <is>
          <t>Aeroflex Industries Ltd</t>
        </is>
      </c>
      <c r="F57" s="31" t="inlineStr">
        <is>
          <t>Stainless Steel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19</v>
      </c>
      <c r="K57" s="31" t="n">
        <v>15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ASIANENE</t>
        </is>
      </c>
      <c r="E58" s="31" t="inlineStr">
        <is>
          <t>Asian Energy Services Ltd</t>
        </is>
      </c>
      <c r="F58" s="31" t="inlineStr">
        <is>
          <t>unknown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0</v>
      </c>
      <c r="K58" s="31" t="n">
        <v>22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STYLEBAAZA</t>
        </is>
      </c>
      <c r="E59" s="31" t="inlineStr">
        <is>
          <t>Baazar Style Retail Ltd</t>
        </is>
      </c>
      <c r="F59" s="31" t="inlineStr">
        <is>
          <t>unknown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0</v>
      </c>
      <c r="K59" s="31" t="n">
        <v>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MAHASTEEL</t>
        </is>
      </c>
      <c r="E60" s="31" t="inlineStr">
        <is>
          <t>Mahamaya Steel Industries Limited</t>
        </is>
      </c>
      <c r="F60" s="31" t="inlineStr">
        <is>
          <t>unknown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0</v>
      </c>
      <c r="K60" s="31" t="n">
        <v>16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VERANDA</t>
        </is>
      </c>
      <c r="E61" s="31" t="inlineStr">
        <is>
          <t>Veranda Learning Solutions Ltd</t>
        </is>
      </c>
      <c r="F61" s="31" t="inlineStr">
        <is>
          <t>Computer Education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20</v>
      </c>
      <c r="K61" s="31" t="n">
        <v>13</v>
      </c>
    </row>
  </sheetData>
  <autoFilter ref="A1:K61"/>
  <conditionalFormatting sqref="G2:G6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6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6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IF(B2=0,"",RANK(B2,$B$2:$B$368,0))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5524.04</v>
      </c>
      <c r="I2" s="32" t="n">
        <v>856.9</v>
      </c>
      <c r="J2" s="32" t="n">
        <v>2.22</v>
      </c>
      <c r="K2" s="32" t="n">
        <v>148820</v>
      </c>
      <c r="L2" s="31" t="n">
        <v>93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74.67</v>
      </c>
      <c r="P2" s="32" t="n">
        <v>80.58</v>
      </c>
      <c r="Q2" s="32" t="n">
        <v>690.95</v>
      </c>
      <c r="R2" s="31" t="inlineStr">
        <is>
          <t>Near 52W High Breakout</t>
        </is>
      </c>
      <c r="S2" s="31" t="inlineStr">
        <is>
          <t>Nifty IT</t>
        </is>
      </c>
      <c r="T2" s="32" t="n">
        <v>-13.45</v>
      </c>
      <c r="U2" s="32" t="n">
        <v>203.28</v>
      </c>
      <c r="V2" s="32" t="n">
        <v>250.42</v>
      </c>
      <c r="W2" s="32" t="n">
        <v>38.39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IF(B3=0,"",RANK(B3,$B$2:$B$368,0))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VINDHYATEL</t>
        </is>
      </c>
      <c r="D3" s="31" t="inlineStr">
        <is>
          <t>Vindhya Telelinks Limited</t>
        </is>
      </c>
      <c r="E3" s="31" t="inlineStr">
        <is>
          <t>realty</t>
        </is>
      </c>
      <c r="F3" s="31" t="inlineStr">
        <is>
          <t>construction</t>
        </is>
      </c>
      <c r="G3" s="31" t="inlineStr">
        <is>
          <t>smallcap</t>
        </is>
      </c>
      <c r="H3" s="32" t="n">
        <v>2890.19</v>
      </c>
      <c r="I3" s="32" t="n">
        <v>2446</v>
      </c>
      <c r="J3" s="32" t="n">
        <v>0.3</v>
      </c>
      <c r="K3" s="32" t="n">
        <v>4359</v>
      </c>
      <c r="L3" s="31" t="n">
        <v>91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66.13</v>
      </c>
      <c r="P3" s="32" t="n">
        <v>52.18</v>
      </c>
      <c r="Q3" s="32" t="n">
        <v>1721.06</v>
      </c>
      <c r="R3" s="31" t="inlineStr">
        <is>
          <t>Near 52W High Breakout</t>
        </is>
      </c>
      <c r="S3" s="31" t="inlineStr">
        <is>
          <t>Nifty Realty</t>
        </is>
      </c>
      <c r="T3" s="32" t="n">
        <v>-4.49</v>
      </c>
      <c r="U3" s="32" t="n">
        <v>55.09</v>
      </c>
      <c r="V3" s="32" t="n">
        <v>62.37</v>
      </c>
      <c r="W3" s="32" t="n">
        <v>33.59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IF(B4=0,"",RANK(B4,$B$2:$B$368,0))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VADILALIND</t>
        </is>
      </c>
      <c r="D4" s="31" t="inlineStr">
        <is>
          <t>Vadilal Industries Limited</t>
        </is>
      </c>
      <c r="E4" s="31" t="inlineStr">
        <is>
          <t>fmcg</t>
        </is>
      </c>
      <c r="F4" s="31" t="inlineStr">
        <is>
          <t>food - processing - indian</t>
        </is>
      </c>
      <c r="G4" s="31" t="inlineStr">
        <is>
          <t>midcap</t>
        </is>
      </c>
      <c r="H4" s="32" t="n">
        <v>5320.07</v>
      </c>
      <c r="I4" s="32" t="n">
        <v>7409.5</v>
      </c>
      <c r="J4" s="32" t="n">
        <v>0.11</v>
      </c>
      <c r="K4" s="32" t="n">
        <v>7527</v>
      </c>
      <c r="L4" s="31" t="inlineStr"/>
      <c r="M4" s="31" t="inlineStr"/>
      <c r="N4" s="32">
        <f>IF(M4="Underperforming",-5,IF(L4&gt;=95,15,IF(L4&gt;=90,10,IF(L4&gt;=80,5,0))))</f>
        <v/>
      </c>
      <c r="O4" s="32" t="n">
        <v>71.79000000000001</v>
      </c>
      <c r="P4" s="32" t="n">
        <v>45.32</v>
      </c>
      <c r="Q4" s="32" t="n">
        <v>6145.35</v>
      </c>
      <c r="R4" s="31" t="inlineStr">
        <is>
          <t>Near 52W High Breakout</t>
        </is>
      </c>
      <c r="S4" s="31" t="inlineStr">
        <is>
          <t>Nifty FMCG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IF(B5=0,"",RANK(B5,$B$2:$B$368,0))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BLUSPRING</t>
        </is>
      </c>
      <c r="D5" s="31" t="inlineStr">
        <is>
          <t>Bluspring Enterprises Ltd</t>
        </is>
      </c>
      <c r="E5" s="31" t="inlineStr">
        <is>
          <t>miscellaneous</t>
        </is>
      </c>
      <c r="F5" s="31" t="inlineStr">
        <is>
          <t>diversified - large</t>
        </is>
      </c>
      <c r="G5" s="31" t="inlineStr">
        <is>
          <t>smallcap</t>
        </is>
      </c>
      <c r="H5" s="32" t="n">
        <v>1791.2</v>
      </c>
      <c r="I5" s="32" t="n">
        <v>117.82</v>
      </c>
      <c r="J5" s="32" t="n">
        <v>-1.7</v>
      </c>
      <c r="K5" s="32" t="n">
        <v>119425</v>
      </c>
      <c r="L5" s="31" t="n">
        <v>84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68.39</v>
      </c>
      <c r="P5" s="32" t="n">
        <v>60.6</v>
      </c>
      <c r="Q5" s="32" t="n">
        <v>84.48</v>
      </c>
      <c r="R5" s="31" t="inlineStr">
        <is>
          <t>Near 52W High Breakout</t>
        </is>
      </c>
      <c r="S5" s="31" t="inlineStr">
        <is>
          <t>Nifty 50</t>
        </is>
      </c>
      <c r="T5" s="32" t="n">
        <v>-2.57</v>
      </c>
      <c r="U5" s="32" t="n">
        <v>45.13</v>
      </c>
      <c r="V5" s="32" t="n">
        <v>48.95</v>
      </c>
      <c r="W5" s="32" t="n">
        <v>27.25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IF(B6=0,"",RANK(B6,$B$2:$B$368,0))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PREMIERPOL</t>
        </is>
      </c>
      <c r="D6" s="31" t="inlineStr">
        <is>
          <t>Premier Polyfilm Limited</t>
        </is>
      </c>
      <c r="E6" s="31" t="inlineStr">
        <is>
          <t>plastic products</t>
        </is>
      </c>
      <c r="F6" s="31" t="inlineStr">
        <is>
          <t>plastics products</t>
        </is>
      </c>
      <c r="G6" s="31" t="inlineStr">
        <is>
          <t>smallcap</t>
        </is>
      </c>
      <c r="H6" s="32" t="n">
        <v>959.55</v>
      </c>
      <c r="I6" s="32" t="n">
        <v>89.15000000000001</v>
      </c>
      <c r="J6" s="32" t="n">
        <v>-2.69</v>
      </c>
      <c r="K6" s="32" t="n">
        <v>285748</v>
      </c>
      <c r="L6" s="31" t="n">
        <v>82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71.98</v>
      </c>
      <c r="P6" s="32" t="n">
        <v>51.16</v>
      </c>
      <c r="Q6" s="32" t="n">
        <v>61.43</v>
      </c>
      <c r="R6" s="31" t="inlineStr">
        <is>
          <t>Volume Spike &amp; Near 52W High Breakout</t>
        </is>
      </c>
      <c r="S6" s="31" t="inlineStr">
        <is>
          <t>Nifty 50</t>
        </is>
      </c>
      <c r="T6" s="32" t="n">
        <v>-2.57</v>
      </c>
      <c r="U6" s="32" t="n">
        <v>82</v>
      </c>
      <c r="V6" s="32" t="n">
        <v>86.79000000000001</v>
      </c>
      <c r="W6" s="32" t="n">
        <v>25.08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IF(B7=0,"",RANK(B7,$B$2:$B$368,0))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SUVEN</t>
        </is>
      </c>
      <c r="D7" s="31" t="inlineStr">
        <is>
          <t>Suven Life Sciences Limited</t>
        </is>
      </c>
      <c r="E7" s="31" t="inlineStr">
        <is>
          <t>healthcare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642.4400000000001</v>
      </c>
      <c r="I7" s="32" t="n">
        <v>375.5</v>
      </c>
      <c r="J7" s="32" t="n">
        <v>12.92</v>
      </c>
      <c r="K7" s="32" t="n">
        <v>918040</v>
      </c>
      <c r="L7" s="31" t="n">
        <v>80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71.26000000000001</v>
      </c>
      <c r="P7" s="32" t="n">
        <v>47.72</v>
      </c>
      <c r="Q7" s="32" t="n">
        <v>267.41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18.64</v>
      </c>
      <c r="U7" s="32" t="n">
        <v>61.91</v>
      </c>
      <c r="V7" s="32" t="n">
        <v>36.46</v>
      </c>
      <c r="W7" s="32" t="n">
        <v>23.86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IF(B8=0,"",RANK(B8,$B$2:$B$368,0))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INDOBORAX</t>
        </is>
      </c>
      <c r="D8" s="31" t="inlineStr">
        <is>
          <t>Indo Borax &amp; Chemicals Ltd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smallcap</t>
        </is>
      </c>
      <c r="H8" s="32" t="n">
        <v>1392.22</v>
      </c>
      <c r="I8" s="32" t="n">
        <v>498</v>
      </c>
      <c r="J8" s="32" t="n">
        <v>14.79</v>
      </c>
      <c r="K8" s="32" t="n">
        <v>1875125</v>
      </c>
      <c r="L8" s="31" t="n">
        <v>90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80.2</v>
      </c>
      <c r="P8" s="32" t="n">
        <v>74.53</v>
      </c>
      <c r="Q8" s="32" t="n">
        <v>360.41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-2.57</v>
      </c>
      <c r="U8" s="32" t="n">
        <v>110.78</v>
      </c>
      <c r="V8" s="32" t="n">
        <v>116.33</v>
      </c>
      <c r="W8" s="32" t="n">
        <v>32.71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IF(B9=0,"",RANK(B9,$B$2:$B$368,0))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CHEMBONDCH</t>
        </is>
      </c>
      <c r="D9" s="31" t="inlineStr">
        <is>
          <t>Chembond Chemicals Ltd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smallcap</t>
        </is>
      </c>
      <c r="H9" s="32" t="n">
        <v>725.62</v>
      </c>
      <c r="I9" s="32" t="n">
        <v>283.26</v>
      </c>
      <c r="J9" s="32" t="n">
        <v>5</v>
      </c>
      <c r="K9" s="32" t="n">
        <v>2499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71.8</v>
      </c>
      <c r="P9" s="32" t="n">
        <v>46.09</v>
      </c>
      <c r="Q9" s="32" t="n">
        <v>200.87</v>
      </c>
      <c r="R9" s="31" t="inlineStr">
        <is>
          <t>Near 52W High Breakout</t>
        </is>
      </c>
      <c r="S9" s="31" t="inlineStr">
        <is>
          <t>Nifty 50</t>
        </is>
      </c>
      <c r="T9" s="32" t="n">
        <v>-2.57</v>
      </c>
      <c r="U9" s="32" t="n">
        <v>30.5</v>
      </c>
      <c r="V9" s="32" t="n">
        <v>33.94</v>
      </c>
      <c r="W9" s="32" t="n">
        <v>18.03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IF(B10=0,"",RANK(B10,$B$2:$B$368,0))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INDOTECH</t>
        </is>
      </c>
      <c r="D10" s="31" t="inlineStr">
        <is>
          <t>Indo Tech Transformers Limited</t>
        </is>
      </c>
      <c r="E10" s="31" t="inlineStr">
        <is>
          <t>industrials</t>
        </is>
      </c>
      <c r="F10" s="31" t="inlineStr">
        <is>
          <t>electric equipment</t>
        </is>
      </c>
      <c r="G10" s="31" t="inlineStr">
        <is>
          <t>smallcap</t>
        </is>
      </c>
      <c r="H10" s="32" t="n">
        <v>3939.81</v>
      </c>
      <c r="I10" s="32" t="n">
        <v>3734</v>
      </c>
      <c r="J10" s="32" t="n">
        <v>0.65</v>
      </c>
      <c r="K10" s="32" t="n">
        <v>9694</v>
      </c>
      <c r="L10" s="31" t="n">
        <v>89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73.14</v>
      </c>
      <c r="P10" s="32" t="n">
        <v>50.17</v>
      </c>
      <c r="Q10" s="32" t="n">
        <v>2762.65</v>
      </c>
      <c r="R10" s="31" t="inlineStr">
        <is>
          <t>Near 52W High Breakout</t>
        </is>
      </c>
      <c r="S10" s="31" t="inlineStr">
        <is>
          <t>Nifty 50</t>
        </is>
      </c>
      <c r="T10" s="32" t="n">
        <v>-2.57</v>
      </c>
      <c r="U10" s="32" t="n">
        <v>99.87</v>
      </c>
      <c r="V10" s="32" t="n">
        <v>105.14</v>
      </c>
      <c r="W10" s="32" t="n">
        <v>31.88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IF(B11=0,"",RANK(B11,$B$2:$B$368,0))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PGIL</t>
        </is>
      </c>
      <c r="D11" s="31" t="inlineStr">
        <is>
          <t>Pearl Global Industries Limited</t>
        </is>
      </c>
      <c r="E11" s="31" t="inlineStr">
        <is>
          <t>consumer discretionary</t>
        </is>
      </c>
      <c r="F11" s="31" t="inlineStr">
        <is>
          <t>textiles - products</t>
        </is>
      </c>
      <c r="G11" s="31" t="inlineStr">
        <is>
          <t>midcap</t>
        </is>
      </c>
      <c r="H11" s="32" t="n">
        <v>11147.46</v>
      </c>
      <c r="I11" s="32" t="n">
        <v>2377.2</v>
      </c>
      <c r="J11" s="32" t="n">
        <v>-1.51</v>
      </c>
      <c r="K11" s="32" t="n">
        <v>10954</v>
      </c>
      <c r="L11" s="31" t="n">
        <v>79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70.39</v>
      </c>
      <c r="P11" s="32" t="n">
        <v>55.51</v>
      </c>
      <c r="Q11" s="32" t="n">
        <v>1935.09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-2.57</v>
      </c>
      <c r="U11" s="32" t="n">
        <v>77.05</v>
      </c>
      <c r="V11" s="32" t="n">
        <v>81.72</v>
      </c>
      <c r="W11" s="32" t="n">
        <v>23.32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IF(B12=0,"",RANK(B12,$B$2:$B$368,0))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SANGHVIMOV</t>
        </is>
      </c>
      <c r="D12" s="31" t="inlineStr">
        <is>
          <t>Sanghvi Movers Limited</t>
        </is>
      </c>
      <c r="E12" s="31" t="inlineStr">
        <is>
          <t>miscellaneous</t>
        </is>
      </c>
      <c r="F12" s="31" t="inlineStr">
        <is>
          <t>miscellaneous</t>
        </is>
      </c>
      <c r="G12" s="31" t="inlineStr">
        <is>
          <t>smallcap</t>
        </is>
      </c>
      <c r="H12" s="32" t="n">
        <v>4317.98</v>
      </c>
      <c r="I12" s="32" t="n">
        <v>490.7</v>
      </c>
      <c r="J12" s="32" t="n">
        <v>-1.61</v>
      </c>
      <c r="K12" s="32" t="n">
        <v>59739</v>
      </c>
      <c r="L12" s="31" t="n">
        <v>69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68.59</v>
      </c>
      <c r="P12" s="32" t="n">
        <v>43.24</v>
      </c>
      <c r="Q12" s="32" t="n">
        <v>363.41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-2.57</v>
      </c>
      <c r="U12" s="32" t="n">
        <v>46.56</v>
      </c>
      <c r="V12" s="32" t="n">
        <v>50.42</v>
      </c>
      <c r="W12" s="32" t="n">
        <v>18.09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IF(B13=0,"",RANK(B13,$B$2:$B$368,0))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IOLCP</t>
        </is>
      </c>
      <c r="D13" s="31" t="inlineStr">
        <is>
          <t>Iol Chemicals And Pharmaceuticals Limited</t>
        </is>
      </c>
      <c r="E13" s="31" t="inlineStr">
        <is>
          <t>healthcare</t>
        </is>
      </c>
      <c r="F13" s="31" t="inlineStr">
        <is>
          <t>pharmaceuticals - indian - bulk drugs &amp; formln</t>
        </is>
      </c>
      <c r="G13" s="31" t="inlineStr">
        <is>
          <t>smallcap</t>
        </is>
      </c>
      <c r="H13" s="32" t="n">
        <v>4606.03</v>
      </c>
      <c r="I13" s="32" t="n">
        <v>163.95</v>
      </c>
      <c r="J13" s="32" t="n">
        <v>4.48</v>
      </c>
      <c r="K13" s="32" t="n">
        <v>617476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69.59999999999999</v>
      </c>
      <c r="P13" s="32" t="n">
        <v>77.91</v>
      </c>
      <c r="Q13" s="32" t="n">
        <v>123.62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18.64</v>
      </c>
      <c r="U13" s="32" t="n">
        <v>71.42</v>
      </c>
      <c r="V13" s="32" t="n">
        <v>44.48</v>
      </c>
      <c r="W13" s="32" t="n">
        <v>22.67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IF(B14=0,"",RANK(B14,$B$2:$B$368,0))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GOKULAGRO</t>
        </is>
      </c>
      <c r="D14" s="31" t="inlineStr">
        <is>
          <t>Gokul Agro Resources Limited</t>
        </is>
      </c>
      <c r="E14" s="31" t="inlineStr">
        <is>
          <t>fmcg</t>
        </is>
      </c>
      <c r="F14" s="31" t="inlineStr">
        <is>
          <t>solvent extraction</t>
        </is>
      </c>
      <c r="G14" s="31" t="inlineStr">
        <is>
          <t>midcap</t>
        </is>
      </c>
      <c r="H14" s="32" t="n">
        <v>7171.2</v>
      </c>
      <c r="I14" s="32" t="n">
        <v>243.98</v>
      </c>
      <c r="J14" s="32" t="n">
        <v>0.4</v>
      </c>
      <c r="K14" s="32" t="n">
        <v>1093554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65.95</v>
      </c>
      <c r="P14" s="32" t="n">
        <v>25.89</v>
      </c>
      <c r="Q14" s="32" t="n">
        <v>186.01</v>
      </c>
      <c r="R14" s="31" t="inlineStr">
        <is>
          <t>Volume Spike &amp; Near 52W High Breakout</t>
        </is>
      </c>
      <c r="S14" s="31" t="inlineStr">
        <is>
          <t>Nifty FMCG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IF(B15=0,"",RANK(B15,$B$2:$B$368,0))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AURUM</t>
        </is>
      </c>
      <c r="D15" s="31" t="inlineStr">
        <is>
          <t>Aurum Proptech Ltd</t>
        </is>
      </c>
      <c r="E15" s="31" t="inlineStr">
        <is>
          <t>i.t</t>
        </is>
      </c>
      <c r="F15" s="31" t="inlineStr">
        <is>
          <t>computers - software - medium / small</t>
        </is>
      </c>
      <c r="G15" s="31" t="inlineStr">
        <is>
          <t>smallcap</t>
        </is>
      </c>
      <c r="H15" s="32" t="n">
        <v>1762.86</v>
      </c>
      <c r="I15" s="32" t="n">
        <v>229.8</v>
      </c>
      <c r="J15" s="32" t="n">
        <v>0.03</v>
      </c>
      <c r="K15" s="32" t="n">
        <v>18471</v>
      </c>
      <c r="L15" s="31" t="n">
        <v>50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63.06</v>
      </c>
      <c r="P15" s="32" t="n">
        <v>48.22</v>
      </c>
      <c r="Q15" s="32" t="n">
        <v>183.58</v>
      </c>
      <c r="R15" s="31" t="inlineStr">
        <is>
          <t>Near 52W High Breakout</t>
        </is>
      </c>
      <c r="S15" s="31" t="inlineStr">
        <is>
          <t>Nifty IT</t>
        </is>
      </c>
      <c r="T15" s="32" t="n">
        <v>-13.45</v>
      </c>
      <c r="U15" s="32" t="n">
        <v>29.6</v>
      </c>
      <c r="V15" s="32" t="n">
        <v>49.74</v>
      </c>
      <c r="W15" s="32" t="n">
        <v>11.75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IF(B16=0,"",RANK(B16,$B$2:$B$368,0))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SCPL</t>
        </is>
      </c>
      <c r="D16" s="31" t="inlineStr">
        <is>
          <t>Sheetal Cool Products Ltd</t>
        </is>
      </c>
      <c r="E16" s="31" t="inlineStr">
        <is>
          <t>fmcg</t>
        </is>
      </c>
      <c r="F16" s="31" t="inlineStr">
        <is>
          <t>food - processing - indian</t>
        </is>
      </c>
      <c r="G16" s="31" t="inlineStr">
        <is>
          <t>smallcap</t>
        </is>
      </c>
      <c r="H16" s="32" t="n">
        <v>712.11</v>
      </c>
      <c r="I16" s="32" t="n">
        <v>673.35</v>
      </c>
      <c r="J16" s="32" t="n">
        <v>-0.72</v>
      </c>
      <c r="K16" s="32" t="n">
        <v>4405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75.36</v>
      </c>
      <c r="P16" s="32" t="n">
        <v>59.17</v>
      </c>
      <c r="Q16" s="32" t="n">
        <v>472.45</v>
      </c>
      <c r="R16" s="31" t="inlineStr">
        <is>
          <t>Near 52W High Breakout</t>
        </is>
      </c>
      <c r="S16" s="31" t="inlineStr">
        <is>
          <t>Nifty FMCG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IF(B17=0,"",RANK(B17,$B$2:$B$368,0))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SENORES</t>
        </is>
      </c>
      <c r="D17" s="31" t="inlineStr">
        <is>
          <t>Senores Pharmaceuticals Ltd</t>
        </is>
      </c>
      <c r="E17" s="31" t="inlineStr">
        <is>
          <t>healthcare</t>
        </is>
      </c>
      <c r="F17" s="31" t="inlineStr">
        <is>
          <t>pharmaceuticals - indian - formulations</t>
        </is>
      </c>
      <c r="G17" s="31" t="inlineStr">
        <is>
          <t>midcap</t>
        </is>
      </c>
      <c r="H17" s="32" t="n">
        <v>7142.45</v>
      </c>
      <c r="I17" s="32" t="n">
        <v>1523.9</v>
      </c>
      <c r="J17" s="32" t="n">
        <v>-1.74</v>
      </c>
      <c r="K17" s="32" t="n">
        <v>45226</v>
      </c>
      <c r="L17" s="31" t="n">
        <v>80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74.13</v>
      </c>
      <c r="P17" s="32" t="n">
        <v>61.71</v>
      </c>
      <c r="Q17" s="32" t="n">
        <v>1166.58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18.64</v>
      </c>
      <c r="U17" s="32" t="n">
        <v>108.95</v>
      </c>
      <c r="V17" s="32" t="n">
        <v>76.11</v>
      </c>
      <c r="W17" s="32" t="n">
        <v>24.31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IF(B18=0,"",RANK(B18,$B$2:$B$368,0))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PARAS</t>
        </is>
      </c>
      <c r="D18" s="31" t="inlineStr">
        <is>
          <t>Paras Defence and Space Technologies Ltd</t>
        </is>
      </c>
      <c r="E18" s="31" t="inlineStr">
        <is>
          <t>aerospace &amp; defence</t>
        </is>
      </c>
      <c r="F18" s="31" t="inlineStr">
        <is>
          <t>engineering</t>
        </is>
      </c>
      <c r="G18" s="31" t="inlineStr">
        <is>
          <t>midcap</t>
        </is>
      </c>
      <c r="H18" s="32" t="n">
        <v>12059.09</v>
      </c>
      <c r="I18" s="32" t="n">
        <v>1502.6</v>
      </c>
      <c r="J18" s="32" t="n">
        <v>0.41</v>
      </c>
      <c r="K18" s="32" t="n">
        <v>548586</v>
      </c>
      <c r="L18" s="31" t="n">
        <v>93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73.48</v>
      </c>
      <c r="P18" s="32" t="n">
        <v>62.36</v>
      </c>
      <c r="Q18" s="32" t="n">
        <v>1103.85</v>
      </c>
      <c r="R18" s="31" t="inlineStr">
        <is>
          <t>Near 52W High Breakout</t>
        </is>
      </c>
      <c r="S18" s="31" t="inlineStr">
        <is>
          <t>Nifty 50</t>
        </is>
      </c>
      <c r="T18" s="32" t="n">
        <v>-2.57</v>
      </c>
      <c r="U18" s="32" t="n">
        <v>119.64</v>
      </c>
      <c r="V18" s="32" t="n">
        <v>125.42</v>
      </c>
      <c r="W18" s="32" t="n">
        <v>38.18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IF(B19=0,"",RANK(B19,$B$2:$B$368,0))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BIRLACABLE</t>
        </is>
      </c>
      <c r="D19" s="31" t="inlineStr">
        <is>
          <t>Birla Cable Limited</t>
        </is>
      </c>
      <c r="E19" s="31" t="inlineStr">
        <is>
          <t>industrials</t>
        </is>
      </c>
      <c r="F19" s="31" t="inlineStr">
        <is>
          <t>cables - telephone</t>
        </is>
      </c>
      <c r="G19" s="31" t="inlineStr">
        <is>
          <t>smallcap</t>
        </is>
      </c>
      <c r="H19" s="32" t="n">
        <v>854.3099999999999</v>
      </c>
      <c r="I19" s="32" t="n">
        <v>284</v>
      </c>
      <c r="J19" s="32" t="n">
        <v>-0.27</v>
      </c>
      <c r="K19" s="32" t="n">
        <v>20491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71.2</v>
      </c>
      <c r="P19" s="32" t="n">
        <v>46.66</v>
      </c>
      <c r="Q19" s="32" t="n">
        <v>205.77</v>
      </c>
      <c r="R19" s="31" t="inlineStr">
        <is>
          <t>Near 52W High Breakout</t>
        </is>
      </c>
      <c r="S19" s="31" t="inlineStr">
        <is>
          <t>Nifty Infra</t>
        </is>
      </c>
      <c r="T19" s="32" t="inlineStr"/>
      <c r="U19" s="32" t="inlineStr"/>
      <c r="V19" s="32" t="inlineStr"/>
      <c r="W19" s="32" t="inlineStr"/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IF(B20=0,"",RANK(B20,$B$2:$B$368,0))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FILATEX</t>
        </is>
      </c>
      <c r="D20" s="31" t="inlineStr">
        <is>
          <t>Filatex India Limited</t>
        </is>
      </c>
      <c r="E20" s="31" t="inlineStr">
        <is>
          <t>textiles</t>
        </is>
      </c>
      <c r="F20" s="31" t="inlineStr">
        <is>
          <t>textiles - manmade</t>
        </is>
      </c>
      <c r="G20" s="31" t="inlineStr">
        <is>
          <t>smallcap</t>
        </is>
      </c>
      <c r="H20" s="32" t="n">
        <v>3692.35</v>
      </c>
      <c r="I20" s="32" t="n">
        <v>81.98999999999999</v>
      </c>
      <c r="J20" s="32" t="n">
        <v>-1.4</v>
      </c>
      <c r="K20" s="32" t="n">
        <v>393127</v>
      </c>
      <c r="L20" s="31" t="n">
        <v>90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73.48</v>
      </c>
      <c r="P20" s="32" t="n">
        <v>37.49</v>
      </c>
      <c r="Q20" s="32" t="n">
        <v>62.78</v>
      </c>
      <c r="R20" s="31" t="inlineStr">
        <is>
          <t>Near 52W High Breakout</t>
        </is>
      </c>
      <c r="S20" s="31" t="inlineStr">
        <is>
          <t>Nifty 50</t>
        </is>
      </c>
      <c r="T20" s="32" t="n">
        <v>-2.57</v>
      </c>
      <c r="U20" s="32" t="n">
        <v>53.97</v>
      </c>
      <c r="V20" s="32" t="n">
        <v>58.03</v>
      </c>
      <c r="W20" s="32" t="n">
        <v>33.28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Between 12 to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IF(B21=0,"",RANK(B21,$B$2:$B$368,0))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SREEL</t>
        </is>
      </c>
      <c r="D21" s="31" t="inlineStr">
        <is>
          <t>Sreeleathers Limited</t>
        </is>
      </c>
      <c r="E21" s="31" t="inlineStr">
        <is>
          <t>consumer discretionary</t>
        </is>
      </c>
      <c r="F21" s="31" t="inlineStr">
        <is>
          <t>trading</t>
        </is>
      </c>
      <c r="G21" s="31" t="inlineStr">
        <is>
          <t>smallcap</t>
        </is>
      </c>
      <c r="H21" s="32" t="n">
        <v>574.87</v>
      </c>
      <c r="I21" s="32" t="n">
        <v>244</v>
      </c>
      <c r="J21" s="32" t="n">
        <v>-1.72</v>
      </c>
      <c r="K21" s="32" t="n">
        <v>2327</v>
      </c>
      <c r="L21" s="31" t="n">
        <v>33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68.19</v>
      </c>
      <c r="P21" s="32" t="n">
        <v>43.17</v>
      </c>
      <c r="Q21" s="32" t="n">
        <v>189.56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-2.57</v>
      </c>
      <c r="U21" s="32" t="n">
        <v>5.29</v>
      </c>
      <c r="V21" s="32" t="n">
        <v>8.06</v>
      </c>
      <c r="W21" s="32" t="n">
        <v>8.029999999999999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IF(B22=0,"",RANK(B22,$B$2:$B$368,0))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ICIL</t>
        </is>
      </c>
      <c r="D22" s="31" t="inlineStr">
        <is>
          <t>Indo Count Industries Limited</t>
        </is>
      </c>
      <c r="E22" s="31" t="inlineStr">
        <is>
          <t>textiles</t>
        </is>
      </c>
      <c r="F22" s="31" t="inlineStr">
        <is>
          <t>textiles - cotton/blended</t>
        </is>
      </c>
      <c r="G22" s="31" t="inlineStr">
        <is>
          <t>midcap</t>
        </is>
      </c>
      <c r="H22" s="32" t="n">
        <v>8789.65</v>
      </c>
      <c r="I22" s="32" t="n">
        <v>434.4</v>
      </c>
      <c r="J22" s="32" t="n">
        <v>-2.12</v>
      </c>
      <c r="K22" s="32" t="n">
        <v>338408</v>
      </c>
      <c r="L22" s="31" t="n">
        <v>76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66.01000000000001</v>
      </c>
      <c r="P22" s="32" t="n">
        <v>55.27</v>
      </c>
      <c r="Q22" s="32" t="n">
        <v>310.78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-2.57</v>
      </c>
      <c r="U22" s="32" t="n">
        <v>73.23999999999999</v>
      </c>
      <c r="V22" s="32" t="n">
        <v>77.81</v>
      </c>
      <c r="W22" s="32" t="n">
        <v>21.83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IF(B23=0,"",RANK(B23,$B$2:$B$368,0))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FCL</t>
        </is>
      </c>
      <c r="D23" s="31" t="inlineStr">
        <is>
          <t>Fineotex Chemical Limited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midcap</t>
        </is>
      </c>
      <c r="H23" s="32" t="n">
        <v>5237.93</v>
      </c>
      <c r="I23" s="32" t="n">
        <v>43.33</v>
      </c>
      <c r="J23" s="32" t="n">
        <v>-3.67</v>
      </c>
      <c r="K23" s="32" t="n">
        <v>2687995</v>
      </c>
      <c r="L23" s="31" t="n">
        <v>70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67.59999999999999</v>
      </c>
      <c r="P23" s="32" t="n">
        <v>50.24</v>
      </c>
      <c r="Q23" s="32" t="n">
        <v>30.8</v>
      </c>
      <c r="R23" s="31" t="inlineStr">
        <is>
          <t>Near 52W High Breakout</t>
        </is>
      </c>
      <c r="S23" s="31" t="inlineStr">
        <is>
          <t>Nifty 50</t>
        </is>
      </c>
      <c r="T23" s="32" t="n">
        <v>-2.57</v>
      </c>
      <c r="U23" s="32" t="n">
        <v>71.58</v>
      </c>
      <c r="V23" s="32" t="n">
        <v>76.09999999999999</v>
      </c>
      <c r="W23" s="32" t="n">
        <v>18.73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IF(B24=0,"",RANK(B24,$B$2:$B$368,0))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AKUMS</t>
        </is>
      </c>
      <c r="D24" s="31" t="inlineStr">
        <is>
          <t>Akums Drugs &amp; Pharmaceuticals Ltd</t>
        </is>
      </c>
      <c r="E24" s="31" t="inlineStr">
        <is>
          <t>healthcare</t>
        </is>
      </c>
      <c r="F24" s="31" t="inlineStr">
        <is>
          <t>pharmaceuticals - indian - bulk drugs &amp; formln</t>
        </is>
      </c>
      <c r="G24" s="31" t="inlineStr">
        <is>
          <t>midcap</t>
        </is>
      </c>
      <c r="H24" s="32" t="n">
        <v>11856.49</v>
      </c>
      <c r="I24" s="32" t="n">
        <v>753</v>
      </c>
      <c r="J24" s="32" t="n">
        <v>-0.04</v>
      </c>
      <c r="K24" s="32" t="n">
        <v>153306</v>
      </c>
      <c r="L24" s="31" t="n">
        <v>72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73.27</v>
      </c>
      <c r="P24" s="32" t="n">
        <v>54.28</v>
      </c>
      <c r="Q24" s="32" t="n">
        <v>605.63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18.64</v>
      </c>
      <c r="U24" s="32" t="n">
        <v>57.58</v>
      </c>
      <c r="V24" s="32" t="n">
        <v>32.82</v>
      </c>
      <c r="W24" s="32" t="n">
        <v>20.18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IF(B25=0,"",RANK(B25,$B$2:$B$368,0))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RADICO</t>
        </is>
      </c>
      <c r="D25" s="31" t="inlineStr">
        <is>
          <t>Radico Khaitan Limited</t>
        </is>
      </c>
      <c r="E25" s="31" t="inlineStr">
        <is>
          <t>fmcg</t>
        </is>
      </c>
      <c r="F25" s="31" t="inlineStr">
        <is>
          <t>breweries &amp; distilleries</t>
        </is>
      </c>
      <c r="G25" s="31" t="inlineStr">
        <is>
          <t>largecap</t>
        </is>
      </c>
      <c r="H25" s="32" t="n">
        <v>62894.16</v>
      </c>
      <c r="I25" s="32" t="n">
        <v>4694.1</v>
      </c>
      <c r="J25" s="32" t="n">
        <v>-0.04</v>
      </c>
      <c r="K25" s="32" t="n">
        <v>110293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87.40000000000001</v>
      </c>
      <c r="P25" s="32" t="n">
        <v>65.56</v>
      </c>
      <c r="Q25" s="32" t="n">
        <v>4050.73</v>
      </c>
      <c r="R25" s="31" t="inlineStr">
        <is>
          <t>Near 52W High Breakout</t>
        </is>
      </c>
      <c r="S25" s="31" t="inlineStr">
        <is>
          <t>Nifty FMCG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IF(B26=0,"",RANK(B26,$B$2:$B$368,0))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MPSLTD</t>
        </is>
      </c>
      <c r="D26" s="31" t="inlineStr">
        <is>
          <t>Mps Limited</t>
        </is>
      </c>
      <c r="E26" s="31" t="inlineStr">
        <is>
          <t>i.t</t>
        </is>
      </c>
      <c r="F26" s="31" t="inlineStr">
        <is>
          <t>computers - software - medium / small</t>
        </is>
      </c>
      <c r="G26" s="31" t="inlineStr">
        <is>
          <t>midcap</t>
        </is>
      </c>
      <c r="H26" s="32" t="n">
        <v>5011.32</v>
      </c>
      <c r="I26" s="32" t="n">
        <v>2915.2</v>
      </c>
      <c r="J26" s="32" t="n">
        <v>-0.49</v>
      </c>
      <c r="K26" s="32" t="n">
        <v>11104</v>
      </c>
      <c r="L26" s="31" t="n">
        <v>76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73.56999999999999</v>
      </c>
      <c r="P26" s="32" t="n">
        <v>39.36</v>
      </c>
      <c r="Q26" s="32" t="n">
        <v>2304.55</v>
      </c>
      <c r="R26" s="31" t="inlineStr">
        <is>
          <t>Near 52W High Breakout</t>
        </is>
      </c>
      <c r="S26" s="31" t="inlineStr">
        <is>
          <t>Nifty IT</t>
        </is>
      </c>
      <c r="T26" s="32" t="n">
        <v>-13.45</v>
      </c>
      <c r="U26" s="32" t="n">
        <v>32.19</v>
      </c>
      <c r="V26" s="32" t="n">
        <v>52.74</v>
      </c>
      <c r="W26" s="32" t="n">
        <v>21.93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IF(B27=0,"",RANK(B27,$B$2:$B$368,0))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AJANTPHARM</t>
        </is>
      </c>
      <c r="D27" s="31" t="inlineStr">
        <is>
          <t>Ajanta Pharma Limited</t>
        </is>
      </c>
      <c r="E27" s="31" t="inlineStr">
        <is>
          <t>healthcare</t>
        </is>
      </c>
      <c r="F27" s="31" t="inlineStr">
        <is>
          <t>pharmaceuticals - indian - formulations</t>
        </is>
      </c>
      <c r="G27" s="31" t="inlineStr">
        <is>
          <t>largecap</t>
        </is>
      </c>
      <c r="H27" s="32" t="n">
        <v>46199.94</v>
      </c>
      <c r="I27" s="32" t="n">
        <v>3651.8</v>
      </c>
      <c r="J27" s="32" t="n">
        <v>-1.25</v>
      </c>
      <c r="K27" s="32" t="n">
        <v>19331</v>
      </c>
      <c r="L27" s="31" t="n">
        <v>48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74.16</v>
      </c>
      <c r="P27" s="32" t="n">
        <v>46.25</v>
      </c>
      <c r="Q27" s="32" t="n">
        <v>3087.52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18.64</v>
      </c>
      <c r="U27" s="32" t="n">
        <v>41.5</v>
      </c>
      <c r="V27" s="32" t="n">
        <v>19.27</v>
      </c>
      <c r="W27" s="32" t="n">
        <v>11.37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IF(B28=0,"",RANK(B28,$B$2:$B$368,0))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SHANTIGOLD</t>
        </is>
      </c>
      <c r="D28" s="31" t="inlineStr">
        <is>
          <t>Shanti Gold International Ltd</t>
        </is>
      </c>
      <c r="E28" s="31" t="inlineStr">
        <is>
          <t>consumer discretionary</t>
        </is>
      </c>
      <c r="F28" s="31" t="inlineStr">
        <is>
          <t>diamond cutting / jewellery</t>
        </is>
      </c>
      <c r="G28" s="31" t="inlineStr">
        <is>
          <t>smallcap</t>
        </is>
      </c>
      <c r="H28" s="32" t="n">
        <v>1742.92</v>
      </c>
      <c r="I28" s="32" t="n">
        <v>254.2</v>
      </c>
      <c r="J28" s="32" t="n">
        <v>5.15</v>
      </c>
      <c r="K28" s="32" t="n">
        <v>773919</v>
      </c>
      <c r="L28" s="31" t="n">
        <v>14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67.63</v>
      </c>
      <c r="P28" s="32" t="n">
        <v>33.99</v>
      </c>
      <c r="Q28" s="32" t="n">
        <v>190.07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-2.57</v>
      </c>
      <c r="U28" s="32" t="n">
        <v>3.18</v>
      </c>
      <c r="V28" s="32" t="n">
        <v>5.9</v>
      </c>
      <c r="W28" s="32" t="n">
        <v>3.11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IF(B29=0,"",RANK(B29,$B$2:$B$368,0))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MENONBE</t>
        </is>
      </c>
      <c r="D29" s="31" t="inlineStr">
        <is>
          <t>Menon Bearings Limited</t>
        </is>
      </c>
      <c r="E29" s="31" t="inlineStr">
        <is>
          <t>auto</t>
        </is>
      </c>
      <c r="F29" s="31" t="inlineStr">
        <is>
          <t>auto ancillaries</t>
        </is>
      </c>
      <c r="G29" s="31" t="inlineStr">
        <is>
          <t>smallcap</t>
        </is>
      </c>
      <c r="H29" s="32" t="n">
        <v>1489.94</v>
      </c>
      <c r="I29" s="32" t="n">
        <v>279.16</v>
      </c>
      <c r="J29" s="32" t="n">
        <v>5</v>
      </c>
      <c r="K29" s="32" t="n">
        <v>97651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82.95</v>
      </c>
      <c r="P29" s="32" t="n">
        <v>56.05</v>
      </c>
      <c r="Q29" s="32" t="n">
        <v>214.67</v>
      </c>
      <c r="R29" s="31" t="inlineStr">
        <is>
          <t>Near 52W High Breakout</t>
        </is>
      </c>
      <c r="S29" s="31" t="inlineStr">
        <is>
          <t>Nifty Auto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IF(B30=0,"",RANK(B30,$B$2:$B$368,0))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MODISONLTD</t>
        </is>
      </c>
      <c r="D30" s="31" t="inlineStr">
        <is>
          <t>Modison Ltd</t>
        </is>
      </c>
      <c r="E30" s="31" t="inlineStr">
        <is>
          <t>industrials</t>
        </is>
      </c>
      <c r="F30" s="31" t="inlineStr">
        <is>
          <t>electric equipment</t>
        </is>
      </c>
      <c r="G30" s="31" t="inlineStr">
        <is>
          <t>smallcap</t>
        </is>
      </c>
      <c r="H30" s="32" t="n">
        <v>1273.18</v>
      </c>
      <c r="I30" s="32" t="n">
        <v>408</v>
      </c>
      <c r="J30" s="32" t="n">
        <v>3.99</v>
      </c>
      <c r="K30" s="32" t="n">
        <v>99064</v>
      </c>
      <c r="L30" s="31" t="n">
        <v>98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76.12</v>
      </c>
      <c r="P30" s="32" t="n">
        <v>58.12</v>
      </c>
      <c r="Q30" s="32" t="n">
        <v>300.66</v>
      </c>
      <c r="R30" s="31" t="inlineStr">
        <is>
          <t>Volume Spike &amp; Near 52W High Breakout</t>
        </is>
      </c>
      <c r="S30" s="31" t="inlineStr">
        <is>
          <t>Nifty 50</t>
        </is>
      </c>
      <c r="T30" s="32" t="n">
        <v>-2.57</v>
      </c>
      <c r="U30" s="32" t="n">
        <v>160.34</v>
      </c>
      <c r="V30" s="32" t="n">
        <v>167.19</v>
      </c>
      <c r="W30" s="32" t="n">
        <v>56.65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IF(B31=0,"",RANK(B31,$B$2:$B$368,0))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REDINGTON</t>
        </is>
      </c>
      <c r="D31" s="31" t="inlineStr">
        <is>
          <t>Redington (india) Limited</t>
        </is>
      </c>
      <c r="E31" s="31" t="inlineStr">
        <is>
          <t>services</t>
        </is>
      </c>
      <c r="F31" s="31" t="inlineStr">
        <is>
          <t>trading</t>
        </is>
      </c>
      <c r="G31" s="31" t="inlineStr">
        <is>
          <t>largecap</t>
        </is>
      </c>
      <c r="H31" s="32" t="n">
        <v>26193.35</v>
      </c>
      <c r="I31" s="32" t="n">
        <v>348.25</v>
      </c>
      <c r="J31" s="32" t="n">
        <v>3.94</v>
      </c>
      <c r="K31" s="32" t="n">
        <v>4120685</v>
      </c>
      <c r="L31" s="31" t="n">
        <v>79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68.23999999999999</v>
      </c>
      <c r="P31" s="32" t="n">
        <v>35.06</v>
      </c>
      <c r="Q31" s="32" t="n">
        <v>271.93</v>
      </c>
      <c r="R31" s="31" t="inlineStr">
        <is>
          <t>Near 52W High Breakout</t>
        </is>
      </c>
      <c r="S31" s="31" t="inlineStr">
        <is>
          <t>Nifty 50</t>
        </is>
      </c>
      <c r="T31" s="32" t="n">
        <v>-2.57</v>
      </c>
      <c r="U31" s="32" t="n">
        <v>46.22</v>
      </c>
      <c r="V31" s="32" t="n">
        <v>50.07</v>
      </c>
      <c r="W31" s="32" t="n">
        <v>23.03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IF(B32=0,"",RANK(B32,$B$2:$B$368,0))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UFBL</t>
        </is>
      </c>
      <c r="D32" s="31" t="inlineStr">
        <is>
          <t>United Foodbrands Ltd</t>
        </is>
      </c>
      <c r="E32" s="31" t="inlineStr">
        <is>
          <t>consumer discretionary</t>
        </is>
      </c>
      <c r="F32" s="31" t="inlineStr">
        <is>
          <t>hotels</t>
        </is>
      </c>
      <c r="G32" s="31" t="inlineStr">
        <is>
          <t>smallcap</t>
        </is>
      </c>
      <c r="H32" s="32" t="n">
        <v>3046</v>
      </c>
      <c r="I32" s="32" t="n">
        <v>805</v>
      </c>
      <c r="J32" s="32" t="n">
        <v>3.3</v>
      </c>
      <c r="K32" s="32" t="n">
        <v>51580</v>
      </c>
      <c r="L32" s="31" t="n">
        <v>96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74.84999999999999</v>
      </c>
      <c r="P32" s="32" t="n">
        <v>56.64</v>
      </c>
      <c r="Q32" s="32" t="n">
        <v>587.92</v>
      </c>
      <c r="R32" s="31" t="inlineStr">
        <is>
          <t>Near 52W High Breakout</t>
        </is>
      </c>
      <c r="S32" s="31" t="inlineStr">
        <is>
          <t>Nifty 50</t>
        </is>
      </c>
      <c r="T32" s="32" t="n">
        <v>-2.57</v>
      </c>
      <c r="U32" s="32" t="n">
        <v>204.43</v>
      </c>
      <c r="V32" s="32" t="n">
        <v>212.45</v>
      </c>
      <c r="W32" s="32" t="n">
        <v>47.52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Between 1.5 to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More than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IF(B33=0,"",RANK(B33,$B$2:$B$368,0))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WSTCSTPAPR</t>
        </is>
      </c>
      <c r="D33" s="31" t="inlineStr">
        <is>
          <t>West Coast Paper Mills Limited</t>
        </is>
      </c>
      <c r="E33" s="31" t="inlineStr">
        <is>
          <t>building materials</t>
        </is>
      </c>
      <c r="F33" s="31" t="inlineStr">
        <is>
          <t>paper</t>
        </is>
      </c>
      <c r="G33" s="31" t="inlineStr">
        <is>
          <t>smallcap</t>
        </is>
      </c>
      <c r="H33" s="32" t="n">
        <v>4062.34</v>
      </c>
      <c r="I33" s="32" t="n">
        <v>634.15</v>
      </c>
      <c r="J33" s="32" t="n">
        <v>3.11</v>
      </c>
      <c r="K33" s="32" t="n">
        <v>56621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72.81999999999999</v>
      </c>
      <c r="P33" s="32" t="n">
        <v>43.67</v>
      </c>
      <c r="Q33" s="32" t="n">
        <v>504.75</v>
      </c>
      <c r="R33" s="31" t="inlineStr">
        <is>
          <t>Near 52W High Breakout</t>
        </is>
      </c>
      <c r="S33" s="31" t="inlineStr">
        <is>
          <t>Nifty Infra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IF(B34=0,"",RANK(B34,$B$2:$B$368,0))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ADOR</t>
        </is>
      </c>
      <c r="D34" s="31" t="inlineStr">
        <is>
          <t>Ador Welding Ltd</t>
        </is>
      </c>
      <c r="E34" s="31" t="inlineStr">
        <is>
          <t>industrials</t>
        </is>
      </c>
      <c r="F34" s="31" t="inlineStr">
        <is>
          <t>electrodes - welding equipment</t>
        </is>
      </c>
      <c r="G34" s="31" t="inlineStr">
        <is>
          <t>smallcap</t>
        </is>
      </c>
      <c r="H34" s="32" t="n">
        <v>2844.66</v>
      </c>
      <c r="I34" s="32" t="n">
        <v>1684</v>
      </c>
      <c r="J34" s="32" t="n">
        <v>3.02</v>
      </c>
      <c r="K34" s="32" t="n">
        <v>55372</v>
      </c>
      <c r="L34" s="31" t="n">
        <v>84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85.93000000000001</v>
      </c>
      <c r="P34" s="32" t="n">
        <v>55.59</v>
      </c>
      <c r="Q34" s="32" t="n">
        <v>1374.22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-2.57</v>
      </c>
      <c r="U34" s="32" t="n">
        <v>87.09</v>
      </c>
      <c r="V34" s="32" t="n">
        <v>92.02</v>
      </c>
      <c r="W34" s="32" t="n">
        <v>27.37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IF(B35=0,"",RANK(B35,$B$2:$B$368,0))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UNIVASTU</t>
        </is>
      </c>
      <c r="D35" s="31" t="inlineStr">
        <is>
          <t>Univastu India Ltd</t>
        </is>
      </c>
      <c r="E35" s="31" t="inlineStr">
        <is>
          <t>realty</t>
        </is>
      </c>
      <c r="F35" s="31" t="inlineStr">
        <is>
          <t>construction</t>
        </is>
      </c>
      <c r="G35" s="31" t="inlineStr">
        <is>
          <t>smallcap</t>
        </is>
      </c>
      <c r="H35" s="32" t="n">
        <v>635.0599999999999</v>
      </c>
      <c r="I35" s="32" t="n">
        <v>172</v>
      </c>
      <c r="J35" s="32" t="n">
        <v>2.35</v>
      </c>
      <c r="K35" s="32" t="n">
        <v>83209</v>
      </c>
      <c r="L35" s="31" t="n">
        <v>98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90.20999999999999</v>
      </c>
      <c r="P35" s="32" t="n">
        <v>71.62</v>
      </c>
      <c r="Q35" s="32" t="n">
        <v>134.17</v>
      </c>
      <c r="R35" s="31" t="inlineStr">
        <is>
          <t>Near 52W High Breakout</t>
        </is>
      </c>
      <c r="S35" s="31" t="inlineStr">
        <is>
          <t>Nifty Realty</t>
        </is>
      </c>
      <c r="T35" s="32" t="n">
        <v>-4.49</v>
      </c>
      <c r="U35" s="32" t="n">
        <v>91.89</v>
      </c>
      <c r="V35" s="32" t="n">
        <v>100.9</v>
      </c>
      <c r="W35" s="32" t="n">
        <v>55.76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IF(B36=0,"",RANK(B36,$B$2:$B$368,0))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KPIL</t>
        </is>
      </c>
      <c r="D36" s="31" t="inlineStr">
        <is>
          <t>Kalpataru Projects International Ltd</t>
        </is>
      </c>
      <c r="E36" s="31" t="inlineStr">
        <is>
          <t>realty</t>
        </is>
      </c>
      <c r="F36" s="31" t="inlineStr">
        <is>
          <t>transmisson line towers / equipment</t>
        </is>
      </c>
      <c r="G36" s="31" t="inlineStr">
        <is>
          <t>largecap</t>
        </is>
      </c>
      <c r="H36" s="32" t="n">
        <v>23508.55</v>
      </c>
      <c r="I36" s="32" t="n">
        <v>1393</v>
      </c>
      <c r="J36" s="32" t="n">
        <v>1.19</v>
      </c>
      <c r="K36" s="32" t="n">
        <v>32992</v>
      </c>
      <c r="L36" s="31" t="n">
        <v>29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64.11</v>
      </c>
      <c r="P36" s="32" t="n">
        <v>31.31</v>
      </c>
      <c r="Q36" s="32" t="n">
        <v>1134.34</v>
      </c>
      <c r="R36" s="31" t="inlineStr">
        <is>
          <t>Near 52W High Breakout</t>
        </is>
      </c>
      <c r="S36" s="31" t="inlineStr">
        <is>
          <t>Nifty Realty</t>
        </is>
      </c>
      <c r="T36" s="32" t="n">
        <v>-4.49</v>
      </c>
      <c r="U36" s="32" t="n">
        <v>21.42</v>
      </c>
      <c r="V36" s="32" t="n">
        <v>27.12</v>
      </c>
      <c r="W36" s="32" t="n">
        <v>6.92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IF(B37=0,"",RANK(B37,$B$2:$B$368,0))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APARINDS</t>
        </is>
      </c>
      <c r="D37" s="31" t="inlineStr">
        <is>
          <t>Apar Industries Limited</t>
        </is>
      </c>
      <c r="E37" s="31" t="inlineStr">
        <is>
          <t>industrials</t>
        </is>
      </c>
      <c r="F37" s="31" t="inlineStr">
        <is>
          <t>electric equipment</t>
        </is>
      </c>
      <c r="G37" s="31" t="inlineStr">
        <is>
          <t>largecap</t>
        </is>
      </c>
      <c r="H37" s="32" t="n">
        <v>66749.49000000001</v>
      </c>
      <c r="I37" s="32" t="n">
        <v>16784</v>
      </c>
      <c r="J37" s="32" t="n">
        <v>1.02</v>
      </c>
      <c r="K37" s="32" t="n">
        <v>45660</v>
      </c>
      <c r="L37" s="31" t="n">
        <v>76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71.81999999999999</v>
      </c>
      <c r="P37" s="32" t="n">
        <v>42.46</v>
      </c>
      <c r="Q37" s="32" t="n">
        <v>12653.43</v>
      </c>
      <c r="R37" s="31" t="inlineStr">
        <is>
          <t>Near 52W High Breakout</t>
        </is>
      </c>
      <c r="S37" s="31" t="inlineStr">
        <is>
          <t>Nifty 50</t>
        </is>
      </c>
      <c r="T37" s="32" t="n">
        <v>-2.57</v>
      </c>
      <c r="U37" s="32" t="n">
        <v>104.82</v>
      </c>
      <c r="V37" s="32" t="n">
        <v>110.22</v>
      </c>
      <c r="W37" s="32" t="n">
        <v>22.15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IF(B38=0,"",RANK(B38,$B$2:$B$368,0))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BAJAJ-AUTO</t>
        </is>
      </c>
      <c r="D38" s="31" t="inlineStr">
        <is>
          <t>Bajaj Auto Limited</t>
        </is>
      </c>
      <c r="E38" s="31" t="inlineStr">
        <is>
          <t>auto</t>
        </is>
      </c>
      <c r="F38" s="31" t="inlineStr">
        <is>
          <t>automobiles - scooters and 3 - wheelers</t>
        </is>
      </c>
      <c r="G38" s="31" t="inlineStr">
        <is>
          <t>largecap</t>
        </is>
      </c>
      <c r="H38" s="32" t="n">
        <v>325475.23</v>
      </c>
      <c r="I38" s="32" t="n">
        <v>11725</v>
      </c>
      <c r="J38" s="32" t="n">
        <v>0.6899999999999999</v>
      </c>
      <c r="K38" s="32" t="n">
        <v>48223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73.98</v>
      </c>
      <c r="P38" s="32" t="n">
        <v>23.99</v>
      </c>
      <c r="Q38" s="32" t="n">
        <v>10345.9</v>
      </c>
      <c r="R38" s="31" t="inlineStr">
        <is>
          <t>Near 52W High Breakout</t>
        </is>
      </c>
      <c r="S38" s="31" t="inlineStr">
        <is>
          <t>Nifty Auto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IF(B39=0,"",RANK(B39,$B$2:$B$368,0))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ATHERENERG</t>
        </is>
      </c>
      <c r="D39" s="31" t="inlineStr">
        <is>
          <t>Ather Energy Ltd</t>
        </is>
      </c>
      <c r="E39" s="31" t="inlineStr">
        <is>
          <t>auto</t>
        </is>
      </c>
      <c r="F39" s="31" t="inlineStr">
        <is>
          <t>automobiles - scooters and 3 - wheelers</t>
        </is>
      </c>
      <c r="G39" s="31" t="inlineStr">
        <is>
          <t>largecap</t>
        </is>
      </c>
      <c r="H39" s="32" t="n">
        <v>56683.1</v>
      </c>
      <c r="I39" s="32" t="n">
        <v>1445</v>
      </c>
      <c r="J39" s="32" t="n">
        <v>0.47</v>
      </c>
      <c r="K39" s="32" t="n">
        <v>518082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74.88</v>
      </c>
      <c r="P39" s="32" t="n">
        <v>61.33</v>
      </c>
      <c r="Q39" s="32" t="n">
        <v>1170.92</v>
      </c>
      <c r="R39" s="31" t="inlineStr">
        <is>
          <t>Near 52W High Breakout</t>
        </is>
      </c>
      <c r="S39" s="31" t="inlineStr">
        <is>
          <t>Nifty Auto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IF(B40=0,"",RANK(B40,$B$2:$B$368,0))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NITINSPIN</t>
        </is>
      </c>
      <c r="D40" s="31" t="inlineStr">
        <is>
          <t>Nitin Spinners Limited</t>
        </is>
      </c>
      <c r="E40" s="31" t="inlineStr">
        <is>
          <t>textiles</t>
        </is>
      </c>
      <c r="F40" s="31" t="inlineStr">
        <is>
          <t>textiles - cotton/blended</t>
        </is>
      </c>
      <c r="G40" s="31" t="inlineStr">
        <is>
          <t>smallcap</t>
        </is>
      </c>
      <c r="H40" s="32" t="n">
        <v>3280.72</v>
      </c>
      <c r="I40" s="32" t="n">
        <v>586.25</v>
      </c>
      <c r="J40" s="32" t="n">
        <v>0.46</v>
      </c>
      <c r="K40" s="32" t="n">
        <v>30645</v>
      </c>
      <c r="L40" s="31" t="n">
        <v>60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68.47</v>
      </c>
      <c r="P40" s="32" t="n">
        <v>67.19</v>
      </c>
      <c r="Q40" s="32" t="n">
        <v>450.35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-2.57</v>
      </c>
      <c r="U40" s="32" t="n">
        <v>68.79000000000001</v>
      </c>
      <c r="V40" s="32" t="n">
        <v>73.23999999999999</v>
      </c>
      <c r="W40" s="32" t="n">
        <v>15.18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IF(B41=0,"",RANK(B41,$B$2:$B$368,0))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POLYPLEX</t>
        </is>
      </c>
      <c r="D41" s="31" t="inlineStr">
        <is>
          <t>Polyplex Corporation Limited</t>
        </is>
      </c>
      <c r="E41" s="31" t="inlineStr">
        <is>
          <t>industrials</t>
        </is>
      </c>
      <c r="F41" s="31" t="inlineStr">
        <is>
          <t>packaging</t>
        </is>
      </c>
      <c r="G41" s="31" t="inlineStr">
        <is>
          <t>smallcap</t>
        </is>
      </c>
      <c r="H41" s="32" t="n">
        <v>3678.88</v>
      </c>
      <c r="I41" s="32" t="n">
        <v>1177</v>
      </c>
      <c r="J41" s="32" t="n">
        <v>0.44</v>
      </c>
      <c r="K41" s="32" t="n">
        <v>10656</v>
      </c>
      <c r="L41" s="31" t="n">
        <v>34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70.59</v>
      </c>
      <c r="P41" s="32" t="n">
        <v>51.83</v>
      </c>
      <c r="Q41" s="32" t="n">
        <v>955.13</v>
      </c>
      <c r="R41" s="31" t="inlineStr">
        <is>
          <t>Near 52W High Breakout</t>
        </is>
      </c>
      <c r="S41" s="31" t="inlineStr">
        <is>
          <t>Nifty 50</t>
        </is>
      </c>
      <c r="T41" s="32" t="n">
        <v>-2.57</v>
      </c>
      <c r="U41" s="32" t="n">
        <v>15.94</v>
      </c>
      <c r="V41" s="32" t="n">
        <v>18.99</v>
      </c>
      <c r="W41" s="32" t="n">
        <v>8.25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IF(B42=0,"",RANK(B42,$B$2:$B$368,0))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OCCLLTD</t>
        </is>
      </c>
      <c r="D42" s="31" t="inlineStr">
        <is>
          <t>OCCL Ltd</t>
        </is>
      </c>
      <c r="E42" s="31" t="inlineStr">
        <is>
          <t>chemicals</t>
        </is>
      </c>
      <c r="F42" s="31" t="inlineStr">
        <is>
          <t>chemicals</t>
        </is>
      </c>
      <c r="G42" s="31" t="inlineStr">
        <is>
          <t>smallcap</t>
        </is>
      </c>
      <c r="H42" s="32" t="n">
        <v>824.88</v>
      </c>
      <c r="I42" s="32" t="n">
        <v>165.05</v>
      </c>
      <c r="J42" s="32" t="n">
        <v>-0.05</v>
      </c>
      <c r="K42" s="32" t="n">
        <v>13866</v>
      </c>
      <c r="L42" s="31" t="n">
        <v>62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76.93000000000001</v>
      </c>
      <c r="P42" s="32" t="n">
        <v>42.23</v>
      </c>
      <c r="Q42" s="32" t="n">
        <v>120.55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-2.57</v>
      </c>
      <c r="U42" s="32" t="n">
        <v>22.56</v>
      </c>
      <c r="V42" s="32" t="n">
        <v>25.79</v>
      </c>
      <c r="W42" s="32" t="n">
        <v>15.82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IF(B43=0,"",RANK(B43,$B$2:$B$368,0))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SJS</t>
        </is>
      </c>
      <c r="D43" s="31" t="inlineStr">
        <is>
          <t>S J S Enterprises Ltd</t>
        </is>
      </c>
      <c r="E43" s="31" t="inlineStr">
        <is>
          <t>auto</t>
        </is>
      </c>
      <c r="F43" s="31" t="inlineStr">
        <is>
          <t>plastics products</t>
        </is>
      </c>
      <c r="G43" s="31" t="inlineStr">
        <is>
          <t>midcap</t>
        </is>
      </c>
      <c r="H43" s="32" t="n">
        <v>8026.89</v>
      </c>
      <c r="I43" s="32" t="n">
        <v>2497</v>
      </c>
      <c r="J43" s="32" t="n">
        <v>-0.44</v>
      </c>
      <c r="K43" s="32" t="n">
        <v>26533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71.48999999999999</v>
      </c>
      <c r="P43" s="32" t="n">
        <v>45.03</v>
      </c>
      <c r="Q43" s="32" t="n">
        <v>2035.91</v>
      </c>
      <c r="R43" s="31" t="inlineStr">
        <is>
          <t>Near 52W High Breakout</t>
        </is>
      </c>
      <c r="S43" s="31" t="inlineStr">
        <is>
          <t>Nifty Auto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IF(B44=0,"",RANK(B44,$B$2:$B$368,0))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UNIVCABLES</t>
        </is>
      </c>
      <c r="D44" s="31" t="inlineStr">
        <is>
          <t>Universal Cables Limited</t>
        </is>
      </c>
      <c r="E44" s="31" t="inlineStr">
        <is>
          <t>industrials</t>
        </is>
      </c>
      <c r="F44" s="31" t="inlineStr">
        <is>
          <t>cables - power</t>
        </is>
      </c>
      <c r="G44" s="31" t="inlineStr">
        <is>
          <t>midcap</t>
        </is>
      </c>
      <c r="H44" s="32" t="n">
        <v>5766.37</v>
      </c>
      <c r="I44" s="32" t="n">
        <v>1648.1</v>
      </c>
      <c r="J44" s="32" t="n">
        <v>-0.84</v>
      </c>
      <c r="K44" s="32" t="n">
        <v>20265</v>
      </c>
      <c r="L44" s="31" t="n">
        <v>95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76.81</v>
      </c>
      <c r="P44" s="32" t="n">
        <v>58.83</v>
      </c>
      <c r="Q44" s="32" t="n">
        <v>1186.95</v>
      </c>
      <c r="R44" s="31" t="inlineStr">
        <is>
          <t>Near 52W High Breakout</t>
        </is>
      </c>
      <c r="S44" s="31" t="inlineStr">
        <is>
          <t>Nifty Energy</t>
        </is>
      </c>
      <c r="T44" s="32" t="n">
        <v>8.23</v>
      </c>
      <c r="U44" s="32" t="n">
        <v>122.53</v>
      </c>
      <c r="V44" s="32" t="n">
        <v>105.61</v>
      </c>
      <c r="W44" s="32" t="n">
        <v>43.07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IF(B45=0,"",RANK(B45,$B$2:$B$368,0))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UNIPARTS</t>
        </is>
      </c>
      <c r="D45" s="31" t="inlineStr">
        <is>
          <t>Uniparts India Ltd</t>
        </is>
      </c>
      <c r="E45" s="31" t="inlineStr">
        <is>
          <t>industrials</t>
        </is>
      </c>
      <c r="F45" s="31" t="inlineStr">
        <is>
          <t>engineering</t>
        </is>
      </c>
      <c r="G45" s="31" t="inlineStr">
        <is>
          <t>smallcap</t>
        </is>
      </c>
      <c r="H45" s="32" t="n">
        <v>3701.74</v>
      </c>
      <c r="I45" s="32" t="n">
        <v>808</v>
      </c>
      <c r="J45" s="32" t="n">
        <v>-1.46</v>
      </c>
      <c r="K45" s="32" t="n">
        <v>22401</v>
      </c>
      <c r="L45" s="31" t="n">
        <v>82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78.17</v>
      </c>
      <c r="P45" s="32" t="n">
        <v>63.76</v>
      </c>
      <c r="Q45" s="32" t="n">
        <v>656.0599999999999</v>
      </c>
      <c r="R45" s="31" t="inlineStr">
        <is>
          <t>Near 52W High Breakout</t>
        </is>
      </c>
      <c r="S45" s="31" t="inlineStr">
        <is>
          <t>Nifty 50</t>
        </is>
      </c>
      <c r="T45" s="32" t="n">
        <v>-2.57</v>
      </c>
      <c r="U45" s="32" t="n">
        <v>106.36</v>
      </c>
      <c r="V45" s="32" t="n">
        <v>111.8</v>
      </c>
      <c r="W45" s="32" t="n">
        <v>25.81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IF(B46=0,"",RANK(B46,$B$2:$B$368,0))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MSTCLTD</t>
        </is>
      </c>
      <c r="D46" s="31" t="inlineStr">
        <is>
          <t>MSTC Ltd</t>
        </is>
      </c>
      <c r="E46" s="31" t="inlineStr">
        <is>
          <t>i.t</t>
        </is>
      </c>
      <c r="F46" s="31" t="inlineStr">
        <is>
          <t>trading</t>
        </is>
      </c>
      <c r="G46" s="31" t="inlineStr">
        <is>
          <t>smallcap</t>
        </is>
      </c>
      <c r="H46" s="32" t="n">
        <v>4954.4</v>
      </c>
      <c r="I46" s="32" t="n">
        <v>692</v>
      </c>
      <c r="J46" s="32" t="n">
        <v>-1.67</v>
      </c>
      <c r="K46" s="32" t="n">
        <v>107328</v>
      </c>
      <c r="L46" s="31" t="n">
        <v>81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64.05</v>
      </c>
      <c r="P46" s="32" t="n">
        <v>39.38</v>
      </c>
      <c r="Q46" s="32" t="n">
        <v>534.45</v>
      </c>
      <c r="R46" s="31" t="inlineStr">
        <is>
          <t>Near 52W High Breakout</t>
        </is>
      </c>
      <c r="S46" s="31" t="inlineStr">
        <is>
          <t>Nifty IT</t>
        </is>
      </c>
      <c r="T46" s="32" t="n">
        <v>-13.45</v>
      </c>
      <c r="U46" s="32" t="n">
        <v>56.24</v>
      </c>
      <c r="V46" s="32" t="n">
        <v>80.52</v>
      </c>
      <c r="W46" s="32" t="n">
        <v>24.36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IF(B47=0,"",RANK(B47,$B$2:$B$368,0))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STYLAMIND</t>
        </is>
      </c>
      <c r="D47" s="31" t="inlineStr">
        <is>
          <t>Stylam Industries Ltd</t>
        </is>
      </c>
      <c r="E47" s="31" t="inlineStr">
        <is>
          <t>building materials</t>
        </is>
      </c>
      <c r="F47" s="31" t="inlineStr">
        <is>
          <t>miscellaneous</t>
        </is>
      </c>
      <c r="G47" s="31" t="inlineStr">
        <is>
          <t>midcap</t>
        </is>
      </c>
      <c r="H47" s="32" t="n">
        <v>6210.28</v>
      </c>
      <c r="I47" s="32" t="n">
        <v>3602.4</v>
      </c>
      <c r="J47" s="32" t="n">
        <v>-1.69</v>
      </c>
      <c r="K47" s="32" t="n">
        <v>6939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82.29000000000001</v>
      </c>
      <c r="P47" s="32" t="n">
        <v>74.22</v>
      </c>
      <c r="Q47" s="32" t="n">
        <v>2911.99</v>
      </c>
      <c r="R47" s="31" t="inlineStr">
        <is>
          <t>Near 52W High Breakout</t>
        </is>
      </c>
      <c r="S47" s="31" t="inlineStr">
        <is>
          <t>Nifty Infra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IF(B48=0,"",RANK(B48,$B$2:$B$368,0))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GNA</t>
        </is>
      </c>
      <c r="D48" s="31" t="inlineStr">
        <is>
          <t>Gna Axles Limited</t>
        </is>
      </c>
      <c r="E48" s="31" t="inlineStr">
        <is>
          <t>auto</t>
        </is>
      </c>
      <c r="F48" s="31" t="inlineStr">
        <is>
          <t>auto ancillaries</t>
        </is>
      </c>
      <c r="G48" s="31" t="inlineStr">
        <is>
          <t>smallcap</t>
        </is>
      </c>
      <c r="H48" s="32" t="n">
        <v>2477.75</v>
      </c>
      <c r="I48" s="32" t="n">
        <v>566.15</v>
      </c>
      <c r="J48" s="32" t="n">
        <v>-1.91</v>
      </c>
      <c r="K48" s="32" t="n">
        <v>104310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69.65000000000001</v>
      </c>
      <c r="P48" s="32" t="n">
        <v>35.07</v>
      </c>
      <c r="Q48" s="32" t="n">
        <v>420.63</v>
      </c>
      <c r="R48" s="31" t="inlineStr">
        <is>
          <t>Near 52W High Breakout</t>
        </is>
      </c>
      <c r="S48" s="31" t="inlineStr">
        <is>
          <t>Nifty Auto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IF(B49=0,"",RANK(B49,$B$2:$B$368,0))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SSWL</t>
        </is>
      </c>
      <c r="D49" s="31" t="inlineStr">
        <is>
          <t>Steel Strips Wheels Limited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smallcap</t>
        </is>
      </c>
      <c r="H49" s="32" t="n">
        <v>4964.54</v>
      </c>
      <c r="I49" s="32" t="n">
        <v>304.75</v>
      </c>
      <c r="J49" s="32" t="n">
        <v>-3.51</v>
      </c>
      <c r="K49" s="32" t="n">
        <v>137874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71.89</v>
      </c>
      <c r="P49" s="32" t="n">
        <v>32.34</v>
      </c>
      <c r="Q49" s="32" t="n">
        <v>249.99</v>
      </c>
      <c r="R49" s="31" t="inlineStr">
        <is>
          <t>Near 52W High Breakout</t>
        </is>
      </c>
      <c r="S49" s="31" t="inlineStr">
        <is>
          <t>Nifty Auto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IF(B50=0,"",RANK(B50,$B$2:$B$368,0))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INNOVACAP</t>
        </is>
      </c>
      <c r="D50" s="31" t="inlineStr">
        <is>
          <t>Innova Captab Ltd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midcap</t>
        </is>
      </c>
      <c r="H50" s="32" t="n">
        <v>5949.96</v>
      </c>
      <c r="I50" s="32" t="n">
        <v>1078.95</v>
      </c>
      <c r="J50" s="32" t="n">
        <v>3.77</v>
      </c>
      <c r="K50" s="32" t="n">
        <v>20596</v>
      </c>
      <c r="L50" s="31" t="n">
        <v>45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74.12</v>
      </c>
      <c r="P50" s="32" t="n">
        <v>59.72</v>
      </c>
      <c r="Q50" s="32" t="n">
        <v>853.8099999999999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18.64</v>
      </c>
      <c r="U50" s="32" t="n">
        <v>19.32</v>
      </c>
      <c r="V50" s="32" t="n">
        <v>0.57</v>
      </c>
      <c r="W50" s="32" t="n">
        <v>10.81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IF(B51=0,"",RANK(B51,$B$2:$B$368,0))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INDSWFTLAB</t>
        </is>
      </c>
      <c r="D51" s="31" t="inlineStr">
        <is>
          <t>Ind-swift Laboratories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smallcap</t>
        </is>
      </c>
      <c r="H51" s="32" t="n">
        <v>2800.68</v>
      </c>
      <c r="I51" s="32" t="n">
        <v>334</v>
      </c>
      <c r="J51" s="32" t="n">
        <v>3.71</v>
      </c>
      <c r="K51" s="32" t="n">
        <v>288409</v>
      </c>
      <c r="L51" s="31" t="n">
        <v>99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86.3</v>
      </c>
      <c r="P51" s="32" t="n">
        <v>64.84999999999999</v>
      </c>
      <c r="Q51" s="32" t="n">
        <v>253.06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18.64</v>
      </c>
      <c r="U51" s="32" t="n">
        <v>240.39</v>
      </c>
      <c r="V51" s="32" t="n">
        <v>186.9</v>
      </c>
      <c r="W51" s="32" t="n">
        <v>68.55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IF(B52=0,"",RANK(B52,$B$2:$B$368,0))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ALIVUS</t>
        </is>
      </c>
      <c r="D52" s="31" t="inlineStr">
        <is>
          <t>Alivus Life Sciences Ltd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midcap</t>
        </is>
      </c>
      <c r="H52" s="32" t="n">
        <v>16802.61</v>
      </c>
      <c r="I52" s="32" t="n">
        <v>1370</v>
      </c>
      <c r="J52" s="32" t="n">
        <v>0.07000000000000001</v>
      </c>
      <c r="K52" s="32" t="n">
        <v>7984</v>
      </c>
      <c r="L52" s="31" t="n">
        <v>59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75.98999999999999</v>
      </c>
      <c r="P52" s="32" t="n">
        <v>42.06</v>
      </c>
      <c r="Q52" s="32" t="n">
        <v>1136.26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18.64</v>
      </c>
      <c r="U52" s="32" t="n">
        <v>42.03</v>
      </c>
      <c r="V52" s="32" t="n">
        <v>19.71</v>
      </c>
      <c r="W52" s="32" t="n">
        <v>14.45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IF(B53=0,"",RANK(B53,$B$2:$B$368,0))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IPCALAB</t>
        </is>
      </c>
      <c r="D53" s="31" t="inlineStr">
        <is>
          <t>Ipca Laboratories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largecap</t>
        </is>
      </c>
      <c r="H53" s="32" t="n">
        <v>48297.67</v>
      </c>
      <c r="I53" s="32" t="n">
        <v>1900</v>
      </c>
      <c r="J53" s="32" t="n">
        <v>-0.19</v>
      </c>
      <c r="K53" s="32" t="n">
        <v>53574</v>
      </c>
      <c r="L53" s="31" t="n">
        <v>42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66.69</v>
      </c>
      <c r="P53" s="32" t="n">
        <v>37.93</v>
      </c>
      <c r="Q53" s="32" t="n">
        <v>1517.01</v>
      </c>
      <c r="R53" s="31" t="inlineStr">
        <is>
          <t>Volume Spike &amp; Near 52W High Breakout</t>
        </is>
      </c>
      <c r="S53" s="31" t="inlineStr">
        <is>
          <t>Nifty Pharma</t>
        </is>
      </c>
      <c r="T53" s="32" t="n">
        <v>18.64</v>
      </c>
      <c r="U53" s="32" t="n">
        <v>34.43</v>
      </c>
      <c r="V53" s="32" t="n">
        <v>13.3</v>
      </c>
      <c r="W53" s="32" t="n">
        <v>10.15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IF(B54=0,"",RANK(B54,$B$2:$B$368,0))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VENUSREM</t>
        </is>
      </c>
      <c r="D54" s="31" t="inlineStr">
        <is>
          <t>Venus Remedies Limited</t>
        </is>
      </c>
      <c r="E54" s="31" t="inlineStr">
        <is>
          <t>healthcare</t>
        </is>
      </c>
      <c r="F54" s="31" t="inlineStr">
        <is>
          <t>pharmaceuticals - indian - formulations</t>
        </is>
      </c>
      <c r="G54" s="31" t="inlineStr">
        <is>
          <t>smallcap</t>
        </is>
      </c>
      <c r="H54" s="32" t="n">
        <v>2365.69</v>
      </c>
      <c r="I54" s="32" t="n">
        <v>1765.5</v>
      </c>
      <c r="J54" s="32" t="n">
        <v>-0.24</v>
      </c>
      <c r="K54" s="32" t="n">
        <v>9851</v>
      </c>
      <c r="L54" s="31" t="n">
        <v>95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66.56999999999999</v>
      </c>
      <c r="P54" s="32" t="n">
        <v>59.76</v>
      </c>
      <c r="Q54" s="32" t="n">
        <v>1378.14</v>
      </c>
      <c r="R54" s="31" t="inlineStr">
        <is>
          <t>Earnings / Momentum Support</t>
        </is>
      </c>
      <c r="S54" s="31" t="inlineStr">
        <is>
          <t>Nifty Pharma</t>
        </is>
      </c>
      <c r="T54" s="32" t="n">
        <v>18.64</v>
      </c>
      <c r="U54" s="32" t="n">
        <v>248.43</v>
      </c>
      <c r="V54" s="32" t="n">
        <v>193.67</v>
      </c>
      <c r="W54" s="32" t="n">
        <v>43.34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IF(B55=0,"",RANK(B55,$B$2:$B$368,0))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ORIENTCER</t>
        </is>
      </c>
      <c r="D55" s="31" t="inlineStr">
        <is>
          <t>Orient Ceratech Ltd</t>
        </is>
      </c>
      <c r="E55" s="31" t="inlineStr">
        <is>
          <t>building materials</t>
        </is>
      </c>
      <c r="F55" s="31" t="inlineStr">
        <is>
          <t>refractories / intermediates</t>
        </is>
      </c>
      <c r="G55" s="31" t="inlineStr">
        <is>
          <t>smallcap</t>
        </is>
      </c>
      <c r="H55" s="32" t="n">
        <v>515.88</v>
      </c>
      <c r="I55" s="32" t="n">
        <v>47</v>
      </c>
      <c r="J55" s="32" t="n">
        <v>9</v>
      </c>
      <c r="K55" s="32" t="n">
        <v>85308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61.76</v>
      </c>
      <c r="P55" s="32" t="n">
        <v>24.23</v>
      </c>
      <c r="Q55" s="32" t="n">
        <v>35.26</v>
      </c>
      <c r="R55" s="31" t="inlineStr">
        <is>
          <t>Volume Spike / Accumulation</t>
        </is>
      </c>
      <c r="S55" s="31" t="inlineStr">
        <is>
          <t>Nifty Infra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IF(B56=0,"",RANK(B56,$B$2:$B$368,0))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ROLEXRINGS</t>
        </is>
      </c>
      <c r="D56" s="31" t="inlineStr">
        <is>
          <t>Rolex Rings Ltd</t>
        </is>
      </c>
      <c r="E56" s="31" t="inlineStr">
        <is>
          <t>auto</t>
        </is>
      </c>
      <c r="F56" s="31" t="inlineStr">
        <is>
          <t>auto ancillaries</t>
        </is>
      </c>
      <c r="G56" s="31" t="inlineStr">
        <is>
          <t>smallcap</t>
        </is>
      </c>
      <c r="H56" s="32" t="n">
        <v>4757.66</v>
      </c>
      <c r="I56" s="32" t="n">
        <v>185.82</v>
      </c>
      <c r="J56" s="32" t="n">
        <v>6.37</v>
      </c>
      <c r="K56" s="32" t="n">
        <v>918659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68.25</v>
      </c>
      <c r="P56" s="32" t="n">
        <v>36.66</v>
      </c>
      <c r="Q56" s="32" t="n">
        <v>143.83</v>
      </c>
      <c r="R56" s="31" t="inlineStr">
        <is>
          <t>Near 52W High Breakout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IF(B57=0,"",RANK(B57,$B$2:$B$368,0))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OMAXE</t>
        </is>
      </c>
      <c r="D57" s="31" t="inlineStr">
        <is>
          <t>Omaxe Limited</t>
        </is>
      </c>
      <c r="E57" s="31" t="inlineStr">
        <is>
          <t>realty</t>
        </is>
      </c>
      <c r="F57" s="31" t="inlineStr">
        <is>
          <t>construction</t>
        </is>
      </c>
      <c r="G57" s="31" t="inlineStr">
        <is>
          <t>smallcap</t>
        </is>
      </c>
      <c r="H57" s="32" t="n">
        <v>1818.21</v>
      </c>
      <c r="I57" s="32" t="n">
        <v>103.36</v>
      </c>
      <c r="J57" s="32" t="n">
        <v>3.97</v>
      </c>
      <c r="K57" s="32" t="n">
        <v>379097</v>
      </c>
      <c r="L57" s="31" t="n">
        <v>30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68.5</v>
      </c>
      <c r="P57" s="32" t="n">
        <v>26.89</v>
      </c>
      <c r="Q57" s="32" t="n">
        <v>71.94</v>
      </c>
      <c r="R57" s="31" t="inlineStr">
        <is>
          <t>Near 52W High Breakout</t>
        </is>
      </c>
      <c r="S57" s="31" t="inlineStr">
        <is>
          <t>Nifty Realty</t>
        </is>
      </c>
      <c r="T57" s="32" t="n">
        <v>-4.49</v>
      </c>
      <c r="U57" s="32" t="n">
        <v>9.550000000000001</v>
      </c>
      <c r="V57" s="32" t="n">
        <v>14.69</v>
      </c>
      <c r="W57" s="32" t="n">
        <v>7.52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IF(B58=0,"",RANK(B58,$B$2:$B$368,0))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WELSPUNLIV</t>
        </is>
      </c>
      <c r="D58" s="31" t="inlineStr">
        <is>
          <t>Welspun Living Ltd</t>
        </is>
      </c>
      <c r="E58" s="31" t="inlineStr">
        <is>
          <t>textiles</t>
        </is>
      </c>
      <c r="F58" s="31" t="inlineStr">
        <is>
          <t>textiles - products</t>
        </is>
      </c>
      <c r="G58" s="31" t="inlineStr">
        <is>
          <t>midcap</t>
        </is>
      </c>
      <c r="H58" s="32" t="n">
        <v>17122.69</v>
      </c>
      <c r="I58" s="32" t="n">
        <v>188.24</v>
      </c>
      <c r="J58" s="32" t="n">
        <v>3.86</v>
      </c>
      <c r="K58" s="32" t="n">
        <v>7366892</v>
      </c>
      <c r="L58" s="31" t="n">
        <v>66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73.41</v>
      </c>
      <c r="P58" s="32" t="n">
        <v>34.77</v>
      </c>
      <c r="Q58" s="32" t="n">
        <v>147.23</v>
      </c>
      <c r="R58" s="31" t="inlineStr">
        <is>
          <t>Volume Spike &amp; Near 52W High Breakout</t>
        </is>
      </c>
      <c r="S58" s="31" t="inlineStr">
        <is>
          <t>Nifty 50</t>
        </is>
      </c>
      <c r="T58" s="32" t="n">
        <v>-2.57</v>
      </c>
      <c r="U58" s="32" t="n">
        <v>59.09</v>
      </c>
      <c r="V58" s="32" t="n">
        <v>63.28</v>
      </c>
      <c r="W58" s="32" t="n">
        <v>17.65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IF(B59=0,"",RANK(B59,$B$2:$B$368,0))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HAPPYFORGE</t>
        </is>
      </c>
      <c r="D59" s="31" t="inlineStr">
        <is>
          <t>Happy Forgings Ltd</t>
        </is>
      </c>
      <c r="E59" s="31" t="inlineStr">
        <is>
          <t>industrials</t>
        </is>
      </c>
      <c r="F59" s="31" t="inlineStr">
        <is>
          <t>castings &amp; forgings</t>
        </is>
      </c>
      <c r="G59" s="31" t="inlineStr">
        <is>
          <t>largecap</t>
        </is>
      </c>
      <c r="H59" s="32" t="n">
        <v>21781.67</v>
      </c>
      <c r="I59" s="32" t="n">
        <v>2329.4</v>
      </c>
      <c r="J59" s="32" t="n">
        <v>0.93</v>
      </c>
      <c r="K59" s="32" t="n">
        <v>23049</v>
      </c>
      <c r="L59" s="31" t="n">
        <v>92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88.83</v>
      </c>
      <c r="P59" s="32" t="n">
        <v>55.64</v>
      </c>
      <c r="Q59" s="32" t="n">
        <v>1923.21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-2.57</v>
      </c>
      <c r="U59" s="32" t="n">
        <v>146.08</v>
      </c>
      <c r="V59" s="32" t="n">
        <v>152.56</v>
      </c>
      <c r="W59" s="32" t="n">
        <v>36.13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IF(B60=0,"",RANK(B60,$B$2:$B$368,0))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IRISDOREME</t>
        </is>
      </c>
      <c r="D60" s="31" t="inlineStr">
        <is>
          <t>Iris Clothings Ltd</t>
        </is>
      </c>
      <c r="E60" s="31" t="inlineStr">
        <is>
          <t>consumer discretionary</t>
        </is>
      </c>
      <c r="F60" s="31" t="inlineStr">
        <is>
          <t>textiles - products</t>
        </is>
      </c>
      <c r="G60" s="31" t="inlineStr">
        <is>
          <t>smallcap</t>
        </is>
      </c>
      <c r="H60" s="32" t="n">
        <v>1115.72</v>
      </c>
      <c r="I60" s="32" t="n">
        <v>59.06</v>
      </c>
      <c r="J60" s="32" t="n">
        <v>0.75</v>
      </c>
      <c r="K60" s="32" t="n">
        <v>451478</v>
      </c>
      <c r="L60" s="31" t="n">
        <v>86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85.51000000000001</v>
      </c>
      <c r="P60" s="32" t="n">
        <v>42.86</v>
      </c>
      <c r="Q60" s="32" t="n">
        <v>46.94</v>
      </c>
      <c r="R60" s="31" t="inlineStr">
        <is>
          <t>Near 52W High Breakout</t>
        </is>
      </c>
      <c r="S60" s="31" t="inlineStr">
        <is>
          <t>Nifty 50</t>
        </is>
      </c>
      <c r="T60" s="32" t="n">
        <v>-2.57</v>
      </c>
      <c r="U60" s="32" t="n">
        <v>85.73999999999999</v>
      </c>
      <c r="V60" s="32" t="n">
        <v>90.63</v>
      </c>
      <c r="W60" s="32" t="n">
        <v>28.71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IF(B61=0,"",RANK(B61,$B$2:$B$368,0))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QUESS</t>
        </is>
      </c>
      <c r="D61" s="31" t="inlineStr">
        <is>
          <t>Quess Corp Limited</t>
        </is>
      </c>
      <c r="E61" s="31" t="inlineStr">
        <is>
          <t>miscellaneous</t>
        </is>
      </c>
      <c r="F61" s="31" t="inlineStr">
        <is>
          <t>diversified - large</t>
        </is>
      </c>
      <c r="G61" s="31" t="inlineStr">
        <is>
          <t>midcap</t>
        </is>
      </c>
      <c r="H61" s="32" t="n">
        <v>5026.71</v>
      </c>
      <c r="I61" s="32" t="n">
        <v>338</v>
      </c>
      <c r="J61" s="32" t="n">
        <v>0.43</v>
      </c>
      <c r="K61" s="32" t="n">
        <v>69587</v>
      </c>
      <c r="L61" s="31" t="n">
        <v>78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75.11</v>
      </c>
      <c r="P61" s="32" t="n">
        <v>53.79</v>
      </c>
      <c r="Q61" s="32" t="n">
        <v>264.07</v>
      </c>
      <c r="R61" s="31" t="inlineStr">
        <is>
          <t>Near 52W High Breakout</t>
        </is>
      </c>
      <c r="S61" s="31" t="inlineStr">
        <is>
          <t>Nifty 50</t>
        </is>
      </c>
      <c r="T61" s="32" t="n">
        <v>-2.57</v>
      </c>
      <c r="U61" s="32" t="n">
        <v>30.01</v>
      </c>
      <c r="V61" s="32" t="n">
        <v>33.44</v>
      </c>
      <c r="W61" s="32" t="n">
        <v>22.83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IF(B62=0,"",RANK(B62,$B$2:$B$368,0))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AVALON</t>
        </is>
      </c>
      <c r="D62" s="31" t="inlineStr">
        <is>
          <t>Avalon Technologies Ltd</t>
        </is>
      </c>
      <c r="E62" s="31" t="inlineStr">
        <is>
          <t>consumer discretionary</t>
        </is>
      </c>
      <c r="F62" s="31" t="inlineStr">
        <is>
          <t>electronics - components</t>
        </is>
      </c>
      <c r="G62" s="31" t="inlineStr">
        <is>
          <t>midcap</t>
        </is>
      </c>
      <c r="H62" s="32" t="n">
        <v>15003.25</v>
      </c>
      <c r="I62" s="32" t="n">
        <v>2252</v>
      </c>
      <c r="J62" s="32" t="n">
        <v>0.29</v>
      </c>
      <c r="K62" s="32" t="n">
        <v>272556</v>
      </c>
      <c r="L62" s="31" t="n">
        <v>91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83.66</v>
      </c>
      <c r="P62" s="32" t="n">
        <v>58.9</v>
      </c>
      <c r="Q62" s="32" t="n">
        <v>1738.36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-2.57</v>
      </c>
      <c r="U62" s="32" t="n">
        <v>162.91</v>
      </c>
      <c r="V62" s="32" t="n">
        <v>169.83</v>
      </c>
      <c r="W62" s="32" t="n">
        <v>33.56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IF(B63=0,"",RANK(B63,$B$2:$B$368,0))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KDDL</t>
        </is>
      </c>
      <c r="D63" s="31" t="inlineStr">
        <is>
          <t>Kddl Limited</t>
        </is>
      </c>
      <c r="E63" s="31" t="inlineStr">
        <is>
          <t>consumer discretionary</t>
        </is>
      </c>
      <c r="F63" s="31" t="inlineStr">
        <is>
          <t>miscellaneous</t>
        </is>
      </c>
      <c r="G63" s="31" t="inlineStr">
        <is>
          <t>smallcap</t>
        </is>
      </c>
      <c r="H63" s="32" t="n">
        <v>4858.34</v>
      </c>
      <c r="I63" s="32" t="n">
        <v>3950</v>
      </c>
      <c r="J63" s="32" t="n">
        <v>0</v>
      </c>
      <c r="K63" s="32" t="n">
        <v>6591</v>
      </c>
      <c r="L63" s="31" t="n">
        <v>70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77.62</v>
      </c>
      <c r="P63" s="32" t="n">
        <v>45.33</v>
      </c>
      <c r="Q63" s="32" t="n">
        <v>3040.81</v>
      </c>
      <c r="R63" s="31" t="inlineStr">
        <is>
          <t>Near 52W High Breakout</t>
        </is>
      </c>
      <c r="S63" s="31" t="inlineStr">
        <is>
          <t>Nifty 50</t>
        </is>
      </c>
      <c r="T63" s="32" t="n">
        <v>-2.57</v>
      </c>
      <c r="U63" s="32" t="n">
        <v>60.85</v>
      </c>
      <c r="V63" s="32" t="n">
        <v>65.08</v>
      </c>
      <c r="W63" s="32" t="n">
        <v>19.09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IF(B64=0,"",RANK(B64,$B$2:$B$368,0))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DIVGIITTS</t>
        </is>
      </c>
      <c r="D64" s="31" t="inlineStr">
        <is>
          <t>Divgi Torqtransfer Systems Ltd</t>
        </is>
      </c>
      <c r="E64" s="31" t="inlineStr">
        <is>
          <t>auto</t>
        </is>
      </c>
      <c r="F64" s="31" t="inlineStr">
        <is>
          <t>auto ancillaries</t>
        </is>
      </c>
      <c r="G64" s="31" t="inlineStr">
        <is>
          <t>smallcap</t>
        </is>
      </c>
      <c r="H64" s="32" t="n">
        <v>3876.08</v>
      </c>
      <c r="I64" s="32" t="n">
        <v>1263.45</v>
      </c>
      <c r="J64" s="32" t="n">
        <v>-0.31</v>
      </c>
      <c r="K64" s="32" t="n">
        <v>27873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74.59</v>
      </c>
      <c r="P64" s="32" t="n">
        <v>49.21</v>
      </c>
      <c r="Q64" s="32" t="n">
        <v>1009.46</v>
      </c>
      <c r="R64" s="31" t="inlineStr">
        <is>
          <t>Near 52W High Breakout</t>
        </is>
      </c>
      <c r="S64" s="31" t="inlineStr">
        <is>
          <t>Nifty Auto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IF(B65=0,"",RANK(B65,$B$2:$B$368,0))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SOLARINDS</t>
        </is>
      </c>
      <c r="D65" s="31" t="inlineStr">
        <is>
          <t>Solar Industries India Limited</t>
        </is>
      </c>
      <c r="E65" s="31" t="inlineStr">
        <is>
          <t>aerospace &amp; defence</t>
        </is>
      </c>
      <c r="F65" s="31" t="inlineStr">
        <is>
          <t>chemicals</t>
        </is>
      </c>
      <c r="G65" s="31" t="inlineStr">
        <is>
          <t>largecap</t>
        </is>
      </c>
      <c r="H65" s="32" t="n">
        <v>178455.44</v>
      </c>
      <c r="I65" s="32" t="n">
        <v>19603</v>
      </c>
      <c r="J65" s="32" t="n">
        <v>-0.6</v>
      </c>
      <c r="K65" s="32" t="n">
        <v>37327</v>
      </c>
      <c r="L65" s="31" t="n">
        <v>36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68.23999999999999</v>
      </c>
      <c r="P65" s="32" t="n">
        <v>39.92</v>
      </c>
      <c r="Q65" s="32" t="n">
        <v>16331.19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-2.57</v>
      </c>
      <c r="U65" s="32" t="n">
        <v>33.19</v>
      </c>
      <c r="V65" s="32" t="n">
        <v>36.7</v>
      </c>
      <c r="W65" s="32" t="n">
        <v>8.76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IF(B66=0,"",RANK(B66,$B$2:$B$368,0))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DIACABS</t>
        </is>
      </c>
      <c r="D66" s="31" t="inlineStr">
        <is>
          <t>Diamond Power Infrastructure Ltd</t>
        </is>
      </c>
      <c r="E66" s="31" t="inlineStr">
        <is>
          <t>industrials</t>
        </is>
      </c>
      <c r="F66" s="31" t="inlineStr">
        <is>
          <t>cables - power</t>
        </is>
      </c>
      <c r="G66" s="31" t="inlineStr">
        <is>
          <t>midcap</t>
        </is>
      </c>
      <c r="H66" s="32" t="n">
        <v>18939.34</v>
      </c>
      <c r="I66" s="32" t="n">
        <v>354</v>
      </c>
      <c r="J66" s="32" t="n">
        <v>-1.5</v>
      </c>
      <c r="K66" s="32" t="n">
        <v>232989</v>
      </c>
      <c r="L66" s="31" t="n">
        <v>97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82.62</v>
      </c>
      <c r="P66" s="32" t="n">
        <v>64.48</v>
      </c>
      <c r="Q66" s="32" t="n">
        <v>284.3</v>
      </c>
      <c r="R66" s="31" t="inlineStr">
        <is>
          <t>Near 52W High Breakout</t>
        </is>
      </c>
      <c r="S66" s="31" t="inlineStr">
        <is>
          <t>Nifty Energy</t>
        </is>
      </c>
      <c r="T66" s="32" t="n">
        <v>8.23</v>
      </c>
      <c r="U66" s="32" t="n">
        <v>117.29</v>
      </c>
      <c r="V66" s="32" t="n">
        <v>100.76</v>
      </c>
      <c r="W66" s="32" t="n">
        <v>48.56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IF(B67=0,"",RANK(B67,$B$2:$B$368,0))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RISHABH</t>
        </is>
      </c>
      <c r="D67" s="31" t="inlineStr">
        <is>
          <t>Rishabh Instruments Ltd</t>
        </is>
      </c>
      <c r="E67" s="31" t="inlineStr">
        <is>
          <t>industrials</t>
        </is>
      </c>
      <c r="F67" s="31" t="inlineStr">
        <is>
          <t>electric equipment</t>
        </is>
      </c>
      <c r="G67" s="31" t="inlineStr">
        <is>
          <t>smallcap</t>
        </is>
      </c>
      <c r="H67" s="32" t="n">
        <v>2678.95</v>
      </c>
      <c r="I67" s="32" t="n">
        <v>683.6</v>
      </c>
      <c r="J67" s="32" t="n">
        <v>-1.64</v>
      </c>
      <c r="K67" s="32" t="n">
        <v>462851</v>
      </c>
      <c r="L67" s="31" t="n">
        <v>66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70.68000000000001</v>
      </c>
      <c r="P67" s="32" t="n">
        <v>43.07</v>
      </c>
      <c r="Q67" s="32" t="n">
        <v>499.62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-2.57</v>
      </c>
      <c r="U67" s="32" t="n">
        <v>59.84</v>
      </c>
      <c r="V67" s="32" t="n">
        <v>64.05</v>
      </c>
      <c r="W67" s="32" t="n">
        <v>17.13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IF(B68=0,"",RANK(B68,$B$2:$B$368,0))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SETL</t>
        </is>
      </c>
      <c r="D68" s="31" t="inlineStr">
        <is>
          <t>Standard Enginnering Technology Ltd</t>
        </is>
      </c>
      <c r="E68" s="31" t="inlineStr">
        <is>
          <t>industrials</t>
        </is>
      </c>
      <c r="F68" s="31" t="inlineStr">
        <is>
          <t>engineering</t>
        </is>
      </c>
      <c r="G68" s="31" t="inlineStr">
        <is>
          <t>midcap</t>
        </is>
      </c>
      <c r="H68" s="32" t="n">
        <v>6176.26</v>
      </c>
      <c r="I68" s="32" t="n">
        <v>304.3</v>
      </c>
      <c r="J68" s="32" t="n">
        <v>-1.71</v>
      </c>
      <c r="K68" s="32" t="n">
        <v>131923</v>
      </c>
      <c r="L68" s="31" t="n">
        <v>96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81.37</v>
      </c>
      <c r="P68" s="32" t="n">
        <v>52.41</v>
      </c>
      <c r="Q68" s="32" t="n">
        <v>231.88</v>
      </c>
      <c r="R68" s="31" t="inlineStr">
        <is>
          <t>Near 52W High Breakout</t>
        </is>
      </c>
      <c r="S68" s="31" t="inlineStr">
        <is>
          <t>Nifty 50</t>
        </is>
      </c>
      <c r="T68" s="32" t="n">
        <v>-2.57</v>
      </c>
      <c r="U68" s="32" t="n">
        <v>68.42</v>
      </c>
      <c r="V68" s="32" t="n">
        <v>72.86</v>
      </c>
      <c r="W68" s="32" t="n">
        <v>46.45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IF(B69=0,"",RANK(B69,$B$2:$B$368,0))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TDPOWERSYS</t>
        </is>
      </c>
      <c r="D69" s="31" t="inlineStr">
        <is>
          <t>Td Power Systems Limited</t>
        </is>
      </c>
      <c r="E69" s="31" t="inlineStr">
        <is>
          <t>industrials</t>
        </is>
      </c>
      <c r="F69" s="31" t="inlineStr">
        <is>
          <t>electric equipment</t>
        </is>
      </c>
      <c r="G69" s="31" t="inlineStr">
        <is>
          <t>largecap</t>
        </is>
      </c>
      <c r="H69" s="32" t="n">
        <v>24146.67</v>
      </c>
      <c r="I69" s="32" t="n">
        <v>1511.1</v>
      </c>
      <c r="J69" s="32" t="n">
        <v>-2.23</v>
      </c>
      <c r="K69" s="32" t="n">
        <v>519635</v>
      </c>
      <c r="L69" s="31" t="n">
        <v>85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70.73</v>
      </c>
      <c r="P69" s="32" t="n">
        <v>29.63</v>
      </c>
      <c r="Q69" s="32" t="n">
        <v>1085.23</v>
      </c>
      <c r="R69" s="31" t="inlineStr">
        <is>
          <t>Near 52W High Breakout</t>
        </is>
      </c>
      <c r="S69" s="31" t="inlineStr">
        <is>
          <t>Nifty 50</t>
        </is>
      </c>
      <c r="T69" s="32" t="n">
        <v>-2.57</v>
      </c>
      <c r="U69" s="32" t="n">
        <v>191.69</v>
      </c>
      <c r="V69" s="32" t="n">
        <v>199.37</v>
      </c>
      <c r="W69" s="32" t="n">
        <v>28.33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IF(B70=0,"",RANK(B70,$B$2:$B$368,0))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MOREPENLAB</t>
        </is>
      </c>
      <c r="D70" s="31" t="inlineStr">
        <is>
          <t>Morepen Laboratories Limited</t>
        </is>
      </c>
      <c r="E70" s="31" t="inlineStr">
        <is>
          <t>healthcare</t>
        </is>
      </c>
      <c r="F70" s="31" t="inlineStr">
        <is>
          <t>pharmaceuticals - indian - bulk drugs &amp; formln</t>
        </is>
      </c>
      <c r="G70" s="31" t="inlineStr">
        <is>
          <t>smallcap</t>
        </is>
      </c>
      <c r="H70" s="32" t="n">
        <v>4845.01</v>
      </c>
      <c r="I70" s="32" t="n">
        <v>96.5</v>
      </c>
      <c r="J70" s="32" t="n">
        <v>9.140000000000001</v>
      </c>
      <c r="K70" s="32" t="n">
        <v>13211752</v>
      </c>
      <c r="L70" s="31" t="n">
        <v>96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83.56</v>
      </c>
      <c r="P70" s="32" t="n">
        <v>38.43</v>
      </c>
      <c r="Q70" s="32" t="n">
        <v>72.86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18.64</v>
      </c>
      <c r="U70" s="32" t="n">
        <v>97.59999999999999</v>
      </c>
      <c r="V70" s="32" t="n">
        <v>66.55</v>
      </c>
      <c r="W70" s="32" t="n">
        <v>47.66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IF(B71=0,"",RANK(B71,$B$2:$B$368,0))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BLISSGVS</t>
        </is>
      </c>
      <c r="D71" s="31" t="inlineStr">
        <is>
          <t>Bliss Gvs Pharma Limited</t>
        </is>
      </c>
      <c r="E71" s="31" t="inlineStr">
        <is>
          <t>healthcare</t>
        </is>
      </c>
      <c r="F71" s="31" t="inlineStr">
        <is>
          <t>pharmaceuticals - indian - formulations</t>
        </is>
      </c>
      <c r="G71" s="31" t="inlineStr">
        <is>
          <t>midcap</t>
        </is>
      </c>
      <c r="H71" s="32" t="n">
        <v>6085.51</v>
      </c>
      <c r="I71" s="32" t="n">
        <v>585.9</v>
      </c>
      <c r="J71" s="32" t="n">
        <v>2.11</v>
      </c>
      <c r="K71" s="32" t="n">
        <v>350555</v>
      </c>
      <c r="L71" s="31" t="n">
        <v>98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82.41</v>
      </c>
      <c r="P71" s="32" t="n">
        <v>75.18000000000001</v>
      </c>
      <c r="Q71" s="32" t="n">
        <v>435.31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18.64</v>
      </c>
      <c r="U71" s="32" t="n">
        <v>261.16</v>
      </c>
      <c r="V71" s="32" t="n">
        <v>204.4</v>
      </c>
      <c r="W71" s="32" t="n">
        <v>52.14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Between 12 to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IF(B72=0,"",RANK(B72,$B$2:$B$368,0))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VIJAYA</t>
        </is>
      </c>
      <c r="D72" s="31" t="inlineStr">
        <is>
          <t>Vijaya Diagnostic Centre Ltd</t>
        </is>
      </c>
      <c r="E72" s="31" t="inlineStr">
        <is>
          <t>healthcare</t>
        </is>
      </c>
      <c r="F72" s="31" t="inlineStr">
        <is>
          <t>healthcare</t>
        </is>
      </c>
      <c r="G72" s="31" t="inlineStr">
        <is>
          <t>midcap</t>
        </is>
      </c>
      <c r="H72" s="32" t="n">
        <v>15331.61</v>
      </c>
      <c r="I72" s="32" t="n">
        <v>1500</v>
      </c>
      <c r="J72" s="32" t="n">
        <v>0.67</v>
      </c>
      <c r="K72" s="32" t="n">
        <v>17525</v>
      </c>
      <c r="L72" s="31" t="n">
        <v>54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70.75</v>
      </c>
      <c r="P72" s="32" t="n">
        <v>57.27</v>
      </c>
      <c r="Q72" s="32" t="n">
        <v>1186.36</v>
      </c>
      <c r="R72" s="31" t="inlineStr">
        <is>
          <t>Near 52W High Breakout</t>
        </is>
      </c>
      <c r="S72" s="31" t="inlineStr">
        <is>
          <t>Nifty Pharma</t>
        </is>
      </c>
      <c r="T72" s="32" t="n">
        <v>18.64</v>
      </c>
      <c r="U72" s="32" t="n">
        <v>47.04</v>
      </c>
      <c r="V72" s="32" t="n">
        <v>23.93</v>
      </c>
      <c r="W72" s="32" t="n">
        <v>12.97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IF(B73=0,"",RANK(B73,$B$2:$B$368,0))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CUPID</t>
        </is>
      </c>
      <c r="D73" s="31" t="inlineStr">
        <is>
          <t>Cupid Limited</t>
        </is>
      </c>
      <c r="E73" s="31" t="inlineStr">
        <is>
          <t>fmcg</t>
        </is>
      </c>
      <c r="F73" s="31" t="inlineStr">
        <is>
          <t>personal care - indian</t>
        </is>
      </c>
      <c r="G73" s="31" t="inlineStr">
        <is>
          <t>largecap</t>
        </is>
      </c>
      <c r="H73" s="32" t="n">
        <v>38263.66</v>
      </c>
      <c r="I73" s="32" t="n">
        <v>282.77</v>
      </c>
      <c r="J73" s="32" t="n">
        <v>-0.63</v>
      </c>
      <c r="K73" s="32" t="n">
        <v>8120143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86.90000000000001</v>
      </c>
      <c r="P73" s="32" t="n">
        <v>71.51000000000001</v>
      </c>
      <c r="Q73" s="32" t="n">
        <v>226.79</v>
      </c>
      <c r="R73" s="31" t="inlineStr">
        <is>
          <t>Near 52W High Breakout</t>
        </is>
      </c>
      <c r="S73" s="31" t="inlineStr">
        <is>
          <t>Nifty FMCG</t>
        </is>
      </c>
      <c r="T73" s="32" t="inlineStr"/>
      <c r="U73" s="32" t="inlineStr"/>
      <c r="V73" s="32" t="inlineStr"/>
      <c r="W73" s="32" t="inlineStr"/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B2C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IF(B74=0,"",RANK(B74,$B$2:$B$368,0))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E2E</t>
        </is>
      </c>
      <c r="D74" s="31" t="inlineStr">
        <is>
          <t>E2E Networks Ltd</t>
        </is>
      </c>
      <c r="E74" s="31" t="inlineStr">
        <is>
          <t>i.t</t>
        </is>
      </c>
      <c r="F74" s="31" t="inlineStr">
        <is>
          <t>computers - software - medium / small</t>
        </is>
      </c>
      <c r="G74" s="31" t="inlineStr">
        <is>
          <t>midcap</t>
        </is>
      </c>
      <c r="H74" s="32" t="n">
        <v>12978.34</v>
      </c>
      <c r="I74" s="32" t="n">
        <v>625</v>
      </c>
      <c r="J74" s="32" t="n">
        <v>-1.01</v>
      </c>
      <c r="K74" s="32" t="n">
        <v>365748</v>
      </c>
      <c r="L74" s="31" t="n">
        <v>94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71.29000000000001</v>
      </c>
      <c r="P74" s="32" t="n">
        <v>49.61</v>
      </c>
      <c r="Q74" s="32" t="n">
        <v>468.51</v>
      </c>
      <c r="R74" s="31" t="inlineStr">
        <is>
          <t>Earnings / Momentum Support</t>
        </is>
      </c>
      <c r="S74" s="31" t="inlineStr">
        <is>
          <t>Nifty IT</t>
        </is>
      </c>
      <c r="T74" s="32" t="n">
        <v>-13.45</v>
      </c>
      <c r="U74" s="32" t="n">
        <v>166.17</v>
      </c>
      <c r="V74" s="32" t="n">
        <v>207.54</v>
      </c>
      <c r="W74" s="32" t="n">
        <v>38.97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IF(B75=0,"",RANK(B75,$B$2:$B$368,0))</f>
        <v/>
      </c>
      <c r="B75" s="32">
        <f>SUM(N75,Y75,AA75,AC75,AE75,AG75,AI75,AK75,AM75,AO75,AQ75,AS75,AU75,AW75,AY75,BA75,BC75,BE75,BG75,BI75,BK75,BM75,BO75,BQ75,BS75,BU75,BW75,BY75,CA75,CC75,CE75)</f>
        <v/>
      </c>
      <c r="C75" s="33" t="inlineStr">
        <is>
          <t>GUFICBIO</t>
        </is>
      </c>
      <c r="D75" s="33" t="inlineStr">
        <is>
          <t>Gufic Biosciences Limited</t>
        </is>
      </c>
      <c r="E75" s="31" t="inlineStr">
        <is>
          <t>healthcare</t>
        </is>
      </c>
      <c r="F75" s="31" t="inlineStr">
        <is>
          <t>pharmaceuticals - indian - bulk drugs &amp; formln</t>
        </is>
      </c>
      <c r="G75" s="31" t="inlineStr">
        <is>
          <t>smallcap</t>
        </is>
      </c>
      <c r="H75" s="32" t="n">
        <v>4229.41</v>
      </c>
      <c r="I75" s="32" t="n">
        <v>413.4</v>
      </c>
      <c r="J75" s="32" t="n">
        <v>-1.98</v>
      </c>
      <c r="K75" s="32" t="n">
        <v>20719</v>
      </c>
      <c r="L75" s="31" t="n">
        <v>52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67.34999999999999</v>
      </c>
      <c r="P75" s="32" t="n">
        <v>50.62</v>
      </c>
      <c r="Q75" s="32" t="n">
        <v>327.84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18.64</v>
      </c>
      <c r="U75" s="32" t="n">
        <v>13.92</v>
      </c>
      <c r="V75" s="32" t="n">
        <v>-3.98</v>
      </c>
      <c r="W75" s="32" t="n">
        <v>12.48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IF(B76=0,"",RANK(B76,$B$2:$B$368,0))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KRONOX</t>
        </is>
      </c>
      <c r="D76" s="31" t="inlineStr">
        <is>
          <t>Kronox Lab Sciences Ltd</t>
        </is>
      </c>
      <c r="E76" s="31" t="inlineStr">
        <is>
          <t>chemicals</t>
        </is>
      </c>
      <c r="F76" s="31" t="inlineStr">
        <is>
          <t>chemicals</t>
        </is>
      </c>
      <c r="G76" s="31" t="inlineStr">
        <is>
          <t>smallcap</t>
        </is>
      </c>
      <c r="H76" s="32" t="n">
        <v>575.71</v>
      </c>
      <c r="I76" s="32" t="n">
        <v>186.19</v>
      </c>
      <c r="J76" s="32" t="n">
        <v>20</v>
      </c>
      <c r="K76" s="32" t="n">
        <v>1453683</v>
      </c>
      <c r="L76" s="31" t="n">
        <v>46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68.72</v>
      </c>
      <c r="P76" s="32" t="n">
        <v>28.72</v>
      </c>
      <c r="Q76" s="32" t="n">
        <v>132.9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-2.57</v>
      </c>
      <c r="U76" s="32" t="n">
        <v>9.789999999999999</v>
      </c>
      <c r="V76" s="32" t="n">
        <v>12.68</v>
      </c>
      <c r="W76" s="32" t="n">
        <v>10.88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Between 12 to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IF(B77=0,"",RANK(B77,$B$2:$B$368,0))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PVP</t>
        </is>
      </c>
      <c r="D77" s="31" t="inlineStr">
        <is>
          <t>Pvp Ventures Limited</t>
        </is>
      </c>
      <c r="E77" s="31" t="inlineStr">
        <is>
          <t>realty</t>
        </is>
      </c>
      <c r="F77" s="31" t="inlineStr">
        <is>
          <t>construction</t>
        </is>
      </c>
      <c r="G77" s="31" t="inlineStr">
        <is>
          <t>smallcap</t>
        </is>
      </c>
      <c r="H77" s="32" t="n">
        <v>1018.96</v>
      </c>
      <c r="I77" s="32" t="n">
        <v>42.9</v>
      </c>
      <c r="J77" s="32" t="n">
        <v>9.630000000000001</v>
      </c>
      <c r="K77" s="32" t="n">
        <v>1202285</v>
      </c>
      <c r="L77" s="31" t="n">
        <v>80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70.42</v>
      </c>
      <c r="P77" s="32" t="n">
        <v>14.88</v>
      </c>
      <c r="Q77" s="32" t="n">
        <v>30.25</v>
      </c>
      <c r="R77" s="31" t="inlineStr">
        <is>
          <t>Volume Spike &amp; Near 52W High Breakout</t>
        </is>
      </c>
      <c r="S77" s="31" t="inlineStr">
        <is>
          <t>Nifty Realty</t>
        </is>
      </c>
      <c r="T77" s="32" t="n">
        <v>-4.49</v>
      </c>
      <c r="U77" s="32" t="n">
        <v>104.31</v>
      </c>
      <c r="V77" s="32" t="n">
        <v>113.91</v>
      </c>
      <c r="W77" s="32" t="n">
        <v>23.49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IF(B78=0,"",RANK(B78,$B$2:$B$368,0))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NETWEB</t>
        </is>
      </c>
      <c r="D78" s="31" t="inlineStr">
        <is>
          <t>Netweb Technologies India Ltd</t>
        </is>
      </c>
      <c r="E78" s="31" t="inlineStr">
        <is>
          <t>i.t</t>
        </is>
      </c>
      <c r="F78" s="31" t="inlineStr">
        <is>
          <t>computers - hardware</t>
        </is>
      </c>
      <c r="G78" s="31" t="inlineStr">
        <is>
          <t>largecap</t>
        </is>
      </c>
      <c r="H78" s="32" t="n">
        <v>28840.46</v>
      </c>
      <c r="I78" s="32" t="n">
        <v>5425.1</v>
      </c>
      <c r="J78" s="32" t="n">
        <v>7.11</v>
      </c>
      <c r="K78" s="32" t="n">
        <v>1396354</v>
      </c>
      <c r="L78" s="31" t="n">
        <v>85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68.19</v>
      </c>
      <c r="P78" s="32" t="n">
        <v>38.65</v>
      </c>
      <c r="Q78" s="32" t="n">
        <v>4071.54</v>
      </c>
      <c r="R78" s="31" t="inlineStr">
        <is>
          <t>Near 52W High Breakout</t>
        </is>
      </c>
      <c r="S78" s="31" t="inlineStr">
        <is>
          <t>Nifty IT</t>
        </is>
      </c>
      <c r="T78" s="32" t="n">
        <v>-13.45</v>
      </c>
      <c r="U78" s="32" t="n">
        <v>133.52</v>
      </c>
      <c r="V78" s="32" t="n">
        <v>169.81</v>
      </c>
      <c r="W78" s="32" t="n">
        <v>27.98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IF(B79=0,"",RANK(B79,$B$2:$B$368,0))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EBGNG</t>
        </is>
      </c>
      <c r="D79" s="31" t="inlineStr">
        <is>
          <t>GNG Electronics Ltd</t>
        </is>
      </c>
      <c r="E79" s="31" t="inlineStr">
        <is>
          <t>services</t>
        </is>
      </c>
      <c r="F79" s="31" t="inlineStr">
        <is>
          <t>trading</t>
        </is>
      </c>
      <c r="G79" s="31" t="inlineStr">
        <is>
          <t>midcap</t>
        </is>
      </c>
      <c r="H79" s="32" t="n">
        <v>6708.44</v>
      </c>
      <c r="I79" s="32" t="n">
        <v>627.1</v>
      </c>
      <c r="J79" s="32" t="n">
        <v>6.58</v>
      </c>
      <c r="K79" s="32" t="n">
        <v>590168</v>
      </c>
      <c r="L79" s="31" t="n">
        <v>75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66.84</v>
      </c>
      <c r="P79" s="32" t="n">
        <v>33.15</v>
      </c>
      <c r="Q79" s="32" t="n">
        <v>459.57</v>
      </c>
      <c r="R79" s="31" t="inlineStr">
        <is>
          <t>Near 52W High Breakout</t>
        </is>
      </c>
      <c r="S79" s="31" t="inlineStr">
        <is>
          <t>Nifty 50</t>
        </is>
      </c>
      <c r="T79" s="32" t="n">
        <v>-2.57</v>
      </c>
      <c r="U79" s="32" t="n">
        <v>81.17</v>
      </c>
      <c r="V79" s="32" t="n">
        <v>85.94</v>
      </c>
      <c r="W79" s="32" t="n">
        <v>21.59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IF(B80=0,"",RANK(B80,$B$2:$B$368,0))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COMSYN</t>
        </is>
      </c>
      <c r="D80" s="31" t="inlineStr">
        <is>
          <t>Commercial Syn Bags Ltd</t>
        </is>
      </c>
      <c r="E80" s="31" t="inlineStr">
        <is>
          <t>industrials</t>
        </is>
      </c>
      <c r="F80" s="31" t="inlineStr">
        <is>
          <t>packaging</t>
        </is>
      </c>
      <c r="G80" s="31" t="inlineStr">
        <is>
          <t>smallcap</t>
        </is>
      </c>
      <c r="H80" s="32" t="n">
        <v>1131.72</v>
      </c>
      <c r="I80" s="32" t="n">
        <v>289.77</v>
      </c>
      <c r="J80" s="32" t="n">
        <v>3.29</v>
      </c>
      <c r="K80" s="32" t="n">
        <v>32566</v>
      </c>
      <c r="L80" s="31" t="n">
        <v>94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81.8</v>
      </c>
      <c r="P80" s="32" t="n">
        <v>65.37</v>
      </c>
      <c r="Q80" s="32" t="n">
        <v>219.99</v>
      </c>
      <c r="R80" s="31" t="inlineStr">
        <is>
          <t>Near 52W High Breakout</t>
        </is>
      </c>
      <c r="S80" s="31" t="inlineStr">
        <is>
          <t>Nifty 50</t>
        </is>
      </c>
      <c r="T80" s="32" t="n">
        <v>-2.57</v>
      </c>
      <c r="U80" s="32" t="n">
        <v>110.9</v>
      </c>
      <c r="V80" s="32" t="n">
        <v>116.46</v>
      </c>
      <c r="W80" s="32" t="n">
        <v>39.34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IF(B81=0,"",RANK(B81,$B$2:$B$368,0))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KPRMILL</t>
        </is>
      </c>
      <c r="D81" s="31" t="inlineStr">
        <is>
          <t>K.p.r. Mill Limited</t>
        </is>
      </c>
      <c r="E81" s="31" t="inlineStr">
        <is>
          <t>consumer discretionary</t>
        </is>
      </c>
      <c r="F81" s="31" t="inlineStr">
        <is>
          <t>textiles - products</t>
        </is>
      </c>
      <c r="G81" s="31" t="inlineStr">
        <is>
          <t>largecap</t>
        </is>
      </c>
      <c r="H81" s="32" t="n">
        <v>38495.09</v>
      </c>
      <c r="I81" s="32" t="n">
        <v>1152</v>
      </c>
      <c r="J81" s="32" t="n">
        <v>2.29</v>
      </c>
      <c r="K81" s="32" t="n">
        <v>57187</v>
      </c>
      <c r="L81" s="31" t="n">
        <v>31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61.42</v>
      </c>
      <c r="P81" s="32" t="n">
        <v>45.42</v>
      </c>
      <c r="Q81" s="32" t="n">
        <v>924.26</v>
      </c>
      <c r="R81" s="31" t="inlineStr">
        <is>
          <t>Near 52W High Breakout</t>
        </is>
      </c>
      <c r="S81" s="31" t="inlineStr">
        <is>
          <t>Nifty 50</t>
        </is>
      </c>
      <c r="T81" s="32" t="n">
        <v>-2.57</v>
      </c>
      <c r="U81" s="32" t="n">
        <v>12.84</v>
      </c>
      <c r="V81" s="32" t="n">
        <v>15.81</v>
      </c>
      <c r="W81" s="32" t="n">
        <v>7.66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IF(B82=0,"",RANK(B82,$B$2:$B$368,0))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KINGFA</t>
        </is>
      </c>
      <c r="D82" s="31" t="inlineStr">
        <is>
          <t>Kingfa Science &amp; Technology (india) Limited</t>
        </is>
      </c>
      <c r="E82" s="31" t="inlineStr">
        <is>
          <t>plastic products</t>
        </is>
      </c>
      <c r="F82" s="31" t="inlineStr">
        <is>
          <t>plastics products</t>
        </is>
      </c>
      <c r="G82" s="31" t="inlineStr">
        <is>
          <t>midcap</t>
        </is>
      </c>
      <c r="H82" s="32" t="n">
        <v>7832.7</v>
      </c>
      <c r="I82" s="32" t="n">
        <v>5878.5</v>
      </c>
      <c r="J82" s="32" t="n">
        <v>1.7</v>
      </c>
      <c r="K82" s="32" t="n">
        <v>7435</v>
      </c>
      <c r="L82" s="31" t="n">
        <v>37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67.94</v>
      </c>
      <c r="P82" s="32" t="n">
        <v>32.8</v>
      </c>
      <c r="Q82" s="32" t="n">
        <v>4630.25</v>
      </c>
      <c r="R82" s="31" t="inlineStr">
        <is>
          <t>Volume Spike &amp; Near 52W High Breakout</t>
        </is>
      </c>
      <c r="S82" s="31" t="inlineStr">
        <is>
          <t>Nifty 50</t>
        </is>
      </c>
      <c r="T82" s="32" t="n">
        <v>-2.57</v>
      </c>
      <c r="U82" s="32" t="n">
        <v>29.9</v>
      </c>
      <c r="V82" s="32" t="n">
        <v>33.33</v>
      </c>
      <c r="W82" s="32" t="n">
        <v>8.970000000000001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IF(B83=0,"",RANK(B83,$B$2:$B$368,0))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DYCL</t>
        </is>
      </c>
      <c r="D83" s="31" t="inlineStr">
        <is>
          <t>Dynamic Cables Ltd</t>
        </is>
      </c>
      <c r="E83" s="31" t="inlineStr">
        <is>
          <t>industrials</t>
        </is>
      </c>
      <c r="F83" s="31" t="inlineStr">
        <is>
          <t>cables - power</t>
        </is>
      </c>
      <c r="G83" s="31" t="inlineStr">
        <is>
          <t>smallcap</t>
        </is>
      </c>
      <c r="H83" s="32" t="n">
        <v>2161.01</v>
      </c>
      <c r="I83" s="32" t="n">
        <v>453.3</v>
      </c>
      <c r="J83" s="32" t="n">
        <v>1.65</v>
      </c>
      <c r="K83" s="32" t="n">
        <v>141165</v>
      </c>
      <c r="L83" s="31" t="n">
        <v>44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66.37</v>
      </c>
      <c r="P83" s="32" t="n">
        <v>25.34</v>
      </c>
      <c r="Q83" s="32" t="n">
        <v>321.21</v>
      </c>
      <c r="R83" s="31" t="inlineStr">
        <is>
          <t>Near 52W High Breakout</t>
        </is>
      </c>
      <c r="S83" s="31" t="inlineStr">
        <is>
          <t>Nifty Energy</t>
        </is>
      </c>
      <c r="T83" s="32" t="n">
        <v>8.23</v>
      </c>
      <c r="U83" s="32" t="n">
        <v>11.1</v>
      </c>
      <c r="V83" s="32" t="n">
        <v>2.65</v>
      </c>
      <c r="W83" s="32" t="n">
        <v>10.3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IF(B84=0,"",RANK(B84,$B$2:$B$368,0))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HONASA</t>
        </is>
      </c>
      <c r="D84" s="31" t="inlineStr">
        <is>
          <t>Honasa Consumer Ltd</t>
        </is>
      </c>
      <c r="E84" s="31" t="inlineStr">
        <is>
          <t>services</t>
        </is>
      </c>
      <c r="F84" s="31" t="inlineStr">
        <is>
          <t>trading</t>
        </is>
      </c>
      <c r="G84" s="31" t="inlineStr">
        <is>
          <t>midcap</t>
        </is>
      </c>
      <c r="H84" s="32" t="n">
        <v>15538.31</v>
      </c>
      <c r="I84" s="32" t="n">
        <v>484.05</v>
      </c>
      <c r="J84" s="32" t="n">
        <v>1.56</v>
      </c>
      <c r="K84" s="32" t="n">
        <v>212117</v>
      </c>
      <c r="L84" s="31" t="n">
        <v>63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71.56999999999999</v>
      </c>
      <c r="P84" s="32" t="n">
        <v>60.29</v>
      </c>
      <c r="Q84" s="32" t="n">
        <v>409.36</v>
      </c>
      <c r="R84" s="31" t="inlineStr">
        <is>
          <t>Near 52W High Breakout</t>
        </is>
      </c>
      <c r="S84" s="31" t="inlineStr">
        <is>
          <t>Nifty 50</t>
        </is>
      </c>
      <c r="T84" s="32" t="n">
        <v>-2.57</v>
      </c>
      <c r="U84" s="32" t="n">
        <v>61.24</v>
      </c>
      <c r="V84" s="32" t="n">
        <v>65.48999999999999</v>
      </c>
      <c r="W84" s="32" t="n">
        <v>16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IF(B85=0,"",RANK(B85,$B$2:$B$368,0))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SHRIPISTON</t>
        </is>
      </c>
      <c r="D85" s="31" t="inlineStr">
        <is>
          <t>Shriram Pistons &amp; Rings Limited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midcap</t>
        </is>
      </c>
      <c r="H85" s="32" t="n">
        <v>19619.79</v>
      </c>
      <c r="I85" s="32" t="n">
        <v>4513.2</v>
      </c>
      <c r="J85" s="32" t="n">
        <v>1.33</v>
      </c>
      <c r="K85" s="32" t="n">
        <v>23915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74.79000000000001</v>
      </c>
      <c r="P85" s="32" t="n">
        <v>46.57</v>
      </c>
      <c r="Q85" s="32" t="n">
        <v>3648.4</v>
      </c>
      <c r="R85" s="31" t="inlineStr">
        <is>
          <t>Near 52W High Breakout</t>
        </is>
      </c>
      <c r="S85" s="31" t="inlineStr">
        <is>
          <t>Nifty Auto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IF(B86=0,"",RANK(B86,$B$2:$B$368,0))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PAYTM</t>
        </is>
      </c>
      <c r="D86" s="31" t="inlineStr">
        <is>
          <t>One 97 Communications Ltd</t>
        </is>
      </c>
      <c r="E86" s="31" t="inlineStr">
        <is>
          <t>i.t</t>
        </is>
      </c>
      <c r="F86" s="31" t="inlineStr">
        <is>
          <t>miscellaneous</t>
        </is>
      </c>
      <c r="G86" s="31" t="inlineStr">
        <is>
          <t>largecap</t>
        </is>
      </c>
      <c r="H86" s="32" t="n">
        <v>101397.36</v>
      </c>
      <c r="I86" s="32" t="n">
        <v>1603.6</v>
      </c>
      <c r="J86" s="32" t="n">
        <v>1.27</v>
      </c>
      <c r="K86" s="32" t="n">
        <v>1684916</v>
      </c>
      <c r="L86" s="31" t="n">
        <v>61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73.53</v>
      </c>
      <c r="P86" s="32" t="n">
        <v>20.95</v>
      </c>
      <c r="Q86" s="32" t="n">
        <v>1284.38</v>
      </c>
      <c r="R86" s="31" t="inlineStr">
        <is>
          <t>Near 52W High Breakout</t>
        </is>
      </c>
      <c r="S86" s="31" t="inlineStr">
        <is>
          <t>Nifty IT</t>
        </is>
      </c>
      <c r="T86" s="32" t="n">
        <v>-13.45</v>
      </c>
      <c r="U86" s="32" t="n">
        <v>26.81</v>
      </c>
      <c r="V86" s="32" t="n">
        <v>46.52</v>
      </c>
      <c r="W86" s="32" t="n">
        <v>15.19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IF(B87=0,"",RANK(B87,$B$2:$B$368,0))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PANACHE</t>
        </is>
      </c>
      <c r="D87" s="31" t="inlineStr">
        <is>
          <t>Panache Digilife Ltd</t>
        </is>
      </c>
      <c r="E87" s="31" t="inlineStr">
        <is>
          <t>i.t</t>
        </is>
      </c>
      <c r="F87" s="31" t="inlineStr">
        <is>
          <t>computers - hardware</t>
        </is>
      </c>
      <c r="G87" s="31" t="inlineStr">
        <is>
          <t>smallcap</t>
        </is>
      </c>
      <c r="H87" s="32" t="n">
        <v>866.52</v>
      </c>
      <c r="I87" s="32" t="n">
        <v>544.9</v>
      </c>
      <c r="J87" s="32" t="n">
        <v>0.7</v>
      </c>
      <c r="K87" s="32" t="n">
        <v>2689</v>
      </c>
      <c r="L87" s="31" t="n">
        <v>87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72.59999999999999</v>
      </c>
      <c r="P87" s="32" t="n">
        <v>27.71</v>
      </c>
      <c r="Q87" s="32" t="n">
        <v>399.32</v>
      </c>
      <c r="R87" s="31" t="inlineStr">
        <is>
          <t>Near 52W High Breakout</t>
        </is>
      </c>
      <c r="S87" s="31" t="inlineStr">
        <is>
          <t>Nifty IT</t>
        </is>
      </c>
      <c r="T87" s="32" t="n">
        <v>-13.45</v>
      </c>
      <c r="U87" s="32" t="n">
        <v>110.76</v>
      </c>
      <c r="V87" s="32" t="n">
        <v>143.52</v>
      </c>
      <c r="W87" s="32" t="n">
        <v>29.94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IF(B88=0,"",RANK(B88,$B$2:$B$368,0))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THELEELA</t>
        </is>
      </c>
      <c r="D88" s="31" t="inlineStr">
        <is>
          <t>Leela Palaces Hotels &amp; Resorts Ltd</t>
        </is>
      </c>
      <c r="E88" s="31" t="inlineStr">
        <is>
          <t>services</t>
        </is>
      </c>
      <c r="F88" s="31" t="inlineStr">
        <is>
          <t>hotels</t>
        </is>
      </c>
      <c r="G88" s="31" t="inlineStr">
        <is>
          <t>midcap</t>
        </is>
      </c>
      <c r="H88" s="32" t="n">
        <v>17793.28</v>
      </c>
      <c r="I88" s="32" t="n">
        <v>536</v>
      </c>
      <c r="J88" s="32" t="n">
        <v>0.6</v>
      </c>
      <c r="K88" s="32" t="n">
        <v>701693</v>
      </c>
      <c r="L88" s="31" t="n">
        <v>50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67.90000000000001</v>
      </c>
      <c r="P88" s="32" t="n">
        <v>29.55</v>
      </c>
      <c r="Q88" s="32" t="n">
        <v>439.41</v>
      </c>
      <c r="R88" s="31" t="inlineStr">
        <is>
          <t>Near 52W High Breakout</t>
        </is>
      </c>
      <c r="S88" s="31" t="inlineStr">
        <is>
          <t>Nifty 50</t>
        </is>
      </c>
      <c r="T88" s="32" t="n">
        <v>-2.57</v>
      </c>
      <c r="U88" s="32" t="n">
        <v>28.3</v>
      </c>
      <c r="V88" s="32" t="n">
        <v>31.68</v>
      </c>
      <c r="W88" s="32" t="n">
        <v>11.73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IF(B89=0,"",RANK(B89,$B$2:$B$368,0))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MINDACORP</t>
        </is>
      </c>
      <c r="D89" s="31" t="inlineStr">
        <is>
          <t>Minda Corporation Limited</t>
        </is>
      </c>
      <c r="E89" s="31" t="inlineStr">
        <is>
          <t>auto</t>
        </is>
      </c>
      <c r="F89" s="31" t="inlineStr">
        <is>
          <t>auto ancillaries</t>
        </is>
      </c>
      <c r="G89" s="31" t="inlineStr">
        <is>
          <t>midcap</t>
        </is>
      </c>
      <c r="H89" s="32" t="n">
        <v>17665.58</v>
      </c>
      <c r="I89" s="32" t="n">
        <v>742.9</v>
      </c>
      <c r="J89" s="32" t="n">
        <v>0.54</v>
      </c>
      <c r="K89" s="32" t="n">
        <v>153771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72.98999999999999</v>
      </c>
      <c r="P89" s="32" t="n">
        <v>39.21</v>
      </c>
      <c r="Q89" s="32" t="n">
        <v>613.37</v>
      </c>
      <c r="R89" s="31" t="inlineStr">
        <is>
          <t>Near 52W High Breakout</t>
        </is>
      </c>
      <c r="S89" s="31" t="inlineStr">
        <is>
          <t>Nifty Auto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IF(B90=0,"",RANK(B90,$B$2:$B$368,0))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NILKAMAL</t>
        </is>
      </c>
      <c r="D90" s="31" t="inlineStr">
        <is>
          <t>Nilkamal Limited</t>
        </is>
      </c>
      <c r="E90" s="31" t="inlineStr">
        <is>
          <t>plastic products</t>
        </is>
      </c>
      <c r="F90" s="31" t="inlineStr">
        <is>
          <t>plastics products</t>
        </is>
      </c>
      <c r="G90" s="31" t="inlineStr">
        <is>
          <t>smallcap</t>
        </is>
      </c>
      <c r="H90" s="32" t="n">
        <v>3034.94</v>
      </c>
      <c r="I90" s="32" t="n">
        <v>2038.9</v>
      </c>
      <c r="J90" s="32" t="n">
        <v>0.25</v>
      </c>
      <c r="K90" s="32" t="n">
        <v>90879</v>
      </c>
      <c r="L90" s="31" t="n">
        <v>77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84.25</v>
      </c>
      <c r="P90" s="32" t="n">
        <v>34.31</v>
      </c>
      <c r="Q90" s="32" t="n">
        <v>1613.58</v>
      </c>
      <c r="R90" s="31" t="inlineStr">
        <is>
          <t>Volume Spike &amp; Near 52W High Breakout</t>
        </is>
      </c>
      <c r="S90" s="31" t="inlineStr">
        <is>
          <t>Nifty 50</t>
        </is>
      </c>
      <c r="T90" s="32" t="n">
        <v>-2.57</v>
      </c>
      <c r="U90" s="32" t="n">
        <v>31.15</v>
      </c>
      <c r="V90" s="32" t="n">
        <v>34.61</v>
      </c>
      <c r="W90" s="32" t="n">
        <v>22.49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IF(B91=0,"",RANK(B91,$B$2:$B$368,0))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SKIPPER</t>
        </is>
      </c>
      <c r="D91" s="31" t="inlineStr">
        <is>
          <t>Skipper Limited</t>
        </is>
      </c>
      <c r="E91" s="31" t="inlineStr">
        <is>
          <t>industrials</t>
        </is>
      </c>
      <c r="F91" s="31" t="inlineStr">
        <is>
          <t>engineering</t>
        </is>
      </c>
      <c r="G91" s="31" t="inlineStr">
        <is>
          <t>midcap</t>
        </is>
      </c>
      <c r="H91" s="32" t="n">
        <v>6727.39</v>
      </c>
      <c r="I91" s="32" t="n">
        <v>552</v>
      </c>
      <c r="J91" s="32" t="n">
        <v>0.21</v>
      </c>
      <c r="K91" s="32" t="n">
        <v>223237</v>
      </c>
      <c r="L91" s="31" t="n">
        <v>26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63.02</v>
      </c>
      <c r="P91" s="32" t="n">
        <v>35.87</v>
      </c>
      <c r="Q91" s="32" t="n">
        <v>437.57</v>
      </c>
      <c r="R91" s="31" t="inlineStr">
        <is>
          <t>Near 52W High Breakout</t>
        </is>
      </c>
      <c r="S91" s="31" t="inlineStr">
        <is>
          <t>Nifty 50</t>
        </is>
      </c>
      <c r="T91" s="32" t="n">
        <v>-2.57</v>
      </c>
      <c r="U91" s="32" t="n">
        <v>2.92</v>
      </c>
      <c r="V91" s="32" t="n">
        <v>5.63</v>
      </c>
      <c r="W91" s="32" t="n">
        <v>6.14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IF(B92=0,"",RANK(B92,$B$2:$B$368,0))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SKYGOLD</t>
        </is>
      </c>
      <c r="D92" s="31" t="inlineStr">
        <is>
          <t>Sky Gold Ltd</t>
        </is>
      </c>
      <c r="E92" s="31" t="inlineStr">
        <is>
          <t>consumer discretionary</t>
        </is>
      </c>
      <c r="F92" s="31" t="inlineStr">
        <is>
          <t>diamond cutting / jewellery</t>
        </is>
      </c>
      <c r="G92" s="31" t="inlineStr">
        <is>
          <t>midcap</t>
        </is>
      </c>
      <c r="H92" s="32" t="n">
        <v>12045.32</v>
      </c>
      <c r="I92" s="32" t="n">
        <v>778.95</v>
      </c>
      <c r="J92" s="32" t="n">
        <v>0.15</v>
      </c>
      <c r="K92" s="32" t="n">
        <v>198216</v>
      </c>
      <c r="L92" s="31" t="n">
        <v>92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80.38</v>
      </c>
      <c r="P92" s="32" t="n">
        <v>63.34</v>
      </c>
      <c r="Q92" s="32" t="n">
        <v>595.58</v>
      </c>
      <c r="R92" s="31" t="inlineStr">
        <is>
          <t>Near 52W High Breakout</t>
        </is>
      </c>
      <c r="S92" s="31" t="inlineStr">
        <is>
          <t>Nifty 50</t>
        </is>
      </c>
      <c r="T92" s="32" t="n">
        <v>-2.57</v>
      </c>
      <c r="U92" s="32" t="n">
        <v>155.3</v>
      </c>
      <c r="V92" s="32" t="n">
        <v>162.03</v>
      </c>
      <c r="W92" s="32" t="n">
        <v>35.89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IF(B93=0,"",RANK(B93,$B$2:$B$368,0))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SONACOMS</t>
        </is>
      </c>
      <c r="D93" s="31" t="inlineStr">
        <is>
          <t>Sona BLW Precision Forgings Ltd</t>
        </is>
      </c>
      <c r="E93" s="31" t="inlineStr">
        <is>
          <t>auto</t>
        </is>
      </c>
      <c r="F93" s="31" t="inlineStr">
        <is>
          <t>auto ancillaries</t>
        </is>
      </c>
      <c r="G93" s="31" t="inlineStr">
        <is>
          <t>largecap</t>
        </is>
      </c>
      <c r="H93" s="32" t="n">
        <v>51224.57</v>
      </c>
      <c r="I93" s="32" t="n">
        <v>821.9</v>
      </c>
      <c r="J93" s="32" t="n">
        <v>-0.19</v>
      </c>
      <c r="K93" s="32" t="n">
        <v>3449880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78.54000000000001</v>
      </c>
      <c r="P93" s="32" t="n">
        <v>52.42</v>
      </c>
      <c r="Q93" s="32" t="n">
        <v>695.87</v>
      </c>
      <c r="R93" s="31" t="inlineStr">
        <is>
          <t>Near 52W High Breakout</t>
        </is>
      </c>
      <c r="S93" s="31" t="inlineStr">
        <is>
          <t>Nifty Auto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Between 1.5 to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IF(B94=0,"",RANK(B94,$B$2:$B$368,0))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AETHER</t>
        </is>
      </c>
      <c r="D94" s="31" t="inlineStr">
        <is>
          <t>Aether Industries Ltd</t>
        </is>
      </c>
      <c r="E94" s="31" t="inlineStr">
        <is>
          <t>chemicals</t>
        </is>
      </c>
      <c r="F94" s="31" t="inlineStr">
        <is>
          <t>chemicals</t>
        </is>
      </c>
      <c r="G94" s="31" t="inlineStr">
        <is>
          <t>largecap</t>
        </is>
      </c>
      <c r="H94" s="32" t="n">
        <v>21766.19</v>
      </c>
      <c r="I94" s="32" t="n">
        <v>1636.8</v>
      </c>
      <c r="J94" s="32" t="n">
        <v>-0.2</v>
      </c>
      <c r="K94" s="32" t="n">
        <v>36496</v>
      </c>
      <c r="L94" s="31" t="n">
        <v>86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76.20999999999999</v>
      </c>
      <c r="P94" s="32" t="n">
        <v>48.3</v>
      </c>
      <c r="Q94" s="32" t="n">
        <v>1305.65</v>
      </c>
      <c r="R94" s="31" t="inlineStr">
        <is>
          <t>Near 52W High Breakout</t>
        </is>
      </c>
      <c r="S94" s="31" t="inlineStr">
        <is>
          <t>Nifty 50</t>
        </is>
      </c>
      <c r="T94" s="32" t="n">
        <v>-2.57</v>
      </c>
      <c r="U94" s="32" t="n">
        <v>111.9</v>
      </c>
      <c r="V94" s="32" t="n">
        <v>117.48</v>
      </c>
      <c r="W94" s="32" t="n">
        <v>28.81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IF(B95=0,"",RANK(B95,$B$2:$B$368,0))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RRKABEL</t>
        </is>
      </c>
      <c r="D95" s="31" t="inlineStr">
        <is>
          <t>R R Kabel Ltd</t>
        </is>
      </c>
      <c r="E95" s="31" t="inlineStr">
        <is>
          <t>industrials</t>
        </is>
      </c>
      <c r="F95" s="31" t="inlineStr">
        <is>
          <t>cables - power</t>
        </is>
      </c>
      <c r="G95" s="31" t="inlineStr">
        <is>
          <t>largecap</t>
        </is>
      </c>
      <c r="H95" s="32" t="n">
        <v>32787.02</v>
      </c>
      <c r="I95" s="32" t="n">
        <v>2890</v>
      </c>
      <c r="J95" s="32" t="n">
        <v>-0.3</v>
      </c>
      <c r="K95" s="32" t="n">
        <v>92586</v>
      </c>
      <c r="L95" s="31" t="n">
        <v>94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79.14</v>
      </c>
      <c r="P95" s="32" t="n">
        <v>67.95999999999999</v>
      </c>
      <c r="Q95" s="32" t="n">
        <v>2329.86</v>
      </c>
      <c r="R95" s="31" t="inlineStr">
        <is>
          <t>Near 52W High Breakout</t>
        </is>
      </c>
      <c r="S95" s="31" t="inlineStr">
        <is>
          <t>Nifty Energy</t>
        </is>
      </c>
      <c r="T95" s="32" t="n">
        <v>8.23</v>
      </c>
      <c r="U95" s="32" t="n">
        <v>108.41</v>
      </c>
      <c r="V95" s="32" t="n">
        <v>92.56</v>
      </c>
      <c r="W95" s="32" t="n">
        <v>41.41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IF(B96=0,"",RANK(B96,$B$2:$B$368,0))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HITECHCORP</t>
        </is>
      </c>
      <c r="D96" s="31" t="inlineStr">
        <is>
          <t>Hitech Corporation</t>
        </is>
      </c>
      <c r="E96" s="31" t="inlineStr">
        <is>
          <t>industrials</t>
        </is>
      </c>
      <c r="F96" s="31" t="inlineStr">
        <is>
          <t>packaging</t>
        </is>
      </c>
      <c r="G96" s="31" t="inlineStr">
        <is>
          <t>smallcap</t>
        </is>
      </c>
      <c r="H96" s="32" t="n">
        <v>570.23</v>
      </c>
      <c r="I96" s="32" t="n">
        <v>330.1</v>
      </c>
      <c r="J96" s="32" t="n">
        <v>-0.57</v>
      </c>
      <c r="K96" s="32" t="n">
        <v>9036</v>
      </c>
      <c r="L96" s="31" t="n">
        <v>92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80.41</v>
      </c>
      <c r="P96" s="32" t="n">
        <v>62.82</v>
      </c>
      <c r="Q96" s="32" t="n">
        <v>271.77</v>
      </c>
      <c r="R96" s="31" t="inlineStr">
        <is>
          <t>Near 52W High Breakout</t>
        </is>
      </c>
      <c r="S96" s="31" t="inlineStr">
        <is>
          <t>Nifty 50</t>
        </is>
      </c>
      <c r="T96" s="32" t="n">
        <v>-2.57</v>
      </c>
      <c r="U96" s="32" t="n">
        <v>62.92</v>
      </c>
      <c r="V96" s="32" t="n">
        <v>67.20999999999999</v>
      </c>
      <c r="W96" s="32" t="n">
        <v>35.42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IF(B97=0,"",RANK(B97,$B$2:$B$368,0))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RACLGEAR</t>
        </is>
      </c>
      <c r="D97" s="31" t="inlineStr">
        <is>
          <t>RACL Geartech Ltd</t>
        </is>
      </c>
      <c r="E97" s="31" t="inlineStr">
        <is>
          <t>auto</t>
        </is>
      </c>
      <c r="F97" s="31" t="inlineStr">
        <is>
          <t>auto ancillaries</t>
        </is>
      </c>
      <c r="G97" s="31" t="inlineStr">
        <is>
          <t>smallcap</t>
        </is>
      </c>
      <c r="H97" s="32" t="n">
        <v>1695.95</v>
      </c>
      <c r="I97" s="32" t="n">
        <v>1425.9</v>
      </c>
      <c r="J97" s="32" t="n">
        <v>-0.89</v>
      </c>
      <c r="K97" s="32" t="n">
        <v>4565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57.02</v>
      </c>
      <c r="P97" s="32" t="n">
        <v>49.76</v>
      </c>
      <c r="Q97" s="32" t="n">
        <v>1003.74</v>
      </c>
      <c r="R97" s="31" t="inlineStr">
        <is>
          <t>Volume Spike &amp; Near 52W High Breakout</t>
        </is>
      </c>
      <c r="S97" s="31" t="inlineStr">
        <is>
          <t>Nifty Auto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IF(B98=0,"",RANK(B98,$B$2:$B$368,0))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FINCABLES</t>
        </is>
      </c>
      <c r="D98" s="31" t="inlineStr">
        <is>
          <t>Finolex Cables Limited</t>
        </is>
      </c>
      <c r="E98" s="31" t="inlineStr">
        <is>
          <t>industrials</t>
        </is>
      </c>
      <c r="F98" s="31" t="inlineStr">
        <is>
          <t>cables - power</t>
        </is>
      </c>
      <c r="G98" s="31" t="inlineStr">
        <is>
          <t>largecap</t>
        </is>
      </c>
      <c r="H98" s="32" t="n">
        <v>20091.64</v>
      </c>
      <c r="I98" s="32" t="n">
        <v>1298.6</v>
      </c>
      <c r="J98" s="32" t="n">
        <v>-1.15</v>
      </c>
      <c r="K98" s="32" t="n">
        <v>145627</v>
      </c>
      <c r="L98" s="31" t="n">
        <v>64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67.8</v>
      </c>
      <c r="P98" s="32" t="n">
        <v>35.09</v>
      </c>
      <c r="Q98" s="32" t="n">
        <v>970.73</v>
      </c>
      <c r="R98" s="31" t="inlineStr">
        <is>
          <t>Near 52W High Breakout</t>
        </is>
      </c>
      <c r="S98" s="31" t="inlineStr">
        <is>
          <t>Nifty Energy</t>
        </is>
      </c>
      <c r="T98" s="32" t="n">
        <v>8.23</v>
      </c>
      <c r="U98" s="32" t="n">
        <v>45.07</v>
      </c>
      <c r="V98" s="32" t="n">
        <v>34.04</v>
      </c>
      <c r="W98" s="32" t="n">
        <v>16.08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IF(B99=0,"",RANK(B99,$B$2:$B$368,0))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RPEL</t>
        </is>
      </c>
      <c r="D99" s="31" t="inlineStr">
        <is>
          <t>Raghav Productivity Enhancers Ltd</t>
        </is>
      </c>
      <c r="E99" s="31" t="inlineStr">
        <is>
          <t>building materials</t>
        </is>
      </c>
      <c r="F99" s="31" t="inlineStr">
        <is>
          <t>refractories / intermediates</t>
        </is>
      </c>
      <c r="G99" s="31" t="inlineStr">
        <is>
          <t>midcap</t>
        </is>
      </c>
      <c r="H99" s="32" t="n">
        <v>7519.26</v>
      </c>
      <c r="I99" s="32" t="n">
        <v>1617.4</v>
      </c>
      <c r="J99" s="32" t="n">
        <v>-1.22</v>
      </c>
      <c r="K99" s="32" t="n">
        <v>44625</v>
      </c>
      <c r="L99" s="31" t="inlineStr"/>
      <c r="M99" s="31" t="inlineStr"/>
      <c r="N99" s="32">
        <f>IF(M99="Underperforming",-5,IF(L99&gt;=95,15,IF(L99&gt;=90,10,IF(L99&gt;=80,5,0))))</f>
        <v/>
      </c>
      <c r="O99" s="32" t="n">
        <v>83.39</v>
      </c>
      <c r="P99" s="32" t="n">
        <v>56.92</v>
      </c>
      <c r="Q99" s="32" t="n">
        <v>1274.08</v>
      </c>
      <c r="R99" s="31" t="inlineStr">
        <is>
          <t>Volume Spike &amp; Near 52W High Breakout</t>
        </is>
      </c>
      <c r="S99" s="31" t="inlineStr">
        <is>
          <t>Nifty Infra</t>
        </is>
      </c>
      <c r="T99" s="32" t="inlineStr"/>
      <c r="U99" s="32" t="inlineStr"/>
      <c r="V99" s="32" t="inlineStr"/>
      <c r="W99" s="32" t="inlineStr"/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Between 1.5 to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IF(B100=0,"",RANK(B100,$B$2:$B$368,0))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NAUKRI</t>
        </is>
      </c>
      <c r="D100" s="31" t="inlineStr">
        <is>
          <t>Info Edge (india) Limited</t>
        </is>
      </c>
      <c r="E100" s="31" t="inlineStr">
        <is>
          <t>i.t</t>
        </is>
      </c>
      <c r="F100" s="31" t="inlineStr">
        <is>
          <t>miscellaneous</t>
        </is>
      </c>
      <c r="G100" s="31" t="inlineStr">
        <is>
          <t>largecap</t>
        </is>
      </c>
      <c r="H100" s="32" t="n">
        <v>89378.3</v>
      </c>
      <c r="I100" s="32" t="n">
        <v>1360.9</v>
      </c>
      <c r="J100" s="32" t="n">
        <v>-1.27</v>
      </c>
      <c r="K100" s="32" t="n">
        <v>292028</v>
      </c>
      <c r="L100" s="31" t="n">
        <v>43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70.47</v>
      </c>
      <c r="P100" s="32" t="n">
        <v>24.56</v>
      </c>
      <c r="Q100" s="32" t="n">
        <v>1106.67</v>
      </c>
      <c r="R100" s="31" t="inlineStr">
        <is>
          <t>Near 52W High Breakout</t>
        </is>
      </c>
      <c r="S100" s="31" t="inlineStr">
        <is>
          <t>Nifty IT</t>
        </is>
      </c>
      <c r="T100" s="32" t="n">
        <v>-13.45</v>
      </c>
      <c r="U100" s="32" t="n">
        <v>-0.73</v>
      </c>
      <c r="V100" s="32" t="n">
        <v>14.7</v>
      </c>
      <c r="W100" s="32" t="n">
        <v>10.23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IF(B101=0,"",RANK(B101,$B$2:$B$368,0))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HFCL</t>
        </is>
      </c>
      <c r="D101" s="31" t="inlineStr">
        <is>
          <t>HFCL Ltd</t>
        </is>
      </c>
      <c r="E101" s="31" t="inlineStr">
        <is>
          <t>telecom</t>
        </is>
      </c>
      <c r="F101" s="31" t="inlineStr">
        <is>
          <t>cables - telephone</t>
        </is>
      </c>
      <c r="G101" s="31" t="inlineStr">
        <is>
          <t>largecap</t>
        </is>
      </c>
      <c r="H101" s="32" t="n">
        <v>34672.74</v>
      </c>
      <c r="I101" s="32" t="n">
        <v>223.49</v>
      </c>
      <c r="J101" s="32" t="n">
        <v>-1.34</v>
      </c>
      <c r="K101" s="32" t="n">
        <v>3478565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73.84</v>
      </c>
      <c r="P101" s="32" t="n">
        <v>64.58</v>
      </c>
      <c r="Q101" s="32" t="n">
        <v>165.07</v>
      </c>
      <c r="R101" s="31" t="inlineStr">
        <is>
          <t>Near 52W High Breakout</t>
        </is>
      </c>
      <c r="S101" s="31" t="inlineStr">
        <is>
          <t>Nifty Infra</t>
        </is>
      </c>
      <c r="T101" s="32" t="inlineStr"/>
      <c r="U101" s="32" t="inlineStr"/>
      <c r="V101" s="32" t="inlineStr"/>
      <c r="W101" s="32" t="inlineStr"/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Oligopoly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IF(B102=0,"",RANK(B102,$B$2:$B$368,0))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ACE</t>
        </is>
      </c>
      <c r="D102" s="31" t="inlineStr">
        <is>
          <t>Action Construction Equipment Limited</t>
        </is>
      </c>
      <c r="E102" s="31" t="inlineStr">
        <is>
          <t>industrials</t>
        </is>
      </c>
      <c r="F102" s="31" t="inlineStr">
        <is>
          <t>engineering</t>
        </is>
      </c>
      <c r="G102" s="31" t="inlineStr">
        <is>
          <t>midcap</t>
        </is>
      </c>
      <c r="H102" s="32" t="n">
        <v>14066.11</v>
      </c>
      <c r="I102" s="32" t="n">
        <v>1164.4</v>
      </c>
      <c r="J102" s="32" t="n">
        <v>-1.42</v>
      </c>
      <c r="K102" s="32" t="n">
        <v>62383</v>
      </c>
      <c r="L102" s="31" t="n">
        <v>45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73.11</v>
      </c>
      <c r="P102" s="32" t="n">
        <v>25.8</v>
      </c>
      <c r="Q102" s="32" t="n">
        <v>947.72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-2.57</v>
      </c>
      <c r="U102" s="32" t="n">
        <v>18.17</v>
      </c>
      <c r="V102" s="32" t="n">
        <v>21.28</v>
      </c>
      <c r="W102" s="32" t="n">
        <v>10.71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IF(B103=0,"",RANK(B103,$B$2:$B$368,0))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GHCLTEXTIL</t>
        </is>
      </c>
      <c r="D103" s="31" t="inlineStr">
        <is>
          <t>GHCL Textiles Ltd</t>
        </is>
      </c>
      <c r="E103" s="31" t="inlineStr">
        <is>
          <t>textiles</t>
        </is>
      </c>
      <c r="F103" s="31" t="inlineStr">
        <is>
          <t>textiles - spinning - synthetic / blended</t>
        </is>
      </c>
      <c r="G103" s="31" t="inlineStr">
        <is>
          <t>smallcap</t>
        </is>
      </c>
      <c r="H103" s="32" t="n">
        <v>1208.2</v>
      </c>
      <c r="I103" s="32" t="n">
        <v>124.12</v>
      </c>
      <c r="J103" s="32" t="n">
        <v>-1.8</v>
      </c>
      <c r="K103" s="32" t="n">
        <v>126557</v>
      </c>
      <c r="L103" s="31" t="n">
        <v>67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71.77</v>
      </c>
      <c r="P103" s="32" t="n">
        <v>36.61</v>
      </c>
      <c r="Q103" s="32" t="n">
        <v>95.34999999999999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-2.57</v>
      </c>
      <c r="U103" s="32" t="n">
        <v>55.6</v>
      </c>
      <c r="V103" s="32" t="n">
        <v>59.7</v>
      </c>
      <c r="W103" s="32" t="n">
        <v>17.7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IF(B104=0,"",RANK(B104,$B$2:$B$368,0))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BANARISUG</t>
        </is>
      </c>
      <c r="D104" s="31" t="inlineStr">
        <is>
          <t>Bannari Amman Sugars Limited</t>
        </is>
      </c>
      <c r="E104" s="31" t="inlineStr">
        <is>
          <t>fmcg</t>
        </is>
      </c>
      <c r="F104" s="31" t="inlineStr">
        <is>
          <t>sugar</t>
        </is>
      </c>
      <c r="G104" s="31" t="inlineStr">
        <is>
          <t>smallcap</t>
        </is>
      </c>
      <c r="H104" s="32" t="n">
        <v>4536.11</v>
      </c>
      <c r="I104" s="32" t="n">
        <v>4265</v>
      </c>
      <c r="J104" s="32" t="n">
        <v>17.9</v>
      </c>
      <c r="K104" s="32" t="n">
        <v>16574</v>
      </c>
      <c r="L104" s="31" t="inlineStr"/>
      <c r="M104" s="31" t="inlineStr"/>
      <c r="N104" s="32">
        <f>IF(M104="Underperforming",-5,IF(L104&gt;=95,15,IF(L104&gt;=90,10,IF(L104&gt;=80,5,0))))</f>
        <v/>
      </c>
      <c r="O104" s="32" t="n">
        <v>77.17</v>
      </c>
      <c r="P104" s="32" t="n">
        <v>28.89</v>
      </c>
      <c r="Q104" s="32" t="n">
        <v>3714.18</v>
      </c>
      <c r="R104" s="31" t="inlineStr">
        <is>
          <t>Volume Spike &amp; Near 52W High Breakout</t>
        </is>
      </c>
      <c r="S104" s="31" t="inlineStr">
        <is>
          <t>Nifty FMCG</t>
        </is>
      </c>
      <c r="T104" s="32" t="inlineStr"/>
      <c r="U104" s="32" t="inlineStr"/>
      <c r="V104" s="32" t="inlineStr"/>
      <c r="W104" s="32" t="inlineStr"/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B2C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Between 12 to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Between 1.5 to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IF(B105=0,"",RANK(B105,$B$2:$B$368,0))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COFORGE</t>
        </is>
      </c>
      <c r="D105" s="31" t="inlineStr">
        <is>
          <t>Coforge (Niit Tech) Ltd</t>
        </is>
      </c>
      <c r="E105" s="31" t="inlineStr">
        <is>
          <t>i.t</t>
        </is>
      </c>
      <c r="F105" s="31" t="inlineStr">
        <is>
          <t>computers - software - large</t>
        </is>
      </c>
      <c r="G105" s="31" t="inlineStr">
        <is>
          <t>largecap</t>
        </is>
      </c>
      <c r="H105" s="32" t="n">
        <v>80264.27</v>
      </c>
      <c r="I105" s="32" t="n">
        <v>1877.2</v>
      </c>
      <c r="J105" s="32" t="n">
        <v>3.54</v>
      </c>
      <c r="K105" s="32" t="n">
        <v>1201259</v>
      </c>
      <c r="L105" s="31" t="n">
        <v>45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70.29000000000001</v>
      </c>
      <c r="P105" s="32" t="n">
        <v>13.25</v>
      </c>
      <c r="Q105" s="32" t="n">
        <v>1505.73</v>
      </c>
      <c r="R105" s="31" t="inlineStr">
        <is>
          <t>Near 52W High Breakout</t>
        </is>
      </c>
      <c r="S105" s="31" t="inlineStr">
        <is>
          <t>Nifty IT</t>
        </is>
      </c>
      <c r="T105" s="32" t="n">
        <v>-13.45</v>
      </c>
      <c r="U105" s="32" t="n">
        <v>8.68</v>
      </c>
      <c r="V105" s="32" t="n">
        <v>25.58</v>
      </c>
      <c r="W105" s="32" t="n">
        <v>10.78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IF(B106=0,"",RANK(B106,$B$2:$B$368,0))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AVTNPL</t>
        </is>
      </c>
      <c r="D106" s="31" t="inlineStr">
        <is>
          <t>Avt Natural Products Limited</t>
        </is>
      </c>
      <c r="E106" s="31" t="inlineStr">
        <is>
          <t>fmcg</t>
        </is>
      </c>
      <c r="F106" s="31" t="inlineStr">
        <is>
          <t>solvent extraction</t>
        </is>
      </c>
      <c r="G106" s="31" t="inlineStr">
        <is>
          <t>smallcap</t>
        </is>
      </c>
      <c r="H106" s="32" t="n">
        <v>1318.63</v>
      </c>
      <c r="I106" s="32" t="n">
        <v>88.41</v>
      </c>
      <c r="J106" s="32" t="n">
        <v>2.1</v>
      </c>
      <c r="K106" s="32" t="n">
        <v>109005</v>
      </c>
      <c r="L106" s="31" t="inlineStr"/>
      <c r="M106" s="31" t="inlineStr"/>
      <c r="N106" s="32">
        <f>IF(M106="Underperforming",-5,IF(L106&gt;=95,15,IF(L106&gt;=90,10,IF(L106&gt;=80,5,0))))</f>
        <v/>
      </c>
      <c r="O106" s="32" t="n">
        <v>77.55</v>
      </c>
      <c r="P106" s="32" t="n">
        <v>34.3</v>
      </c>
      <c r="Q106" s="32" t="n">
        <v>71.09</v>
      </c>
      <c r="R106" s="31" t="inlineStr">
        <is>
          <t>Volume Spike &amp; Near 52W High Breakout</t>
        </is>
      </c>
      <c r="S106" s="31" t="inlineStr">
        <is>
          <t>Nifty FMCG</t>
        </is>
      </c>
      <c r="T106" s="32" t="inlineStr"/>
      <c r="U106" s="32" t="inlineStr"/>
      <c r="V106" s="32" t="inlineStr"/>
      <c r="W106" s="32" t="inlineStr"/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B2C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IF(B107=0,"",RANK(B107,$B$2:$B$368,0))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HNDFDS</t>
        </is>
      </c>
      <c r="D107" s="31" t="inlineStr">
        <is>
          <t>Hindustan Foods Ltd</t>
        </is>
      </c>
      <c r="E107" s="31" t="inlineStr">
        <is>
          <t>fmcg</t>
        </is>
      </c>
      <c r="F107" s="31" t="inlineStr">
        <is>
          <t>diversified - large</t>
        </is>
      </c>
      <c r="G107" s="31" t="inlineStr">
        <is>
          <t>midcap</t>
        </is>
      </c>
      <c r="H107" s="32" t="n">
        <v>7793.79</v>
      </c>
      <c r="I107" s="32" t="n">
        <v>654.1</v>
      </c>
      <c r="J107" s="32" t="n">
        <v>1.69</v>
      </c>
      <c r="K107" s="32" t="n">
        <v>39472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74.97</v>
      </c>
      <c r="P107" s="32" t="n">
        <v>37.03</v>
      </c>
      <c r="Q107" s="32" t="n">
        <v>542.3200000000001</v>
      </c>
      <c r="R107" s="31" t="inlineStr">
        <is>
          <t>Volume Spike &amp; Near 52W High Breakout</t>
        </is>
      </c>
      <c r="S107" s="31" t="inlineStr">
        <is>
          <t>Nifty FMCG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Between 1.5 to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IF(B108=0,"",RANK(B108,$B$2:$B$368,0))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SHILPAMED</t>
        </is>
      </c>
      <c r="D108" s="31" t="inlineStr">
        <is>
          <t>Shilpa Medicare Limited</t>
        </is>
      </c>
      <c r="E108" s="31" t="inlineStr">
        <is>
          <t>healthcare</t>
        </is>
      </c>
      <c r="F108" s="31" t="inlineStr">
        <is>
          <t>pharmaceuticals - indian - formulations</t>
        </is>
      </c>
      <c r="G108" s="31" t="inlineStr">
        <is>
          <t>midcap</t>
        </is>
      </c>
      <c r="H108" s="32" t="n">
        <v>15798.12</v>
      </c>
      <c r="I108" s="32" t="n">
        <v>820.05</v>
      </c>
      <c r="J108" s="32" t="n">
        <v>1.52</v>
      </c>
      <c r="K108" s="32" t="n">
        <v>392545</v>
      </c>
      <c r="L108" s="31" t="n">
        <v>89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88.62</v>
      </c>
      <c r="P108" s="32" t="n">
        <v>74.75</v>
      </c>
      <c r="Q108" s="32" t="n">
        <v>665.78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18.64</v>
      </c>
      <c r="U108" s="32" t="n">
        <v>92.97</v>
      </c>
      <c r="V108" s="32" t="n">
        <v>62.64</v>
      </c>
      <c r="W108" s="32" t="n">
        <v>32.18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IF(B109=0,"",RANK(B109,$B$2:$B$368,0))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LAURUSLABS</t>
        </is>
      </c>
      <c r="D109" s="31" t="inlineStr">
        <is>
          <t>Laurus Labs Limited</t>
        </is>
      </c>
      <c r="E109" s="31" t="inlineStr">
        <is>
          <t>healthcare</t>
        </is>
      </c>
      <c r="F109" s="31" t="inlineStr">
        <is>
          <t>pharmaceuticals - indian - bulk drugs &amp; formln</t>
        </is>
      </c>
      <c r="G109" s="31" t="inlineStr">
        <is>
          <t>largecap</t>
        </is>
      </c>
      <c r="H109" s="32" t="n">
        <v>97342.17</v>
      </c>
      <c r="I109" s="32" t="n">
        <v>1825</v>
      </c>
      <c r="J109" s="32" t="n">
        <v>1.29</v>
      </c>
      <c r="K109" s="32" t="n">
        <v>442047</v>
      </c>
      <c r="L109" s="31" t="n">
        <v>80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80.70999999999999</v>
      </c>
      <c r="P109" s="32" t="n">
        <v>66.62</v>
      </c>
      <c r="Q109" s="32" t="n">
        <v>1586.18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18.64</v>
      </c>
      <c r="U109" s="32" t="n">
        <v>107.98</v>
      </c>
      <c r="V109" s="32" t="n">
        <v>75.3</v>
      </c>
      <c r="W109" s="32" t="n">
        <v>23.84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IF(B110=0,"",RANK(B110,$B$2:$B$368,0))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LALPATHLAB</t>
        </is>
      </c>
      <c r="D110" s="33" t="inlineStr">
        <is>
          <t>Dr. Lal Path Labs Ltd.</t>
        </is>
      </c>
      <c r="E110" s="31" t="inlineStr">
        <is>
          <t>healthcare</t>
        </is>
      </c>
      <c r="F110" s="31" t="inlineStr">
        <is>
          <t>healthcare</t>
        </is>
      </c>
      <c r="G110" s="31" t="inlineStr">
        <is>
          <t>largecap</t>
        </is>
      </c>
      <c r="H110" s="32" t="n">
        <v>31636.6</v>
      </c>
      <c r="I110" s="32" t="n">
        <v>1890</v>
      </c>
      <c r="J110" s="32" t="n">
        <v>0.15</v>
      </c>
      <c r="K110" s="32" t="n">
        <v>95934</v>
      </c>
      <c r="L110" s="31" t="n">
        <v>28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70.15000000000001</v>
      </c>
      <c r="P110" s="32" t="n">
        <v>42.33</v>
      </c>
      <c r="Q110" s="32" t="n">
        <v>1615.91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18.64</v>
      </c>
      <c r="U110" s="32" t="n">
        <v>13.07</v>
      </c>
      <c r="V110" s="32" t="n">
        <v>-4.7</v>
      </c>
      <c r="W110" s="32" t="n">
        <v>6.41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IF(B111=0,"",RANK(B111,$B$2:$B$368,0))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KRBL</t>
        </is>
      </c>
      <c r="D111" s="31" t="inlineStr">
        <is>
          <t>Krbl Limited</t>
        </is>
      </c>
      <c r="E111" s="31" t="inlineStr">
        <is>
          <t>fmcg</t>
        </is>
      </c>
      <c r="F111" s="31" t="inlineStr">
        <is>
          <t>food - processing - indian</t>
        </is>
      </c>
      <c r="G111" s="31" t="inlineStr">
        <is>
          <t>midcap</t>
        </is>
      </c>
      <c r="H111" s="32" t="n">
        <v>9146.440000000001</v>
      </c>
      <c r="I111" s="32" t="n">
        <v>397.95</v>
      </c>
      <c r="J111" s="32" t="n">
        <v>-0.41</v>
      </c>
      <c r="K111" s="32" t="n">
        <v>158055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60.45</v>
      </c>
      <c r="P111" s="32" t="n">
        <v>7.98</v>
      </c>
      <c r="Q111" s="32" t="n">
        <v>318.8</v>
      </c>
      <c r="R111" s="31" t="inlineStr">
        <is>
          <t>Volume Spike / Accumulation</t>
        </is>
      </c>
      <c r="S111" s="31" t="inlineStr">
        <is>
          <t>Nifty FMCG</t>
        </is>
      </c>
      <c r="T111" s="32" t="inlineStr"/>
      <c r="U111" s="32" t="inlineStr"/>
      <c r="V111" s="32" t="inlineStr"/>
      <c r="W111" s="32" t="inlineStr"/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B2C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0 to 20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IF(B112=0,"",RANK(B112,$B$2:$B$368,0))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GLAND</t>
        </is>
      </c>
      <c r="D112" s="31" t="inlineStr">
        <is>
          <t>Gland Pharma Ltd</t>
        </is>
      </c>
      <c r="E112" s="31" t="inlineStr">
        <is>
          <t>healthcare</t>
        </is>
      </c>
      <c r="F112" s="31" t="inlineStr">
        <is>
          <t>pharmaceuticals - indian - formulations</t>
        </is>
      </c>
      <c r="G112" s="31" t="inlineStr">
        <is>
          <t>largecap</t>
        </is>
      </c>
      <c r="H112" s="32" t="n">
        <v>46869.99</v>
      </c>
      <c r="I112" s="32" t="n">
        <v>2820.1</v>
      </c>
      <c r="J112" s="32" t="n">
        <v>-0.75</v>
      </c>
      <c r="K112" s="32" t="n">
        <v>167337</v>
      </c>
      <c r="L112" s="31" t="n">
        <v>53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71.68000000000001</v>
      </c>
      <c r="P112" s="32" t="n">
        <v>61.26</v>
      </c>
      <c r="Q112" s="32" t="n">
        <v>2428.77</v>
      </c>
      <c r="R112" s="31" t="inlineStr">
        <is>
          <t>Earnings / Momentum Support</t>
        </is>
      </c>
      <c r="S112" s="31" t="inlineStr">
        <is>
          <t>Nifty Pharma</t>
        </is>
      </c>
      <c r="T112" s="32" t="n">
        <v>18.64</v>
      </c>
      <c r="U112" s="32" t="n">
        <v>45.16</v>
      </c>
      <c r="V112" s="32" t="n">
        <v>22.35</v>
      </c>
      <c r="W112" s="32" t="n">
        <v>12.94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IF(B113=0,"",RANK(B113,$B$2:$B$368,0))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MARKSANS</t>
        </is>
      </c>
      <c r="D113" s="31" t="inlineStr">
        <is>
          <t>Marksans Pharma Limited</t>
        </is>
      </c>
      <c r="E113" s="31" t="inlineStr">
        <is>
          <t>healthcare</t>
        </is>
      </c>
      <c r="F113" s="31" t="inlineStr">
        <is>
          <t>pharmaceuticals - indian - formulations</t>
        </is>
      </c>
      <c r="G113" s="31" t="inlineStr">
        <is>
          <t>midcap</t>
        </is>
      </c>
      <c r="H113" s="32" t="n">
        <v>14818.45</v>
      </c>
      <c r="I113" s="32" t="n">
        <v>320.5</v>
      </c>
      <c r="J113" s="32" t="n">
        <v>-1.99</v>
      </c>
      <c r="K113" s="32" t="n">
        <v>711767</v>
      </c>
      <c r="L113" s="31" t="n">
        <v>81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76.67</v>
      </c>
      <c r="P113" s="32" t="n">
        <v>56.87</v>
      </c>
      <c r="Q113" s="32" t="n">
        <v>248.68</v>
      </c>
      <c r="R113" s="31" t="inlineStr">
        <is>
          <t>Near 52W High Breakout</t>
        </is>
      </c>
      <c r="S113" s="31" t="inlineStr">
        <is>
          <t>Nifty Pharma</t>
        </is>
      </c>
      <c r="T113" s="32" t="n">
        <v>18.64</v>
      </c>
      <c r="U113" s="32" t="n">
        <v>78.78</v>
      </c>
      <c r="V113" s="32" t="n">
        <v>50.69</v>
      </c>
      <c r="W113" s="32" t="n">
        <v>24.41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IF(B114=0,"",RANK(B114,$B$2:$B$368,0))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TASTYBITE</t>
        </is>
      </c>
      <c r="D114" s="31" t="inlineStr">
        <is>
          <t>Tasty Bite Eatables Ltd</t>
        </is>
      </c>
      <c r="E114" s="31" t="inlineStr">
        <is>
          <t>fmcg</t>
        </is>
      </c>
      <c r="F114" s="31" t="inlineStr">
        <is>
          <t>food - processing - indian</t>
        </is>
      </c>
      <c r="G114" s="31" t="inlineStr">
        <is>
          <t>smallcap</t>
        </is>
      </c>
      <c r="H114" s="32" t="n">
        <v>2666.59</v>
      </c>
      <c r="I114" s="32" t="n">
        <v>10110</v>
      </c>
      <c r="J114" s="32" t="n">
        <v>-2.71</v>
      </c>
      <c r="K114" s="32" t="n">
        <v>1512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72.72</v>
      </c>
      <c r="P114" s="32" t="n">
        <v>45.87</v>
      </c>
      <c r="Q114" s="32" t="n">
        <v>7856.34</v>
      </c>
      <c r="R114" s="31" t="inlineStr">
        <is>
          <t>Volume Spike &amp; Near 52W High Breakout</t>
        </is>
      </c>
      <c r="S114" s="31" t="inlineStr">
        <is>
          <t>Nifty FMCG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IF(B115=0,"",RANK(B115,$B$2:$B$368,0))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KROSS</t>
        </is>
      </c>
      <c r="D115" s="31" t="inlineStr">
        <is>
          <t>Kross Ltd</t>
        </is>
      </c>
      <c r="E115" s="31" t="inlineStr">
        <is>
          <t>auto</t>
        </is>
      </c>
      <c r="F115" s="31" t="inlineStr">
        <is>
          <t>auto ancillaries</t>
        </is>
      </c>
      <c r="G115" s="31" t="inlineStr">
        <is>
          <t>smallcap</t>
        </is>
      </c>
      <c r="H115" s="32" t="n">
        <v>1279.03</v>
      </c>
      <c r="I115" s="32" t="n">
        <v>209.61</v>
      </c>
      <c r="J115" s="32" t="n">
        <v>5.72</v>
      </c>
      <c r="K115" s="32" t="n">
        <v>274876</v>
      </c>
      <c r="L115" s="31" t="inlineStr"/>
      <c r="M115" s="31" t="inlineStr"/>
      <c r="N115" s="32">
        <f>IF(M115="Underperforming",-5,IF(L115&gt;=95,15,IF(L115&gt;=90,10,IF(L115&gt;=80,5,0))))</f>
        <v/>
      </c>
      <c r="O115" s="32" t="n">
        <v>57.67</v>
      </c>
      <c r="P115" s="32" t="n">
        <v>23.91</v>
      </c>
      <c r="Q115" s="32" t="n">
        <v>156.82</v>
      </c>
      <c r="R115" s="31" t="inlineStr">
        <is>
          <t>Earnings / Momentum Support</t>
        </is>
      </c>
      <c r="S115" s="31" t="inlineStr">
        <is>
          <t>Nifty Auto</t>
        </is>
      </c>
      <c r="T115" s="32" t="inlineStr"/>
      <c r="U115" s="32" t="inlineStr"/>
      <c r="V115" s="32" t="inlineStr"/>
      <c r="W115" s="32" t="inlineStr"/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IF(B116=0,"",RANK(B116,$B$2:$B$368,0))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ACMESOLAR</t>
        </is>
      </c>
      <c r="D116" s="31" t="inlineStr">
        <is>
          <t>ACME Solar Holdings Ltd</t>
        </is>
      </c>
      <c r="E116" s="31" t="inlineStr">
        <is>
          <t>realty</t>
        </is>
      </c>
      <c r="F116" s="31" t="inlineStr">
        <is>
          <t>engineering - turnkey services</t>
        </is>
      </c>
      <c r="G116" s="31" t="inlineStr">
        <is>
          <t>largecap</t>
        </is>
      </c>
      <c r="H116" s="32" t="n">
        <v>26889.5</v>
      </c>
      <c r="I116" s="32" t="n">
        <v>398.75</v>
      </c>
      <c r="J116" s="32" t="n">
        <v>4.82</v>
      </c>
      <c r="K116" s="32" t="n">
        <v>2556612</v>
      </c>
      <c r="L116" s="31" t="n">
        <v>67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69.75</v>
      </c>
      <c r="P116" s="32" t="n">
        <v>40.42</v>
      </c>
      <c r="Q116" s="32" t="n">
        <v>309.73</v>
      </c>
      <c r="R116" s="31" t="inlineStr">
        <is>
          <t>Near 52W High Breakout</t>
        </is>
      </c>
      <c r="S116" s="31" t="inlineStr">
        <is>
          <t>Nifty Realty</t>
        </is>
      </c>
      <c r="T116" s="32" t="n">
        <v>-4.49</v>
      </c>
      <c r="U116" s="32" t="n">
        <v>47.07</v>
      </c>
      <c r="V116" s="32" t="n">
        <v>53.98</v>
      </c>
      <c r="W116" s="32" t="n">
        <v>17.78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More than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IF(B117=0,"",RANK(B117,$B$2:$B$368,0))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RAMCOIND</t>
        </is>
      </c>
      <c r="D117" s="31" t="inlineStr">
        <is>
          <t>Ramco Industries Limited</t>
        </is>
      </c>
      <c r="E117" s="31" t="n">
        <v/>
      </c>
      <c r="F117" s="31" t="n">
        <v/>
      </c>
      <c r="G117" s="31" t="n">
        <v/>
      </c>
      <c r="H117" s="32" t="n">
        <v/>
      </c>
      <c r="I117" s="32" t="n">
        <v>354.7</v>
      </c>
      <c r="J117" s="32" t="n">
        <v>4.35</v>
      </c>
      <c r="K117" s="32" t="n">
        <v>69467</v>
      </c>
      <c r="L117" s="31" t="n">
        <v>38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60.86</v>
      </c>
      <c r="P117" s="32" t="n">
        <v>36.21</v>
      </c>
      <c r="Q117" s="32" t="n">
        <v>277.48</v>
      </c>
      <c r="R117" s="31" t="inlineStr">
        <is>
          <t>Earnings / Momentum Support</t>
        </is>
      </c>
      <c r="S117" s="31" t="inlineStr">
        <is>
          <t>Nifty 50</t>
        </is>
      </c>
      <c r="T117" s="32" t="n">
        <v>-2.57</v>
      </c>
      <c r="U117" s="32" t="n">
        <v>15.64</v>
      </c>
      <c r="V117" s="32" t="n">
        <v>18.68</v>
      </c>
      <c r="W117" s="32" t="n">
        <v>9.06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IF(B118=0,"",RANK(B118,$B$2:$B$368,0))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WABAG</t>
        </is>
      </c>
      <c r="D118" s="31" t="inlineStr">
        <is>
          <t>Va Tech Wabag Limited</t>
        </is>
      </c>
      <c r="E118" s="31" t="inlineStr">
        <is>
          <t>realty</t>
        </is>
      </c>
      <c r="F118" s="31" t="inlineStr">
        <is>
          <t>engineering - turnkey services</t>
        </is>
      </c>
      <c r="G118" s="31" t="inlineStr">
        <is>
          <t>midcap</t>
        </is>
      </c>
      <c r="H118" s="32" t="n">
        <v>12329.41</v>
      </c>
      <c r="I118" s="32" t="n">
        <v>2057.9</v>
      </c>
      <c r="J118" s="32" t="n">
        <v>4.08</v>
      </c>
      <c r="K118" s="32" t="n">
        <v>413654</v>
      </c>
      <c r="L118" s="31" t="n">
        <v>62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65.20999999999999</v>
      </c>
      <c r="P118" s="32" t="n">
        <v>31.9</v>
      </c>
      <c r="Q118" s="32" t="n">
        <v>1739.36</v>
      </c>
      <c r="R118" s="31" t="inlineStr">
        <is>
          <t>Earnings / Momentum Support</t>
        </is>
      </c>
      <c r="S118" s="31" t="inlineStr">
        <is>
          <t>Nifty Realty</t>
        </is>
      </c>
      <c r="T118" s="32" t="n">
        <v>-4.49</v>
      </c>
      <c r="U118" s="32" t="n">
        <v>27.35</v>
      </c>
      <c r="V118" s="32" t="n">
        <v>33.33</v>
      </c>
      <c r="W118" s="32" t="n">
        <v>15.86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IF(B119=0,"",RANK(B119,$B$2:$B$368,0))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CHEVIOT</t>
        </is>
      </c>
      <c r="D119" s="31" t="inlineStr">
        <is>
          <t>Cheviot Company Ltd</t>
        </is>
      </c>
      <c r="E119" s="31" t="inlineStr">
        <is>
          <t>textiles</t>
        </is>
      </c>
      <c r="F119" s="31" t="inlineStr">
        <is>
          <t>textiles - jute - yarn / products</t>
        </is>
      </c>
      <c r="G119" s="31" t="inlineStr">
        <is>
          <t>smallcap</t>
        </is>
      </c>
      <c r="H119" s="32" t="n">
        <v>666.62</v>
      </c>
      <c r="I119" s="32" t="n">
        <v>1175</v>
      </c>
      <c r="J119" s="32" t="n">
        <v>2.97</v>
      </c>
      <c r="K119" s="32" t="n">
        <v>989</v>
      </c>
      <c r="L119" s="31" t="n">
        <v>10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60.03</v>
      </c>
      <c r="P119" s="32" t="n">
        <v>22.2</v>
      </c>
      <c r="Q119" s="32" t="n">
        <v>939.67</v>
      </c>
      <c r="R119" s="31" t="inlineStr">
        <is>
          <t>Earnings / Momentum Support</t>
        </is>
      </c>
      <c r="S119" s="31" t="inlineStr">
        <is>
          <t>Nifty 50</t>
        </is>
      </c>
      <c r="T119" s="32" t="n">
        <v>-2.57</v>
      </c>
      <c r="U119" s="32" t="n">
        <v>-0.28</v>
      </c>
      <c r="V119" s="32" t="n">
        <v>2.35</v>
      </c>
      <c r="W119" s="32" t="n">
        <v>1.37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IF(B120=0,"",RANK(B120,$B$2:$B$368,0))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TVSSRICHAK</t>
        </is>
      </c>
      <c r="D120" s="31" t="inlineStr">
        <is>
          <t>Tvs Srichakra Limited</t>
        </is>
      </c>
      <c r="E120" s="31" t="inlineStr">
        <is>
          <t>auto</t>
        </is>
      </c>
      <c r="F120" s="31" t="inlineStr">
        <is>
          <t>tyres</t>
        </is>
      </c>
      <c r="G120" s="31" t="inlineStr">
        <is>
          <t>smallcap</t>
        </is>
      </c>
      <c r="H120" s="32" t="n">
        <v>3692.08</v>
      </c>
      <c r="I120" s="32" t="n">
        <v>4955</v>
      </c>
      <c r="J120" s="32" t="n">
        <v>2.76</v>
      </c>
      <c r="K120" s="32" t="n">
        <v>21685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70.40000000000001</v>
      </c>
      <c r="P120" s="32" t="n">
        <v>22.66</v>
      </c>
      <c r="Q120" s="32" t="n">
        <v>3898.38</v>
      </c>
      <c r="R120" s="31" t="inlineStr">
        <is>
          <t>Volume Spike &amp; Near 52W High Breakout</t>
        </is>
      </c>
      <c r="S120" s="31" t="inlineStr">
        <is>
          <t>Nifty Auto</t>
        </is>
      </c>
      <c r="T120" s="32" t="inlineStr"/>
      <c r="U120" s="32" t="inlineStr"/>
      <c r="V120" s="32" t="inlineStr"/>
      <c r="W120" s="32" t="inlineStr"/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IF(B121=0,"",RANK(B121,$B$2:$B$368,0))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LODHA</t>
        </is>
      </c>
      <c r="D121" s="31" t="inlineStr">
        <is>
          <t>Lodha Developers Ltd</t>
        </is>
      </c>
      <c r="E121" s="31" t="inlineStr">
        <is>
          <t>realty</t>
        </is>
      </c>
      <c r="F121" s="31" t="inlineStr">
        <is>
          <t>construction</t>
        </is>
      </c>
      <c r="G121" s="31" t="inlineStr">
        <is>
          <t>largecap</t>
        </is>
      </c>
      <c r="H121" s="32" t="n">
        <v>120890.42</v>
      </c>
      <c r="I121" s="32" t="n">
        <v>1240</v>
      </c>
      <c r="J121" s="32" t="n">
        <v>2.48</v>
      </c>
      <c r="K121" s="32" t="n">
        <v>288009</v>
      </c>
      <c r="L121" s="31" t="n">
        <v>49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63.84</v>
      </c>
      <c r="P121" s="32" t="n">
        <v>22.44</v>
      </c>
      <c r="Q121" s="32" t="n">
        <v>974.78</v>
      </c>
      <c r="R121" s="31" t="inlineStr">
        <is>
          <t>Near 52W High Breakout</t>
        </is>
      </c>
      <c r="S121" s="31" t="inlineStr">
        <is>
          <t>Nifty Realty</t>
        </is>
      </c>
      <c r="T121" s="32" t="n">
        <v>-4.49</v>
      </c>
      <c r="U121" s="32" t="n">
        <v>-2.42</v>
      </c>
      <c r="V121" s="32" t="n">
        <v>2.17</v>
      </c>
      <c r="W121" s="32" t="n">
        <v>11.63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IF(B122=0,"",RANK(B122,$B$2:$B$368,0))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CYIENTDLM</t>
        </is>
      </c>
      <c r="D122" s="31" t="inlineStr">
        <is>
          <t>Cyient DLM Ltd</t>
        </is>
      </c>
      <c r="E122" s="31" t="inlineStr">
        <is>
          <t>aerospace &amp; defence</t>
        </is>
      </c>
      <c r="F122" s="31" t="inlineStr">
        <is>
          <t>electronics - components</t>
        </is>
      </c>
      <c r="G122" s="31" t="inlineStr">
        <is>
          <t>midcap</t>
        </is>
      </c>
      <c r="H122" s="32" t="n">
        <v>5680.67</v>
      </c>
      <c r="I122" s="32" t="n">
        <v>729</v>
      </c>
      <c r="J122" s="32" t="n">
        <v>1.87</v>
      </c>
      <c r="K122" s="32" t="n">
        <v>166785</v>
      </c>
      <c r="L122" s="31" t="n">
        <v>86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85.79000000000001</v>
      </c>
      <c r="P122" s="32" t="n">
        <v>62.98</v>
      </c>
      <c r="Q122" s="32" t="n">
        <v>572.3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-2.57</v>
      </c>
      <c r="U122" s="32" t="n">
        <v>63.94</v>
      </c>
      <c r="V122" s="32" t="n">
        <v>68.25</v>
      </c>
      <c r="W122" s="32" t="n">
        <v>29.72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IF(B123=0,"",RANK(B123,$B$2:$B$368,0))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WELCORP</t>
        </is>
      </c>
      <c r="D123" s="31" t="inlineStr">
        <is>
          <t>Welspun Corp Limited</t>
        </is>
      </c>
      <c r="E123" s="31" t="inlineStr">
        <is>
          <t>industrials</t>
        </is>
      </c>
      <c r="F123" s="31" t="inlineStr">
        <is>
          <t>steel - large</t>
        </is>
      </c>
      <c r="G123" s="31" t="inlineStr">
        <is>
          <t>largecap</t>
        </is>
      </c>
      <c r="H123" s="32" t="n">
        <v>52069.64</v>
      </c>
      <c r="I123" s="32" t="n">
        <v>2005.6</v>
      </c>
      <c r="J123" s="32" t="n">
        <v>1.61</v>
      </c>
      <c r="K123" s="32" t="n">
        <v>278554</v>
      </c>
      <c r="L123" s="31" t="inlineStr"/>
      <c r="M123" s="31" t="inlineStr"/>
      <c r="N123" s="32">
        <f>IF(M123="Underperforming",-5,IF(L123&gt;=95,15,IF(L123&gt;=90,10,IF(L123&gt;=80,5,0))))</f>
        <v/>
      </c>
      <c r="O123" s="32" t="n">
        <v>90.63</v>
      </c>
      <c r="P123" s="32" t="n">
        <v>71.63</v>
      </c>
      <c r="Q123" s="32" t="n">
        <v>1676.97</v>
      </c>
      <c r="R123" s="31" t="inlineStr">
        <is>
          <t>Near 52W High Breakout</t>
        </is>
      </c>
      <c r="S123" s="31" t="inlineStr">
        <is>
          <t>Nifty Metal</t>
        </is>
      </c>
      <c r="T123" s="32" t="inlineStr"/>
      <c r="U123" s="32" t="inlineStr"/>
      <c r="V123" s="32" t="inlineStr"/>
      <c r="W123" s="32" t="inlineStr"/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IF(B124=0,"",RANK(B124,$B$2:$B$368,0))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MATRIMONY</t>
        </is>
      </c>
      <c r="D124" s="31" t="inlineStr">
        <is>
          <t>Matrimony.com Ltd</t>
        </is>
      </c>
      <c r="E124" s="31" t="inlineStr">
        <is>
          <t>miscellaneous</t>
        </is>
      </c>
      <c r="F124" s="31" t="inlineStr">
        <is>
          <t>miscellaneous</t>
        </is>
      </c>
      <c r="G124" s="31" t="inlineStr">
        <is>
          <t>smallcap</t>
        </is>
      </c>
      <c r="H124" s="32" t="n">
        <v>1141.89</v>
      </c>
      <c r="I124" s="32" t="n">
        <v>560</v>
      </c>
      <c r="J124" s="32" t="n">
        <v>1.39</v>
      </c>
      <c r="K124" s="32" t="n">
        <v>11840</v>
      </c>
      <c r="L124" s="31" t="n">
        <v>41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71.04000000000001</v>
      </c>
      <c r="P124" s="32" t="n">
        <v>24.07</v>
      </c>
      <c r="Q124" s="32" t="n">
        <v>439.34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-2.57</v>
      </c>
      <c r="U124" s="32" t="n">
        <v>10.3</v>
      </c>
      <c r="V124" s="32" t="n">
        <v>13.21</v>
      </c>
      <c r="W124" s="32" t="n">
        <v>9.75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IF(B125=0,"",RANK(B125,$B$2:$B$368,0))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EXIDEIND</t>
        </is>
      </c>
      <c r="D125" s="31" t="inlineStr">
        <is>
          <t>Exide Industries Limited</t>
        </is>
      </c>
      <c r="E125" s="31" t="n">
        <v/>
      </c>
      <c r="F125" s="31" t="n">
        <v/>
      </c>
      <c r="G125" s="31" t="n">
        <v/>
      </c>
      <c r="H125" s="32" t="n">
        <v/>
      </c>
      <c r="I125" s="32" t="n">
        <v>464.6</v>
      </c>
      <c r="J125" s="32" t="n">
        <v>1.11</v>
      </c>
      <c r="K125" s="32" t="n">
        <v>637978</v>
      </c>
      <c r="L125" s="31" t="n">
        <v>50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68.04000000000001</v>
      </c>
      <c r="P125" s="32" t="n">
        <v>43.65</v>
      </c>
      <c r="Q125" s="32" t="n">
        <v>408.57</v>
      </c>
      <c r="R125" s="31" t="inlineStr">
        <is>
          <t>Earnings / Momentum Support</t>
        </is>
      </c>
      <c r="S125" s="31" t="inlineStr">
        <is>
          <t>Nifty 50</t>
        </is>
      </c>
      <c r="T125" s="32" t="n">
        <v>-2.57</v>
      </c>
      <c r="U125" s="32" t="n">
        <v>17.74</v>
      </c>
      <c r="V125" s="32" t="n">
        <v>20.85</v>
      </c>
      <c r="W125" s="32" t="n">
        <v>11.98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Between 1.5 to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IF(B126=0,"",RANK(B126,$B$2:$B$368,0))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BBTCL</t>
        </is>
      </c>
      <c r="D126" s="31" t="inlineStr">
        <is>
          <t>B&amp;B Triplewall Containers Ltd</t>
        </is>
      </c>
      <c r="E126" s="31" t="inlineStr">
        <is>
          <t>industrials</t>
        </is>
      </c>
      <c r="F126" s="31" t="inlineStr">
        <is>
          <t>packaging</t>
        </is>
      </c>
      <c r="G126" s="31" t="inlineStr">
        <is>
          <t>smallcap</t>
        </is>
      </c>
      <c r="H126" s="32" t="n">
        <v>504.66</v>
      </c>
      <c r="I126" s="32" t="n">
        <v>248.4</v>
      </c>
      <c r="J126" s="32" t="n">
        <v>0.96</v>
      </c>
      <c r="K126" s="32" t="n">
        <v>10151</v>
      </c>
      <c r="L126" s="31" t="n">
        <v>46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69.18000000000001</v>
      </c>
      <c r="P126" s="32" t="n">
        <v>43.91</v>
      </c>
      <c r="Q126" s="32" t="n">
        <v>184.95</v>
      </c>
      <c r="R126" s="31" t="inlineStr">
        <is>
          <t>Volume Spike &amp; Near 52W High Breakout</t>
        </is>
      </c>
      <c r="S126" s="31" t="inlineStr">
        <is>
          <t>Nifty 50</t>
        </is>
      </c>
      <c r="T126" s="32" t="n">
        <v>-2.57</v>
      </c>
      <c r="U126" s="32" t="n">
        <v>22.41</v>
      </c>
      <c r="V126" s="32" t="n">
        <v>25.64</v>
      </c>
      <c r="W126" s="32" t="n">
        <v>10.91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More than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IF(B127=0,"",RANK(B127,$B$2:$B$368,0))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3" t="inlineStr">
        <is>
          <t>COSMOFIRST</t>
        </is>
      </c>
      <c r="D127" s="33" t="inlineStr">
        <is>
          <t>Cosmo First Ltd</t>
        </is>
      </c>
      <c r="E127" s="31" t="inlineStr">
        <is>
          <t>industrials</t>
        </is>
      </c>
      <c r="F127" s="31" t="inlineStr">
        <is>
          <t>packaging</t>
        </is>
      </c>
      <c r="G127" s="31" t="inlineStr">
        <is>
          <t>smallcap</t>
        </is>
      </c>
      <c r="H127" s="32" t="n">
        <v>2443.06</v>
      </c>
      <c r="I127" s="32" t="n">
        <v>938.45</v>
      </c>
      <c r="J127" s="32" t="n">
        <v>0.83</v>
      </c>
      <c r="K127" s="32" t="n">
        <v>24148</v>
      </c>
      <c r="L127" s="31" t="n">
        <v>20</v>
      </c>
      <c r="M127" s="31" t="inlineStr">
        <is>
          <t>Underperforming</t>
        </is>
      </c>
      <c r="N127" s="32">
        <f>IF(M127="Underperforming",-5,IF(L127&gt;=95,15,IF(L127&gt;=90,10,IF(L127&gt;=80,5,0))))</f>
        <v/>
      </c>
      <c r="O127" s="32" t="n">
        <v>68.27</v>
      </c>
      <c r="P127" s="32" t="n">
        <v>45.52</v>
      </c>
      <c r="Q127" s="32" t="n">
        <v>726.39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-2.57</v>
      </c>
      <c r="U127" s="32" t="n">
        <v>-7.58</v>
      </c>
      <c r="V127" s="32" t="n">
        <v>-5.14</v>
      </c>
      <c r="W127" s="32" t="n">
        <v>4.56</v>
      </c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IF(B128=0,"",RANK(B128,$B$2:$B$368,0))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UNIMECH</t>
        </is>
      </c>
      <c r="D128" s="31" t="inlineStr">
        <is>
          <t>Unimech Aerospace and Manufacturing Ltd</t>
        </is>
      </c>
      <c r="E128" s="31" t="inlineStr">
        <is>
          <t>aerospace &amp; defence</t>
        </is>
      </c>
      <c r="F128" s="31" t="inlineStr">
        <is>
          <t>engineering</t>
        </is>
      </c>
      <c r="G128" s="31" t="inlineStr">
        <is>
          <t>midcap</t>
        </is>
      </c>
      <c r="H128" s="32" t="n">
        <v>7620.4</v>
      </c>
      <c r="I128" s="32" t="n">
        <v>1508.3</v>
      </c>
      <c r="J128" s="32" t="n">
        <v>0.66</v>
      </c>
      <c r="K128" s="32" t="n">
        <v>53946</v>
      </c>
      <c r="L128" s="31" t="n">
        <v>75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71.76000000000001</v>
      </c>
      <c r="P128" s="32" t="n">
        <v>36.5</v>
      </c>
      <c r="Q128" s="32" t="n">
        <v>1156.5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-2.57</v>
      </c>
      <c r="U128" s="32" t="n">
        <v>39.36</v>
      </c>
      <c r="V128" s="32" t="n">
        <v>43.03</v>
      </c>
      <c r="W128" s="32" t="n">
        <v>21.72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IF(B129=0,"",RANK(B129,$B$2:$B$368,0))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SHALPAINTS</t>
        </is>
      </c>
      <c r="D129" s="31" t="inlineStr">
        <is>
          <t>Shalimar Paints Limited</t>
        </is>
      </c>
      <c r="E129" s="31" t="inlineStr">
        <is>
          <t>building materials</t>
        </is>
      </c>
      <c r="F129" s="31" t="inlineStr">
        <is>
          <t>paints / varnishes</t>
        </is>
      </c>
      <c r="G129" s="31" t="inlineStr">
        <is>
          <t>smallcap</t>
        </is>
      </c>
      <c r="H129" s="32" t="n">
        <v>690.95</v>
      </c>
      <c r="I129" s="32" t="n">
        <v>82.8</v>
      </c>
      <c r="J129" s="32" t="n">
        <v>0.32</v>
      </c>
      <c r="K129" s="32" t="n">
        <v>64625</v>
      </c>
      <c r="L129" s="31" t="inlineStr"/>
      <c r="M129" s="31" t="inlineStr"/>
      <c r="N129" s="32">
        <f>IF(M129="Underperforming",-5,IF(L129&gt;=95,15,IF(L129&gt;=90,10,IF(L129&gt;=80,5,0))))</f>
        <v/>
      </c>
      <c r="O129" s="32" t="n">
        <v>65.25</v>
      </c>
      <c r="P129" s="32" t="n">
        <v>21.57</v>
      </c>
      <c r="Q129" s="32" t="n">
        <v>64.98999999999999</v>
      </c>
      <c r="R129" s="31" t="inlineStr">
        <is>
          <t>Earnings / Momentum Support</t>
        </is>
      </c>
      <c r="S129" s="31" t="inlineStr">
        <is>
          <t>Nifty Infra</t>
        </is>
      </c>
      <c r="T129" s="32" t="inlineStr"/>
      <c r="U129" s="32" t="inlineStr"/>
      <c r="V129" s="32" t="inlineStr"/>
      <c r="W129" s="32" t="inlineStr"/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IF(B130=0,"",RANK(B130,$B$2:$B$368,0))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NAZARA</t>
        </is>
      </c>
      <c r="D130" s="31" t="inlineStr">
        <is>
          <t>Nazara Technologies Ltd</t>
        </is>
      </c>
      <c r="E130" s="31" t="inlineStr">
        <is>
          <t>i.t</t>
        </is>
      </c>
      <c r="F130" s="31" t="inlineStr">
        <is>
          <t>telecommunications - service provider</t>
        </is>
      </c>
      <c r="G130" s="31" t="inlineStr">
        <is>
          <t>midcap</t>
        </is>
      </c>
      <c r="H130" s="32" t="n">
        <v>13747.11</v>
      </c>
      <c r="I130" s="32" t="n">
        <v>357.45</v>
      </c>
      <c r="J130" s="32" t="n">
        <v>0.03</v>
      </c>
      <c r="K130" s="32" t="n">
        <v>643304</v>
      </c>
      <c r="L130" s="31" t="n">
        <v>43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73.44</v>
      </c>
      <c r="P130" s="32" t="n">
        <v>21.18</v>
      </c>
      <c r="Q130" s="32" t="n">
        <v>292.22</v>
      </c>
      <c r="R130" s="31" t="inlineStr">
        <is>
          <t>Near 52W High Breakout</t>
        </is>
      </c>
      <c r="S130" s="31" t="inlineStr">
        <is>
          <t>Nifty IT</t>
        </is>
      </c>
      <c r="T130" s="32" t="n">
        <v>-13.45</v>
      </c>
      <c r="U130" s="32" t="n">
        <v>23.6</v>
      </c>
      <c r="V130" s="32" t="n">
        <v>42.81</v>
      </c>
      <c r="W130" s="32" t="n">
        <v>10.19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Oligopoly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IF(B131=0,"",RANK(B131,$B$2:$B$368,0))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ASKAUTOLTD</t>
        </is>
      </c>
      <c r="D131" s="31" t="inlineStr">
        <is>
          <t>ASK Automotive Ltd</t>
        </is>
      </c>
      <c r="E131" s="31" t="inlineStr">
        <is>
          <t>auto</t>
        </is>
      </c>
      <c r="F131" s="31" t="inlineStr">
        <is>
          <t>auto ancillaries</t>
        </is>
      </c>
      <c r="G131" s="31" t="inlineStr">
        <is>
          <t>midcap</t>
        </is>
      </c>
      <c r="H131" s="32" t="n">
        <v>12742.31</v>
      </c>
      <c r="I131" s="32" t="n">
        <v>646.5</v>
      </c>
      <c r="J131" s="32" t="n">
        <v>0.02</v>
      </c>
      <c r="K131" s="32" t="n">
        <v>156542</v>
      </c>
      <c r="L131" s="31" t="inlineStr"/>
      <c r="M131" s="31" t="inlineStr"/>
      <c r="N131" s="32">
        <f>IF(M131="Underperforming",-5,IF(L131&gt;=95,15,IF(L131&gt;=90,10,IF(L131&gt;=80,5,0))))</f>
        <v/>
      </c>
      <c r="O131" s="32" t="n">
        <v>80.04000000000001</v>
      </c>
      <c r="P131" s="32" t="n">
        <v>23.48</v>
      </c>
      <c r="Q131" s="32" t="n">
        <v>519.38</v>
      </c>
      <c r="R131" s="31" t="inlineStr">
        <is>
          <t>Near 52W High Breakout</t>
        </is>
      </c>
      <c r="S131" s="31" t="inlineStr">
        <is>
          <t>Nifty Auto</t>
        </is>
      </c>
      <c r="T131" s="32" t="inlineStr"/>
      <c r="U131" s="32" t="inlineStr"/>
      <c r="V131" s="32" t="inlineStr"/>
      <c r="W131" s="32" t="inlineStr"/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IF(B132=0,"",RANK(B132,$B$2:$B$368,0))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SANSERA</t>
        </is>
      </c>
      <c r="D132" s="31" t="inlineStr">
        <is>
          <t>Sansera Engineering Ltd</t>
        </is>
      </c>
      <c r="E132" s="31" t="inlineStr">
        <is>
          <t>auto</t>
        </is>
      </c>
      <c r="F132" s="31" t="inlineStr">
        <is>
          <t>auto ancillaries</t>
        </is>
      </c>
      <c r="G132" s="31" t="inlineStr">
        <is>
          <t>largecap</t>
        </is>
      </c>
      <c r="H132" s="32" t="n">
        <v>24301.82</v>
      </c>
      <c r="I132" s="32" t="n">
        <v>3885.2</v>
      </c>
      <c r="J132" s="32" t="n">
        <v>-0.23</v>
      </c>
      <c r="K132" s="32" t="n">
        <v>24880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82.16</v>
      </c>
      <c r="P132" s="32" t="n">
        <v>59.59</v>
      </c>
      <c r="Q132" s="32" t="n">
        <v>3148.82</v>
      </c>
      <c r="R132" s="31" t="inlineStr">
        <is>
          <t>Near 52W High Breakout</t>
        </is>
      </c>
      <c r="S132" s="31" t="inlineStr">
        <is>
          <t>Nifty Auto</t>
        </is>
      </c>
      <c r="T132" s="32" t="inlineStr"/>
      <c r="U132" s="32" t="inlineStr"/>
      <c r="V132" s="32" t="inlineStr"/>
      <c r="W132" s="32" t="inlineStr"/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IF(B133=0,"",RANK(B133,$B$2:$B$368,0))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ARVSMART</t>
        </is>
      </c>
      <c r="D133" s="31" t="inlineStr">
        <is>
          <t>Arvind Smartspaces Limited</t>
        </is>
      </c>
      <c r="E133" s="31" t="inlineStr">
        <is>
          <t>realty</t>
        </is>
      </c>
      <c r="F133" s="31" t="inlineStr">
        <is>
          <t>construction</t>
        </is>
      </c>
      <c r="G133" s="31" t="inlineStr">
        <is>
          <t>smallcap</t>
        </is>
      </c>
      <c r="H133" s="32" t="n">
        <v>3039.15</v>
      </c>
      <c r="I133" s="32" t="n">
        <v>659</v>
      </c>
      <c r="J133" s="32" t="n">
        <v>-0.54</v>
      </c>
      <c r="K133" s="32" t="n">
        <v>16304</v>
      </c>
      <c r="L133" s="31" t="n">
        <v>16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61.13</v>
      </c>
      <c r="P133" s="32" t="n">
        <v>28.68</v>
      </c>
      <c r="Q133" s="32" t="n">
        <v>523.6</v>
      </c>
      <c r="R133" s="31" t="inlineStr">
        <is>
          <t>Near 52W High Breakout</t>
        </is>
      </c>
      <c r="S133" s="31" t="inlineStr">
        <is>
          <t>Nifty Realty</t>
        </is>
      </c>
      <c r="T133" s="32" t="n">
        <v>-4.49</v>
      </c>
      <c r="U133" s="32" t="n">
        <v>5.46</v>
      </c>
      <c r="V133" s="32" t="n">
        <v>10.42</v>
      </c>
      <c r="W133" s="32" t="n">
        <v>3.58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IF(B134=0,"",RANK(B134,$B$2:$B$368,0))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MOTHERSON</t>
        </is>
      </c>
      <c r="D134" s="31" t="inlineStr">
        <is>
          <t>Samvardhana Motherson International Ltd</t>
        </is>
      </c>
      <c r="E134" s="31" t="inlineStr">
        <is>
          <t>auto</t>
        </is>
      </c>
      <c r="F134" s="31" t="inlineStr">
        <is>
          <t>auto ancillaries</t>
        </is>
      </c>
      <c r="G134" s="31" t="inlineStr">
        <is>
          <t>largecap</t>
        </is>
      </c>
      <c r="H134" s="32" t="n">
        <v>179731.6</v>
      </c>
      <c r="I134" s="32" t="n">
        <v>169.24</v>
      </c>
      <c r="J134" s="32" t="n">
        <v>-0.62</v>
      </c>
      <c r="K134" s="32" t="n">
        <v>4117619</v>
      </c>
      <c r="L134" s="31" t="inlineStr"/>
      <c r="M134" s="31" t="inlineStr"/>
      <c r="N134" s="32">
        <f>IF(M134="Underperforming",-5,IF(L134&gt;=95,15,IF(L134&gt;=90,10,IF(L134&gt;=80,5,0))))</f>
        <v/>
      </c>
      <c r="O134" s="32" t="n">
        <v>74.81999999999999</v>
      </c>
      <c r="P134" s="32" t="n">
        <v>39.65</v>
      </c>
      <c r="Q134" s="32" t="n">
        <v>141</v>
      </c>
      <c r="R134" s="31" t="inlineStr">
        <is>
          <t>Near 52W High Breakout</t>
        </is>
      </c>
      <c r="S134" s="31" t="inlineStr">
        <is>
          <t>Nifty Auto</t>
        </is>
      </c>
      <c r="T134" s="32" t="inlineStr"/>
      <c r="U134" s="32" t="inlineStr"/>
      <c r="V134" s="32" t="inlineStr"/>
      <c r="W134" s="32" t="inlineStr"/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IF(B135=0,"",RANK(B135,$B$2:$B$368,0))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HAL</t>
        </is>
      </c>
      <c r="D135" s="31" t="inlineStr">
        <is>
          <t>Hindustan Aeronautics Ltd</t>
        </is>
      </c>
      <c r="E135" s="31" t="inlineStr">
        <is>
          <t>aerospace &amp; defence</t>
        </is>
      </c>
      <c r="F135" s="31" t="inlineStr">
        <is>
          <t>engineering</t>
        </is>
      </c>
      <c r="G135" s="31" t="inlineStr">
        <is>
          <t>largecap</t>
        </is>
      </c>
      <c r="H135" s="32" t="n">
        <v>335524.42</v>
      </c>
      <c r="I135" s="32" t="n">
        <v>4982.3</v>
      </c>
      <c r="J135" s="32" t="n">
        <v>-0.6899999999999999</v>
      </c>
      <c r="K135" s="32" t="n">
        <v>141346</v>
      </c>
      <c r="L135" s="31" t="n">
        <v>24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66.53</v>
      </c>
      <c r="P135" s="32" t="n">
        <v>24.89</v>
      </c>
      <c r="Q135" s="32" t="n">
        <v>4303.06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-2.57</v>
      </c>
      <c r="U135" s="32" t="n">
        <v>12.89</v>
      </c>
      <c r="V135" s="32" t="n">
        <v>15.87</v>
      </c>
      <c r="W135" s="32" t="n">
        <v>5.66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Between 12 to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IF(B136=0,"",RANK(B136,$B$2:$B$368,0))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ARIES</t>
        </is>
      </c>
      <c r="D136" s="31" t="inlineStr">
        <is>
          <t>Aries Agro Limited</t>
        </is>
      </c>
      <c r="E136" s="31" t="inlineStr">
        <is>
          <t>chemicals</t>
        </is>
      </c>
      <c r="F136" s="31" t="inlineStr">
        <is>
          <t>fertilizers</t>
        </is>
      </c>
      <c r="G136" s="31" t="inlineStr">
        <is>
          <t>smallcap</t>
        </is>
      </c>
      <c r="H136" s="32" t="n">
        <v>570.11</v>
      </c>
      <c r="I136" s="32" t="n">
        <v>435.35</v>
      </c>
      <c r="J136" s="32" t="n">
        <v>-0.7</v>
      </c>
      <c r="K136" s="32" t="n">
        <v>33498</v>
      </c>
      <c r="L136" s="31" t="n">
        <v>24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72.55</v>
      </c>
      <c r="P136" s="32" t="n">
        <v>11.63</v>
      </c>
      <c r="Q136" s="32" t="n">
        <v>344.07</v>
      </c>
      <c r="R136" s="31" t="inlineStr">
        <is>
          <t>Volume Spike &amp; Near 52W High Breakout</t>
        </is>
      </c>
      <c r="S136" s="31" t="inlineStr">
        <is>
          <t>Nifty 50</t>
        </is>
      </c>
      <c r="T136" s="32" t="n">
        <v>-2.57</v>
      </c>
      <c r="U136" s="32" t="n">
        <v>1.7</v>
      </c>
      <c r="V136" s="32" t="n">
        <v>4.37</v>
      </c>
      <c r="W136" s="32" t="n">
        <v>5.75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0 to 20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IF(B137=0,"",RANK(B137,$B$2:$B$368,0))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CRAFTSMAN</t>
        </is>
      </c>
      <c r="D137" s="31" t="inlineStr">
        <is>
          <t>Craftsman Automation Ltd</t>
        </is>
      </c>
      <c r="E137" s="31" t="inlineStr">
        <is>
          <t>auto</t>
        </is>
      </c>
      <c r="F137" s="31" t="inlineStr">
        <is>
          <t>auto ancillaries</t>
        </is>
      </c>
      <c r="G137" s="31" t="inlineStr">
        <is>
          <t>largecap</t>
        </is>
      </c>
      <c r="H137" s="32" t="n">
        <v>28191.86</v>
      </c>
      <c r="I137" s="32" t="n">
        <v>10693</v>
      </c>
      <c r="J137" s="32" t="n">
        <v>-0.8</v>
      </c>
      <c r="K137" s="32" t="n">
        <v>4718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70.26000000000001</v>
      </c>
      <c r="P137" s="32" t="n">
        <v>63.38</v>
      </c>
      <c r="Q137" s="32" t="n">
        <v>8717.07</v>
      </c>
      <c r="R137" s="31" t="inlineStr">
        <is>
          <t>Near 52W High Breakout</t>
        </is>
      </c>
      <c r="S137" s="31" t="inlineStr">
        <is>
          <t>Nifty Auto</t>
        </is>
      </c>
      <c r="T137" s="32" t="inlineStr"/>
      <c r="U137" s="32" t="inlineStr"/>
      <c r="V137" s="32" t="inlineStr"/>
      <c r="W137" s="32" t="inlineStr"/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IF(B138=0,"",RANK(B138,$B$2:$B$368,0))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AZAD</t>
        </is>
      </c>
      <c r="D138" s="31" t="inlineStr">
        <is>
          <t>Azad Engineering Ltd</t>
        </is>
      </c>
      <c r="E138" s="31" t="inlineStr">
        <is>
          <t>aerospace &amp; defence</t>
        </is>
      </c>
      <c r="F138" s="31" t="inlineStr">
        <is>
          <t>engineering</t>
        </is>
      </c>
      <c r="G138" s="31" t="inlineStr">
        <is>
          <t>midcap</t>
        </is>
      </c>
      <c r="H138" s="32" t="n">
        <v>18266.3</v>
      </c>
      <c r="I138" s="32" t="n">
        <v>2765.8</v>
      </c>
      <c r="J138" s="32" t="n">
        <v>-2.21</v>
      </c>
      <c r="K138" s="32" t="n">
        <v>135583</v>
      </c>
      <c r="L138" s="31" t="n">
        <v>71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68.89</v>
      </c>
      <c r="P138" s="32" t="n">
        <v>32.24</v>
      </c>
      <c r="Q138" s="32" t="n">
        <v>2099.79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-2.57</v>
      </c>
      <c r="U138" s="32" t="n">
        <v>72.48</v>
      </c>
      <c r="V138" s="32" t="n">
        <v>77.02</v>
      </c>
      <c r="W138" s="32" t="n">
        <v>19.4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IF(B139=0,"",RANK(B139,$B$2:$B$368,0))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SUBEXLTD</t>
        </is>
      </c>
      <c r="D139" s="31" t="inlineStr">
        <is>
          <t>Subex Ltd</t>
        </is>
      </c>
      <c r="E139" s="31" t="inlineStr">
        <is>
          <t>i.t</t>
        </is>
      </c>
      <c r="F139" s="31" t="inlineStr">
        <is>
          <t>computers - software - medium / small</t>
        </is>
      </c>
      <c r="G139" s="31" t="inlineStr">
        <is>
          <t>smallcap</t>
        </is>
      </c>
      <c r="H139" s="32" t="n">
        <v>894.71</v>
      </c>
      <c r="I139" s="32" t="n">
        <v>17.06</v>
      </c>
      <c r="J139" s="32" t="n">
        <v>7.16</v>
      </c>
      <c r="K139" s="32" t="n">
        <v>3622695</v>
      </c>
      <c r="L139" s="31" t="n">
        <v>70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72.41</v>
      </c>
      <c r="P139" s="32" t="n">
        <v>26.51</v>
      </c>
      <c r="Q139" s="32" t="n">
        <v>12.5</v>
      </c>
      <c r="R139" s="31" t="inlineStr">
        <is>
          <t>Volume Spike &amp; Near 52W High Breakout</t>
        </is>
      </c>
      <c r="S139" s="31" t="inlineStr">
        <is>
          <t>Nifty IT</t>
        </is>
      </c>
      <c r="T139" s="32" t="n">
        <v>-13.45</v>
      </c>
      <c r="U139" s="32" t="n">
        <v>29.69</v>
      </c>
      <c r="V139" s="32" t="n">
        <v>49.85</v>
      </c>
      <c r="W139" s="32" t="n">
        <v>18.98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Between 12 to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IF(B140=0,"",RANK(B140,$B$2:$B$368,0))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BLSE</t>
        </is>
      </c>
      <c r="D140" s="31" t="inlineStr">
        <is>
          <t>BLS E-Services Ltd</t>
        </is>
      </c>
      <c r="E140" s="31" t="inlineStr">
        <is>
          <t>i.t</t>
        </is>
      </c>
      <c r="F140" s="31" t="inlineStr">
        <is>
          <t>computers - software - medium / small</t>
        </is>
      </c>
      <c r="G140" s="31" t="inlineStr">
        <is>
          <t>smallcap</t>
        </is>
      </c>
      <c r="H140" s="32" t="n">
        <v>2853.8</v>
      </c>
      <c r="I140" s="32" t="n">
        <v>321.1</v>
      </c>
      <c r="J140" s="32" t="n">
        <v>2.23</v>
      </c>
      <c r="K140" s="32" t="n">
        <v>651673</v>
      </c>
      <c r="L140" s="31" t="n">
        <v>83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84.2</v>
      </c>
      <c r="P140" s="32" t="n">
        <v>50.07</v>
      </c>
      <c r="Q140" s="32" t="n">
        <v>256.78</v>
      </c>
      <c r="R140" s="31" t="inlineStr">
        <is>
          <t>Near 52W High Breakout</t>
        </is>
      </c>
      <c r="S140" s="31" t="inlineStr">
        <is>
          <t>Nifty IT</t>
        </is>
      </c>
      <c r="T140" s="32" t="n">
        <v>-13.45</v>
      </c>
      <c r="U140" s="32" t="n">
        <v>80.45</v>
      </c>
      <c r="V140" s="32" t="n">
        <v>108.5</v>
      </c>
      <c r="W140" s="32" t="n">
        <v>26.74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IF(B141=0,"",RANK(B141,$B$2:$B$368,0))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ENTERO</t>
        </is>
      </c>
      <c r="D141" s="33" t="inlineStr">
        <is>
          <t>Entero Healthcare Solutions Ltd</t>
        </is>
      </c>
      <c r="E141" s="31" t="inlineStr">
        <is>
          <t>healthcare</t>
        </is>
      </c>
      <c r="F141" s="31" t="inlineStr">
        <is>
          <t>trading</t>
        </is>
      </c>
      <c r="G141" s="31" t="inlineStr">
        <is>
          <t>midcap</t>
        </is>
      </c>
      <c r="H141" s="32" t="n">
        <v>6035.78</v>
      </c>
      <c r="I141" s="32" t="n">
        <v>1411.9</v>
      </c>
      <c r="J141" s="32" t="n">
        <v>1.81</v>
      </c>
      <c r="K141" s="32" t="n">
        <v>19762</v>
      </c>
      <c r="L141" s="31" t="n">
        <v>18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64.26000000000001</v>
      </c>
      <c r="P141" s="32" t="n">
        <v>25.9</v>
      </c>
      <c r="Q141" s="32" t="n">
        <v>1096.88</v>
      </c>
      <c r="R141" s="31" t="inlineStr">
        <is>
          <t>Near 52W High Breakout</t>
        </is>
      </c>
      <c r="S141" s="31" t="inlineStr">
        <is>
          <t>Nifty Pharma</t>
        </is>
      </c>
      <c r="T141" s="32" t="n">
        <v>18.64</v>
      </c>
      <c r="U141" s="32" t="n">
        <v>14.55</v>
      </c>
      <c r="V141" s="32" t="n">
        <v>-3.45</v>
      </c>
      <c r="W141" s="32" t="n">
        <v>4.29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IF(B142=0,"",RANK(B142,$B$2:$B$368,0))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NEULANDLAB</t>
        </is>
      </c>
      <c r="D142" s="31" t="inlineStr">
        <is>
          <t>Neuland Laboratories Limited</t>
        </is>
      </c>
      <c r="E142" s="31" t="inlineStr">
        <is>
          <t>healthcare</t>
        </is>
      </c>
      <c r="F142" s="31" t="inlineStr">
        <is>
          <t>pharmaceuticals - indian - bulk drugs</t>
        </is>
      </c>
      <c r="G142" s="31" t="inlineStr">
        <is>
          <t>largecap</t>
        </is>
      </c>
      <c r="H142" s="32" t="n">
        <v>29880.81</v>
      </c>
      <c r="I142" s="32" t="n">
        <v>23576</v>
      </c>
      <c r="J142" s="32" t="n">
        <v>1.23</v>
      </c>
      <c r="K142" s="32" t="n">
        <v>12440</v>
      </c>
      <c r="L142" s="31" t="n">
        <v>76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78.04000000000001</v>
      </c>
      <c r="P142" s="32" t="n">
        <v>54.35</v>
      </c>
      <c r="Q142" s="32" t="n">
        <v>19108.68</v>
      </c>
      <c r="R142" s="31" t="inlineStr">
        <is>
          <t>Near 52W High Breakout</t>
        </is>
      </c>
      <c r="S142" s="31" t="inlineStr">
        <is>
          <t>Nifty Pharma</t>
        </is>
      </c>
      <c r="T142" s="32" t="n">
        <v>18.64</v>
      </c>
      <c r="U142" s="32" t="n">
        <v>70.01000000000001</v>
      </c>
      <c r="V142" s="32" t="n">
        <v>43.3</v>
      </c>
      <c r="W142" s="32" t="n">
        <v>22.13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IF(B143=0,"",RANK(B143,$B$2:$B$368,0))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DIVISLAB</t>
        </is>
      </c>
      <c r="D143" s="31" t="inlineStr">
        <is>
          <t>Divi's Laboratories Limited</t>
        </is>
      </c>
      <c r="E143" s="31" t="inlineStr">
        <is>
          <t>healthcare</t>
        </is>
      </c>
      <c r="F143" s="31" t="inlineStr">
        <is>
          <t>pharmaceuticals - indian - bulk drugs</t>
        </is>
      </c>
      <c r="G143" s="31" t="inlineStr">
        <is>
          <t>largecap</t>
        </is>
      </c>
      <c r="H143" s="32" t="n">
        <v>227241.1</v>
      </c>
      <c r="I143" s="32" t="n">
        <v>8582</v>
      </c>
      <c r="J143" s="32" t="n">
        <v>0.26</v>
      </c>
      <c r="K143" s="32" t="n">
        <v>63084</v>
      </c>
      <c r="L143" s="31" t="n">
        <v>52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84.28</v>
      </c>
      <c r="P143" s="32" t="n">
        <v>34.08</v>
      </c>
      <c r="Q143" s="32" t="n">
        <v>7498.81</v>
      </c>
      <c r="R143" s="31" t="inlineStr">
        <is>
          <t>Near 52W High Breakout</t>
        </is>
      </c>
      <c r="S143" s="31" t="inlineStr">
        <is>
          <t>Nifty Pharma</t>
        </is>
      </c>
      <c r="T143" s="32" t="n">
        <v>18.64</v>
      </c>
      <c r="U143" s="32" t="n">
        <v>39.89</v>
      </c>
      <c r="V143" s="32" t="n">
        <v>17.91</v>
      </c>
      <c r="W143" s="32" t="n">
        <v>12.34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IF(B144=0,"",RANK(B144,$B$2:$B$368,0))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KEI</t>
        </is>
      </c>
      <c r="D144" s="31" t="inlineStr">
        <is>
          <t>Kei Industries Limited</t>
        </is>
      </c>
      <c r="E144" s="31" t="inlineStr">
        <is>
          <t>industrials</t>
        </is>
      </c>
      <c r="F144" s="31" t="inlineStr">
        <is>
          <t>cables - power</t>
        </is>
      </c>
      <c r="G144" s="31" t="inlineStr">
        <is>
          <t>largecap</t>
        </is>
      </c>
      <c r="H144" s="32" t="n">
        <v>54311.65</v>
      </c>
      <c r="I144" s="32" t="n">
        <v>5675</v>
      </c>
      <c r="J144" s="32" t="n">
        <v>-0.11</v>
      </c>
      <c r="K144" s="32" t="n">
        <v>86657</v>
      </c>
      <c r="L144" s="31" t="n">
        <v>51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64.84</v>
      </c>
      <c r="P144" s="32" t="n">
        <v>25.82</v>
      </c>
      <c r="Q144" s="32" t="n">
        <v>4604.72</v>
      </c>
      <c r="R144" s="31" t="inlineStr">
        <is>
          <t>Near 52W High Breakout</t>
        </is>
      </c>
      <c r="S144" s="31" t="inlineStr">
        <is>
          <t>Nifty Energy</t>
        </is>
      </c>
      <c r="T144" s="32" t="n">
        <v>8.23</v>
      </c>
      <c r="U144" s="32" t="n">
        <v>46.37</v>
      </c>
      <c r="V144" s="32" t="n">
        <v>35.24</v>
      </c>
      <c r="W144" s="32" t="n">
        <v>12.18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Fully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Yes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Yes, More Than 10%</t>
        </is>
      </c>
      <c r="CE144" s="31">
        <f>IF(CD144="Yes, more than 10%",-10,IF(CD144="No",10,0))</f>
        <v/>
      </c>
    </row>
    <row r="145">
      <c r="A145" s="31">
        <f>IF(B145=0,"",RANK(B145,$B$2:$B$368,0))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KOPRAN</t>
        </is>
      </c>
      <c r="D145" s="31" t="inlineStr">
        <is>
          <t>Kopran Limited</t>
        </is>
      </c>
      <c r="E145" s="31" t="inlineStr">
        <is>
          <t>healthcare</t>
        </is>
      </c>
      <c r="F145" s="31" t="inlineStr">
        <is>
          <t>pharmaceuticals - indian - bulk drugs &amp; formln</t>
        </is>
      </c>
      <c r="G145" s="31" t="inlineStr">
        <is>
          <t>smallcap</t>
        </is>
      </c>
      <c r="H145" s="32" t="n">
        <v>1001.73</v>
      </c>
      <c r="I145" s="32" t="n">
        <v>199.72</v>
      </c>
      <c r="J145" s="32" t="n">
        <v>-3.73</v>
      </c>
      <c r="K145" s="32" t="n">
        <v>41466</v>
      </c>
      <c r="L145" s="31" t="n">
        <v>49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61.76</v>
      </c>
      <c r="P145" s="32" t="n">
        <v>40.54</v>
      </c>
      <c r="Q145" s="32" t="n">
        <v>145.19</v>
      </c>
      <c r="R145" s="31" t="inlineStr">
        <is>
          <t>Near 52W High Breakout</t>
        </is>
      </c>
      <c r="S145" s="31" t="inlineStr">
        <is>
          <t>Nifty Pharma</t>
        </is>
      </c>
      <c r="T145" s="32" t="n">
        <v>18.64</v>
      </c>
      <c r="U145" s="32" t="n">
        <v>29.73</v>
      </c>
      <c r="V145" s="32" t="n">
        <v>9.34</v>
      </c>
      <c r="W145" s="32" t="n">
        <v>11.55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IF(B146=0,"",RANK(B146,$B$2:$B$368,0))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KABRAEXTRU</t>
        </is>
      </c>
      <c r="D146" s="31" t="inlineStr">
        <is>
          <t>Kabra Extrusion Technik Limited</t>
        </is>
      </c>
      <c r="E146" s="31" t="inlineStr">
        <is>
          <t>industrials</t>
        </is>
      </c>
      <c r="F146" s="31" t="inlineStr">
        <is>
          <t>engineering</t>
        </is>
      </c>
      <c r="G146" s="31" t="inlineStr">
        <is>
          <t>smallcap</t>
        </is>
      </c>
      <c r="H146" s="32" t="n">
        <v>1751.44</v>
      </c>
      <c r="I146" s="32" t="n">
        <v>529.55</v>
      </c>
      <c r="J146" s="32" t="n">
        <v>5.74</v>
      </c>
      <c r="K146" s="32" t="n">
        <v>181931</v>
      </c>
      <c r="L146" s="31" t="n">
        <v>98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85.29000000000001</v>
      </c>
      <c r="P146" s="32" t="n">
        <v>39.12</v>
      </c>
      <c r="Q146" s="32" t="n">
        <v>401.46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-2.57</v>
      </c>
      <c r="U146" s="32" t="n">
        <v>113.69</v>
      </c>
      <c r="V146" s="32" t="n">
        <v>119.32</v>
      </c>
      <c r="W146" s="32" t="n">
        <v>51.42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IF(B147=0,"",RANK(B147,$B$2:$B$368,0))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SEAMECLTD</t>
        </is>
      </c>
      <c r="D147" s="31" t="inlineStr">
        <is>
          <t>Seamec Limited</t>
        </is>
      </c>
      <c r="E147" s="31" t="inlineStr">
        <is>
          <t>miscellaneous</t>
        </is>
      </c>
      <c r="F147" s="31" t="inlineStr">
        <is>
          <t>miscellaneous</t>
        </is>
      </c>
      <c r="G147" s="31" t="inlineStr">
        <is>
          <t>smallcap</t>
        </is>
      </c>
      <c r="H147" s="32" t="n">
        <v>4158.77</v>
      </c>
      <c r="I147" s="32" t="n">
        <v>1700</v>
      </c>
      <c r="J147" s="32" t="n">
        <v>3.93</v>
      </c>
      <c r="K147" s="32" t="n">
        <v>242323</v>
      </c>
      <c r="L147" s="31" t="n">
        <v>64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67.62</v>
      </c>
      <c r="P147" s="32" t="n">
        <v>23.16</v>
      </c>
      <c r="Q147" s="32" t="n">
        <v>1316.39</v>
      </c>
      <c r="R147" s="31" t="inlineStr">
        <is>
          <t>Volume Spike &amp; Near 52W High Breakout</t>
        </is>
      </c>
      <c r="S147" s="31" t="inlineStr">
        <is>
          <t>Nifty 50</t>
        </is>
      </c>
      <c r="T147" s="32" t="n">
        <v>-2.57</v>
      </c>
      <c r="U147" s="32" t="n">
        <v>89.23999999999999</v>
      </c>
      <c r="V147" s="32" t="n">
        <v>94.22</v>
      </c>
      <c r="W147" s="32" t="n">
        <v>16.18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IF(B148=0,"",RANK(B148,$B$2:$B$368,0))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TBOTEK</t>
        </is>
      </c>
      <c r="D148" s="31" t="inlineStr">
        <is>
          <t>TBO Tek Ltd</t>
        </is>
      </c>
      <c r="E148" s="31" t="inlineStr">
        <is>
          <t>i.t</t>
        </is>
      </c>
      <c r="F148" s="31" t="inlineStr">
        <is>
          <t>travel agencies</t>
        </is>
      </c>
      <c r="G148" s="31" t="inlineStr">
        <is>
          <t>midcap</t>
        </is>
      </c>
      <c r="H148" s="32" t="n">
        <v>18040.77</v>
      </c>
      <c r="I148" s="32" t="n">
        <v>1714</v>
      </c>
      <c r="J148" s="32" t="n">
        <v>3.17</v>
      </c>
      <c r="K148" s="32" t="n">
        <v>57029</v>
      </c>
      <c r="L148" s="31" t="n">
        <v>58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67.94</v>
      </c>
      <c r="P148" s="32" t="n">
        <v>21.54</v>
      </c>
      <c r="Q148" s="32" t="n">
        <v>1343.76</v>
      </c>
      <c r="R148" s="31" t="inlineStr">
        <is>
          <t>Near 52W High Breakout</t>
        </is>
      </c>
      <c r="S148" s="31" t="inlineStr">
        <is>
          <t>Nifty IT</t>
        </is>
      </c>
      <c r="T148" s="32" t="n">
        <v>-13.45</v>
      </c>
      <c r="U148" s="32" t="n">
        <v>18.02</v>
      </c>
      <c r="V148" s="32" t="n">
        <v>36.37</v>
      </c>
      <c r="W148" s="32" t="n">
        <v>14.19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IF(B149=0,"",RANK(B149,$B$2:$B$368,0))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RAYMOND</t>
        </is>
      </c>
      <c r="D149" s="31" t="inlineStr">
        <is>
          <t>Raymond Limited</t>
        </is>
      </c>
      <c r="E149" s="31" t="inlineStr">
        <is>
          <t>transportation</t>
        </is>
      </c>
      <c r="F149" s="31" t="inlineStr">
        <is>
          <t>transport - airlines</t>
        </is>
      </c>
      <c r="G149" s="31" t="inlineStr">
        <is>
          <t>smallcap</t>
        </is>
      </c>
      <c r="H149" s="32" t="n">
        <v>4197.47</v>
      </c>
      <c r="I149" s="32" t="n">
        <v>650.3</v>
      </c>
      <c r="J149" s="32" t="n">
        <v>3.14</v>
      </c>
      <c r="K149" s="32" t="n">
        <v>197861</v>
      </c>
      <c r="L149" s="31" t="n">
        <v>30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65.66</v>
      </c>
      <c r="P149" s="32" t="n">
        <v>41.24</v>
      </c>
      <c r="Q149" s="32" t="n">
        <v>508.96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-2.57</v>
      </c>
      <c r="U149" s="32" t="n">
        <v>5.72</v>
      </c>
      <c r="V149" s="32" t="n">
        <v>8.5</v>
      </c>
      <c r="W149" s="32" t="n">
        <v>7.29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IF(B150=0,"",RANK(B150,$B$2:$B$368,0))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MTARTECH</t>
        </is>
      </c>
      <c r="D150" s="31" t="inlineStr">
        <is>
          <t>MTAR Technologies Ltd</t>
        </is>
      </c>
      <c r="E150" s="31" t="inlineStr">
        <is>
          <t>aerospace &amp; defence</t>
        </is>
      </c>
      <c r="F150" s="31" t="inlineStr">
        <is>
          <t>engineering</t>
        </is>
      </c>
      <c r="G150" s="31" t="inlineStr">
        <is>
          <t>largecap</t>
        </is>
      </c>
      <c r="H150" s="32" t="n">
        <v>21281.02</v>
      </c>
      <c r="I150" s="32" t="n">
        <v>7120</v>
      </c>
      <c r="J150" s="32" t="n">
        <v>2.91</v>
      </c>
      <c r="K150" s="32" t="n">
        <v>20454</v>
      </c>
      <c r="L150" s="31" t="n">
        <v>94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60.09</v>
      </c>
      <c r="P150" s="32" t="n">
        <v>35.92</v>
      </c>
      <c r="Q150" s="32" t="n">
        <v>5935.14</v>
      </c>
      <c r="R150" s="31" t="inlineStr">
        <is>
          <t>Earnings / Momentum Support</t>
        </is>
      </c>
      <c r="S150" s="31" t="inlineStr">
        <is>
          <t>Nifty 50</t>
        </is>
      </c>
      <c r="T150" s="32" t="n">
        <v>-2.57</v>
      </c>
      <c r="U150" s="32" t="n">
        <v>367.87</v>
      </c>
      <c r="V150" s="32" t="n">
        <v>380.19</v>
      </c>
      <c r="W150" s="32" t="n">
        <v>41.74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IF(B151=0,"",RANK(B151,$B$2:$B$368,0))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ANDHRSUGAR</t>
        </is>
      </c>
      <c r="D151" s="31" t="inlineStr">
        <is>
          <t>The Andhra Sugars Limited</t>
        </is>
      </c>
      <c r="E151" s="31" t="inlineStr">
        <is>
          <t>chemicals</t>
        </is>
      </c>
      <c r="F151" s="31" t="inlineStr">
        <is>
          <t>chlor alkali / soda ash</t>
        </is>
      </c>
      <c r="G151" s="31" t="inlineStr">
        <is>
          <t>smallcap</t>
        </is>
      </c>
      <c r="H151" s="32" t="n">
        <v>1348.98</v>
      </c>
      <c r="I151" s="32" t="n">
        <v>102.39</v>
      </c>
      <c r="J151" s="32" t="n">
        <v>2.87</v>
      </c>
      <c r="K151" s="32" t="n">
        <v>541762</v>
      </c>
      <c r="L151" s="31" t="n">
        <v>39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66.41</v>
      </c>
      <c r="P151" s="32" t="n">
        <v>14.46</v>
      </c>
      <c r="Q151" s="32" t="n">
        <v>78.63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-2.57</v>
      </c>
      <c r="U151" s="32" t="n">
        <v>31.03</v>
      </c>
      <c r="V151" s="32" t="n">
        <v>34.48</v>
      </c>
      <c r="W151" s="32" t="n">
        <v>9.35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IF(B152=0,"",RANK(B152,$B$2:$B$368,0))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KENNAMET</t>
        </is>
      </c>
      <c r="D152" s="31" t="inlineStr">
        <is>
          <t>Kennametal India Ltd</t>
        </is>
      </c>
      <c r="E152" s="31" t="inlineStr">
        <is>
          <t>industrials</t>
        </is>
      </c>
      <c r="F152" s="31" t="inlineStr">
        <is>
          <t>castings &amp; forgings</t>
        </is>
      </c>
      <c r="G152" s="31" t="inlineStr">
        <is>
          <t>midcap</t>
        </is>
      </c>
      <c r="H152" s="32" t="n">
        <v>7947.55</v>
      </c>
      <c r="I152" s="32" t="n">
        <v>3707.5</v>
      </c>
      <c r="J152" s="32" t="n">
        <v>2.53</v>
      </c>
      <c r="K152" s="32" t="n">
        <v>25908</v>
      </c>
      <c r="L152" s="31" t="n">
        <v>68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76.92</v>
      </c>
      <c r="P152" s="32" t="n">
        <v>43.35</v>
      </c>
      <c r="Q152" s="32" t="n">
        <v>2940.6</v>
      </c>
      <c r="R152" s="31" t="inlineStr">
        <is>
          <t>Volume Spike &amp; Near 52W High Breakout</t>
        </is>
      </c>
      <c r="S152" s="31" t="inlineStr">
        <is>
          <t>Nifty 50</t>
        </is>
      </c>
      <c r="T152" s="32" t="n">
        <v>-2.57</v>
      </c>
      <c r="U152" s="32" t="n">
        <v>76.53</v>
      </c>
      <c r="V152" s="32" t="n">
        <v>81.18000000000001</v>
      </c>
      <c r="W152" s="32" t="n">
        <v>18.04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IF(B153=0,"",RANK(B153,$B$2:$B$368,0))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OBEROIRLTY</t>
        </is>
      </c>
      <c r="D153" s="31" t="inlineStr">
        <is>
          <t>Oberoi Realty Limited</t>
        </is>
      </c>
      <c r="E153" s="31" t="inlineStr">
        <is>
          <t>realty</t>
        </is>
      </c>
      <c r="F153" s="31" t="inlineStr">
        <is>
          <t>construction</t>
        </is>
      </c>
      <c r="G153" s="31" t="inlineStr">
        <is>
          <t>largecap</t>
        </is>
      </c>
      <c r="H153" s="32" t="n">
        <v>67982.71000000001</v>
      </c>
      <c r="I153" s="32" t="n">
        <v>1909.1</v>
      </c>
      <c r="J153" s="32" t="n">
        <v>2.11</v>
      </c>
      <c r="K153" s="32" t="n">
        <v>134700</v>
      </c>
      <c r="L153" s="31" t="n">
        <v>24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62.59</v>
      </c>
      <c r="P153" s="32" t="n">
        <v>18.71</v>
      </c>
      <c r="Q153" s="32" t="n">
        <v>1615.8</v>
      </c>
      <c r="R153" s="31" t="inlineStr">
        <is>
          <t>Volume Spike &amp; Near 52W High Breakout</t>
        </is>
      </c>
      <c r="S153" s="31" t="inlineStr">
        <is>
          <t>Nifty Realty</t>
        </is>
      </c>
      <c r="T153" s="32" t="n">
        <v>-4.49</v>
      </c>
      <c r="U153" s="32" t="n">
        <v>12.7</v>
      </c>
      <c r="V153" s="32" t="n">
        <v>18</v>
      </c>
      <c r="W153" s="32" t="n">
        <v>5.65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IF(B154=0,"",RANK(B154,$B$2:$B$368,0))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PRECWIRE</t>
        </is>
      </c>
      <c r="D154" s="31" t="inlineStr">
        <is>
          <t>Precision Wires India Limited</t>
        </is>
      </c>
      <c r="E154" s="31" t="inlineStr">
        <is>
          <t>metals &amp; mining</t>
        </is>
      </c>
      <c r="F154" s="31" t="inlineStr">
        <is>
          <t>mining / minerals / metals</t>
        </is>
      </c>
      <c r="G154" s="31" t="inlineStr">
        <is>
          <t>midcap</t>
        </is>
      </c>
      <c r="H154" s="32" t="n">
        <v>7855.26</v>
      </c>
      <c r="I154" s="32" t="n">
        <v>436.45</v>
      </c>
      <c r="J154" s="32" t="n">
        <v>1.57</v>
      </c>
      <c r="K154" s="32" t="n">
        <v>113256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61.55</v>
      </c>
      <c r="P154" s="32" t="n">
        <v>42.76</v>
      </c>
      <c r="Q154" s="32" t="n">
        <v>334.2</v>
      </c>
      <c r="R154" s="31" t="inlineStr">
        <is>
          <t>Near 52W High Breakout</t>
        </is>
      </c>
      <c r="S154" s="31" t="inlineStr">
        <is>
          <t>Nifty Metal</t>
        </is>
      </c>
      <c r="T154" s="32" t="inlineStr"/>
      <c r="U154" s="32" t="inlineStr"/>
      <c r="V154" s="32" t="inlineStr"/>
      <c r="W154" s="32" t="inlineStr"/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Cyclical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Volatile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IF(B155=0,"",RANK(B155,$B$2:$B$368,0))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KRN</t>
        </is>
      </c>
      <c r="D155" s="31" t="inlineStr">
        <is>
          <t>KRN Heat Exchanger and Refrigeration Ltd</t>
        </is>
      </c>
      <c r="E155" s="31" t="inlineStr">
        <is>
          <t>industrials</t>
        </is>
      </c>
      <c r="F155" s="31" t="inlineStr">
        <is>
          <t>engineering</t>
        </is>
      </c>
      <c r="G155" s="31" t="inlineStr">
        <is>
          <t>midcap</t>
        </is>
      </c>
      <c r="H155" s="32" t="n">
        <v>9826.629999999999</v>
      </c>
      <c r="I155" s="32" t="n">
        <v>1523.6</v>
      </c>
      <c r="J155" s="32" t="n">
        <v>1.49</v>
      </c>
      <c r="K155" s="32" t="n">
        <v>50832</v>
      </c>
      <c r="L155" s="31" t="n">
        <v>69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71.63</v>
      </c>
      <c r="P155" s="32" t="n">
        <v>30.42</v>
      </c>
      <c r="Q155" s="32" t="n">
        <v>1119.17</v>
      </c>
      <c r="R155" s="31" t="inlineStr">
        <is>
          <t>Volume Spike &amp; Near 52W High Breakout</t>
        </is>
      </c>
      <c r="S155" s="31" t="inlineStr">
        <is>
          <t>Nifty 50</t>
        </is>
      </c>
      <c r="T155" s="32" t="n">
        <v>-2.57</v>
      </c>
      <c r="U155" s="32" t="n">
        <v>58.93</v>
      </c>
      <c r="V155" s="32" t="n">
        <v>63.12</v>
      </c>
      <c r="W155" s="32" t="n">
        <v>18.53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IF(B156=0,"",RANK(B156,$B$2:$B$368,0))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KRISHANA</t>
        </is>
      </c>
      <c r="D156" s="31" t="inlineStr">
        <is>
          <t>Krishana Phoschem Ltd</t>
        </is>
      </c>
      <c r="E156" s="31" t="inlineStr">
        <is>
          <t>chemicals</t>
        </is>
      </c>
      <c r="F156" s="31" t="inlineStr">
        <is>
          <t>fertilizers</t>
        </is>
      </c>
      <c r="G156" s="31" t="inlineStr">
        <is>
          <t>smallcap</t>
        </is>
      </c>
      <c r="H156" s="32" t="n">
        <v>1201.31</v>
      </c>
      <c r="I156" s="32" t="n">
        <v>196.52</v>
      </c>
      <c r="J156" s="32" t="n">
        <v>1.14</v>
      </c>
      <c r="K156" s="32" t="n">
        <v>272866</v>
      </c>
      <c r="L156" s="31" t="n">
        <v>77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80.7</v>
      </c>
      <c r="P156" s="32" t="n">
        <v>47.44</v>
      </c>
      <c r="Q156" s="32" t="n">
        <v>155.4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-2.57</v>
      </c>
      <c r="U156" s="32" t="n">
        <v>63.49</v>
      </c>
      <c r="V156" s="32" t="n">
        <v>67.8</v>
      </c>
      <c r="W156" s="32" t="n">
        <v>22.18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IF(B157=0,"",RANK(B157,$B$2:$B$368,0))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GRASIM</t>
        </is>
      </c>
      <c r="D157" s="31" t="inlineStr">
        <is>
          <t>Grasim Industries Limited</t>
        </is>
      </c>
      <c r="E157" s="31" t="inlineStr">
        <is>
          <t>textiles</t>
        </is>
      </c>
      <c r="F157" s="31" t="inlineStr">
        <is>
          <t>textiles - manmade</t>
        </is>
      </c>
      <c r="G157" s="31" t="inlineStr">
        <is>
          <t>largecap</t>
        </is>
      </c>
      <c r="H157" s="32" t="n">
        <v>222549.85</v>
      </c>
      <c r="I157" s="32" t="n">
        <v>3300</v>
      </c>
      <c r="J157" s="32" t="n">
        <v>0.92</v>
      </c>
      <c r="K157" s="32" t="n">
        <v>283792</v>
      </c>
      <c r="L157" s="31" t="n">
        <v>19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65.61</v>
      </c>
      <c r="P157" s="32" t="n">
        <v>38.18</v>
      </c>
      <c r="Q157" s="32" t="n">
        <v>2908.01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-2.57</v>
      </c>
      <c r="U157" s="32" t="n">
        <v>17.64</v>
      </c>
      <c r="V157" s="32" t="n">
        <v>20.74</v>
      </c>
      <c r="W157" s="32" t="n">
        <v>4.4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More than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IF(B158=0,"",RANK(B158,$B$2:$B$368,0))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HEG</t>
        </is>
      </c>
      <c r="D158" s="31" t="inlineStr">
        <is>
          <t>Heg Limited</t>
        </is>
      </c>
      <c r="E158" s="31" t="inlineStr">
        <is>
          <t>industrials</t>
        </is>
      </c>
      <c r="F158" s="31" t="inlineStr">
        <is>
          <t>electrodes - graphites</t>
        </is>
      </c>
      <c r="G158" s="31" t="inlineStr">
        <is>
          <t>midcap</t>
        </is>
      </c>
      <c r="H158" s="32" t="n">
        <v>13663.77</v>
      </c>
      <c r="I158" s="32" t="n">
        <v>713.1</v>
      </c>
      <c r="J158" s="32" t="n">
        <v>0.71</v>
      </c>
      <c r="K158" s="32" t="n">
        <v>439572</v>
      </c>
      <c r="L158" s="31" t="n">
        <v>53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69.15000000000001</v>
      </c>
      <c r="P158" s="32" t="n">
        <v>27.95</v>
      </c>
      <c r="Q158" s="32" t="n">
        <v>553.61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-2.57</v>
      </c>
      <c r="U158" s="32" t="n">
        <v>47.11</v>
      </c>
      <c r="V158" s="32" t="n">
        <v>50.98</v>
      </c>
      <c r="W158" s="32" t="n">
        <v>12.65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Between 12 to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IF(B159=0,"",RANK(B159,$B$2:$B$368,0))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EICHERMOT</t>
        </is>
      </c>
      <c r="D159" s="31" t="inlineStr">
        <is>
          <t>Eicher Motors Limited</t>
        </is>
      </c>
      <c r="E159" s="31" t="inlineStr">
        <is>
          <t>auto</t>
        </is>
      </c>
      <c r="F159" s="31" t="inlineStr">
        <is>
          <t>automobiles - motorcycles / mopeds</t>
        </is>
      </c>
      <c r="G159" s="31" t="inlineStr">
        <is>
          <t>largecap</t>
        </is>
      </c>
      <c r="H159" s="32" t="n">
        <v>219337.25</v>
      </c>
      <c r="I159" s="32" t="n">
        <v>8042</v>
      </c>
      <c r="J159" s="32" t="n">
        <v>0.64</v>
      </c>
      <c r="K159" s="32" t="n">
        <v>102811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64.92</v>
      </c>
      <c r="P159" s="32" t="n">
        <v>10.14</v>
      </c>
      <c r="Q159" s="32" t="n">
        <v>6993.74</v>
      </c>
      <c r="R159" s="31" t="inlineStr">
        <is>
          <t>Near 52W High Breakout</t>
        </is>
      </c>
      <c r="S159" s="31" t="inlineStr">
        <is>
          <t>Nifty Auto</t>
        </is>
      </c>
      <c r="T159" s="32" t="inlineStr"/>
      <c r="U159" s="32" t="inlineStr"/>
      <c r="V159" s="32" t="inlineStr"/>
      <c r="W159" s="32" t="inlineStr"/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Between 1.5 to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IF(B160=0,"",RANK(B160,$B$2:$B$368,0))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VISHNU</t>
        </is>
      </c>
      <c r="D160" s="31" t="inlineStr">
        <is>
          <t>Vishnu Chemicals Limited</t>
        </is>
      </c>
      <c r="E160" s="31" t="inlineStr">
        <is>
          <t>chemicals</t>
        </is>
      </c>
      <c r="F160" s="31" t="inlineStr">
        <is>
          <t>chemicals</t>
        </is>
      </c>
      <c r="G160" s="31" t="inlineStr">
        <is>
          <t>smallcap</t>
        </is>
      </c>
      <c r="H160" s="32" t="n">
        <v>4187.68</v>
      </c>
      <c r="I160" s="32" t="n">
        <v>625</v>
      </c>
      <c r="J160" s="32" t="n">
        <v>0.47</v>
      </c>
      <c r="K160" s="32" t="n">
        <v>15210</v>
      </c>
      <c r="L160" s="31" t="n">
        <v>22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59.6</v>
      </c>
      <c r="P160" s="32" t="n">
        <v>44.14</v>
      </c>
      <c r="Q160" s="32" t="n">
        <v>499.16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-2.57</v>
      </c>
      <c r="U160" s="32" t="n">
        <v>20.65</v>
      </c>
      <c r="V160" s="32" t="n">
        <v>23.83</v>
      </c>
      <c r="W160" s="32" t="n">
        <v>4.99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IF(B161=0,"",RANK(B161,$B$2:$B$368,0))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JINDALSAW</t>
        </is>
      </c>
      <c r="D161" s="31" t="inlineStr">
        <is>
          <t>Jindal Saw Limited</t>
        </is>
      </c>
      <c r="E161" s="31" t="inlineStr">
        <is>
          <t>industrials</t>
        </is>
      </c>
      <c r="F161" s="31" t="inlineStr">
        <is>
          <t>steel - large</t>
        </is>
      </c>
      <c r="G161" s="31" t="inlineStr">
        <is>
          <t>midcap</t>
        </is>
      </c>
      <c r="H161" s="32" t="n">
        <v>17183.59</v>
      </c>
      <c r="I161" s="32" t="n">
        <v>269.75</v>
      </c>
      <c r="J161" s="32" t="n">
        <v>0.39</v>
      </c>
      <c r="K161" s="32" t="n">
        <v>194227</v>
      </c>
      <c r="L161" s="31" t="inlineStr"/>
      <c r="M161" s="31" t="inlineStr"/>
      <c r="N161" s="32">
        <f>IF(M161="Underperforming",-5,IF(L161&gt;=95,15,IF(L161&gt;=90,10,IF(L161&gt;=80,5,0))))</f>
        <v/>
      </c>
      <c r="O161" s="32" t="n">
        <v>62.31</v>
      </c>
      <c r="P161" s="32" t="n">
        <v>41.37</v>
      </c>
      <c r="Q161" s="32" t="n">
        <v>214.79</v>
      </c>
      <c r="R161" s="31" t="inlineStr">
        <is>
          <t>Near 52W High Breakout</t>
        </is>
      </c>
      <c r="S161" s="31" t="inlineStr">
        <is>
          <t>Nifty Metal</t>
        </is>
      </c>
      <c r="T161" s="32" t="inlineStr"/>
      <c r="U161" s="32" t="inlineStr"/>
      <c r="V161" s="32" t="inlineStr"/>
      <c r="W161" s="32" t="inlineStr"/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IF(B162=0,"",RANK(B162,$B$2:$B$368,0))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BOSCH-HCIL</t>
        </is>
      </c>
      <c r="D162" s="31" t="inlineStr">
        <is>
          <t>Bosch Home Comfort India Ltd</t>
        </is>
      </c>
      <c r="E162" s="31" t="inlineStr">
        <is>
          <t>consumer discretionary</t>
        </is>
      </c>
      <c r="F162" s="31" t="inlineStr">
        <is>
          <t>air-conditioners</t>
        </is>
      </c>
      <c r="G162" s="31" t="inlineStr">
        <is>
          <t>smallcap</t>
        </is>
      </c>
      <c r="H162" s="32" t="n">
        <v>4792.67</v>
      </c>
      <c r="I162" s="32" t="n">
        <v>1767.7</v>
      </c>
      <c r="J162" s="32" t="n">
        <v>0.29</v>
      </c>
      <c r="K162" s="32" t="n">
        <v>17793</v>
      </c>
      <c r="L162" s="31" t="n">
        <v>32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70.47</v>
      </c>
      <c r="P162" s="32" t="n">
        <v>20.35</v>
      </c>
      <c r="Q162" s="32" t="n">
        <v>1427.07</v>
      </c>
      <c r="R162" s="31" t="inlineStr">
        <is>
          <t>Near 52W High Breakout</t>
        </is>
      </c>
      <c r="S162" s="31" t="inlineStr">
        <is>
          <t>Nifty 50</t>
        </is>
      </c>
      <c r="T162" s="32" t="n">
        <v>-2.57</v>
      </c>
      <c r="U162" s="32" t="n">
        <v>2.07</v>
      </c>
      <c r="V162" s="32" t="n">
        <v>4.76</v>
      </c>
      <c r="W162" s="32" t="n">
        <v>7.69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IF(B163=0,"",RANK(B163,$B$2:$B$368,0))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NRBBEARING</t>
        </is>
      </c>
      <c r="D163" s="31" t="inlineStr">
        <is>
          <t>Nrb Bearing Limited</t>
        </is>
      </c>
      <c r="E163" s="31" t="inlineStr">
        <is>
          <t>industrials</t>
        </is>
      </c>
      <c r="F163" s="31" t="inlineStr">
        <is>
          <t>bearings</t>
        </is>
      </c>
      <c r="G163" s="31" t="inlineStr">
        <is>
          <t>smallcap</t>
        </is>
      </c>
      <c r="H163" s="32" t="n">
        <v>4682.82</v>
      </c>
      <c r="I163" s="32" t="n">
        <v>484.25</v>
      </c>
      <c r="J163" s="32" t="n">
        <v>0.23</v>
      </c>
      <c r="K163" s="32" t="n">
        <v>74153</v>
      </c>
      <c r="L163" s="31" t="n">
        <v>68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76.73999999999999</v>
      </c>
      <c r="P163" s="32" t="n">
        <v>50.61</v>
      </c>
      <c r="Q163" s="32" t="n">
        <v>375.68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-2.57</v>
      </c>
      <c r="U163" s="32" t="n">
        <v>68.78</v>
      </c>
      <c r="V163" s="32" t="n">
        <v>73.23</v>
      </c>
      <c r="W163" s="32" t="n">
        <v>18.06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IF(B164=0,"",RANK(B164,$B$2:$B$368,0))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KALYANKJIL</t>
        </is>
      </c>
      <c r="D164" s="31" t="inlineStr">
        <is>
          <t>Kalyan Jewellers India Ltd</t>
        </is>
      </c>
      <c r="E164" s="31" t="inlineStr">
        <is>
          <t>consumer discretionary</t>
        </is>
      </c>
      <c r="F164" s="31" t="inlineStr">
        <is>
          <t>diamond cutting / jewellery</t>
        </is>
      </c>
      <c r="G164" s="31" t="inlineStr">
        <is>
          <t>largecap</t>
        </is>
      </c>
      <c r="H164" s="32" t="n">
        <v>61468.7</v>
      </c>
      <c r="I164" s="32" t="n">
        <v>596</v>
      </c>
      <c r="J164" s="32" t="n">
        <v>0.13</v>
      </c>
      <c r="K164" s="32" t="n">
        <v>1625226</v>
      </c>
      <c r="L164" s="31" t="n">
        <v>73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69.20999999999999</v>
      </c>
      <c r="P164" s="32" t="n">
        <v>34.98</v>
      </c>
      <c r="Q164" s="32" t="n">
        <v>467.7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-2.57</v>
      </c>
      <c r="U164" s="32" t="n">
        <v>16.94</v>
      </c>
      <c r="V164" s="32" t="n">
        <v>20.02</v>
      </c>
      <c r="W164" s="32" t="n">
        <v>20.86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IF(B165=0,"",RANK(B165,$B$2:$B$368,0))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DPABHUSHAN</t>
        </is>
      </c>
      <c r="D165" s="33" t="inlineStr">
        <is>
          <t>D.P. Abhushan Ltd</t>
        </is>
      </c>
      <c r="E165" s="31" t="inlineStr">
        <is>
          <t>consumer discretionary</t>
        </is>
      </c>
      <c r="F165" s="31" t="inlineStr">
        <is>
          <t>diamond cutting / jewellery</t>
        </is>
      </c>
      <c r="G165" s="31" t="inlineStr">
        <is>
          <t>smallcap</t>
        </is>
      </c>
      <c r="H165" s="32" t="n">
        <v>3350.91</v>
      </c>
      <c r="I165" s="32" t="n">
        <v>1466.9</v>
      </c>
      <c r="J165" s="32" t="n">
        <v>-0.07000000000000001</v>
      </c>
      <c r="K165" s="32" t="n">
        <v>10299</v>
      </c>
      <c r="L165" s="31" t="n">
        <v>49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66.98999999999999</v>
      </c>
      <c r="P165" s="32" t="n">
        <v>35.21</v>
      </c>
      <c r="Q165" s="32" t="n">
        <v>1056.76</v>
      </c>
      <c r="R165" s="31" t="inlineStr">
        <is>
          <t>Earnings / Momentum Support</t>
        </is>
      </c>
      <c r="S165" s="31" t="inlineStr">
        <is>
          <t>Nifty 50</t>
        </is>
      </c>
      <c r="T165" s="32" t="n">
        <v>-2.57</v>
      </c>
      <c r="U165" s="32" t="n">
        <v>-8.5</v>
      </c>
      <c r="V165" s="32" t="n">
        <v>-6.09</v>
      </c>
      <c r="W165" s="32" t="n">
        <v>11.64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IF(B166=0,"",RANK(B166,$B$2:$B$368,0))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IDEA</t>
        </is>
      </c>
      <c r="D166" s="31" t="inlineStr">
        <is>
          <t>Vodafone Idea Ltd</t>
        </is>
      </c>
      <c r="E166" s="31" t="inlineStr">
        <is>
          <t>telecom-service</t>
        </is>
      </c>
      <c r="F166" s="31" t="inlineStr">
        <is>
          <t>telecommunications - service provider</t>
        </is>
      </c>
      <c r="G166" s="31" t="inlineStr">
        <is>
          <t>largecap</t>
        </is>
      </c>
      <c r="H166" s="32" t="n">
        <v>152438.65</v>
      </c>
      <c r="I166" s="32" t="n">
        <v>14.06</v>
      </c>
      <c r="J166" s="32" t="n">
        <v>-0.07000000000000001</v>
      </c>
      <c r="K166" s="32" t="n">
        <v>61569454</v>
      </c>
      <c r="L166" s="31" t="n">
        <v>63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61.55</v>
      </c>
      <c r="P166" s="32" t="n">
        <v>35.13</v>
      </c>
      <c r="Q166" s="32" t="n">
        <v>12.02</v>
      </c>
      <c r="R166" s="31" t="inlineStr">
        <is>
          <t>Earnings / Momentum Support</t>
        </is>
      </c>
      <c r="S166" s="31" t="inlineStr">
        <is>
          <t>Nifty 50</t>
        </is>
      </c>
      <c r="T166" s="32" t="n">
        <v>-2.57</v>
      </c>
      <c r="U166" s="32" t="n">
        <v>98.44</v>
      </c>
      <c r="V166" s="32" t="n">
        <v>103.67</v>
      </c>
      <c r="W166" s="32" t="n">
        <v>16.07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Oligopoly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IF(B167=0,"",RANK(B167,$B$2:$B$368,0))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AYMSYNTEX</t>
        </is>
      </c>
      <c r="D167" s="31" t="inlineStr">
        <is>
          <t>Aym Syntex Limited</t>
        </is>
      </c>
      <c r="E167" s="31" t="inlineStr">
        <is>
          <t>textiles</t>
        </is>
      </c>
      <c r="F167" s="31" t="inlineStr">
        <is>
          <t>textiles - processing</t>
        </is>
      </c>
      <c r="G167" s="31" t="inlineStr">
        <is>
          <t>smallcap</t>
        </is>
      </c>
      <c r="H167" s="32" t="n">
        <v>1557.63</v>
      </c>
      <c r="I167" s="32" t="n">
        <v>265</v>
      </c>
      <c r="J167" s="32" t="n">
        <v>-0.08</v>
      </c>
      <c r="K167" s="32" t="n">
        <v>5322</v>
      </c>
      <c r="L167" s="31" t="n">
        <v>54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62.11</v>
      </c>
      <c r="P167" s="32" t="n">
        <v>33.99</v>
      </c>
      <c r="Q167" s="32" t="n">
        <v>188.78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-2.57</v>
      </c>
      <c r="U167" s="32" t="n">
        <v>36.34</v>
      </c>
      <c r="V167" s="32" t="n">
        <v>39.93</v>
      </c>
      <c r="W167" s="32" t="n">
        <v>13.09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IF(B168=0,"",RANK(B168,$B$2:$B$368,0))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MACPOWER</t>
        </is>
      </c>
      <c r="D168" s="31" t="inlineStr">
        <is>
          <t>Macpower CNC Machines Ltd</t>
        </is>
      </c>
      <c r="E168" s="31" t="inlineStr">
        <is>
          <t>industrials</t>
        </is>
      </c>
      <c r="F168" s="31" t="inlineStr">
        <is>
          <t>engineering</t>
        </is>
      </c>
      <c r="G168" s="31" t="inlineStr">
        <is>
          <t>smallcap</t>
        </is>
      </c>
      <c r="H168" s="32" t="n">
        <v>1944.01</v>
      </c>
      <c r="I168" s="32" t="n">
        <v>1941.2</v>
      </c>
      <c r="J168" s="32" t="n">
        <v>-0.1</v>
      </c>
      <c r="K168" s="32" t="n">
        <v>18002</v>
      </c>
      <c r="L168" s="31" t="n">
        <v>93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78.91</v>
      </c>
      <c r="P168" s="32" t="n">
        <v>33.55</v>
      </c>
      <c r="Q168" s="32" t="n">
        <v>1428.89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-2.57</v>
      </c>
      <c r="U168" s="32" t="n">
        <v>136.38</v>
      </c>
      <c r="V168" s="32" t="n">
        <v>142.61</v>
      </c>
      <c r="W168" s="32" t="n">
        <v>36.22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IF(B169=0,"",RANK(B169,$B$2:$B$368,0))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GULFOILLUB</t>
        </is>
      </c>
      <c r="D169" s="33" t="inlineStr">
        <is>
          <t>Gulf Oil Lubricants India Limited</t>
        </is>
      </c>
      <c r="E169" s="31" t="inlineStr">
        <is>
          <t>chemicals</t>
        </is>
      </c>
      <c r="F169" s="31" t="inlineStr">
        <is>
          <t>chemicals</t>
        </is>
      </c>
      <c r="G169" s="31" t="inlineStr">
        <is>
          <t>midcap</t>
        </is>
      </c>
      <c r="H169" s="32" t="n">
        <v>5712.75</v>
      </c>
      <c r="I169" s="32" t="n">
        <v>1150.4</v>
      </c>
      <c r="J169" s="32" t="n">
        <v>-0.29</v>
      </c>
      <c r="K169" s="32" t="n">
        <v>9604</v>
      </c>
      <c r="L169" s="31" t="n">
        <v>25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59.68</v>
      </c>
      <c r="P169" s="32" t="n">
        <v>20.55</v>
      </c>
      <c r="Q169" s="32" t="n">
        <v>973.46</v>
      </c>
      <c r="R169" s="31" t="inlineStr">
        <is>
          <t>Earnings / Momentum Support</t>
        </is>
      </c>
      <c r="S169" s="31" t="inlineStr">
        <is>
          <t>Nifty 50</t>
        </is>
      </c>
      <c r="T169" s="32" t="n">
        <v>-2.57</v>
      </c>
      <c r="U169" s="32" t="n">
        <v>-3.51</v>
      </c>
      <c r="V169" s="32" t="n">
        <v>-0.96</v>
      </c>
      <c r="W169" s="32" t="n">
        <v>5.84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IF(B170=0,"",RANK(B170,$B$2:$B$368,0))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LMW</t>
        </is>
      </c>
      <c r="D170" s="31" t="inlineStr">
        <is>
          <t>LMW Ltd</t>
        </is>
      </c>
      <c r="E170" s="31" t="inlineStr">
        <is>
          <t>industrials</t>
        </is>
      </c>
      <c r="F170" s="31" t="inlineStr">
        <is>
          <t>textile machinery</t>
        </is>
      </c>
      <c r="G170" s="31" t="inlineStr">
        <is>
          <t>largecap</t>
        </is>
      </c>
      <c r="H170" s="32" t="n">
        <v>21008.12</v>
      </c>
      <c r="I170" s="32" t="n">
        <v>19570</v>
      </c>
      <c r="J170" s="32" t="n">
        <v>-0.48</v>
      </c>
      <c r="K170" s="32" t="n">
        <v>1008</v>
      </c>
      <c r="L170" s="31" t="n">
        <v>57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74.40000000000001</v>
      </c>
      <c r="P170" s="32" t="n">
        <v>38.7</v>
      </c>
      <c r="Q170" s="32" t="n">
        <v>16088.26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-2.57</v>
      </c>
      <c r="U170" s="32" t="n">
        <v>29.6</v>
      </c>
      <c r="V170" s="32" t="n">
        <v>33.02</v>
      </c>
      <c r="W170" s="32" t="n">
        <v>14.09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IF(B171=0,"",RANK(B171,$B$2:$B$368,0))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SHAILY</t>
        </is>
      </c>
      <c r="D171" s="31" t="inlineStr">
        <is>
          <t>Shaily Engineering Plastics Ltd</t>
        </is>
      </c>
      <c r="E171" s="31" t="inlineStr">
        <is>
          <t>plastic products</t>
        </is>
      </c>
      <c r="F171" s="31" t="inlineStr">
        <is>
          <t>plastics products</t>
        </is>
      </c>
      <c r="G171" s="31" t="inlineStr">
        <is>
          <t>midcap</t>
        </is>
      </c>
      <c r="H171" s="32" t="n">
        <v>15487.52</v>
      </c>
      <c r="I171" s="32" t="n">
        <v>3350.1</v>
      </c>
      <c r="J171" s="32" t="n">
        <v>-0.51</v>
      </c>
      <c r="K171" s="32" t="n">
        <v>17743</v>
      </c>
      <c r="L171" s="31" t="n">
        <v>65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69.93000000000001</v>
      </c>
      <c r="P171" s="32" t="n">
        <v>29.89</v>
      </c>
      <c r="Q171" s="32" t="n">
        <v>2520.23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-2.57</v>
      </c>
      <c r="U171" s="32" t="n">
        <v>59.4</v>
      </c>
      <c r="V171" s="32" t="n">
        <v>63.6</v>
      </c>
      <c r="W171" s="32" t="n">
        <v>16.28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IF(B172=0,"",RANK(B172,$B$2:$B$368,0))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ASAHIINDIA</t>
        </is>
      </c>
      <c r="D172" s="31" t="inlineStr">
        <is>
          <t>Asahi India Glass Limited</t>
        </is>
      </c>
      <c r="E172" s="31" t="inlineStr">
        <is>
          <t>building materials</t>
        </is>
      </c>
      <c r="F172" s="31" t="inlineStr">
        <is>
          <t>glass &amp; glass products</t>
        </is>
      </c>
      <c r="G172" s="31" t="inlineStr">
        <is>
          <t>largecap</t>
        </is>
      </c>
      <c r="H172" s="32" t="n">
        <v>24397.81</v>
      </c>
      <c r="I172" s="32" t="n">
        <v>951.8</v>
      </c>
      <c r="J172" s="32" t="n">
        <v>-0.55</v>
      </c>
      <c r="K172" s="32" t="n">
        <v>35100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59.79</v>
      </c>
      <c r="P172" s="32" t="n">
        <v>23.22</v>
      </c>
      <c r="Q172" s="32" t="n">
        <v>765.21</v>
      </c>
      <c r="R172" s="31" t="inlineStr">
        <is>
          <t>Volume Spike / Accumulation</t>
        </is>
      </c>
      <c r="S172" s="31" t="inlineStr">
        <is>
          <t>Nifty Infra</t>
        </is>
      </c>
      <c r="T172" s="32" t="inlineStr"/>
      <c r="U172" s="32" t="inlineStr"/>
      <c r="V172" s="32" t="inlineStr"/>
      <c r="W172" s="32" t="inlineStr"/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IF(B173=0,"",RANK(B173,$B$2:$B$368,0))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KMEW</t>
        </is>
      </c>
      <c r="D173" s="31" t="inlineStr">
        <is>
          <t>Knowledge Marine &amp; Engineering Works Ltd</t>
        </is>
      </c>
      <c r="E173" s="31" t="inlineStr">
        <is>
          <t>transportation</t>
        </is>
      </c>
      <c r="F173" s="31" t="inlineStr">
        <is>
          <t>miscellaneous</t>
        </is>
      </c>
      <c r="G173" s="31" t="inlineStr">
        <is>
          <t>midcap</t>
        </is>
      </c>
      <c r="H173" s="32" t="n">
        <v>6718.22</v>
      </c>
      <c r="I173" s="32" t="n">
        <v>2705.4</v>
      </c>
      <c r="J173" s="32" t="n">
        <v>-1.56</v>
      </c>
      <c r="K173" s="32" t="n">
        <v>17848</v>
      </c>
      <c r="L173" s="31" t="n">
        <v>86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74.8</v>
      </c>
      <c r="P173" s="32" t="n">
        <v>51.57</v>
      </c>
      <c r="Q173" s="32" t="n">
        <v>1977.3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-2.57</v>
      </c>
      <c r="U173" s="32" t="n">
        <v>176.69</v>
      </c>
      <c r="V173" s="32" t="n">
        <v>183.98</v>
      </c>
      <c r="W173" s="32" t="n">
        <v>29.4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Negative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IF(B174=0,"",RANK(B174,$B$2:$B$368,0))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MMFL</t>
        </is>
      </c>
      <c r="D174" s="31" t="inlineStr">
        <is>
          <t>Mm Forgings Limited</t>
        </is>
      </c>
      <c r="E174" s="31" t="inlineStr">
        <is>
          <t>industrials</t>
        </is>
      </c>
      <c r="F174" s="31" t="inlineStr">
        <is>
          <t>castings &amp; forgings</t>
        </is>
      </c>
      <c r="G174" s="31" t="inlineStr">
        <is>
          <t>smallcap</t>
        </is>
      </c>
      <c r="H174" s="32" t="n">
        <v>3175.96</v>
      </c>
      <c r="I174" s="32" t="n">
        <v>639</v>
      </c>
      <c r="J174" s="32" t="n">
        <v>-2.86</v>
      </c>
      <c r="K174" s="32" t="n">
        <v>49165</v>
      </c>
      <c r="L174" s="31" t="n">
        <v>83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73.16</v>
      </c>
      <c r="P174" s="32" t="n">
        <v>24.7</v>
      </c>
      <c r="Q174" s="32" t="n">
        <v>479.04</v>
      </c>
      <c r="R174" s="31" t="inlineStr">
        <is>
          <t>Volume Spike &amp; Near 52W High Breakout</t>
        </is>
      </c>
      <c r="S174" s="31" t="inlineStr">
        <is>
          <t>Nifty 50</t>
        </is>
      </c>
      <c r="T174" s="32" t="n">
        <v>-2.57</v>
      </c>
      <c r="U174" s="32" t="n">
        <v>102.3</v>
      </c>
      <c r="V174" s="32" t="n">
        <v>107.63</v>
      </c>
      <c r="W174" s="32" t="n">
        <v>25.9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More than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IF(B175=0,"",RANK(B175,$B$2:$B$368,0))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YASHO</t>
        </is>
      </c>
      <c r="D175" s="31" t="inlineStr">
        <is>
          <t>Yasho Industries Ltd</t>
        </is>
      </c>
      <c r="E175" s="31" t="inlineStr">
        <is>
          <t>chemicals</t>
        </is>
      </c>
      <c r="F175" s="31" t="inlineStr">
        <is>
          <t>chemicals</t>
        </is>
      </c>
      <c r="G175" s="31" t="inlineStr">
        <is>
          <t>midcap</t>
        </is>
      </c>
      <c r="H175" s="32" t="n">
        <v>5390.49</v>
      </c>
      <c r="I175" s="32" t="n">
        <v>4284.8</v>
      </c>
      <c r="J175" s="32" t="n">
        <v>-4.16</v>
      </c>
      <c r="K175" s="32" t="n">
        <v>37713</v>
      </c>
      <c r="L175" s="31" t="n">
        <v>97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92.06</v>
      </c>
      <c r="P175" s="32" t="n">
        <v>69.45999999999999</v>
      </c>
      <c r="Q175" s="32" t="n">
        <v>3198.06</v>
      </c>
      <c r="R175" s="31" t="inlineStr">
        <is>
          <t>Volume Spike &amp; Near 52W High Breakout</t>
        </is>
      </c>
      <c r="S175" s="31" t="inlineStr">
        <is>
          <t>Nifty 50</t>
        </is>
      </c>
      <c r="T175" s="32" t="n">
        <v>-2.57</v>
      </c>
      <c r="U175" s="32" t="n">
        <v>152.06</v>
      </c>
      <c r="V175" s="32" t="n">
        <v>158.7</v>
      </c>
      <c r="W175" s="32" t="n">
        <v>49.29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More than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IF(B176=0,"",RANK(B176,$B$2:$B$368,0))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MAWANASUG</t>
        </is>
      </c>
      <c r="D176" s="31" t="inlineStr">
        <is>
          <t>Mawana Sugars Limited</t>
        </is>
      </c>
      <c r="E176" s="31" t="inlineStr">
        <is>
          <t>fmcg</t>
        </is>
      </c>
      <c r="F176" s="31" t="inlineStr">
        <is>
          <t>sugar</t>
        </is>
      </c>
      <c r="G176" s="31" t="inlineStr">
        <is>
          <t>smallcap</t>
        </is>
      </c>
      <c r="H176" s="32" t="n">
        <v>503.51</v>
      </c>
      <c r="I176" s="32" t="n">
        <v>140.9</v>
      </c>
      <c r="J176" s="32" t="n">
        <v>9.460000000000001</v>
      </c>
      <c r="K176" s="32" t="n">
        <v>593896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78.02</v>
      </c>
      <c r="P176" s="32" t="n">
        <v>33.3</v>
      </c>
      <c r="Q176" s="32" t="n">
        <v>108.78</v>
      </c>
      <c r="R176" s="31" t="inlineStr">
        <is>
          <t>Volume Spike &amp; Near 52W High Breakout</t>
        </is>
      </c>
      <c r="S176" s="31" t="inlineStr">
        <is>
          <t>Nifty FMCG</t>
        </is>
      </c>
      <c r="T176" s="32" t="inlineStr"/>
      <c r="U176" s="32" t="inlineStr"/>
      <c r="V176" s="32" t="inlineStr"/>
      <c r="W176" s="32" t="inlineStr"/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B2C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Between 0.7 to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IF(B177=0,"",RANK(B177,$B$2:$B$368,0))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PPLPHARMA</t>
        </is>
      </c>
      <c r="D177" s="33" t="inlineStr">
        <is>
          <t>Piramal Pharma Ltd</t>
        </is>
      </c>
      <c r="E177" s="31" t="inlineStr">
        <is>
          <t>healthcare</t>
        </is>
      </c>
      <c r="F177" s="31" t="inlineStr">
        <is>
          <t>pharmaceuticals - indian - bulk drugs &amp; formln</t>
        </is>
      </c>
      <c r="G177" s="31" t="inlineStr">
        <is>
          <t>largecap</t>
        </is>
      </c>
      <c r="H177" s="32" t="n">
        <v>27910.38</v>
      </c>
      <c r="I177" s="32" t="n">
        <v>216.54</v>
      </c>
      <c r="J177" s="32" t="n">
        <v>3.29</v>
      </c>
      <c r="K177" s="32" t="n">
        <v>1135007</v>
      </c>
      <c r="L177" s="31" t="n">
        <v>32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72.23999999999999</v>
      </c>
      <c r="P177" s="32" t="n">
        <v>27.11</v>
      </c>
      <c r="Q177" s="32" t="n">
        <v>172.25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18.64</v>
      </c>
      <c r="U177" s="32" t="n">
        <v>12.4</v>
      </c>
      <c r="V177" s="32" t="n">
        <v>-5.26</v>
      </c>
      <c r="W177" s="32" t="n">
        <v>7.82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IF(B178=0,"",RANK(B178,$B$2:$B$368,0))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ARTEMISMED</t>
        </is>
      </c>
      <c r="D178" s="31" t="inlineStr">
        <is>
          <t>Artemis Medicare Services Ltd</t>
        </is>
      </c>
      <c r="E178" s="31" t="inlineStr">
        <is>
          <t>healthcare</t>
        </is>
      </c>
      <c r="F178" s="31" t="inlineStr">
        <is>
          <t>healthcare</t>
        </is>
      </c>
      <c r="G178" s="31" t="inlineStr">
        <is>
          <t>smallcap</t>
        </is>
      </c>
      <c r="H178" s="32" t="n">
        <v>4970.02</v>
      </c>
      <c r="I178" s="32" t="n">
        <v>321.2</v>
      </c>
      <c r="J178" s="32" t="n">
        <v>2.31</v>
      </c>
      <c r="K178" s="32" t="n">
        <v>243029</v>
      </c>
      <c r="L178" s="31" t="n">
        <v>44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71.98999999999999</v>
      </c>
      <c r="P178" s="32" t="n">
        <v>30.01</v>
      </c>
      <c r="Q178" s="32" t="n">
        <v>261.47</v>
      </c>
      <c r="R178" s="31" t="inlineStr">
        <is>
          <t>Near 52W High Breakout</t>
        </is>
      </c>
      <c r="S178" s="31" t="inlineStr">
        <is>
          <t>Nifty Pharma</t>
        </is>
      </c>
      <c r="T178" s="32" t="n">
        <v>18.64</v>
      </c>
      <c r="U178" s="32" t="n">
        <v>35.22</v>
      </c>
      <c r="V178" s="32" t="n">
        <v>13.97</v>
      </c>
      <c r="W178" s="32" t="n">
        <v>10.54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IF(B179=0,"",RANK(B179,$B$2:$B$368,0))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UNITDSPR</t>
        </is>
      </c>
      <c r="D179" s="31" t="inlineStr">
        <is>
          <t>United Spirits Ltd</t>
        </is>
      </c>
      <c r="E179" s="31" t="inlineStr">
        <is>
          <t>fmcg</t>
        </is>
      </c>
      <c r="F179" s="31" t="inlineStr">
        <is>
          <t>breweries &amp; distilleries</t>
        </is>
      </c>
      <c r="G179" s="31" t="inlineStr">
        <is>
          <t>largecap</t>
        </is>
      </c>
      <c r="H179" s="32" t="n">
        <v>110848.27</v>
      </c>
      <c r="I179" s="32" t="n">
        <v>1544</v>
      </c>
      <c r="J179" s="32" t="n">
        <v>1.31</v>
      </c>
      <c r="K179" s="32" t="n">
        <v>1114744</v>
      </c>
      <c r="L179" s="31" t="inlineStr"/>
      <c r="M179" s="31" t="inlineStr"/>
      <c r="N179" s="32">
        <f>IF(M179="Underperforming",-5,IF(L179&gt;=95,15,IF(L179&gt;=90,10,IF(L179&gt;=80,5,0))))</f>
        <v/>
      </c>
      <c r="O179" s="32" t="n">
        <v>68.17</v>
      </c>
      <c r="P179" s="32" t="n">
        <v>23.53</v>
      </c>
      <c r="Q179" s="32" t="n">
        <v>1347.17</v>
      </c>
      <c r="R179" s="31" t="inlineStr">
        <is>
          <t>Near 52W High Breakout</t>
        </is>
      </c>
      <c r="S179" s="31" t="inlineStr">
        <is>
          <t>Nifty FMCG</t>
        </is>
      </c>
      <c r="T179" s="32" t="inlineStr"/>
      <c r="U179" s="32" t="inlineStr"/>
      <c r="V179" s="32" t="inlineStr"/>
      <c r="W179" s="32" t="inlineStr"/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B2C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IF(B180=0,"",RANK(B180,$B$2:$B$368,0))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MANORAMA</t>
        </is>
      </c>
      <c r="D180" s="31" t="inlineStr">
        <is>
          <t>Manorama Industries Ltd</t>
        </is>
      </c>
      <c r="E180" s="31" t="inlineStr">
        <is>
          <t>fmcg</t>
        </is>
      </c>
      <c r="F180" s="31" t="inlineStr">
        <is>
          <t>food - processing - indian</t>
        </is>
      </c>
      <c r="G180" s="31" t="inlineStr">
        <is>
          <t>midcap</t>
        </is>
      </c>
      <c r="H180" s="32" t="n">
        <v>11553.6</v>
      </c>
      <c r="I180" s="32" t="n">
        <v>1956.7</v>
      </c>
      <c r="J180" s="32" t="n">
        <v>1.12</v>
      </c>
      <c r="K180" s="32" t="n">
        <v>138904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75.81999999999999</v>
      </c>
      <c r="P180" s="32" t="n">
        <v>19.53</v>
      </c>
      <c r="Q180" s="32" t="n">
        <v>1535.64</v>
      </c>
      <c r="R180" s="31" t="inlineStr">
        <is>
          <t>Volume Spike &amp; Near 52W High Breakout</t>
        </is>
      </c>
      <c r="S180" s="31" t="inlineStr">
        <is>
          <t>Nifty FMCG</t>
        </is>
      </c>
      <c r="T180" s="32" t="inlineStr"/>
      <c r="U180" s="32" t="inlineStr"/>
      <c r="V180" s="32" t="inlineStr"/>
      <c r="W180" s="32" t="inlineStr"/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B2C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IF(B181=0,"",RANK(B181,$B$2:$B$368,0))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KOVAI</t>
        </is>
      </c>
      <c r="D181" s="33" t="inlineStr">
        <is>
          <t>Kovai Medical Center &amp; Hospital Ltd</t>
        </is>
      </c>
      <c r="E181" s="31" t="inlineStr">
        <is>
          <t>healthcare</t>
        </is>
      </c>
      <c r="F181" s="31" t="inlineStr">
        <is>
          <t>healthcare</t>
        </is>
      </c>
      <c r="G181" s="31" t="inlineStr">
        <is>
          <t>midcap</t>
        </is>
      </c>
      <c r="H181" s="32" t="n">
        <v>6564.81</v>
      </c>
      <c r="I181" s="32" t="n">
        <v>6052.5</v>
      </c>
      <c r="J181" s="32" t="n">
        <v>0.88</v>
      </c>
      <c r="K181" s="32" t="n">
        <v>1319</v>
      </c>
      <c r="L181" s="31" t="n">
        <v>13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61.89</v>
      </c>
      <c r="P181" s="32" t="n">
        <v>26.39</v>
      </c>
      <c r="Q181" s="32" t="n">
        <v>5132.9</v>
      </c>
      <c r="R181" s="31" t="inlineStr">
        <is>
          <t>Earnings / Momentum Support</t>
        </is>
      </c>
      <c r="S181" s="31" t="inlineStr">
        <is>
          <t>Nifty Pharma</t>
        </is>
      </c>
      <c r="T181" s="32" t="n">
        <v>18.64</v>
      </c>
      <c r="U181" s="32" t="n">
        <v>-4.57</v>
      </c>
      <c r="V181" s="32" t="n">
        <v>-19.57</v>
      </c>
      <c r="W181" s="32" t="n">
        <v>1.94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IF(B182=0,"",RANK(B182,$B$2:$B$368,0))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LTFOODS</t>
        </is>
      </c>
      <c r="D182" s="31" t="inlineStr">
        <is>
          <t>L T Foods Ltd</t>
        </is>
      </c>
      <c r="E182" s="31" t="inlineStr">
        <is>
          <t>fmcg</t>
        </is>
      </c>
      <c r="F182" s="31" t="inlineStr">
        <is>
          <t>food - processing - indian</t>
        </is>
      </c>
      <c r="G182" s="31" t="inlineStr">
        <is>
          <t>midcap</t>
        </is>
      </c>
      <c r="H182" s="32" t="n">
        <v>14914.51</v>
      </c>
      <c r="I182" s="32" t="n">
        <v>432</v>
      </c>
      <c r="J182" s="32" t="n">
        <v>0.58</v>
      </c>
      <c r="K182" s="32" t="n">
        <v>134471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60.18</v>
      </c>
      <c r="P182" s="32" t="n">
        <v>15.19</v>
      </c>
      <c r="Q182" s="32" t="n">
        <v>352.93</v>
      </c>
      <c r="R182" s="31" t="inlineStr">
        <is>
          <t>Earnings / Momentum Support</t>
        </is>
      </c>
      <c r="S182" s="31" t="inlineStr">
        <is>
          <t>Nifty FMCG</t>
        </is>
      </c>
      <c r="T182" s="32" t="inlineStr"/>
      <c r="U182" s="32" t="inlineStr"/>
      <c r="V182" s="32" t="inlineStr"/>
      <c r="W182" s="32" t="inlineStr"/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B2C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IF(B183=0,"",RANK(B183,$B$2:$B$368,0))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INDORAMA</t>
        </is>
      </c>
      <c r="D183" s="31" t="inlineStr">
        <is>
          <t>Indo Rama Synthetics (india) Limited</t>
        </is>
      </c>
      <c r="E183" s="31" t="inlineStr">
        <is>
          <t>textiles</t>
        </is>
      </c>
      <c r="F183" s="31" t="inlineStr">
        <is>
          <t>textiles - manmade</t>
        </is>
      </c>
      <c r="G183" s="31" t="inlineStr">
        <is>
          <t>smallcap</t>
        </is>
      </c>
      <c r="H183" s="32" t="n">
        <v>1469.81</v>
      </c>
      <c r="I183" s="32" t="n">
        <v>61.45</v>
      </c>
      <c r="J183" s="32" t="n">
        <v>9.17</v>
      </c>
      <c r="K183" s="32" t="n">
        <v>227013</v>
      </c>
      <c r="L183" s="31" t="n">
        <v>74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69.16</v>
      </c>
      <c r="P183" s="32" t="n">
        <v>41.41</v>
      </c>
      <c r="Q183" s="32" t="n">
        <v>42.92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-2.57</v>
      </c>
      <c r="U183" s="32" t="n">
        <v>13.67</v>
      </c>
      <c r="V183" s="32" t="n">
        <v>16.66</v>
      </c>
      <c r="W183" s="32" t="n">
        <v>21.14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IF(B184=0,"",RANK(B184,$B$2:$B$368,0))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SAMBHV</t>
        </is>
      </c>
      <c r="D184" s="31" t="inlineStr">
        <is>
          <t>Sambhv Steel Tubes Ltd</t>
        </is>
      </c>
      <c r="E184" s="31" t="inlineStr">
        <is>
          <t>metals &amp; mining</t>
        </is>
      </c>
      <c r="F184" s="31" t="inlineStr">
        <is>
          <t>steel - medium / small</t>
        </is>
      </c>
      <c r="G184" s="31" t="inlineStr">
        <is>
          <t>smallcap</t>
        </is>
      </c>
      <c r="H184" s="32" t="n">
        <v>3621.81</v>
      </c>
      <c r="I184" s="32" t="n">
        <v>131</v>
      </c>
      <c r="J184" s="32" t="n">
        <v>6.58</v>
      </c>
      <c r="K184" s="32" t="n">
        <v>1481872</v>
      </c>
      <c r="L184" s="31" t="inlineStr"/>
      <c r="M184" s="31" t="inlineStr"/>
      <c r="N184" s="32">
        <f>IF(M184="Underperforming",-5,IF(L184&gt;=95,15,IF(L184&gt;=90,10,IF(L184&gt;=80,5,0))))</f>
        <v/>
      </c>
      <c r="O184" s="32" t="n">
        <v>69.03</v>
      </c>
      <c r="P184" s="32" t="n">
        <v>25.94</v>
      </c>
      <c r="Q184" s="32" t="n">
        <v>100.23</v>
      </c>
      <c r="R184" s="31" t="inlineStr">
        <is>
          <t>Near 52W High Breakout</t>
        </is>
      </c>
      <c r="S184" s="31" t="inlineStr">
        <is>
          <t>Nifty Metal</t>
        </is>
      </c>
      <c r="T184" s="32" t="inlineStr"/>
      <c r="U184" s="32" t="inlineStr"/>
      <c r="V184" s="32" t="inlineStr"/>
      <c r="W184" s="32" t="inlineStr"/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Cyclical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Volatile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IF(B185=0,"",RANK(B185,$B$2:$B$368,0))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MANINDS</t>
        </is>
      </c>
      <c r="D185" s="31" t="inlineStr">
        <is>
          <t>Man Industries (india) Limited</t>
        </is>
      </c>
      <c r="E185" s="31" t="inlineStr">
        <is>
          <t>metals &amp; mining</t>
        </is>
      </c>
      <c r="F185" s="31" t="inlineStr">
        <is>
          <t>steel - medium / small</t>
        </is>
      </c>
      <c r="G185" s="31" t="inlineStr">
        <is>
          <t>smallcap</t>
        </is>
      </c>
      <c r="H185" s="32" t="n">
        <v>4823.49</v>
      </c>
      <c r="I185" s="32" t="n">
        <v>677.6</v>
      </c>
      <c r="J185" s="32" t="n">
        <v>5.37</v>
      </c>
      <c r="K185" s="32" t="n">
        <v>738082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69.54000000000001</v>
      </c>
      <c r="P185" s="32" t="n">
        <v>28.97</v>
      </c>
      <c r="Q185" s="32" t="n">
        <v>504.57</v>
      </c>
      <c r="R185" s="31" t="inlineStr">
        <is>
          <t>Near 52W High Breakout</t>
        </is>
      </c>
      <c r="S185" s="31" t="inlineStr">
        <is>
          <t>Nifty Metal</t>
        </is>
      </c>
      <c r="T185" s="32" t="inlineStr"/>
      <c r="U185" s="32" t="inlineStr"/>
      <c r="V185" s="32" t="inlineStr"/>
      <c r="W185" s="32" t="inlineStr"/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Cyclical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Volatile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IF(B186=0,"",RANK(B186,$B$2:$B$368,0))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MOLDTECH</t>
        </is>
      </c>
      <c r="D186" s="31" t="inlineStr">
        <is>
          <t>Mold-tek Technologies Limited</t>
        </is>
      </c>
      <c r="E186" s="31" t="inlineStr">
        <is>
          <t>realty</t>
        </is>
      </c>
      <c r="F186" s="31" t="inlineStr">
        <is>
          <t>engineering - turnkey services</t>
        </is>
      </c>
      <c r="G186" s="31" t="inlineStr">
        <is>
          <t>smallcap</t>
        </is>
      </c>
      <c r="H186" s="32" t="n">
        <v>518.6900000000001</v>
      </c>
      <c r="I186" s="32" t="n">
        <v>189.07</v>
      </c>
      <c r="J186" s="32" t="n">
        <v>5</v>
      </c>
      <c r="K186" s="32" t="n">
        <v>13087</v>
      </c>
      <c r="L186" s="31" t="n">
        <v>67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69.90000000000001</v>
      </c>
      <c r="P186" s="32" t="n">
        <v>30.21</v>
      </c>
      <c r="Q186" s="32" t="n">
        <v>138.38</v>
      </c>
      <c r="R186" s="31" t="inlineStr">
        <is>
          <t>Earnings / Momentum Support</t>
        </is>
      </c>
      <c r="S186" s="31" t="inlineStr">
        <is>
          <t>Nifty Realty</t>
        </is>
      </c>
      <c r="T186" s="32" t="n">
        <v>-4.49</v>
      </c>
      <c r="U186" s="32" t="n">
        <v>25.77</v>
      </c>
      <c r="V186" s="32" t="n">
        <v>31.67</v>
      </c>
      <c r="W186" s="32" t="n">
        <v>17.74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IF(B187=0,"",RANK(B187,$B$2:$B$368,0))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GANESHBE</t>
        </is>
      </c>
      <c r="D187" s="31" t="inlineStr">
        <is>
          <t>Ganesh Benzoplast Ltd</t>
        </is>
      </c>
      <c r="E187" s="31" t="inlineStr">
        <is>
          <t>miscellaneous</t>
        </is>
      </c>
      <c r="F187" s="31" t="inlineStr">
        <is>
          <t>miscellaneous</t>
        </is>
      </c>
      <c r="G187" s="31" t="inlineStr">
        <is>
          <t>smallcap</t>
        </is>
      </c>
      <c r="H187" s="32" t="n">
        <v>809.45</v>
      </c>
      <c r="I187" s="32" t="n">
        <v>118.06</v>
      </c>
      <c r="J187" s="32" t="n">
        <v>5</v>
      </c>
      <c r="K187" s="32" t="n">
        <v>34450</v>
      </c>
      <c r="L187" s="31" t="n">
        <v>36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65.12</v>
      </c>
      <c r="P187" s="32" t="n">
        <v>30.72</v>
      </c>
      <c r="Q187" s="32" t="n">
        <v>86.75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-2.57</v>
      </c>
      <c r="U187" s="32" t="n">
        <v>23.39</v>
      </c>
      <c r="V187" s="32" t="n">
        <v>26.64</v>
      </c>
      <c r="W187" s="32" t="n">
        <v>8.710000000000001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IF(B188=0,"",RANK(B188,$B$2:$B$368,0))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BODALCHEM</t>
        </is>
      </c>
      <c r="D188" s="31" t="inlineStr">
        <is>
          <t>Bodal Chemicals Limited</t>
        </is>
      </c>
      <c r="E188" s="31" t="inlineStr">
        <is>
          <t>chemicals</t>
        </is>
      </c>
      <c r="F188" s="31" t="inlineStr">
        <is>
          <t>dyes and pigments</t>
        </is>
      </c>
      <c r="G188" s="31" t="inlineStr">
        <is>
          <t>smallcap</t>
        </is>
      </c>
      <c r="H188" s="32" t="n">
        <v>903.65</v>
      </c>
      <c r="I188" s="32" t="n">
        <v>75.33</v>
      </c>
      <c r="J188" s="32" t="n">
        <v>4.99</v>
      </c>
      <c r="K188" s="32" t="n">
        <v>212803</v>
      </c>
      <c r="L188" s="31" t="n">
        <v>24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62.28</v>
      </c>
      <c r="P188" s="32" t="n">
        <v>34.45</v>
      </c>
      <c r="Q188" s="32" t="n">
        <v>55.64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-2.57</v>
      </c>
      <c r="U188" s="32" t="n">
        <v>12.84</v>
      </c>
      <c r="V188" s="32" t="n">
        <v>15.81</v>
      </c>
      <c r="W188" s="32" t="n">
        <v>5.43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IF(B189=0,"",RANK(B189,$B$2:$B$368,0))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BEPL</t>
        </is>
      </c>
      <c r="D189" s="31" t="inlineStr">
        <is>
          <t>Bhansali Engineering Polymers Limited</t>
        </is>
      </c>
      <c r="E189" s="31" t="inlineStr">
        <is>
          <t>energy</t>
        </is>
      </c>
      <c r="F189" s="31" t="inlineStr">
        <is>
          <t>petrochemicals</t>
        </is>
      </c>
      <c r="G189" s="31" t="inlineStr">
        <is>
          <t>smallcap</t>
        </is>
      </c>
      <c r="H189" s="32" t="n">
        <v>2962.66</v>
      </c>
      <c r="I189" s="32" t="n">
        <v>123.23</v>
      </c>
      <c r="J189" s="32" t="n">
        <v>3.51</v>
      </c>
      <c r="K189" s="32" t="n">
        <v>330814</v>
      </c>
      <c r="L189" s="31" t="n">
        <v>41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68.08</v>
      </c>
      <c r="P189" s="32" t="n">
        <v>49.73</v>
      </c>
      <c r="Q189" s="32" t="n">
        <v>96.26000000000001</v>
      </c>
      <c r="R189" s="31" t="inlineStr">
        <is>
          <t>Near 52W High Breakout</t>
        </is>
      </c>
      <c r="S189" s="31" t="inlineStr">
        <is>
          <t>Nifty Energy</t>
        </is>
      </c>
      <c r="T189" s="32" t="n">
        <v>8.23</v>
      </c>
      <c r="U189" s="32" t="n">
        <v>18.42</v>
      </c>
      <c r="V189" s="32" t="n">
        <v>9.42</v>
      </c>
      <c r="W189" s="32" t="n">
        <v>9.73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Oligopoly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Cyclical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Volatile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IF(B190=0,"",RANK(B190,$B$2:$B$368,0))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MMP</t>
        </is>
      </c>
      <c r="D190" s="31" t="inlineStr">
        <is>
          <t>MMP Industries Ltd</t>
        </is>
      </c>
      <c r="E190" s="31" t="inlineStr">
        <is>
          <t>metals &amp; mining</t>
        </is>
      </c>
      <c r="F190" s="31" t="inlineStr">
        <is>
          <t>aluminium and aluminium products</t>
        </is>
      </c>
      <c r="G190" s="31" t="inlineStr">
        <is>
          <t>smallcap</t>
        </is>
      </c>
      <c r="H190" s="32" t="n">
        <v>740.75</v>
      </c>
      <c r="I190" s="32" t="n">
        <v>402.05</v>
      </c>
      <c r="J190" s="32" t="n">
        <v>2.69</v>
      </c>
      <c r="K190" s="32" t="n">
        <v>84018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79.34</v>
      </c>
      <c r="P190" s="32" t="n">
        <v>40.3</v>
      </c>
      <c r="Q190" s="32" t="n">
        <v>313.17</v>
      </c>
      <c r="R190" s="31" t="inlineStr">
        <is>
          <t>Volume Spike &amp; Near 52W High Breakout</t>
        </is>
      </c>
      <c r="S190" s="31" t="inlineStr">
        <is>
          <t>Nifty Metal</t>
        </is>
      </c>
      <c r="T190" s="32" t="inlineStr"/>
      <c r="U190" s="32" t="inlineStr"/>
      <c r="V190" s="32" t="inlineStr"/>
      <c r="W190" s="32" t="inlineStr"/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Cyclical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Volatile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Above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IF(B191=0,"",RANK(B191,$B$2:$B$368,0))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KOLTEPATIL</t>
        </is>
      </c>
      <c r="D191" s="31" t="inlineStr">
        <is>
          <t>Kolte - Patil Developers Limited</t>
        </is>
      </c>
      <c r="E191" s="31" t="inlineStr">
        <is>
          <t>realty</t>
        </is>
      </c>
      <c r="F191" s="31" t="inlineStr">
        <is>
          <t>construction</t>
        </is>
      </c>
      <c r="G191" s="31" t="inlineStr">
        <is>
          <t>smallcap</t>
        </is>
      </c>
      <c r="H191" s="32" t="n">
        <v>4050.02</v>
      </c>
      <c r="I191" s="32" t="n">
        <v>467.6</v>
      </c>
      <c r="J191" s="32" t="n">
        <v>2.39</v>
      </c>
      <c r="K191" s="32" t="n">
        <v>290557</v>
      </c>
      <c r="L191" s="31" t="n">
        <v>28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68.37</v>
      </c>
      <c r="P191" s="32" t="n">
        <v>20.67</v>
      </c>
      <c r="Q191" s="32" t="n">
        <v>366</v>
      </c>
      <c r="R191" s="31" t="inlineStr">
        <is>
          <t>Near 52W High Breakout</t>
        </is>
      </c>
      <c r="S191" s="31" t="inlineStr">
        <is>
          <t>Nifty Realty</t>
        </is>
      </c>
      <c r="T191" s="32" t="n">
        <v>-4.49</v>
      </c>
      <c r="U191" s="32" t="n">
        <v>4.67</v>
      </c>
      <c r="V191" s="32" t="n">
        <v>9.59</v>
      </c>
      <c r="W191" s="32" t="n">
        <v>6.5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IF(B192=0,"",RANK(B192,$B$2:$B$368,0))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VISAKAIND</t>
        </is>
      </c>
      <c r="D192" s="31" t="inlineStr">
        <is>
          <t>Visaka Industries Limited</t>
        </is>
      </c>
      <c r="E192" s="31" t="inlineStr">
        <is>
          <t>building materials</t>
        </is>
      </c>
      <c r="F192" s="31" t="inlineStr">
        <is>
          <t>cement products</t>
        </is>
      </c>
      <c r="G192" s="31" t="inlineStr">
        <is>
          <t>smallcap</t>
        </is>
      </c>
      <c r="H192" s="32" t="n">
        <v>806.0700000000001</v>
      </c>
      <c r="I192" s="32" t="n">
        <v>95.31</v>
      </c>
      <c r="J192" s="32" t="n">
        <v>2.17</v>
      </c>
      <c r="K192" s="32" t="n">
        <v>36705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75.53</v>
      </c>
      <c r="P192" s="32" t="n">
        <v>43.16</v>
      </c>
      <c r="Q192" s="32" t="n">
        <v>76</v>
      </c>
      <c r="R192" s="31" t="inlineStr">
        <is>
          <t>Near 52W High Breakout</t>
        </is>
      </c>
      <c r="S192" s="31" t="inlineStr">
        <is>
          <t>Nifty Infra</t>
        </is>
      </c>
      <c r="T192" s="32" t="inlineStr"/>
      <c r="U192" s="32" t="inlineStr"/>
      <c r="V192" s="32" t="inlineStr"/>
      <c r="W192" s="32" t="inlineStr"/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IF(B193=0,"",RANK(B193,$B$2:$B$368,0))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WINDMACHIN</t>
        </is>
      </c>
      <c r="D193" s="31" t="inlineStr">
        <is>
          <t>Windsor Machines Limited</t>
        </is>
      </c>
      <c r="E193" s="31" t="inlineStr">
        <is>
          <t>industrials</t>
        </is>
      </c>
      <c r="F193" s="31" t="inlineStr">
        <is>
          <t>engineering</t>
        </is>
      </c>
      <c r="G193" s="31" t="inlineStr">
        <is>
          <t>smallcap</t>
        </is>
      </c>
      <c r="H193" s="32" t="n">
        <v>3197.28</v>
      </c>
      <c r="I193" s="32" t="n">
        <v>320.5</v>
      </c>
      <c r="J193" s="32" t="n">
        <v>1.97</v>
      </c>
      <c r="K193" s="32" t="n">
        <v>56516</v>
      </c>
      <c r="L193" s="31" t="n">
        <v>15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58.54</v>
      </c>
      <c r="P193" s="32" t="n">
        <v>22.36</v>
      </c>
      <c r="Q193" s="32" t="n">
        <v>237.23</v>
      </c>
      <c r="R193" s="31" t="inlineStr">
        <is>
          <t>Volume Spike &amp; Near 52W High Breakout</t>
        </is>
      </c>
      <c r="S193" s="31" t="inlineStr">
        <is>
          <t>Nifty 50</t>
        </is>
      </c>
      <c r="T193" s="32" t="n">
        <v>-2.57</v>
      </c>
      <c r="U193" s="32" t="n">
        <v>0.39</v>
      </c>
      <c r="V193" s="32" t="n">
        <v>3.04</v>
      </c>
      <c r="W193" s="32" t="n">
        <v>3.14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IF(B194=0,"",RANK(B194,$B$2:$B$368,0))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ESABINDIA</t>
        </is>
      </c>
      <c r="D194" s="31" t="inlineStr">
        <is>
          <t>Esab India Limited</t>
        </is>
      </c>
      <c r="E194" s="31" t="inlineStr">
        <is>
          <t>industrials</t>
        </is>
      </c>
      <c r="F194" s="31" t="inlineStr">
        <is>
          <t>electrodes - welding equipment</t>
        </is>
      </c>
      <c r="G194" s="31" t="inlineStr">
        <is>
          <t>midcap</t>
        </is>
      </c>
      <c r="H194" s="32" t="n">
        <v>9324.32</v>
      </c>
      <c r="I194" s="32" t="n">
        <v>6154</v>
      </c>
      <c r="J194" s="32" t="n">
        <v>1.59</v>
      </c>
      <c r="K194" s="32" t="n">
        <v>999</v>
      </c>
      <c r="L194" s="31" t="n">
        <v>9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56.5</v>
      </c>
      <c r="P194" s="32" t="n">
        <v>24.19</v>
      </c>
      <c r="Q194" s="32" t="n">
        <v>5862.9</v>
      </c>
      <c r="R194" s="31" t="inlineStr">
        <is>
          <t>Earnings / Momentum Support</t>
        </is>
      </c>
      <c r="S194" s="31" t="inlineStr">
        <is>
          <t>Nifty 50</t>
        </is>
      </c>
      <c r="T194" s="32" t="n">
        <v>-2.57</v>
      </c>
      <c r="U194" s="32" t="n">
        <v>14.95</v>
      </c>
      <c r="V194" s="32" t="n">
        <v>17.98</v>
      </c>
      <c r="W194" s="32" t="n">
        <v>1.2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IF(B195=0,"",RANK(B195,$B$2:$B$368,0))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INGERRAND</t>
        </is>
      </c>
      <c r="D195" s="31" t="inlineStr">
        <is>
          <t>Ingersoll Rand (india) Limited</t>
        </is>
      </c>
      <c r="E195" s="31" t="inlineStr">
        <is>
          <t>industrials</t>
        </is>
      </c>
      <c r="F195" s="31" t="inlineStr">
        <is>
          <t>compressors / drilling equipment</t>
        </is>
      </c>
      <c r="G195" s="31" t="inlineStr">
        <is>
          <t>midcap</t>
        </is>
      </c>
      <c r="H195" s="32" t="n">
        <v>14651.97</v>
      </c>
      <c r="I195" s="32" t="n">
        <v>4710.4</v>
      </c>
      <c r="J195" s="32" t="n">
        <v>1.49</v>
      </c>
      <c r="K195" s="32" t="n">
        <v>7302</v>
      </c>
      <c r="L195" s="31" t="n">
        <v>27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61.62</v>
      </c>
      <c r="P195" s="32" t="n">
        <v>23.86</v>
      </c>
      <c r="Q195" s="32" t="n">
        <v>3782.51</v>
      </c>
      <c r="R195" s="31" t="inlineStr">
        <is>
          <t>Volume Spike &amp; Near 52W High Breakout</t>
        </is>
      </c>
      <c r="S195" s="31" t="inlineStr">
        <is>
          <t>Nifty 50</t>
        </is>
      </c>
      <c r="T195" s="32" t="n">
        <v>-2.57</v>
      </c>
      <c r="U195" s="32" t="n">
        <v>26.97</v>
      </c>
      <c r="V195" s="32" t="n">
        <v>30.31</v>
      </c>
      <c r="W195" s="32" t="n">
        <v>6.17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IF(B196=0,"",RANK(B196,$B$2:$B$368,0))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WHEELS</t>
        </is>
      </c>
      <c r="D196" s="31" t="inlineStr">
        <is>
          <t>Wheels India Limited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smallcap</t>
        </is>
      </c>
      <c r="H196" s="32" t="n">
        <v>3582.12</v>
      </c>
      <c r="I196" s="32" t="n">
        <v>1481.8</v>
      </c>
      <c r="J196" s="32" t="n">
        <v>1.07</v>
      </c>
      <c r="K196" s="32" t="n">
        <v>38387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59.41</v>
      </c>
      <c r="P196" s="32" t="n">
        <v>57.78</v>
      </c>
      <c r="Q196" s="32" t="n">
        <v>1277</v>
      </c>
      <c r="R196" s="31" t="inlineStr">
        <is>
          <t>Earnings / Momentum Support</t>
        </is>
      </c>
      <c r="S196" s="31" t="inlineStr">
        <is>
          <t>Nifty Auto</t>
        </is>
      </c>
      <c r="T196" s="32" t="inlineStr"/>
      <c r="U196" s="32" t="inlineStr"/>
      <c r="V196" s="32" t="inlineStr"/>
      <c r="W196" s="32" t="inlineStr"/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IF(B197=0,"",RANK(B197,$B$2:$B$368,0))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TVSMOTOR</t>
        </is>
      </c>
      <c r="D197" s="31" t="inlineStr">
        <is>
          <t>Tvs Motor Company Limited</t>
        </is>
      </c>
      <c r="E197" s="31" t="inlineStr">
        <is>
          <t>auto</t>
        </is>
      </c>
      <c r="F197" s="31" t="inlineStr">
        <is>
          <t>automobiles - motorcycles / mopeds</t>
        </is>
      </c>
      <c r="G197" s="31" t="inlineStr">
        <is>
          <t>largecap</t>
        </is>
      </c>
      <c r="H197" s="32" t="n">
        <v>207190.24</v>
      </c>
      <c r="I197" s="32" t="n">
        <v>4390</v>
      </c>
      <c r="J197" s="32" t="n">
        <v>0.66</v>
      </c>
      <c r="K197" s="32" t="n">
        <v>664216</v>
      </c>
      <c r="L197" s="31" t="inlineStr"/>
      <c r="M197" s="31" t="inlineStr"/>
      <c r="N197" s="32">
        <f>IF(M197="Underperforming",-5,IF(L197&gt;=95,15,IF(L197&gt;=90,10,IF(L197&gt;=80,5,0))))</f>
        <v/>
      </c>
      <c r="O197" s="32" t="n">
        <v>68.95999999999999</v>
      </c>
      <c r="P197" s="32" t="n">
        <v>23.41</v>
      </c>
      <c r="Q197" s="32" t="n">
        <v>3771.62</v>
      </c>
      <c r="R197" s="31" t="inlineStr">
        <is>
          <t>Near 52W High Breakout</t>
        </is>
      </c>
      <c r="S197" s="31" t="inlineStr">
        <is>
          <t>Nifty Auto</t>
        </is>
      </c>
      <c r="T197" s="32" t="inlineStr"/>
      <c r="U197" s="32" t="inlineStr"/>
      <c r="V197" s="32" t="inlineStr"/>
      <c r="W197" s="32" t="inlineStr"/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More than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IF(B198=0,"",RANK(B198,$B$2:$B$368,0))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STEELCAS</t>
        </is>
      </c>
      <c r="D198" s="31" t="inlineStr">
        <is>
          <t>Steelcast Ltd</t>
        </is>
      </c>
      <c r="E198" s="31" t="inlineStr">
        <is>
          <t>industrials</t>
        </is>
      </c>
      <c r="F198" s="31" t="inlineStr">
        <is>
          <t>castings &amp; forgings</t>
        </is>
      </c>
      <c r="G198" s="31" t="inlineStr">
        <is>
          <t>smallcap</t>
        </is>
      </c>
      <c r="H198" s="32" t="n">
        <v>3616.38</v>
      </c>
      <c r="I198" s="32" t="n">
        <v>359</v>
      </c>
      <c r="J198" s="32" t="n">
        <v>0.46</v>
      </c>
      <c r="K198" s="32" t="n">
        <v>53243</v>
      </c>
      <c r="L198" s="31" t="n">
        <v>63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80.45999999999999</v>
      </c>
      <c r="P198" s="32" t="n">
        <v>42.24</v>
      </c>
      <c r="Q198" s="32" t="n">
        <v>280.59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-2.57</v>
      </c>
      <c r="U198" s="32" t="n">
        <v>65.17</v>
      </c>
      <c r="V198" s="32" t="n">
        <v>69.52</v>
      </c>
      <c r="W198" s="32" t="n">
        <v>16.03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Between 12 to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IF(B199=0,"",RANK(B199,$B$2:$B$368,0))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VRLLOG</t>
        </is>
      </c>
      <c r="D199" s="31" t="inlineStr">
        <is>
          <t>Vrl Logistics Limited</t>
        </is>
      </c>
      <c r="E199" s="31" t="inlineStr">
        <is>
          <t>transportation</t>
        </is>
      </c>
      <c r="F199" s="31" t="inlineStr">
        <is>
          <t>miscellaneous</t>
        </is>
      </c>
      <c r="G199" s="31" t="inlineStr">
        <is>
          <t>midcap</t>
        </is>
      </c>
      <c r="H199" s="32" t="n">
        <v>5162.39</v>
      </c>
      <c r="I199" s="32" t="n">
        <v>296</v>
      </c>
      <c r="J199" s="32" t="n">
        <v>0.31</v>
      </c>
      <c r="K199" s="32" t="n">
        <v>33382</v>
      </c>
      <c r="L199" s="31" t="n">
        <v>30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66.39</v>
      </c>
      <c r="P199" s="32" t="n">
        <v>16.15</v>
      </c>
      <c r="Q199" s="32" t="n">
        <v>242.83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-2.57</v>
      </c>
      <c r="U199" s="32" t="n">
        <v>7.84</v>
      </c>
      <c r="V199" s="32" t="n">
        <v>10.68</v>
      </c>
      <c r="W199" s="32" t="n">
        <v>7.04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Between 0.7 to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IF(B200=0,"",RANK(B200,$B$2:$B$368,0))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TITAN</t>
        </is>
      </c>
      <c r="D200" s="31" t="inlineStr">
        <is>
          <t>Titan Company Limited</t>
        </is>
      </c>
      <c r="E200" s="31" t="inlineStr">
        <is>
          <t>consumer discretionary</t>
        </is>
      </c>
      <c r="F200" s="31" t="inlineStr">
        <is>
          <t>diamond cutting / jewellery</t>
        </is>
      </c>
      <c r="G200" s="31" t="inlineStr">
        <is>
          <t>largecap</t>
        </is>
      </c>
      <c r="H200" s="32" t="n">
        <v>449930.03</v>
      </c>
      <c r="I200" s="32" t="n">
        <v>5068</v>
      </c>
      <c r="J200" s="32" t="n">
        <v>0</v>
      </c>
      <c r="K200" s="32" t="n">
        <v>788351</v>
      </c>
      <c r="L200" s="31" t="n">
        <v>52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71.90000000000001</v>
      </c>
      <c r="P200" s="32" t="n">
        <v>27.27</v>
      </c>
      <c r="Q200" s="32" t="n">
        <v>4453.56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-2.57</v>
      </c>
      <c r="U200" s="32" t="n">
        <v>40.42</v>
      </c>
      <c r="V200" s="32" t="n">
        <v>44.12</v>
      </c>
      <c r="W200" s="32" t="n">
        <v>12.38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More than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IF(B201=0,"",RANK(B201,$B$2:$B$368,0))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THEJO</t>
        </is>
      </c>
      <c r="D201" s="31" t="inlineStr">
        <is>
          <t>Thejo Engineering Ltd</t>
        </is>
      </c>
      <c r="E201" s="31" t="inlineStr">
        <is>
          <t>industrials</t>
        </is>
      </c>
      <c r="F201" s="31" t="inlineStr">
        <is>
          <t>engineering</t>
        </is>
      </c>
      <c r="G201" s="31" t="inlineStr">
        <is>
          <t>smallcap</t>
        </is>
      </c>
      <c r="H201" s="32" t="n">
        <v>2304.66</v>
      </c>
      <c r="I201" s="32" t="n">
        <v>2120.2</v>
      </c>
      <c r="J201" s="32" t="n">
        <v>-0.21</v>
      </c>
      <c r="K201" s="32" t="n">
        <v>6064</v>
      </c>
      <c r="L201" s="31" t="n">
        <v>35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63.52</v>
      </c>
      <c r="P201" s="32" t="n">
        <v>27.49</v>
      </c>
      <c r="Q201" s="32" t="n">
        <v>1729.05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-2.57</v>
      </c>
      <c r="U201" s="32" t="n">
        <v>9.17</v>
      </c>
      <c r="V201" s="32" t="n">
        <v>12.05</v>
      </c>
      <c r="W201" s="32" t="n">
        <v>8.52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IF(B202=0,"",RANK(B202,$B$2:$B$368,0))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VARROC</t>
        </is>
      </c>
      <c r="D202" s="31" t="inlineStr">
        <is>
          <t>Varroc Engineering Ltd</t>
        </is>
      </c>
      <c r="E202" s="31" t="inlineStr">
        <is>
          <t>auto</t>
        </is>
      </c>
      <c r="F202" s="31" t="inlineStr">
        <is>
          <t>auto ancillaries</t>
        </is>
      </c>
      <c r="G202" s="31" t="inlineStr">
        <is>
          <t>midcap</t>
        </is>
      </c>
      <c r="H202" s="32" t="n">
        <v>12695.02</v>
      </c>
      <c r="I202" s="32" t="n">
        <v>825</v>
      </c>
      <c r="J202" s="32" t="n">
        <v>-0.71</v>
      </c>
      <c r="K202" s="32" t="n">
        <v>60655</v>
      </c>
      <c r="L202" s="31" t="inlineStr"/>
      <c r="M202" s="31" t="inlineStr"/>
      <c r="N202" s="32">
        <f>IF(M202="Underperforming",-5,IF(L202&gt;=95,15,IF(L202&gt;=90,10,IF(L202&gt;=80,5,0))))</f>
        <v/>
      </c>
      <c r="O202" s="32" t="n">
        <v>76.23999999999999</v>
      </c>
      <c r="P202" s="32" t="n">
        <v>43.2</v>
      </c>
      <c r="Q202" s="32" t="n">
        <v>690.22</v>
      </c>
      <c r="R202" s="31" t="inlineStr">
        <is>
          <t>Near 52W High Breakout</t>
        </is>
      </c>
      <c r="S202" s="31" t="inlineStr">
        <is>
          <t>Nifty Auto</t>
        </is>
      </c>
      <c r="T202" s="32" t="inlineStr"/>
      <c r="U202" s="32" t="inlineStr"/>
      <c r="V202" s="32" t="inlineStr"/>
      <c r="W202" s="32" t="inlineStr"/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IF(B203=0,"",RANK(B203,$B$2:$B$368,0))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ELGIEQUIP</t>
        </is>
      </c>
      <c r="D203" s="31" t="inlineStr">
        <is>
          <t>Elgi Equipments Limited</t>
        </is>
      </c>
      <c r="E203" s="31" t="inlineStr">
        <is>
          <t>industrials</t>
        </is>
      </c>
      <c r="F203" s="31" t="inlineStr">
        <is>
          <t>compressors / drilling equipment</t>
        </is>
      </c>
      <c r="G203" s="31" t="inlineStr">
        <is>
          <t>largecap</t>
        </is>
      </c>
      <c r="H203" s="32" t="n">
        <v>20212.46</v>
      </c>
      <c r="I203" s="32" t="n">
        <v>632.45</v>
      </c>
      <c r="J203" s="32" t="n">
        <v>-0.84</v>
      </c>
      <c r="K203" s="32" t="n">
        <v>307137</v>
      </c>
      <c r="L203" s="31" t="n">
        <v>32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65.63</v>
      </c>
      <c r="P203" s="32" t="n">
        <v>22.24</v>
      </c>
      <c r="Q203" s="32" t="n">
        <v>519.14</v>
      </c>
      <c r="R203" s="31" t="inlineStr">
        <is>
          <t>Volume Spike &amp; Near 52W High Breakout</t>
        </is>
      </c>
      <c r="S203" s="31" t="inlineStr">
        <is>
          <t>Nifty 50</t>
        </is>
      </c>
      <c r="T203" s="32" t="n">
        <v>-2.57</v>
      </c>
      <c r="U203" s="32" t="n">
        <v>27.18</v>
      </c>
      <c r="V203" s="32" t="n">
        <v>30.53</v>
      </c>
      <c r="W203" s="32" t="n">
        <v>7.75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IF(B204=0,"",RANK(B204,$B$2:$B$368,0))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AARTIIND</t>
        </is>
      </c>
      <c r="D204" s="31" t="inlineStr">
        <is>
          <t>Aarti Industries Limited</t>
        </is>
      </c>
      <c r="E204" s="31" t="inlineStr">
        <is>
          <t>chemicals</t>
        </is>
      </c>
      <c r="F204" s="31" t="inlineStr">
        <is>
          <t>chemicals</t>
        </is>
      </c>
      <c r="G204" s="31" t="inlineStr">
        <is>
          <t>midcap</t>
        </is>
      </c>
      <c r="H204" s="32" t="n">
        <v>19117.51</v>
      </c>
      <c r="I204" s="32" t="n">
        <v>522.25</v>
      </c>
      <c r="J204" s="32" t="n">
        <v>-0.91</v>
      </c>
      <c r="K204" s="32" t="n">
        <v>252214</v>
      </c>
      <c r="L204" s="31" t="n">
        <v>35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62.16</v>
      </c>
      <c r="P204" s="32" t="n">
        <v>23.17</v>
      </c>
      <c r="Q204" s="32" t="n">
        <v>428.1</v>
      </c>
      <c r="R204" s="31" t="inlineStr">
        <is>
          <t>Near 52W High Breakout</t>
        </is>
      </c>
      <c r="S204" s="31" t="inlineStr">
        <is>
          <t>Nifty 50</t>
        </is>
      </c>
      <c r="T204" s="32" t="n">
        <v>-2.57</v>
      </c>
      <c r="U204" s="32" t="n">
        <v>36.03</v>
      </c>
      <c r="V204" s="32" t="n">
        <v>39.61</v>
      </c>
      <c r="W204" s="32" t="n">
        <v>8.369999999999999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IF(B205=0,"",RANK(B205,$B$2:$B$368,0))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ORIENTHOT</t>
        </is>
      </c>
      <c r="D205" s="31" t="inlineStr">
        <is>
          <t>Oriental Hotels Limited</t>
        </is>
      </c>
      <c r="E205" s="31" t="inlineStr">
        <is>
          <t>services</t>
        </is>
      </c>
      <c r="F205" s="31" t="inlineStr">
        <is>
          <t>hotels</t>
        </is>
      </c>
      <c r="G205" s="31" t="inlineStr">
        <is>
          <t>smallcap</t>
        </is>
      </c>
      <c r="H205" s="32" t="n">
        <v>2491.46</v>
      </c>
      <c r="I205" s="32" t="n">
        <v>137.68</v>
      </c>
      <c r="J205" s="32" t="n">
        <v>-1.3</v>
      </c>
      <c r="K205" s="32" t="n">
        <v>1809251</v>
      </c>
      <c r="L205" s="31" t="n">
        <v>38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62.02</v>
      </c>
      <c r="P205" s="32" t="n">
        <v>32.45</v>
      </c>
      <c r="Q205" s="32" t="n">
        <v>100.73</v>
      </c>
      <c r="R205" s="31" t="inlineStr">
        <is>
          <t>Volume Spike &amp; Near 52W High Breakout</t>
        </is>
      </c>
      <c r="S205" s="31" t="inlineStr">
        <is>
          <t>Nifty 50</t>
        </is>
      </c>
      <c r="T205" s="32" t="n">
        <v>-2.57</v>
      </c>
      <c r="U205" s="32" t="n">
        <v>-1.24</v>
      </c>
      <c r="V205" s="32" t="n">
        <v>1.36</v>
      </c>
      <c r="W205" s="32" t="n">
        <v>9.33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IF(B206=0,"",RANK(B206,$B$2:$B$368,0))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DATAPATTNS</t>
        </is>
      </c>
      <c r="D206" s="31" t="inlineStr">
        <is>
          <t>Data Patterns (India) Ltd</t>
        </is>
      </c>
      <c r="E206" s="31" t="inlineStr">
        <is>
          <t>aerospace &amp; defence</t>
        </is>
      </c>
      <c r="F206" s="31" t="inlineStr">
        <is>
          <t>electronics - components</t>
        </is>
      </c>
      <c r="G206" s="31" t="inlineStr">
        <is>
          <t>largecap</t>
        </is>
      </c>
      <c r="H206" s="32" t="n">
        <v>26727.87</v>
      </c>
      <c r="I206" s="32" t="n">
        <v>4707.2</v>
      </c>
      <c r="J206" s="32" t="n">
        <v>-1.4</v>
      </c>
      <c r="K206" s="32" t="n">
        <v>499980</v>
      </c>
      <c r="L206" s="31" t="n">
        <v>66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63.94</v>
      </c>
      <c r="P206" s="32" t="n">
        <v>30.73</v>
      </c>
      <c r="Q206" s="32" t="n">
        <v>3484.99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-2.57</v>
      </c>
      <c r="U206" s="32" t="n">
        <v>81.83</v>
      </c>
      <c r="V206" s="32" t="n">
        <v>86.62</v>
      </c>
      <c r="W206" s="32" t="n">
        <v>17.16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IF(B207=0,"",RANK(B207,$B$2:$B$368,0))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CHENNPETRO</t>
        </is>
      </c>
      <c r="D207" s="31" t="inlineStr">
        <is>
          <t>Chennai Petroleum Corporation Limited</t>
        </is>
      </c>
      <c r="E207" s="31" t="inlineStr">
        <is>
          <t>energy</t>
        </is>
      </c>
      <c r="F207" s="31" t="inlineStr">
        <is>
          <t>refineries</t>
        </is>
      </c>
      <c r="G207" s="31" t="inlineStr">
        <is>
          <t>largecap</t>
        </is>
      </c>
      <c r="H207" s="32" t="n">
        <v>21447.71</v>
      </c>
      <c r="I207" s="32" t="n">
        <v>1397.5</v>
      </c>
      <c r="J207" s="32" t="n">
        <v>-2.97</v>
      </c>
      <c r="K207" s="32" t="n">
        <v>857010</v>
      </c>
      <c r="L207" s="31" t="n">
        <v>82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75.28</v>
      </c>
      <c r="P207" s="32" t="n">
        <v>51.47</v>
      </c>
      <c r="Q207" s="32" t="n">
        <v>1023.8</v>
      </c>
      <c r="R207" s="31" t="inlineStr">
        <is>
          <t>Near 52W High Breakout</t>
        </is>
      </c>
      <c r="S207" s="31" t="inlineStr">
        <is>
          <t>Nifty Energy</t>
        </is>
      </c>
      <c r="T207" s="32" t="n">
        <v>8.23</v>
      </c>
      <c r="U207" s="32" t="n">
        <v>114.29</v>
      </c>
      <c r="V207" s="32" t="n">
        <v>97.98999999999999</v>
      </c>
      <c r="W207" s="32" t="n">
        <v>25.3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Oligopoly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Cyclical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Volatile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IF(B208=0,"",RANK(B208,$B$2:$B$368,0))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NEOGEN</t>
        </is>
      </c>
      <c r="D208" s="31" t="inlineStr">
        <is>
          <t>Neogen Chemicals Ltd</t>
        </is>
      </c>
      <c r="E208" s="31" t="inlineStr">
        <is>
          <t>chemicals</t>
        </is>
      </c>
      <c r="F208" s="31" t="inlineStr">
        <is>
          <t>chemicals</t>
        </is>
      </c>
      <c r="G208" s="31" t="inlineStr">
        <is>
          <t>midcap</t>
        </is>
      </c>
      <c r="H208" s="32" t="n">
        <v>6376.64</v>
      </c>
      <c r="I208" s="32" t="n">
        <v>2254.1</v>
      </c>
      <c r="J208" s="32" t="n">
        <v>-3.21</v>
      </c>
      <c r="K208" s="32" t="n">
        <v>48531</v>
      </c>
      <c r="L208" s="31" t="n">
        <v>68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68.7</v>
      </c>
      <c r="P208" s="32" t="n">
        <v>53.81</v>
      </c>
      <c r="Q208" s="32" t="n">
        <v>1665.39</v>
      </c>
      <c r="R208" s="31" t="inlineStr">
        <is>
          <t>Volume Spike &amp; Near 52W High Breakout</t>
        </is>
      </c>
      <c r="S208" s="31" t="inlineStr">
        <is>
          <t>Nifty 50</t>
        </is>
      </c>
      <c r="T208" s="32" t="n">
        <v>-2.57</v>
      </c>
      <c r="U208" s="32" t="n">
        <v>58.43</v>
      </c>
      <c r="V208" s="32" t="n">
        <v>62.61</v>
      </c>
      <c r="W208" s="32" t="n">
        <v>17.79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More than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IF(B209=0,"",RANK(B209,$B$2:$B$368,0))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SIGMAADV</t>
        </is>
      </c>
      <c r="D209" s="31" t="inlineStr">
        <is>
          <t>Sigma Advanced System Ltd</t>
        </is>
      </c>
      <c r="E209" s="31" t="inlineStr">
        <is>
          <t>aerospace &amp; defence</t>
        </is>
      </c>
      <c r="F209" s="31" t="inlineStr">
        <is>
          <t>electronics - components</t>
        </is>
      </c>
      <c r="G209" s="31" t="inlineStr">
        <is>
          <t>midcap</t>
        </is>
      </c>
      <c r="H209" s="32" t="n">
        <v>13100.82</v>
      </c>
      <c r="I209" s="32" t="n">
        <v>664</v>
      </c>
      <c r="J209" s="32" t="n">
        <v>-3.96</v>
      </c>
      <c r="K209" s="32" t="n">
        <v>324090</v>
      </c>
      <c r="L209" s="31" t="n">
        <v>99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72.83</v>
      </c>
      <c r="P209" s="32" t="n">
        <v>66.84</v>
      </c>
      <c r="Q209" s="32" t="n">
        <v>511.67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-2.57</v>
      </c>
      <c r="U209" s="32" t="n">
        <v>400.6</v>
      </c>
      <c r="V209" s="32" t="n">
        <v>413.79</v>
      </c>
      <c r="W209" s="32" t="n">
        <v>62.13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Between 0.7 to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IF(B210=0,"",RANK(B210,$B$2:$B$368,0))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BALRAMCHIN</t>
        </is>
      </c>
      <c r="D210" s="31" t="inlineStr">
        <is>
          <t>Balrampur Chini Mills Limited</t>
        </is>
      </c>
      <c r="E210" s="31" t="inlineStr">
        <is>
          <t>fmcg</t>
        </is>
      </c>
      <c r="F210" s="31" t="inlineStr">
        <is>
          <t>sugar</t>
        </is>
      </c>
      <c r="G210" s="31" t="inlineStr">
        <is>
          <t>midcap</t>
        </is>
      </c>
      <c r="H210" s="32" t="n">
        <v>13749.27</v>
      </c>
      <c r="I210" s="32" t="n">
        <v>760.85</v>
      </c>
      <c r="J210" s="32" t="n">
        <v>16.91</v>
      </c>
      <c r="K210" s="32" t="n">
        <v>8841825</v>
      </c>
      <c r="L210" s="31" t="inlineStr"/>
      <c r="M210" s="31" t="inlineStr"/>
      <c r="N210" s="32">
        <f>IF(M210="Underperforming",-5,IF(L210&gt;=95,15,IF(L210&gt;=90,10,IF(L210&gt;=80,5,0))))</f>
        <v/>
      </c>
      <c r="O210" s="32" t="n">
        <v>82.98</v>
      </c>
      <c r="P210" s="32" t="n">
        <v>47.41</v>
      </c>
      <c r="Q210" s="32" t="n">
        <v>621.01</v>
      </c>
      <c r="R210" s="31" t="inlineStr">
        <is>
          <t>Volume Spike &amp; Near 52W High Breakout</t>
        </is>
      </c>
      <c r="S210" s="31" t="inlineStr">
        <is>
          <t>Nifty FMCG</t>
        </is>
      </c>
      <c r="T210" s="32" t="inlineStr"/>
      <c r="U210" s="32" t="inlineStr"/>
      <c r="V210" s="32" t="inlineStr"/>
      <c r="W210" s="32" t="inlineStr"/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B2C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Annuity, Lower One Time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IF(B211=0,"",RANK(B211,$B$2:$B$368,0))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DWARKESH</t>
        </is>
      </c>
      <c r="D211" s="31" t="inlineStr">
        <is>
          <t>Dwarikesh Sugar Industries Limited</t>
        </is>
      </c>
      <c r="E211" s="31" t="inlineStr">
        <is>
          <t>fmcg</t>
        </is>
      </c>
      <c r="F211" s="31" t="inlineStr">
        <is>
          <t>sugar</t>
        </is>
      </c>
      <c r="G211" s="31" t="inlineStr">
        <is>
          <t>smallcap</t>
        </is>
      </c>
      <c r="H211" s="32" t="n">
        <v>894.64</v>
      </c>
      <c r="I211" s="32" t="n">
        <v>54.95</v>
      </c>
      <c r="J211" s="32" t="n">
        <v>13.82</v>
      </c>
      <c r="K211" s="32" t="n">
        <v>13584919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67.13</v>
      </c>
      <c r="P211" s="32" t="n">
        <v>12.04</v>
      </c>
      <c r="Q211" s="32" t="n">
        <v>40.87</v>
      </c>
      <c r="R211" s="31" t="inlineStr">
        <is>
          <t>Volume Spike &amp; Near 52W High Breakout</t>
        </is>
      </c>
      <c r="S211" s="31" t="inlineStr">
        <is>
          <t>Nifty FMCG</t>
        </is>
      </c>
      <c r="T211" s="32" t="inlineStr"/>
      <c r="U211" s="32" t="inlineStr"/>
      <c r="V211" s="32" t="inlineStr"/>
      <c r="W211" s="32" t="inlineStr"/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B2C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IF(B212=0,"",RANK(B212,$B$2:$B$368,0))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DALMIASUG</t>
        </is>
      </c>
      <c r="D212" s="31" t="inlineStr">
        <is>
          <t>Dalmia Bharat Sugar And Industries Limited</t>
        </is>
      </c>
      <c r="E212" s="31" t="inlineStr">
        <is>
          <t>fmcg</t>
        </is>
      </c>
      <c r="F212" s="31" t="inlineStr">
        <is>
          <t>sugar</t>
        </is>
      </c>
      <c r="G212" s="31" t="inlineStr">
        <is>
          <t>smallcap</t>
        </is>
      </c>
      <c r="H212" s="32" t="n">
        <v>3849.07</v>
      </c>
      <c r="I212" s="32" t="n">
        <v>505.75</v>
      </c>
      <c r="J212" s="32" t="n">
        <v>6.35</v>
      </c>
      <c r="K212" s="32" t="n">
        <v>649171</v>
      </c>
      <c r="L212" s="31" t="inlineStr"/>
      <c r="M212" s="31" t="inlineStr"/>
      <c r="N212" s="32">
        <f>IF(M212="Underperforming",-5,IF(L212&gt;=95,15,IF(L212&gt;=90,10,IF(L212&gt;=80,5,0))))</f>
        <v/>
      </c>
      <c r="O212" s="32" t="n">
        <v>77.62</v>
      </c>
      <c r="P212" s="32" t="n">
        <v>27.03</v>
      </c>
      <c r="Q212" s="32" t="n">
        <v>391.26</v>
      </c>
      <c r="R212" s="31" t="inlineStr">
        <is>
          <t>Volume Spike &amp; Near 52W High Breakout</t>
        </is>
      </c>
      <c r="S212" s="31" t="inlineStr">
        <is>
          <t>Nifty FMCG</t>
        </is>
      </c>
      <c r="T212" s="32" t="inlineStr"/>
      <c r="U212" s="32" t="inlineStr"/>
      <c r="V212" s="32" t="inlineStr"/>
      <c r="W212" s="32" t="inlineStr"/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B2C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IF(B213=0,"",RANK(B213,$B$2:$B$368,0))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GLENMARK</t>
        </is>
      </c>
      <c r="D213" s="31" t="inlineStr">
        <is>
          <t>Glenmark Pharmaceuticals Limited</t>
        </is>
      </c>
      <c r="E213" s="31" t="inlineStr">
        <is>
          <t>healthcare</t>
        </is>
      </c>
      <c r="F213" s="31" t="inlineStr">
        <is>
          <t>pharmaceuticals - indian - bulk drugs &amp; formln</t>
        </is>
      </c>
      <c r="G213" s="31" t="inlineStr">
        <is>
          <t>largecap</t>
        </is>
      </c>
      <c r="H213" s="32" t="n">
        <v>63396.41</v>
      </c>
      <c r="I213" s="32" t="n">
        <v>2332.9</v>
      </c>
      <c r="J213" s="32" t="n">
        <v>3.85</v>
      </c>
      <c r="K213" s="32" t="n">
        <v>184152</v>
      </c>
      <c r="L213" s="31" t="n">
        <v>21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60.79</v>
      </c>
      <c r="P213" s="32" t="n">
        <v>18.09</v>
      </c>
      <c r="Q213" s="32" t="n">
        <v>1966.51</v>
      </c>
      <c r="R213" s="31" t="inlineStr">
        <is>
          <t>Near 52W High Breakout</t>
        </is>
      </c>
      <c r="S213" s="31" t="inlineStr">
        <is>
          <t>Nifty Pharma</t>
        </is>
      </c>
      <c r="T213" s="32" t="n">
        <v>18.64</v>
      </c>
      <c r="U213" s="32" t="n">
        <v>20.72</v>
      </c>
      <c r="V213" s="32" t="n">
        <v>1.75</v>
      </c>
      <c r="W213" s="32" t="n">
        <v>4.66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IF(B214=0,"",RANK(B214,$B$2:$B$368,0))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SAILIFE</t>
        </is>
      </c>
      <c r="D214" s="31" t="inlineStr">
        <is>
          <t>Sai Life Sciences Ltd</t>
        </is>
      </c>
      <c r="E214" s="31" t="inlineStr">
        <is>
          <t>healthcare</t>
        </is>
      </c>
      <c r="F214" s="31" t="inlineStr">
        <is>
          <t>pharmaceuticals - indian - bulk drugs &amp; formln</t>
        </is>
      </c>
      <c r="G214" s="31" t="inlineStr">
        <is>
          <t>largecap</t>
        </is>
      </c>
      <c r="H214" s="32" t="n">
        <v>30191.32</v>
      </c>
      <c r="I214" s="32" t="n">
        <v>1468.3</v>
      </c>
      <c r="J214" s="32" t="n">
        <v>3.24</v>
      </c>
      <c r="K214" s="32" t="n">
        <v>142574</v>
      </c>
      <c r="L214" s="31" t="n">
        <v>66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81.13</v>
      </c>
      <c r="P214" s="32" t="n">
        <v>34.39</v>
      </c>
      <c r="Q214" s="32" t="n">
        <v>1222.33</v>
      </c>
      <c r="R214" s="31" t="inlineStr">
        <is>
          <t>Near 52W High Breakout</t>
        </is>
      </c>
      <c r="S214" s="31" t="inlineStr">
        <is>
          <t>Nifty Pharma</t>
        </is>
      </c>
      <c r="T214" s="32" t="n">
        <v>18.64</v>
      </c>
      <c r="U214" s="32" t="n">
        <v>58.94</v>
      </c>
      <c r="V214" s="32" t="n">
        <v>33.96</v>
      </c>
      <c r="W214" s="32" t="n">
        <v>16.98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Above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IF(B215=0,"",RANK(B215,$B$2:$B$368,0))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TORNTPHARM</t>
        </is>
      </c>
      <c r="D215" s="31" t="inlineStr">
        <is>
          <t>Torrent Pharmaceuticals Limited</t>
        </is>
      </c>
      <c r="E215" s="31" t="inlineStr">
        <is>
          <t>healthcare</t>
        </is>
      </c>
      <c r="F215" s="31" t="inlineStr">
        <is>
          <t>pharmaceuticals - indian - formulations</t>
        </is>
      </c>
      <c r="G215" s="31" t="inlineStr">
        <is>
          <t>largecap</t>
        </is>
      </c>
      <c r="H215" s="32" t="n">
        <v>190678.41</v>
      </c>
      <c r="I215" s="32" t="n">
        <v>5001.5</v>
      </c>
      <c r="J215" s="32" t="n">
        <v>-0.23</v>
      </c>
      <c r="K215" s="32" t="n">
        <v>68027</v>
      </c>
      <c r="L215" s="31" t="n">
        <v>38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65.2</v>
      </c>
      <c r="P215" s="32" t="n">
        <v>45.65</v>
      </c>
      <c r="Q215" s="32" t="n">
        <v>4393.3</v>
      </c>
      <c r="R215" s="31" t="inlineStr">
        <is>
          <t>Near 52W High Breakout</t>
        </is>
      </c>
      <c r="S215" s="31" t="inlineStr">
        <is>
          <t>Nifty Pharma</t>
        </is>
      </c>
      <c r="T215" s="32" t="n">
        <v>18.64</v>
      </c>
      <c r="U215" s="32" t="n">
        <v>37.01</v>
      </c>
      <c r="V215" s="32" t="n">
        <v>15.48</v>
      </c>
      <c r="W215" s="32" t="n">
        <v>9.039999999999999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IF(B216=0,"",RANK(B216,$B$2:$B$368,0))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SBCL</t>
        </is>
      </c>
      <c r="D216" s="31" t="inlineStr">
        <is>
          <t>Shivalik Bimetal Controls Ltd</t>
        </is>
      </c>
      <c r="E216" s="31" t="inlineStr">
        <is>
          <t>metals &amp; mining</t>
        </is>
      </c>
      <c r="F216" s="31" t="inlineStr">
        <is>
          <t>mining / minerals / metals</t>
        </is>
      </c>
      <c r="G216" s="31" t="inlineStr">
        <is>
          <t>midcap</t>
        </is>
      </c>
      <c r="H216" s="32" t="n">
        <v>5907.6</v>
      </c>
      <c r="I216" s="32" t="n">
        <v>1022</v>
      </c>
      <c r="J216" s="32" t="n">
        <v>-0.35</v>
      </c>
      <c r="K216" s="32" t="n">
        <v>109836</v>
      </c>
      <c r="L216" s="31" t="inlineStr"/>
      <c r="M216" s="31" t="inlineStr"/>
      <c r="N216" s="32">
        <f>IF(M216="Underperforming",-5,IF(L216&gt;=95,15,IF(L216&gt;=90,10,IF(L216&gt;=80,5,0))))</f>
        <v/>
      </c>
      <c r="O216" s="32" t="n">
        <v>78.69</v>
      </c>
      <c r="P216" s="32" t="n">
        <v>48.59</v>
      </c>
      <c r="Q216" s="32" t="n">
        <v>798.87</v>
      </c>
      <c r="R216" s="31" t="inlineStr">
        <is>
          <t>Near 52W High Breakout</t>
        </is>
      </c>
      <c r="S216" s="31" t="inlineStr">
        <is>
          <t>Nifty Metal</t>
        </is>
      </c>
      <c r="T216" s="32" t="inlineStr"/>
      <c r="U216" s="32" t="inlineStr"/>
      <c r="V216" s="32" t="inlineStr"/>
      <c r="W216" s="32" t="inlineStr"/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Monopoly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Shallow Cyclical (2 to 3 Years Growth)</t>
        </is>
      </c>
      <c r="AG216" s="31">
        <f>IF(AF216="Structural (10 Years Consistency)",10,IF(AF216="Shallow Cyclical (2 to 3 years growth)",5,0))</f>
        <v/>
      </c>
      <c r="AH216" s="31" t="inlineStr">
        <is>
          <t>Yes due to Product Mix change or Operating Leverage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Fully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Yes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Between 1.5 to 2</t>
        </is>
      </c>
      <c r="BU216" s="31">
        <f>IF(BT216="Above 2",0,IF(BT216="Between 1.5 to 2",5,IF(BT216="Less than 1.5",10,0)))</f>
        <v/>
      </c>
      <c r="BV216" s="31" t="inlineStr">
        <is>
          <t>Less than 50%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IF(B217=0,"",RANK(B217,$B$2:$B$368,0))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TARSONS</t>
        </is>
      </c>
      <c r="D217" s="33" t="inlineStr">
        <is>
          <t>Tarsons Products Ltd</t>
        </is>
      </c>
      <c r="E217" s="31" t="inlineStr">
        <is>
          <t>healthcare</t>
        </is>
      </c>
      <c r="F217" s="31" t="inlineStr">
        <is>
          <t>miscellaneous</t>
        </is>
      </c>
      <c r="G217" s="31" t="inlineStr">
        <is>
          <t>smallcap</t>
        </is>
      </c>
      <c r="H217" s="32" t="n">
        <v>1825.51</v>
      </c>
      <c r="I217" s="32" t="n">
        <v>337.05</v>
      </c>
      <c r="J217" s="32" t="n">
        <v>-1.76</v>
      </c>
      <c r="K217" s="32" t="n">
        <v>50870</v>
      </c>
      <c r="L217" s="31" t="n">
        <v>61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66.98999999999999</v>
      </c>
      <c r="P217" s="32" t="n">
        <v>42.82</v>
      </c>
      <c r="Q217" s="32" t="n">
        <v>259.8</v>
      </c>
      <c r="R217" s="31" t="inlineStr">
        <is>
          <t>Earnings / Momentum Support</t>
        </is>
      </c>
      <c r="S217" s="31" t="inlineStr">
        <is>
          <t>Nifty Pharma</t>
        </is>
      </c>
      <c r="T217" s="32" t="n">
        <v>18.64</v>
      </c>
      <c r="U217" s="32" t="n">
        <v>2.99</v>
      </c>
      <c r="V217" s="32" t="n">
        <v>-13.19</v>
      </c>
      <c r="W217" s="32" t="n">
        <v>15.31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IF(B218=0,"",RANK(B218,$B$2:$B$368,0))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CARTRADE</t>
        </is>
      </c>
      <c r="D218" s="31" t="inlineStr">
        <is>
          <t>Cartrade Tech Ltd</t>
        </is>
      </c>
      <c r="E218" s="31" t="inlineStr">
        <is>
          <t>consumer discretionary</t>
        </is>
      </c>
      <c r="F218" s="31" t="inlineStr">
        <is>
          <t>miscellaneous</t>
        </is>
      </c>
      <c r="G218" s="31" t="inlineStr">
        <is>
          <t>midcap</t>
        </is>
      </c>
      <c r="H218" s="32" t="n">
        <v>13367.21</v>
      </c>
      <c r="I218" s="32" t="n">
        <v>2894.7</v>
      </c>
      <c r="J218" s="32" t="n">
        <v>4</v>
      </c>
      <c r="K218" s="32" t="n">
        <v>147607</v>
      </c>
      <c r="L218" s="31" t="n">
        <v>74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66.79000000000001</v>
      </c>
      <c r="P218" s="32" t="n">
        <v>37.71</v>
      </c>
      <c r="Q218" s="32" t="n">
        <v>2148.05</v>
      </c>
      <c r="R218" s="31" t="inlineStr">
        <is>
          <t>Earnings / Momentum Support</t>
        </is>
      </c>
      <c r="S218" s="31" t="inlineStr">
        <is>
          <t>Nifty 50</t>
        </is>
      </c>
      <c r="T218" s="32" t="n">
        <v>-2.57</v>
      </c>
      <c r="U218" s="32" t="n">
        <v>23.37</v>
      </c>
      <c r="V218" s="32" t="n">
        <v>26.62</v>
      </c>
      <c r="W218" s="32" t="n">
        <v>21.48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IF(B219=0,"",RANK(B219,$B$2:$B$368,0))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KANPRPLA</t>
        </is>
      </c>
      <c r="D219" s="31" t="inlineStr">
        <is>
          <t>Kanpur Plastipack Ltd</t>
        </is>
      </c>
      <c r="E219" s="31" t="inlineStr">
        <is>
          <t>industrials</t>
        </is>
      </c>
      <c r="F219" s="31" t="inlineStr">
        <is>
          <t>packaging</t>
        </is>
      </c>
      <c r="G219" s="31" t="inlineStr">
        <is>
          <t>smallcap</t>
        </is>
      </c>
      <c r="H219" s="32" t="n">
        <v>628.11</v>
      </c>
      <c r="I219" s="32" t="n">
        <v>265.2</v>
      </c>
      <c r="J219" s="32" t="n">
        <v>3.36</v>
      </c>
      <c r="K219" s="32" t="n">
        <v>15108</v>
      </c>
      <c r="L219" s="31" t="n">
        <v>48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71.95</v>
      </c>
      <c r="P219" s="32" t="n">
        <v>17.56</v>
      </c>
      <c r="Q219" s="32" t="n">
        <v>188.74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-2.57</v>
      </c>
      <c r="U219" s="32" t="n">
        <v>26.54</v>
      </c>
      <c r="V219" s="32" t="n">
        <v>29.87</v>
      </c>
      <c r="W219" s="32" t="n">
        <v>11.28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IF(B220=0,"",RANK(B220,$B$2:$B$368,0))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QPOWER</t>
        </is>
      </c>
      <c r="D220" s="31" t="inlineStr">
        <is>
          <t>Quality Power Electrical Equipments Ltd</t>
        </is>
      </c>
      <c r="E220" s="31" t="inlineStr">
        <is>
          <t>industrials</t>
        </is>
      </c>
      <c r="F220" s="31" t="inlineStr">
        <is>
          <t>electric equipment</t>
        </is>
      </c>
      <c r="G220" s="31" t="inlineStr">
        <is>
          <t>midcap</t>
        </is>
      </c>
      <c r="H220" s="32" t="n">
        <v>10031.33</v>
      </c>
      <c r="I220" s="32" t="n">
        <v>1334.9</v>
      </c>
      <c r="J220" s="32" t="n">
        <v>3.06</v>
      </c>
      <c r="K220" s="32" t="n">
        <v>84309</v>
      </c>
      <c r="L220" s="31" t="n">
        <v>62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62.11</v>
      </c>
      <c r="P220" s="32" t="n">
        <v>13.79</v>
      </c>
      <c r="Q220" s="32" t="n">
        <v>942.9</v>
      </c>
      <c r="R220" s="31" t="inlineStr">
        <is>
          <t>Volume Spike &amp; Near 52W High Breakout</t>
        </is>
      </c>
      <c r="S220" s="31" t="inlineStr">
        <is>
          <t>Nifty 50</t>
        </is>
      </c>
      <c r="T220" s="32" t="n">
        <v>-2.57</v>
      </c>
      <c r="U220" s="32" t="n">
        <v>69.45999999999999</v>
      </c>
      <c r="V220" s="32" t="n">
        <v>73.92</v>
      </c>
      <c r="W220" s="32" t="n">
        <v>15.41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Between 1.5 to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IF(B221=0,"",RANK(B221,$B$2:$B$368,0))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ETERNAL</t>
        </is>
      </c>
      <c r="D221" s="31" t="inlineStr">
        <is>
          <t>Eternal Ltd</t>
        </is>
      </c>
      <c r="E221" s="31" t="inlineStr">
        <is>
          <t>i.t</t>
        </is>
      </c>
      <c r="F221" s="31" t="inlineStr">
        <is>
          <t>miscellaneous</t>
        </is>
      </c>
      <c r="G221" s="31" t="inlineStr">
        <is>
          <t>largecap</t>
        </is>
      </c>
      <c r="H221" s="32" t="n">
        <v>308811.22</v>
      </c>
      <c r="I221" s="32" t="n">
        <v>328.1</v>
      </c>
      <c r="J221" s="32" t="n">
        <v>2.53</v>
      </c>
      <c r="K221" s="32" t="n">
        <v>11572919</v>
      </c>
      <c r="L221" s="31" t="n">
        <v>37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68.12</v>
      </c>
      <c r="P221" s="32" t="n">
        <v>20.27</v>
      </c>
      <c r="Q221" s="32" t="n">
        <v>265.28</v>
      </c>
      <c r="R221" s="31" t="inlineStr">
        <is>
          <t>Earnings / Momentum Support</t>
        </is>
      </c>
      <c r="S221" s="31" t="inlineStr">
        <is>
          <t>Nifty IT</t>
        </is>
      </c>
      <c r="T221" s="32" t="n">
        <v>-13.45</v>
      </c>
      <c r="U221" s="32" t="n">
        <v>2.77</v>
      </c>
      <c r="V221" s="32" t="n">
        <v>18.75</v>
      </c>
      <c r="W221" s="32" t="n">
        <v>8.949999999999999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IF(B222=0,"",RANK(B222,$B$2:$B$368,0))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TIIL</t>
        </is>
      </c>
      <c r="D222" s="31" t="inlineStr">
        <is>
          <t>Technocraft Industries (india) Limited</t>
        </is>
      </c>
      <c r="E222" s="31" t="inlineStr">
        <is>
          <t>metals &amp; mining</t>
        </is>
      </c>
      <c r="F222" s="31" t="inlineStr">
        <is>
          <t>steel - medium / small</t>
        </is>
      </c>
      <c r="G222" s="31" t="inlineStr">
        <is>
          <t>midcap</t>
        </is>
      </c>
      <c r="H222" s="32" t="n">
        <v>7090.92</v>
      </c>
      <c r="I222" s="32" t="n">
        <v>3200</v>
      </c>
      <c r="J222" s="32" t="n">
        <v>2.32</v>
      </c>
      <c r="K222" s="32" t="n">
        <v>16903</v>
      </c>
      <c r="L222" s="31" t="inlineStr"/>
      <c r="M222" s="31" t="inlineStr"/>
      <c r="N222" s="32">
        <f>IF(M222="Underperforming",-5,IF(L222&gt;=95,15,IF(L222&gt;=90,10,IF(L222&gt;=80,5,0))))</f>
        <v/>
      </c>
      <c r="O222" s="32" t="n">
        <v>74.15000000000001</v>
      </c>
      <c r="P222" s="32" t="n">
        <v>29.78</v>
      </c>
      <c r="Q222" s="32" t="n">
        <v>2516.65</v>
      </c>
      <c r="R222" s="31" t="inlineStr">
        <is>
          <t>Volume Spike &amp; Near 52W High Breakout</t>
        </is>
      </c>
      <c r="S222" s="31" t="inlineStr">
        <is>
          <t>Nifty Metal</t>
        </is>
      </c>
      <c r="T222" s="32" t="inlineStr"/>
      <c r="U222" s="32" t="inlineStr"/>
      <c r="V222" s="32" t="inlineStr"/>
      <c r="W222" s="32" t="inlineStr"/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IF(B223=0,"",RANK(B223,$B$2:$B$368,0))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SPORTKING</t>
        </is>
      </c>
      <c r="D223" s="31" t="inlineStr">
        <is>
          <t>Sportking India Ltd</t>
        </is>
      </c>
      <c r="E223" s="31" t="inlineStr">
        <is>
          <t>textiles</t>
        </is>
      </c>
      <c r="F223" s="31" t="inlineStr">
        <is>
          <t>textiles - spinning - synthetic / blended</t>
        </is>
      </c>
      <c r="G223" s="31" t="inlineStr">
        <is>
          <t>smallcap</t>
        </is>
      </c>
      <c r="H223" s="32" t="n">
        <v>2663.68</v>
      </c>
      <c r="I223" s="32" t="n">
        <v>212.05</v>
      </c>
      <c r="J223" s="32" t="n">
        <v>1.16</v>
      </c>
      <c r="K223" s="32" t="n">
        <v>156631</v>
      </c>
      <c r="L223" s="31" t="n">
        <v>75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69.52</v>
      </c>
      <c r="P223" s="32" t="n">
        <v>72.62</v>
      </c>
      <c r="Q223" s="32" t="n">
        <v>154.56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-2.57</v>
      </c>
      <c r="U223" s="32" t="n">
        <v>91.75</v>
      </c>
      <c r="V223" s="32" t="n">
        <v>96.8</v>
      </c>
      <c r="W223" s="32" t="n">
        <v>21.56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Above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IF(B224=0,"",RANK(B224,$B$2:$B$368,0))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VGUARD</t>
        </is>
      </c>
      <c r="D224" s="33" t="inlineStr">
        <is>
          <t>V-guard Industries Limited</t>
        </is>
      </c>
      <c r="E224" s="31" t="inlineStr">
        <is>
          <t>industrials</t>
        </is>
      </c>
      <c r="F224" s="31" t="inlineStr">
        <is>
          <t>electric equipment</t>
        </is>
      </c>
      <c r="G224" s="31" t="inlineStr">
        <is>
          <t>midcap</t>
        </is>
      </c>
      <c r="H224" s="32" t="n">
        <v>14563.76</v>
      </c>
      <c r="I224" s="32" t="n">
        <v>336</v>
      </c>
      <c r="J224" s="32" t="n">
        <v>0.8</v>
      </c>
      <c r="K224" s="32" t="n">
        <v>120958</v>
      </c>
      <c r="L224" s="31" t="n">
        <v>7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59.32</v>
      </c>
      <c r="P224" s="32" t="n">
        <v>20.12</v>
      </c>
      <c r="Q224" s="32" t="n">
        <v>276.18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-2.57</v>
      </c>
      <c r="U224" s="32" t="n">
        <v>-9.18</v>
      </c>
      <c r="V224" s="32" t="n">
        <v>-6.78</v>
      </c>
      <c r="W224" s="32" t="n">
        <v>0.52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IF(B225=0,"",RANK(B225,$B$2:$B$368,0))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AEROENTER</t>
        </is>
      </c>
      <c r="D225" s="31" t="inlineStr">
        <is>
          <t>Aeroflex Enterprises Ltd</t>
        </is>
      </c>
      <c r="E225" s="31" t="inlineStr">
        <is>
          <t>metals &amp; mining</t>
        </is>
      </c>
      <c r="F225" s="31" t="inlineStr">
        <is>
          <t>steel - medium / small</t>
        </is>
      </c>
      <c r="G225" s="31" t="inlineStr">
        <is>
          <t>smallcap</t>
        </is>
      </c>
      <c r="H225" s="32" t="n">
        <v>1472.72</v>
      </c>
      <c r="I225" s="32" t="n">
        <v>131</v>
      </c>
      <c r="J225" s="32" t="n">
        <v>0.66</v>
      </c>
      <c r="K225" s="32" t="n">
        <v>95505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63.43</v>
      </c>
      <c r="P225" s="32" t="n">
        <v>50.82</v>
      </c>
      <c r="Q225" s="32" t="n">
        <v>98.8</v>
      </c>
      <c r="R225" s="31" t="inlineStr">
        <is>
          <t>Earnings / Momentum Support</t>
        </is>
      </c>
      <c r="S225" s="31" t="inlineStr">
        <is>
          <t>Nifty Metal</t>
        </is>
      </c>
      <c r="T225" s="32" t="inlineStr"/>
      <c r="U225" s="32" t="inlineStr"/>
      <c r="V225" s="32" t="inlineStr"/>
      <c r="W225" s="32" t="inlineStr"/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IF(B226=0,"",RANK(B226,$B$2:$B$368,0))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HARSHA</t>
        </is>
      </c>
      <c r="D226" s="31" t="inlineStr">
        <is>
          <t>Harsha Engineers International Ltd</t>
        </is>
      </c>
      <c r="E226" s="31" t="inlineStr">
        <is>
          <t>industrials</t>
        </is>
      </c>
      <c r="F226" s="31" t="inlineStr">
        <is>
          <t>engineering</t>
        </is>
      </c>
      <c r="G226" s="31" t="inlineStr">
        <is>
          <t>smallcap</t>
        </is>
      </c>
      <c r="H226" s="32" t="n">
        <v>3974.53</v>
      </c>
      <c r="I226" s="32" t="n">
        <v>438.05</v>
      </c>
      <c r="J226" s="32" t="n">
        <v>0.34</v>
      </c>
      <c r="K226" s="32" t="n">
        <v>66365</v>
      </c>
      <c r="L226" s="31" t="n">
        <v>15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59.4</v>
      </c>
      <c r="P226" s="32" t="n">
        <v>38.92</v>
      </c>
      <c r="Q226" s="32" t="n">
        <v>344.19</v>
      </c>
      <c r="R226" s="31" t="inlineStr">
        <is>
          <t>Near 52W High Breakout</t>
        </is>
      </c>
      <c r="S226" s="31" t="inlineStr">
        <is>
          <t>Nifty 50</t>
        </is>
      </c>
      <c r="T226" s="32" t="n">
        <v>-2.57</v>
      </c>
      <c r="U226" s="32" t="n">
        <v>7.13</v>
      </c>
      <c r="V226" s="32" t="n">
        <v>9.949999999999999</v>
      </c>
      <c r="W226" s="32" t="n">
        <v>3.15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IF(B227=0,"",RANK(B227,$B$2:$B$368,0))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ANANTRAJ</t>
        </is>
      </c>
      <c r="D227" s="31" t="inlineStr">
        <is>
          <t>Anant Raj Limited</t>
        </is>
      </c>
      <c r="E227" s="31" t="inlineStr">
        <is>
          <t>realty</t>
        </is>
      </c>
      <c r="F227" s="31" t="inlineStr">
        <is>
          <t>construction</t>
        </is>
      </c>
      <c r="G227" s="31" t="inlineStr">
        <is>
          <t>largecap</t>
        </is>
      </c>
      <c r="H227" s="32" t="n">
        <v>22728.03</v>
      </c>
      <c r="I227" s="32" t="n">
        <v>633</v>
      </c>
      <c r="J227" s="32" t="n">
        <v>0.23</v>
      </c>
      <c r="K227" s="32" t="n">
        <v>1568114</v>
      </c>
      <c r="L227" s="31" t="n">
        <v>47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62.13</v>
      </c>
      <c r="P227" s="32" t="n">
        <v>23.07</v>
      </c>
      <c r="Q227" s="32" t="n">
        <v>494.36</v>
      </c>
      <c r="R227" s="31" t="inlineStr">
        <is>
          <t>Earnings / Momentum Support</t>
        </is>
      </c>
      <c r="S227" s="31" t="inlineStr">
        <is>
          <t>Nifty Realty</t>
        </is>
      </c>
      <c r="T227" s="32" t="n">
        <v>-4.49</v>
      </c>
      <c r="U227" s="32" t="n">
        <v>10.71</v>
      </c>
      <c r="V227" s="32" t="n">
        <v>15.92</v>
      </c>
      <c r="W227" s="32" t="n">
        <v>11.14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Between 12 to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IF(B228=0,"",RANK(B228,$B$2:$B$368,0))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VMART</t>
        </is>
      </c>
      <c r="D228" s="31" t="inlineStr">
        <is>
          <t>V-mart Retail Limited</t>
        </is>
      </c>
      <c r="E228" s="31" t="inlineStr">
        <is>
          <t>consumer discretionary</t>
        </is>
      </c>
      <c r="F228" s="31" t="inlineStr">
        <is>
          <t>trading</t>
        </is>
      </c>
      <c r="G228" s="31" t="inlineStr">
        <is>
          <t>midcap</t>
        </is>
      </c>
      <c r="H228" s="32" t="n">
        <v>6419.13</v>
      </c>
      <c r="I228" s="32" t="n">
        <v>808.4</v>
      </c>
      <c r="J228" s="32" t="n">
        <v>0.18</v>
      </c>
      <c r="K228" s="32" t="n">
        <v>16263</v>
      </c>
      <c r="L228" s="31" t="n">
        <v>35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62.9</v>
      </c>
      <c r="P228" s="32" t="n">
        <v>27.5</v>
      </c>
      <c r="Q228" s="32" t="n">
        <v>635.1799999999999</v>
      </c>
      <c r="R228" s="31" t="inlineStr">
        <is>
          <t>Earnings / Momentum Support</t>
        </is>
      </c>
      <c r="S228" s="31" t="inlineStr">
        <is>
          <t>Nifty 50</t>
        </is>
      </c>
      <c r="T228" s="32" t="n">
        <v>-2.57</v>
      </c>
      <c r="U228" s="32" t="n">
        <v>8.140000000000001</v>
      </c>
      <c r="V228" s="32" t="n">
        <v>10.98</v>
      </c>
      <c r="W228" s="32" t="n">
        <v>8.48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Between 0.7 to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IF(B229=0,"",RANK(B229,$B$2:$B$368,0))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TCPLPACK</t>
        </is>
      </c>
      <c r="D229" s="31" t="inlineStr">
        <is>
          <t>TCPL Packaging Ltd</t>
        </is>
      </c>
      <c r="E229" s="31" t="inlineStr">
        <is>
          <t>industrials</t>
        </is>
      </c>
      <c r="F229" s="31" t="inlineStr">
        <is>
          <t>packaging</t>
        </is>
      </c>
      <c r="G229" s="31" t="inlineStr">
        <is>
          <t>smallcap</t>
        </is>
      </c>
      <c r="H229" s="32" t="n">
        <v>3725.72</v>
      </c>
      <c r="I229" s="32" t="n">
        <v>4091.6</v>
      </c>
      <c r="J229" s="32" t="n">
        <v>-0.06</v>
      </c>
      <c r="K229" s="32" t="n">
        <v>2295</v>
      </c>
      <c r="L229" s="31" t="n">
        <v>69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77.17</v>
      </c>
      <c r="P229" s="32" t="n">
        <v>30.15</v>
      </c>
      <c r="Q229" s="32" t="n">
        <v>3132.26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-2.57</v>
      </c>
      <c r="U229" s="32" t="n">
        <v>19.7</v>
      </c>
      <c r="V229" s="32" t="n">
        <v>22.85</v>
      </c>
      <c r="W229" s="32" t="n">
        <v>18.38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Above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Between 0.7 to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IF(B230=0,"",RANK(B230,$B$2:$B$368,0))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ZENTEC</t>
        </is>
      </c>
      <c r="D230" s="31" t="inlineStr">
        <is>
          <t>Zen Technologies Limited</t>
        </is>
      </c>
      <c r="E230" s="31" t="inlineStr">
        <is>
          <t>aerospace &amp; defence</t>
        </is>
      </c>
      <c r="F230" s="31" t="inlineStr">
        <is>
          <t>miscellaneous</t>
        </is>
      </c>
      <c r="G230" s="31" t="inlineStr">
        <is>
          <t>midcap</t>
        </is>
      </c>
      <c r="H230" s="32" t="n">
        <v>17449.51</v>
      </c>
      <c r="I230" s="32" t="n">
        <v>1910</v>
      </c>
      <c r="J230" s="32" t="n">
        <v>-1.17</v>
      </c>
      <c r="K230" s="32" t="n">
        <v>143767</v>
      </c>
      <c r="L230" s="31" t="n">
        <v>40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60.65</v>
      </c>
      <c r="P230" s="32" t="n">
        <v>33.8</v>
      </c>
      <c r="Q230" s="32" t="n">
        <v>1530.7</v>
      </c>
      <c r="R230" s="31" t="inlineStr">
        <is>
          <t>Near 52W High Breakout</t>
        </is>
      </c>
      <c r="S230" s="31" t="inlineStr">
        <is>
          <t>Nifty 50</t>
        </is>
      </c>
      <c r="T230" s="32" t="n">
        <v>-2.57</v>
      </c>
      <c r="U230" s="32" t="n">
        <v>27.9</v>
      </c>
      <c r="V230" s="32" t="n">
        <v>31.27</v>
      </c>
      <c r="W230" s="32" t="n">
        <v>9.68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IF(B231=0,"",RANK(B231,$B$2:$B$368,0))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INDIGOPNTS</t>
        </is>
      </c>
      <c r="D231" s="31" t="inlineStr">
        <is>
          <t>Indigo Paints Ltd</t>
        </is>
      </c>
      <c r="E231" s="31" t="inlineStr">
        <is>
          <t>building materials</t>
        </is>
      </c>
      <c r="F231" s="31" t="inlineStr">
        <is>
          <t>paints / varnishes</t>
        </is>
      </c>
      <c r="G231" s="31" t="inlineStr">
        <is>
          <t>midcap</t>
        </is>
      </c>
      <c r="H231" s="32" t="n">
        <v>5476.98</v>
      </c>
      <c r="I231" s="32" t="n">
        <v>1131.2</v>
      </c>
      <c r="J231" s="32" t="n">
        <v>-1.53</v>
      </c>
      <c r="K231" s="32" t="n">
        <v>52690</v>
      </c>
      <c r="L231" s="31" t="inlineStr"/>
      <c r="M231" s="31" t="inlineStr"/>
      <c r="N231" s="32">
        <f>IF(M231="Underperforming",-5,IF(L231&gt;=95,15,IF(L231&gt;=90,10,IF(L231&gt;=80,5,0))))</f>
        <v/>
      </c>
      <c r="O231" s="32" t="n">
        <v>62.41</v>
      </c>
      <c r="P231" s="32" t="n">
        <v>16.53</v>
      </c>
      <c r="Q231" s="32" t="n">
        <v>912.6900000000001</v>
      </c>
      <c r="R231" s="31" t="inlineStr">
        <is>
          <t>Earnings / Momentum Support</t>
        </is>
      </c>
      <c r="S231" s="31" t="inlineStr">
        <is>
          <t>Nifty Infra</t>
        </is>
      </c>
      <c r="T231" s="32" t="inlineStr"/>
      <c r="U231" s="32" t="inlineStr"/>
      <c r="V231" s="32" t="inlineStr"/>
      <c r="W231" s="32" t="inlineStr"/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IF(B232=0,"",RANK(B232,$B$2:$B$368,0))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GALAXYSURF</t>
        </is>
      </c>
      <c r="D232" s="31" t="inlineStr">
        <is>
          <t>Galaxy Surfactants Ltd</t>
        </is>
      </c>
      <c r="E232" s="31" t="inlineStr">
        <is>
          <t>chemicals</t>
        </is>
      </c>
      <c r="F232" s="31" t="inlineStr">
        <is>
          <t>chemicals</t>
        </is>
      </c>
      <c r="G232" s="31" t="inlineStr">
        <is>
          <t>midcap</t>
        </is>
      </c>
      <c r="H232" s="32" t="n">
        <v>8371.93</v>
      </c>
      <c r="I232" s="32" t="n">
        <v>2318.2</v>
      </c>
      <c r="J232" s="32" t="n">
        <v>-1.83</v>
      </c>
      <c r="K232" s="32" t="n">
        <v>17580</v>
      </c>
      <c r="L232" s="31" t="n">
        <v>31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63.41</v>
      </c>
      <c r="P232" s="32" t="n">
        <v>19.55</v>
      </c>
      <c r="Q232" s="32" t="n">
        <v>2003.13</v>
      </c>
      <c r="R232" s="31" t="inlineStr">
        <is>
          <t>Volume Spike / Accumulation</t>
        </is>
      </c>
      <c r="S232" s="31" t="inlineStr">
        <is>
          <t>Nifty 50</t>
        </is>
      </c>
      <c r="T232" s="32" t="n">
        <v>-2.57</v>
      </c>
      <c r="U232" s="32" t="n">
        <v>5.66</v>
      </c>
      <c r="V232" s="32" t="n">
        <v>8.44</v>
      </c>
      <c r="W232" s="32" t="n">
        <v>7.67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IF(B233=0,"",RANK(B233,$B$2:$B$368,0))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SOLARA</t>
        </is>
      </c>
      <c r="D233" s="33" t="inlineStr">
        <is>
          <t>Solara Active Pharma Sciences Ltd</t>
        </is>
      </c>
      <c r="E233" s="31" t="inlineStr">
        <is>
          <t>healthcare</t>
        </is>
      </c>
      <c r="F233" s="31" t="inlineStr">
        <is>
          <t>pharmaceuticals - indian - bulk drugs &amp; formln</t>
        </is>
      </c>
      <c r="G233" s="31" t="inlineStr">
        <is>
          <t>smallcap</t>
        </is>
      </c>
      <c r="H233" s="32" t="n">
        <v>2653.77</v>
      </c>
      <c r="I233" s="32" t="n">
        <v>637.15</v>
      </c>
      <c r="J233" s="32" t="n">
        <v>15.83</v>
      </c>
      <c r="K233" s="32" t="n">
        <v>2028841</v>
      </c>
      <c r="L233" s="31" t="n">
        <v>19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63.1</v>
      </c>
      <c r="P233" s="32" t="n">
        <v>24.18</v>
      </c>
      <c r="Q233" s="32" t="n">
        <v>469.43</v>
      </c>
      <c r="R233" s="31" t="inlineStr">
        <is>
          <t>Volume Spike / Accumulation</t>
        </is>
      </c>
      <c r="S233" s="31" t="inlineStr">
        <is>
          <t>Nifty Pharma</t>
        </is>
      </c>
      <c r="T233" s="32" t="n">
        <v>18.64</v>
      </c>
      <c r="U233" s="32" t="n">
        <v>1.33</v>
      </c>
      <c r="V233" s="32" t="n">
        <v>-14.59</v>
      </c>
      <c r="W233" s="32" t="n">
        <v>4.52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1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IF(B234=0,"",RANK(B234,$B$2:$B$368,0))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BAJAJHIND</t>
        </is>
      </c>
      <c r="D234" s="31" t="inlineStr">
        <is>
          <t>Bajaj Hindusthan Sugar Limited</t>
        </is>
      </c>
      <c r="E234" s="31" t="inlineStr">
        <is>
          <t>fmcg</t>
        </is>
      </c>
      <c r="F234" s="31" t="inlineStr">
        <is>
          <t>sugar</t>
        </is>
      </c>
      <c r="G234" s="31" t="inlineStr">
        <is>
          <t>smallcap</t>
        </is>
      </c>
      <c r="H234" s="32" t="n">
        <v>4872.18</v>
      </c>
      <c r="I234" s="32" t="n">
        <v>23.28</v>
      </c>
      <c r="J234" s="32" t="n">
        <v>14.23</v>
      </c>
      <c r="K234" s="32" t="n">
        <v>75265640</v>
      </c>
      <c r="L234" s="31" t="inlineStr"/>
      <c r="M234" s="31" t="inlineStr"/>
      <c r="N234" s="32">
        <f>IF(M234="Underperforming",-5,IF(L234&gt;=95,15,IF(L234&gt;=90,10,IF(L234&gt;=80,5,0))))</f>
        <v/>
      </c>
      <c r="O234" s="32" t="n">
        <v>69.3</v>
      </c>
      <c r="P234" s="32" t="n">
        <v>10.9</v>
      </c>
      <c r="Q234" s="32" t="n">
        <v>17.8</v>
      </c>
      <c r="R234" s="31" t="inlineStr">
        <is>
          <t>Volume Spike &amp; Near 52W High Breakout</t>
        </is>
      </c>
      <c r="S234" s="31" t="inlineStr">
        <is>
          <t>Nifty FMCG</t>
        </is>
      </c>
      <c r="T234" s="32" t="inlineStr"/>
      <c r="U234" s="32" t="inlineStr"/>
      <c r="V234" s="32" t="inlineStr"/>
      <c r="W234" s="32" t="inlineStr"/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B2C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IF(B235=0,"",RANK(B235,$B$2:$B$368,0))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AVADHSUGAR</t>
        </is>
      </c>
      <c r="D235" s="31" t="inlineStr">
        <is>
          <t>Avadh Sugar &amp; Energy</t>
        </is>
      </c>
      <c r="E235" s="31" t="inlineStr">
        <is>
          <t>fmcg</t>
        </is>
      </c>
      <c r="F235" s="31" t="inlineStr">
        <is>
          <t>sugar</t>
        </is>
      </c>
      <c r="G235" s="31" t="inlineStr">
        <is>
          <t>smallcap</t>
        </is>
      </c>
      <c r="H235" s="32" t="n">
        <v>1489.17</v>
      </c>
      <c r="I235" s="32" t="n">
        <v>811</v>
      </c>
      <c r="J235" s="32" t="n">
        <v>9.02</v>
      </c>
      <c r="K235" s="32" t="n">
        <v>718476</v>
      </c>
      <c r="L235" s="31" t="inlineStr"/>
      <c r="M235" s="31" t="inlineStr"/>
      <c r="N235" s="32">
        <f>IF(M235="Underperforming",-5,IF(L235&gt;=95,15,IF(L235&gt;=90,10,IF(L235&gt;=80,5,0))))</f>
        <v/>
      </c>
      <c r="O235" s="32" t="n">
        <v>85.06999999999999</v>
      </c>
      <c r="P235" s="32" t="n">
        <v>39.74</v>
      </c>
      <c r="Q235" s="32" t="n">
        <v>637.24</v>
      </c>
      <c r="R235" s="31" t="inlineStr">
        <is>
          <t>Volume Spike &amp; Near 52W High Breakout</t>
        </is>
      </c>
      <c r="S235" s="31" t="inlineStr">
        <is>
          <t>Nifty FMCG</t>
        </is>
      </c>
      <c r="T235" s="32" t="inlineStr"/>
      <c r="U235" s="32" t="inlineStr"/>
      <c r="V235" s="32" t="inlineStr"/>
      <c r="W235" s="32" t="inlineStr"/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B2C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More than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IF(B236=0,"",RANK(B236,$B$2:$B$368,0))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ANTHEM</t>
        </is>
      </c>
      <c r="D236" s="33" t="inlineStr">
        <is>
          <t>Anthem Biosciences Ltd</t>
        </is>
      </c>
      <c r="E236" s="31" t="inlineStr">
        <is>
          <t>healthcare</t>
        </is>
      </c>
      <c r="F236" s="31" t="inlineStr">
        <is>
          <t>pharmaceuticals - indian - bulk drugs &amp; formln</t>
        </is>
      </c>
      <c r="G236" s="31" t="inlineStr">
        <is>
          <t>largecap</t>
        </is>
      </c>
      <c r="H236" s="32" t="n">
        <v>49684.9</v>
      </c>
      <c r="I236" s="32" t="n">
        <v>874.15</v>
      </c>
      <c r="J236" s="32" t="n">
        <v>-0.88</v>
      </c>
      <c r="K236" s="32" t="n">
        <v>90483</v>
      </c>
      <c r="L236" s="31" t="n">
        <v>21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67.31</v>
      </c>
      <c r="P236" s="32" t="n">
        <v>38.64</v>
      </c>
      <c r="Q236" s="32" t="n">
        <v>748.67</v>
      </c>
      <c r="R236" s="31" t="inlineStr">
        <is>
          <t>Near 52W High Breakout</t>
        </is>
      </c>
      <c r="S236" s="31" t="inlineStr">
        <is>
          <t>Nifty Pharma</t>
        </is>
      </c>
      <c r="T236" s="32" t="n">
        <v>18.64</v>
      </c>
      <c r="U236" s="32" t="n">
        <v>6.55</v>
      </c>
      <c r="V236" s="32" t="n">
        <v>-10.2</v>
      </c>
      <c r="W236" s="32" t="n">
        <v>4.83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IF(B237=0,"",RANK(B237,$B$2:$B$368,0))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GLAXO</t>
        </is>
      </c>
      <c r="D237" s="33" t="inlineStr">
        <is>
          <t>Glaxosmithkline Pharmaceuticals Limited</t>
        </is>
      </c>
      <c r="E237" s="31" t="inlineStr">
        <is>
          <t>healthcare</t>
        </is>
      </c>
      <c r="F237" s="31" t="inlineStr">
        <is>
          <t>pharmaceuticals - multinational</t>
        </is>
      </c>
      <c r="G237" s="31" t="inlineStr">
        <is>
          <t>largecap</t>
        </is>
      </c>
      <c r="H237" s="32" t="n">
        <v>51370.69</v>
      </c>
      <c r="I237" s="32" t="n">
        <v>3000.1</v>
      </c>
      <c r="J237" s="32" t="n">
        <v>-1.07</v>
      </c>
      <c r="K237" s="32" t="n">
        <v>133324</v>
      </c>
      <c r="L237" s="31" t="n">
        <v>41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72.73999999999999</v>
      </c>
      <c r="P237" s="32" t="n">
        <v>23.07</v>
      </c>
      <c r="Q237" s="32" t="n">
        <v>2523.71</v>
      </c>
      <c r="R237" s="31" t="inlineStr">
        <is>
          <t>Volume Spike &amp; Near 52W High Breakout</t>
        </is>
      </c>
      <c r="S237" s="31" t="inlineStr">
        <is>
          <t>Nifty Pharma</t>
        </is>
      </c>
      <c r="T237" s="32" t="n">
        <v>18.64</v>
      </c>
      <c r="U237" s="32" t="n">
        <v>9.91</v>
      </c>
      <c r="V237" s="32" t="n">
        <v>-7.36</v>
      </c>
      <c r="W237" s="32" t="n">
        <v>9.75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Between 12 to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IF(B238=0,"",RANK(B238,$B$2:$B$368,0))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VOLTAMP</t>
        </is>
      </c>
      <c r="D238" s="31" t="inlineStr">
        <is>
          <t>Voltamp Transformers Limited</t>
        </is>
      </c>
      <c r="E238" s="31" t="inlineStr">
        <is>
          <t>industrials</t>
        </is>
      </c>
      <c r="F238" s="31" t="inlineStr">
        <is>
          <t>electric equipment</t>
        </is>
      </c>
      <c r="G238" s="31" t="inlineStr">
        <is>
          <t>midcap</t>
        </is>
      </c>
      <c r="H238" s="32" t="n">
        <v>10117.12</v>
      </c>
      <c r="I238" s="32" t="n">
        <v>10340</v>
      </c>
      <c r="J238" s="32" t="n">
        <v>3.4</v>
      </c>
      <c r="K238" s="32" t="n">
        <v>21860</v>
      </c>
      <c r="L238" s="31" t="n">
        <v>33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59.67</v>
      </c>
      <c r="P238" s="32" t="n">
        <v>25.34</v>
      </c>
      <c r="Q238" s="32" t="n">
        <v>8042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-2.57</v>
      </c>
      <c r="U238" s="32" t="n">
        <v>26.81</v>
      </c>
      <c r="V238" s="32" t="n">
        <v>30.15</v>
      </c>
      <c r="W238" s="32" t="n">
        <v>7.88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Between 12 to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IF(B239=0,"",RANK(B239,$B$2:$B$368,0))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ORIENTELEC</t>
        </is>
      </c>
      <c r="D239" s="33" t="inlineStr">
        <is>
          <t>Orient Electric Ltd</t>
        </is>
      </c>
      <c r="E239" s="31" t="inlineStr">
        <is>
          <t>consumer discretionary</t>
        </is>
      </c>
      <c r="F239" s="31" t="inlineStr">
        <is>
          <t>domestic appliances</t>
        </is>
      </c>
      <c r="G239" s="31" t="inlineStr">
        <is>
          <t>smallcap</t>
        </is>
      </c>
      <c r="H239" s="32" t="n">
        <v>3853.17</v>
      </c>
      <c r="I239" s="32" t="n">
        <v>186</v>
      </c>
      <c r="J239" s="32" t="n">
        <v>3</v>
      </c>
      <c r="K239" s="32" t="n">
        <v>71417</v>
      </c>
      <c r="L239" s="31" t="n">
        <v>1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54.34</v>
      </c>
      <c r="P239" s="32" t="n">
        <v>11.72</v>
      </c>
      <c r="Q239" s="32" t="n">
        <v>150.13</v>
      </c>
      <c r="R239" s="31" t="inlineStr">
        <is>
          <t>Earnings / Momentum Support</t>
        </is>
      </c>
      <c r="S239" s="31" t="inlineStr">
        <is>
          <t>Nifty 50</t>
        </is>
      </c>
      <c r="T239" s="32" t="n">
        <v>-2.57</v>
      </c>
      <c r="U239" s="32" t="n">
        <v>-12.39</v>
      </c>
      <c r="V239" s="32" t="n">
        <v>-10.08</v>
      </c>
      <c r="W239" s="32" t="n">
        <v>-2.05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IF(B240=0,"",RANK(B240,$B$2:$B$368,0))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DIXON</t>
        </is>
      </c>
      <c r="D240" s="33" t="inlineStr">
        <is>
          <t>Dixon Technologies Ltd</t>
        </is>
      </c>
      <c r="E240" s="31" t="inlineStr">
        <is>
          <t>consumer discretionary</t>
        </is>
      </c>
      <c r="F240" s="31" t="inlineStr">
        <is>
          <t>electronics - consumer</t>
        </is>
      </c>
      <c r="G240" s="31" t="inlineStr">
        <is>
          <t>largecap</t>
        </is>
      </c>
      <c r="H240" s="32" t="n">
        <v>88342.46000000001</v>
      </c>
      <c r="I240" s="32" t="n">
        <v>14850</v>
      </c>
      <c r="J240" s="32" t="n">
        <v>2.68</v>
      </c>
      <c r="K240" s="32" t="n">
        <v>201283</v>
      </c>
      <c r="L240" s="31" t="n">
        <v>18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67.39</v>
      </c>
      <c r="P240" s="32" t="n">
        <v>23.21</v>
      </c>
      <c r="Q240" s="32" t="n">
        <v>11888.96</v>
      </c>
      <c r="R240" s="31" t="inlineStr">
        <is>
          <t>Earnings / Momentum Support</t>
        </is>
      </c>
      <c r="S240" s="31" t="inlineStr">
        <is>
          <t>Nifty 50</t>
        </is>
      </c>
      <c r="T240" s="32" t="n">
        <v>-2.57</v>
      </c>
      <c r="U240" s="32" t="n">
        <v>-12.05</v>
      </c>
      <c r="V240" s="32" t="n">
        <v>-9.74</v>
      </c>
      <c r="W240" s="32" t="n">
        <v>4.37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IF(B241=0,"",RANK(B241,$B$2:$B$368,0))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BLACKBUCK</t>
        </is>
      </c>
      <c r="D241" s="31" t="inlineStr">
        <is>
          <t>BlackBuck Ltd</t>
        </is>
      </c>
      <c r="E241" s="31" t="inlineStr">
        <is>
          <t>transportation</t>
        </is>
      </c>
      <c r="F241" s="31" t="inlineStr">
        <is>
          <t>miscellaneous</t>
        </is>
      </c>
      <c r="G241" s="31" t="inlineStr">
        <is>
          <t>midcap</t>
        </is>
      </c>
      <c r="H241" s="32" t="n">
        <v>11226.11</v>
      </c>
      <c r="I241" s="32" t="n">
        <v>629.65</v>
      </c>
      <c r="J241" s="32" t="n">
        <v>2.16</v>
      </c>
      <c r="K241" s="32" t="n">
        <v>364118</v>
      </c>
      <c r="L241" s="31" t="n">
        <v>25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58.55</v>
      </c>
      <c r="P241" s="32" t="n">
        <v>9.140000000000001</v>
      </c>
      <c r="Q241" s="32" t="n">
        <v>480.62</v>
      </c>
      <c r="R241" s="31" t="inlineStr">
        <is>
          <t>Volume Spike / Accumulation</t>
        </is>
      </c>
      <c r="S241" s="31" t="inlineStr">
        <is>
          <t>Nifty 50</t>
        </is>
      </c>
      <c r="T241" s="32" t="n">
        <v>-2.57</v>
      </c>
      <c r="U241" s="32" t="n">
        <v>-2.04</v>
      </c>
      <c r="V241" s="32" t="n">
        <v>0.54</v>
      </c>
      <c r="W241" s="32" t="n">
        <v>5.76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IF(B242=0,"",RANK(B242,$B$2:$B$368,0))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SMARTWORKS</t>
        </is>
      </c>
      <c r="D242" s="31" t="inlineStr">
        <is>
          <t>Smartworks Coworking Spaces Ltd</t>
        </is>
      </c>
      <c r="E242" s="31" t="inlineStr">
        <is>
          <t>co-working</t>
        </is>
      </c>
      <c r="F242" s="31" t="inlineStr">
        <is>
          <t>miscellaneous</t>
        </is>
      </c>
      <c r="G242" s="31" t="inlineStr">
        <is>
          <t>midcap</t>
        </is>
      </c>
      <c r="H242" s="32" t="n">
        <v>5739.96</v>
      </c>
      <c r="I242" s="32" t="n">
        <v>512.9</v>
      </c>
      <c r="J242" s="32" t="n">
        <v>2.1</v>
      </c>
      <c r="K242" s="32" t="n">
        <v>26501</v>
      </c>
      <c r="L242" s="31" t="n">
        <v>17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59.19</v>
      </c>
      <c r="P242" s="32" t="n">
        <v>25.97</v>
      </c>
      <c r="Q242" s="32" t="n">
        <v>398.8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-2.57</v>
      </c>
      <c r="U242" s="32" t="n">
        <v>4.11</v>
      </c>
      <c r="V242" s="32" t="n">
        <v>6.86</v>
      </c>
      <c r="W242" s="32" t="n">
        <v>4.26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More than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IF(B243=0,"",RANK(B243,$B$2:$B$368,0))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BOSCHLTD</t>
        </is>
      </c>
      <c r="D243" s="31" t="inlineStr">
        <is>
          <t>Bosch Limited</t>
        </is>
      </c>
      <c r="E243" s="31" t="inlineStr">
        <is>
          <t>auto</t>
        </is>
      </c>
      <c r="F243" s="31" t="inlineStr">
        <is>
          <t>auto ancillaries</t>
        </is>
      </c>
      <c r="G243" s="31" t="inlineStr">
        <is>
          <t>largecap</t>
        </is>
      </c>
      <c r="H243" s="32" t="n">
        <v>142938.1</v>
      </c>
      <c r="I243" s="32" t="n">
        <v>48750</v>
      </c>
      <c r="J243" s="32" t="n">
        <v>0.6</v>
      </c>
      <c r="K243" s="32" t="n">
        <v>14832</v>
      </c>
      <c r="L243" s="31" t="inlineStr"/>
      <c r="M243" s="31" t="inlineStr"/>
      <c r="N243" s="32">
        <f>IF(M243="Underperforming",-5,IF(L243&gt;=95,15,IF(L243&gt;=90,10,IF(L243&gt;=80,5,0))))</f>
        <v/>
      </c>
      <c r="O243" s="32" t="n">
        <v>76.66</v>
      </c>
      <c r="P243" s="32" t="n">
        <v>32.88</v>
      </c>
      <c r="Q243" s="32" t="n">
        <v>41543.79</v>
      </c>
      <c r="R243" s="31" t="inlineStr">
        <is>
          <t>Near 52W High Breakout</t>
        </is>
      </c>
      <c r="S243" s="31" t="inlineStr">
        <is>
          <t>Nifty Auto</t>
        </is>
      </c>
      <c r="T243" s="32" t="inlineStr"/>
      <c r="U243" s="32" t="inlineStr"/>
      <c r="V243" s="32" t="inlineStr"/>
      <c r="W243" s="32" t="inlineStr"/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Above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IF(B244=0,"",RANK(B244,$B$2:$B$368,0))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RAMRAT</t>
        </is>
      </c>
      <c r="D244" s="31" t="inlineStr">
        <is>
          <t>Ram Ratna Wires Ltd</t>
        </is>
      </c>
      <c r="E244" s="31" t="inlineStr">
        <is>
          <t>metals &amp; mining</t>
        </is>
      </c>
      <c r="F244" s="31" t="inlineStr">
        <is>
          <t>mining / minerals / metals</t>
        </is>
      </c>
      <c r="G244" s="31" t="inlineStr">
        <is>
          <t>smallcap</t>
        </is>
      </c>
      <c r="H244" s="32" t="n">
        <v>4524.16</v>
      </c>
      <c r="I244" s="32" t="n">
        <v>487.3</v>
      </c>
      <c r="J244" s="32" t="n">
        <v>0.55</v>
      </c>
      <c r="K244" s="32" t="n">
        <v>47014</v>
      </c>
      <c r="L244" s="31" t="inlineStr"/>
      <c r="M244" s="31" t="inlineStr"/>
      <c r="N244" s="32">
        <f>IF(M244="Underperforming",-5,IF(L244&gt;=95,15,IF(L244&gt;=90,10,IF(L244&gt;=80,5,0))))</f>
        <v/>
      </c>
      <c r="O244" s="32" t="n">
        <v>71.22</v>
      </c>
      <c r="P244" s="32" t="n">
        <v>42.34</v>
      </c>
      <c r="Q244" s="32" t="n">
        <v>364.92</v>
      </c>
      <c r="R244" s="31" t="inlineStr">
        <is>
          <t>Near 52W High Breakout</t>
        </is>
      </c>
      <c r="S244" s="31" t="inlineStr">
        <is>
          <t>Nifty Metal</t>
        </is>
      </c>
      <c r="T244" s="32" t="inlineStr"/>
      <c r="U244" s="32" t="inlineStr"/>
      <c r="V244" s="32" t="inlineStr"/>
      <c r="W244" s="32" t="inlineStr"/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Cyclical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Volatile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Above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Between 0.7 to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IF(B245=0,"",RANK(B245,$B$2:$B$368,0))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KAPSTON</t>
        </is>
      </c>
      <c r="D245" s="31" t="inlineStr">
        <is>
          <t>Kapston Services Ltd</t>
        </is>
      </c>
      <c r="E245" s="31" t="inlineStr">
        <is>
          <t>miscellaneous</t>
        </is>
      </c>
      <c r="F245" s="31" t="inlineStr">
        <is>
          <t>miscellaneous</t>
        </is>
      </c>
      <c r="G245" s="31" t="inlineStr">
        <is>
          <t>smallcap</t>
        </is>
      </c>
      <c r="H245" s="32" t="n">
        <v>1592.82</v>
      </c>
      <c r="I245" s="32" t="n">
        <v>524</v>
      </c>
      <c r="J245" s="32" t="n">
        <v>0.11</v>
      </c>
      <c r="K245" s="32" t="n">
        <v>7306</v>
      </c>
      <c r="L245" s="31" t="n">
        <v>88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69.28</v>
      </c>
      <c r="P245" s="32" t="n">
        <v>31.97</v>
      </c>
      <c r="Q245" s="32" t="n">
        <v>451.82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-2.57</v>
      </c>
      <c r="U245" s="32" t="n">
        <v>112.42</v>
      </c>
      <c r="V245" s="32" t="n">
        <v>118.01</v>
      </c>
      <c r="W245" s="32" t="n">
        <v>31.03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IF(B246=0,"",RANK(B246,$B$2:$B$368,0))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STLTECH</t>
        </is>
      </c>
      <c r="D246" s="31" t="inlineStr">
        <is>
          <t>Sterlite Technologies Limited</t>
        </is>
      </c>
      <c r="E246" s="31" t="inlineStr">
        <is>
          <t>industrials</t>
        </is>
      </c>
      <c r="F246" s="31" t="inlineStr">
        <is>
          <t>cables - telephone</t>
        </is>
      </c>
      <c r="G246" s="31" t="inlineStr">
        <is>
          <t>largecap</t>
        </is>
      </c>
      <c r="H246" s="32" t="n">
        <v>31923.23</v>
      </c>
      <c r="I246" s="32" t="n">
        <v>621.9</v>
      </c>
      <c r="J246" s="32" t="n">
        <v>0.11</v>
      </c>
      <c r="K246" s="32" t="n">
        <v>337885</v>
      </c>
      <c r="L246" s="31" t="inlineStr"/>
      <c r="M246" s="31" t="inlineStr"/>
      <c r="N246" s="32">
        <f>IF(M246="Underperforming",-5,IF(L246&gt;=95,15,IF(L246&gt;=90,10,IF(L246&gt;=80,5,0))))</f>
        <v/>
      </c>
      <c r="O246" s="32" t="n">
        <v>68.87</v>
      </c>
      <c r="P246" s="32" t="n">
        <v>78.89</v>
      </c>
      <c r="Q246" s="32" t="n">
        <v>461.69</v>
      </c>
      <c r="R246" s="31" t="inlineStr">
        <is>
          <t>Earnings / Momentum Support</t>
        </is>
      </c>
      <c r="S246" s="31" t="inlineStr">
        <is>
          <t>Nifty Infra</t>
        </is>
      </c>
      <c r="T246" s="32" t="inlineStr"/>
      <c r="U246" s="32" t="inlineStr"/>
      <c r="V246" s="32" t="inlineStr"/>
      <c r="W246" s="32" t="inlineStr"/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IF(B247=0,"",RANK(B247,$B$2:$B$368,0))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ROSSTECH</t>
        </is>
      </c>
      <c r="D247" s="31" t="inlineStr">
        <is>
          <t>Rossell Techsys Ltd</t>
        </is>
      </c>
      <c r="E247" s="31" t="inlineStr">
        <is>
          <t>aerospace &amp; defence</t>
        </is>
      </c>
      <c r="F247" s="31" t="inlineStr">
        <is>
          <t>engineering</t>
        </is>
      </c>
      <c r="G247" s="31" t="inlineStr">
        <is>
          <t>smallcap</t>
        </is>
      </c>
      <c r="H247" s="32" t="n">
        <v>4070.09</v>
      </c>
      <c r="I247" s="32" t="n">
        <v>1078</v>
      </c>
      <c r="J247" s="32" t="n">
        <v>-0.16</v>
      </c>
      <c r="K247" s="32" t="n">
        <v>43696</v>
      </c>
      <c r="L247" s="31" t="n">
        <v>56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61.7</v>
      </c>
      <c r="P247" s="32" t="n">
        <v>29.02</v>
      </c>
      <c r="Q247" s="32" t="n">
        <v>751.5599999999999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-2.57</v>
      </c>
      <c r="U247" s="32" t="n">
        <v>57.88</v>
      </c>
      <c r="V247" s="32" t="n">
        <v>62.04</v>
      </c>
      <c r="W247" s="32" t="n">
        <v>13.84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More than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IF(B248=0,"",RANK(B248,$B$2:$B$368,0))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SUMICHEM</t>
        </is>
      </c>
      <c r="D248" s="33" t="inlineStr">
        <is>
          <t>Sumitomo Chemical India Ltd</t>
        </is>
      </c>
      <c r="E248" s="31" t="inlineStr">
        <is>
          <t>chemicals</t>
        </is>
      </c>
      <c r="F248" s="31" t="inlineStr">
        <is>
          <t>pesticides / agrochemicals - indian</t>
        </is>
      </c>
      <c r="G248" s="31" t="inlineStr">
        <is>
          <t>largecap</t>
        </is>
      </c>
      <c r="H248" s="32" t="n">
        <v>27662.66</v>
      </c>
      <c r="I248" s="32" t="n">
        <v>552.75</v>
      </c>
      <c r="J248" s="32" t="n">
        <v>-0.26</v>
      </c>
      <c r="K248" s="32" t="n">
        <v>51427</v>
      </c>
      <c r="L248" s="31" t="n">
        <v>16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62.23</v>
      </c>
      <c r="P248" s="32" t="n">
        <v>33.61</v>
      </c>
      <c r="Q248" s="32" t="n">
        <v>446.76</v>
      </c>
      <c r="R248" s="31" t="inlineStr">
        <is>
          <t>Earnings / Momentum Support</t>
        </is>
      </c>
      <c r="S248" s="31" t="inlineStr">
        <is>
          <t>Nifty 50</t>
        </is>
      </c>
      <c r="T248" s="32" t="n">
        <v>-2.57</v>
      </c>
      <c r="U248" s="32" t="n">
        <v>-7.51</v>
      </c>
      <c r="V248" s="32" t="n">
        <v>-5.07</v>
      </c>
      <c r="W248" s="32" t="n">
        <v>3.34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IF(B249=0,"",RANK(B249,$B$2:$B$368,0))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MANAKSTEEL</t>
        </is>
      </c>
      <c r="D249" s="31" t="inlineStr">
        <is>
          <t>Manaksia Steels Limited</t>
        </is>
      </c>
      <c r="E249" s="31" t="inlineStr">
        <is>
          <t>metals &amp; mining</t>
        </is>
      </c>
      <c r="F249" s="31" t="inlineStr">
        <is>
          <t>steel - medium / small</t>
        </is>
      </c>
      <c r="G249" s="31" t="inlineStr">
        <is>
          <t>smallcap</t>
        </is>
      </c>
      <c r="H249" s="32" t="n">
        <v>560.64</v>
      </c>
      <c r="I249" s="32" t="n">
        <v>85.25</v>
      </c>
      <c r="J249" s="32" t="n">
        <v>-0.35</v>
      </c>
      <c r="K249" s="32" t="n">
        <v>12533</v>
      </c>
      <c r="L249" s="31" t="inlineStr"/>
      <c r="M249" s="31" t="inlineStr"/>
      <c r="N249" s="32">
        <f>IF(M249="Underperforming",-5,IF(L249&gt;=95,15,IF(L249&gt;=90,10,IF(L249&gt;=80,5,0))))</f>
        <v/>
      </c>
      <c r="O249" s="32" t="n">
        <v>64.76000000000001</v>
      </c>
      <c r="P249" s="32" t="n">
        <v>39.55</v>
      </c>
      <c r="Q249" s="32" t="n">
        <v>60.93</v>
      </c>
      <c r="R249" s="31" t="inlineStr">
        <is>
          <t>Near 52W High Breakout</t>
        </is>
      </c>
      <c r="S249" s="31" t="inlineStr">
        <is>
          <t>Nifty Metal</t>
        </is>
      </c>
      <c r="T249" s="32" t="inlineStr"/>
      <c r="U249" s="32" t="inlineStr"/>
      <c r="V249" s="32" t="inlineStr"/>
      <c r="W249" s="32" t="inlineStr"/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Cyclical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Volatile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Blue sky scenario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IF(B250=0,"",RANK(B250,$B$2:$B$368,0))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CRISIL</t>
        </is>
      </c>
      <c r="D250" s="33" t="inlineStr">
        <is>
          <t>Crisil Limited</t>
        </is>
      </c>
      <c r="E250" s="31" t="n">
        <v/>
      </c>
      <c r="F250" s="31" t="n">
        <v/>
      </c>
      <c r="G250" s="31" t="n">
        <v/>
      </c>
      <c r="H250" s="32" t="n">
        <v/>
      </c>
      <c r="I250" s="32" t="n">
        <v>4477.5</v>
      </c>
      <c r="J250" s="32" t="n">
        <v>-0.49</v>
      </c>
      <c r="K250" s="32" t="n">
        <v>5662</v>
      </c>
      <c r="L250" s="31" t="n">
        <v>3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56.89</v>
      </c>
      <c r="P250" s="32" t="n">
        <v>14.38</v>
      </c>
      <c r="Q250" s="32" t="n">
        <v>3848.42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-2.57</v>
      </c>
      <c r="U250" s="32" t="n">
        <v>-14.43</v>
      </c>
      <c r="V250" s="32" t="n">
        <v>-12.18</v>
      </c>
      <c r="W250" s="32" t="n">
        <v>-0.71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IF(B251=0,"",RANK(B251,$B$2:$B$368,0))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MBAPL</t>
        </is>
      </c>
      <c r="D251" s="31" t="inlineStr">
        <is>
          <t>Madhya Bharat Agro Products Ltd</t>
        </is>
      </c>
      <c r="E251" s="31" t="inlineStr">
        <is>
          <t>chemicals</t>
        </is>
      </c>
      <c r="F251" s="31" t="inlineStr">
        <is>
          <t>fertilizers</t>
        </is>
      </c>
      <c r="G251" s="31" t="inlineStr">
        <is>
          <t>smallcap</t>
        </is>
      </c>
      <c r="H251" s="32" t="n">
        <v>1433.84</v>
      </c>
      <c r="I251" s="32" t="n">
        <v>162.79</v>
      </c>
      <c r="J251" s="32" t="n">
        <v>-0.51</v>
      </c>
      <c r="K251" s="32" t="n">
        <v>72037</v>
      </c>
      <c r="L251" s="31" t="n">
        <v>82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76.66</v>
      </c>
      <c r="P251" s="32" t="n">
        <v>67.92</v>
      </c>
      <c r="Q251" s="32" t="n">
        <v>134.6</v>
      </c>
      <c r="R251" s="31" t="inlineStr">
        <is>
          <t>Near 52W High Breakout</t>
        </is>
      </c>
      <c r="S251" s="31" t="inlineStr">
        <is>
          <t>Nifty 50</t>
        </is>
      </c>
      <c r="T251" s="32" t="n">
        <v>-2.57</v>
      </c>
      <c r="U251" s="32" t="n">
        <v>84.19</v>
      </c>
      <c r="V251" s="32" t="n">
        <v>89.04000000000001</v>
      </c>
      <c r="W251" s="32" t="n">
        <v>25.71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Above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Between 12 to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More than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IF(B252=0,"",RANK(B252,$B$2:$B$368,0))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RUBYMILLS</t>
        </is>
      </c>
      <c r="D252" s="31" t="inlineStr">
        <is>
          <t>The Ruby Mills Limited</t>
        </is>
      </c>
      <c r="E252" s="31" t="inlineStr">
        <is>
          <t>textiles</t>
        </is>
      </c>
      <c r="F252" s="31" t="inlineStr">
        <is>
          <t>textiles - composite</t>
        </is>
      </c>
      <c r="G252" s="31" t="inlineStr">
        <is>
          <t>smallcap</t>
        </is>
      </c>
      <c r="H252" s="32" t="n">
        <v>1371.88</v>
      </c>
      <c r="I252" s="32" t="n">
        <v>406.85</v>
      </c>
      <c r="J252" s="32" t="n">
        <v>-0.83</v>
      </c>
      <c r="K252" s="32" t="n">
        <v>2055</v>
      </c>
      <c r="L252" s="31" t="n">
        <v>88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70.64</v>
      </c>
      <c r="P252" s="32" t="n">
        <v>52.95</v>
      </c>
      <c r="Q252" s="32" t="n">
        <v>301.6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-2.57</v>
      </c>
      <c r="U252" s="32" t="n">
        <v>74.17</v>
      </c>
      <c r="V252" s="32" t="n">
        <v>78.76000000000001</v>
      </c>
      <c r="W252" s="32" t="n">
        <v>31.08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IF(B253=0,"",RANK(B253,$B$2:$B$368,0))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ETHOSLTD</t>
        </is>
      </c>
      <c r="D253" s="31" t="inlineStr">
        <is>
          <t>Ethos Ltd</t>
        </is>
      </c>
      <c r="E253" s="31" t="inlineStr">
        <is>
          <t>consumer discretionary</t>
        </is>
      </c>
      <c r="F253" s="31" t="inlineStr">
        <is>
          <t>trading</t>
        </is>
      </c>
      <c r="G253" s="31" t="inlineStr">
        <is>
          <t>midcap</t>
        </is>
      </c>
      <c r="H253" s="32" t="n">
        <v>7759.46</v>
      </c>
      <c r="I253" s="32" t="n">
        <v>2875.1</v>
      </c>
      <c r="J253" s="32" t="n">
        <v>-0.86</v>
      </c>
      <c r="K253" s="32" t="n">
        <v>10174</v>
      </c>
      <c r="L253" s="31" t="n">
        <v>29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63.35</v>
      </c>
      <c r="P253" s="32" t="n">
        <v>18.55</v>
      </c>
      <c r="Q253" s="32" t="n">
        <v>2175.37</v>
      </c>
      <c r="R253" s="31" t="inlineStr">
        <is>
          <t>Volume Spike / Accumulation</t>
        </is>
      </c>
      <c r="S253" s="31" t="inlineStr">
        <is>
          <t>Nifty 50</t>
        </is>
      </c>
      <c r="T253" s="32" t="n">
        <v>-2.57</v>
      </c>
      <c r="U253" s="32" t="n">
        <v>12.7</v>
      </c>
      <c r="V253" s="32" t="n">
        <v>15.67</v>
      </c>
      <c r="W253" s="32" t="n">
        <v>6.98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IF(B254=0,"",RANK(B254,$B$2:$B$368,0))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SUNDRMFAST</t>
        </is>
      </c>
      <c r="D254" s="31" t="inlineStr">
        <is>
          <t>Sundram Fasteners Limited</t>
        </is>
      </c>
      <c r="E254" s="31" t="inlineStr">
        <is>
          <t>auto</t>
        </is>
      </c>
      <c r="F254" s="31" t="inlineStr">
        <is>
          <t>auto ancillaries</t>
        </is>
      </c>
      <c r="G254" s="31" t="inlineStr">
        <is>
          <t>largecap</t>
        </is>
      </c>
      <c r="H254" s="32" t="n">
        <v>26102.15</v>
      </c>
      <c r="I254" s="32" t="n">
        <v>1227.25</v>
      </c>
      <c r="J254" s="32" t="n">
        <v>-1.2</v>
      </c>
      <c r="K254" s="32" t="n">
        <v>30425</v>
      </c>
      <c r="L254" s="31" t="inlineStr"/>
      <c r="M254" s="31" t="inlineStr"/>
      <c r="N254" s="32">
        <f>IF(M254="Underperforming",-5,IF(L254&gt;=95,15,IF(L254&gt;=90,10,IF(L254&gt;=80,5,0))))</f>
        <v/>
      </c>
      <c r="O254" s="32" t="n">
        <v>82.13</v>
      </c>
      <c r="P254" s="32" t="n">
        <v>26.61</v>
      </c>
      <c r="Q254" s="32" t="n">
        <v>1042.93</v>
      </c>
      <c r="R254" s="31" t="inlineStr">
        <is>
          <t>Near 52W High Breakout</t>
        </is>
      </c>
      <c r="S254" s="31" t="inlineStr">
        <is>
          <t>Nifty Auto</t>
        </is>
      </c>
      <c r="T254" s="32" t="inlineStr"/>
      <c r="U254" s="32" t="inlineStr"/>
      <c r="V254" s="32" t="inlineStr"/>
      <c r="W254" s="32" t="inlineStr"/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Between 12 to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IF(B255=0,"",RANK(B255,$B$2:$B$368,0))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VSSL</t>
        </is>
      </c>
      <c r="D255" s="31" t="inlineStr">
        <is>
          <t>Vardhman Special Steels Limited</t>
        </is>
      </c>
      <c r="E255" s="31" t="inlineStr">
        <is>
          <t>metals &amp; mining</t>
        </is>
      </c>
      <c r="F255" s="31" t="inlineStr">
        <is>
          <t>steel - medium / small</t>
        </is>
      </c>
      <c r="G255" s="31" t="inlineStr">
        <is>
          <t>smallcap</t>
        </is>
      </c>
      <c r="H255" s="32" t="n">
        <v>3467.63</v>
      </c>
      <c r="I255" s="32" t="n">
        <v>354.1</v>
      </c>
      <c r="J255" s="32" t="n">
        <v>-1.27</v>
      </c>
      <c r="K255" s="32" t="n">
        <v>36676</v>
      </c>
      <c r="L255" s="31" t="inlineStr"/>
      <c r="M255" s="31" t="inlineStr"/>
      <c r="N255" s="32">
        <f>IF(M255="Underperforming",-5,IF(L255&gt;=95,15,IF(L255&gt;=90,10,IF(L255&gt;=80,5,0))))</f>
        <v/>
      </c>
      <c r="O255" s="32" t="n">
        <v>77.27</v>
      </c>
      <c r="P255" s="32" t="n">
        <v>27.62</v>
      </c>
      <c r="Q255" s="32" t="n">
        <v>285.87</v>
      </c>
      <c r="R255" s="31" t="inlineStr">
        <is>
          <t>Near 52W High Breakout</t>
        </is>
      </c>
      <c r="S255" s="31" t="inlineStr">
        <is>
          <t>Nifty Metal</t>
        </is>
      </c>
      <c r="T255" s="32" t="inlineStr"/>
      <c r="U255" s="32" t="inlineStr"/>
      <c r="V255" s="32" t="inlineStr"/>
      <c r="W255" s="32" t="inlineStr"/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Volatile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IF(B256=0,"",RANK(B256,$B$2:$B$368,0))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PITTIENG</t>
        </is>
      </c>
      <c r="D256" s="31" t="inlineStr">
        <is>
          <t>Pitti Engineering Ltd</t>
        </is>
      </c>
      <c r="E256" s="31" t="inlineStr">
        <is>
          <t>industrials</t>
        </is>
      </c>
      <c r="F256" s="31" t="inlineStr">
        <is>
          <t>engineering</t>
        </is>
      </c>
      <c r="G256" s="31" t="inlineStr">
        <is>
          <t>smallcap</t>
        </is>
      </c>
      <c r="H256" s="32" t="n">
        <v>4026.49</v>
      </c>
      <c r="I256" s="32" t="n">
        <v>1054</v>
      </c>
      <c r="J256" s="32" t="n">
        <v>-1.44</v>
      </c>
      <c r="K256" s="32" t="n">
        <v>34221</v>
      </c>
      <c r="L256" s="31" t="n">
        <v>21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62.96</v>
      </c>
      <c r="P256" s="32" t="n">
        <v>9.050000000000001</v>
      </c>
      <c r="Q256" s="32" t="n">
        <v>832.79</v>
      </c>
      <c r="R256" s="31" t="inlineStr">
        <is>
          <t>Volume Spike &amp; Near 52W High Breakout</t>
        </is>
      </c>
      <c r="S256" s="31" t="inlineStr">
        <is>
          <t>Nifty 50</t>
        </is>
      </c>
      <c r="T256" s="32" t="n">
        <v>-2.57</v>
      </c>
      <c r="U256" s="32" t="n">
        <v>11.13</v>
      </c>
      <c r="V256" s="32" t="n">
        <v>14.06</v>
      </c>
      <c r="W256" s="32" t="n">
        <v>4.67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IF(B257=0,"",RANK(B257,$B$2:$B$368,0))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SOTL</t>
        </is>
      </c>
      <c r="D257" s="31" t="inlineStr">
        <is>
          <t>Savita Oil Technologies Limited</t>
        </is>
      </c>
      <c r="E257" s="31" t="inlineStr">
        <is>
          <t>energy</t>
        </is>
      </c>
      <c r="F257" s="31" t="inlineStr">
        <is>
          <t>petrochemicals</t>
        </is>
      </c>
      <c r="G257" s="31" t="inlineStr">
        <is>
          <t>smallcap</t>
        </is>
      </c>
      <c r="H257" s="32" t="n">
        <v>4795.12</v>
      </c>
      <c r="I257" s="32" t="n">
        <v>689</v>
      </c>
      <c r="J257" s="32" t="n">
        <v>-1.49</v>
      </c>
      <c r="K257" s="32" t="n">
        <v>61035</v>
      </c>
      <c r="L257" s="31" t="n">
        <v>91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64.65000000000001</v>
      </c>
      <c r="P257" s="32" t="n">
        <v>52.19</v>
      </c>
      <c r="Q257" s="32" t="n">
        <v>552.1799999999999</v>
      </c>
      <c r="R257" s="31" t="inlineStr">
        <is>
          <t>Earnings / Momentum Support</t>
        </is>
      </c>
      <c r="S257" s="31" t="inlineStr">
        <is>
          <t>Nifty Energy</t>
        </is>
      </c>
      <c r="T257" s="32" t="n">
        <v>8.23</v>
      </c>
      <c r="U257" s="32" t="n">
        <v>72.13</v>
      </c>
      <c r="V257" s="32" t="n">
        <v>59.04</v>
      </c>
      <c r="W257" s="32" t="n">
        <v>33.78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Oligopoly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Cyclical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Volatile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IF(B258=0,"",RANK(B258,$B$2:$B$368,0))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ALKYLAMINE</t>
        </is>
      </c>
      <c r="D258" s="33" t="inlineStr">
        <is>
          <t>Alkyl Amines Chemicals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midcap</t>
        </is>
      </c>
      <c r="H258" s="32" t="n">
        <v>10004.7</v>
      </c>
      <c r="I258" s="32" t="n">
        <v>1923.8</v>
      </c>
      <c r="J258" s="32" t="n">
        <v>-1.65</v>
      </c>
      <c r="K258" s="32" t="n">
        <v>22846</v>
      </c>
      <c r="L258" s="31" t="n">
        <v>9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63.41</v>
      </c>
      <c r="P258" s="32" t="n">
        <v>40.97</v>
      </c>
      <c r="Q258" s="32" t="n">
        <v>1495.87</v>
      </c>
      <c r="R258" s="31" t="inlineStr">
        <is>
          <t>Earnings / Momentum Support</t>
        </is>
      </c>
      <c r="S258" s="31" t="inlineStr">
        <is>
          <t>Nifty 50</t>
        </is>
      </c>
      <c r="T258" s="32" t="n">
        <v>-2.57</v>
      </c>
      <c r="U258" s="32" t="n">
        <v>-10.05</v>
      </c>
      <c r="V258" s="32" t="n">
        <v>-7.68</v>
      </c>
      <c r="W258" s="32" t="n">
        <v>1.28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Above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IF(B259=0,"",RANK(B259,$B$2:$B$368,0))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APOLLOPIPE</t>
        </is>
      </c>
      <c r="D259" s="31" t="inlineStr">
        <is>
          <t>Apollo Pipes Ltd</t>
        </is>
      </c>
      <c r="E259" s="31" t="inlineStr">
        <is>
          <t>plastic products</t>
        </is>
      </c>
      <c r="F259" s="31" t="inlineStr">
        <is>
          <t>plastics products</t>
        </is>
      </c>
      <c r="G259" s="31" t="inlineStr">
        <is>
          <t>smallcap</t>
        </is>
      </c>
      <c r="H259" s="32" t="n">
        <v>2539.16</v>
      </c>
      <c r="I259" s="32" t="n">
        <v>602.8</v>
      </c>
      <c r="J259" s="32" t="n">
        <v>4.57</v>
      </c>
      <c r="K259" s="32" t="n">
        <v>328196</v>
      </c>
      <c r="L259" s="31" t="n">
        <v>60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75.92</v>
      </c>
      <c r="P259" s="32" t="n">
        <v>45.09</v>
      </c>
      <c r="Q259" s="32" t="n">
        <v>469.67</v>
      </c>
      <c r="R259" s="31" t="inlineStr">
        <is>
          <t>Volume Spike &amp; Near 52W High Breakout</t>
        </is>
      </c>
      <c r="S259" s="31" t="inlineStr">
        <is>
          <t>Nifty 50</t>
        </is>
      </c>
      <c r="T259" s="32" t="n">
        <v>-2.57</v>
      </c>
      <c r="U259" s="32" t="n">
        <v>49.79</v>
      </c>
      <c r="V259" s="32" t="n">
        <v>53.73</v>
      </c>
      <c r="W259" s="32" t="n">
        <v>14.85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B2C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Fully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Yes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Between 1.5 to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IF(B260=0,"",RANK(B260,$B$2:$B$368,0))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TI</t>
        </is>
      </c>
      <c r="D260" s="31" t="inlineStr">
        <is>
          <t>Tilaknagar Industries Limited</t>
        </is>
      </c>
      <c r="E260" s="31" t="inlineStr">
        <is>
          <t>fmcg</t>
        </is>
      </c>
      <c r="F260" s="31" t="inlineStr">
        <is>
          <t>breweries &amp; distilleries</t>
        </is>
      </c>
      <c r="G260" s="31" t="inlineStr">
        <is>
          <t>midcap</t>
        </is>
      </c>
      <c r="H260" s="32" t="n">
        <v>14201.29</v>
      </c>
      <c r="I260" s="32" t="n">
        <v>582.75</v>
      </c>
      <c r="J260" s="32" t="n">
        <v>1.55</v>
      </c>
      <c r="K260" s="32" t="n">
        <v>187044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74.23</v>
      </c>
      <c r="P260" s="32" t="n">
        <v>13.65</v>
      </c>
      <c r="Q260" s="32" t="n">
        <v>473.97</v>
      </c>
      <c r="R260" s="31" t="inlineStr">
        <is>
          <t>Near 52W High Breakout</t>
        </is>
      </c>
      <c r="S260" s="31" t="inlineStr">
        <is>
          <t>Nifty FMCG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B2C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Annuity, Lower One Time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IF(B261=0,"",RANK(B261,$B$2:$B$368,0))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TATATECH</t>
        </is>
      </c>
      <c r="D261" s="31" t="inlineStr">
        <is>
          <t>Tata Technologies Ltd</t>
        </is>
      </c>
      <c r="E261" s="31" t="inlineStr">
        <is>
          <t>i.t</t>
        </is>
      </c>
      <c r="F261" s="31" t="inlineStr">
        <is>
          <t>computers - software - medium / small</t>
        </is>
      </c>
      <c r="G261" s="31" t="inlineStr">
        <is>
          <t>largecap</t>
        </is>
      </c>
      <c r="H261" s="32" t="n">
        <v>32993.74</v>
      </c>
      <c r="I261" s="32" t="n">
        <v>823.5</v>
      </c>
      <c r="J261" s="32" t="n">
        <v>1.35</v>
      </c>
      <c r="K261" s="32" t="n">
        <v>351473</v>
      </c>
      <c r="L261" s="31" t="n">
        <v>40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64.53</v>
      </c>
      <c r="P261" s="32" t="n">
        <v>34.35</v>
      </c>
      <c r="Q261" s="32" t="n">
        <v>696</v>
      </c>
      <c r="R261" s="31" t="inlineStr">
        <is>
          <t>Earnings / Momentum Support</t>
        </is>
      </c>
      <c r="S261" s="31" t="inlineStr">
        <is>
          <t>Nifty IT</t>
        </is>
      </c>
      <c r="T261" s="32" t="n">
        <v>-13.45</v>
      </c>
      <c r="U261" s="32" t="n">
        <v>22.38</v>
      </c>
      <c r="V261" s="32" t="n">
        <v>41.41</v>
      </c>
      <c r="W261" s="32" t="n">
        <v>9.68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IF(B262=0,"",RANK(B262,$B$2:$B$368,0))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APLAPOLLO</t>
        </is>
      </c>
      <c r="D262" s="31" t="inlineStr">
        <is>
          <t>Apl Apollo Tubes Limited</t>
        </is>
      </c>
      <c r="E262" s="31" t="inlineStr">
        <is>
          <t>industrials</t>
        </is>
      </c>
      <c r="F262" s="31" t="inlineStr">
        <is>
          <t>steel - large</t>
        </is>
      </c>
      <c r="G262" s="31" t="inlineStr">
        <is>
          <t>largecap</t>
        </is>
      </c>
      <c r="H262" s="32" t="n">
        <v>58913.56</v>
      </c>
      <c r="I262" s="32" t="n">
        <v>2141.2</v>
      </c>
      <c r="J262" s="32" t="n">
        <v>0.91</v>
      </c>
      <c r="K262" s="32" t="n">
        <v>161287</v>
      </c>
      <c r="L262" s="31" t="inlineStr"/>
      <c r="M262" s="31" t="inlineStr"/>
      <c r="N262" s="32">
        <f>IF(M262="Underperforming",-5,IF(L262&gt;=95,15,IF(L262&gt;=90,10,IF(L262&gt;=80,5,0))))</f>
        <v/>
      </c>
      <c r="O262" s="32" t="n">
        <v>64.73999999999999</v>
      </c>
      <c r="P262" s="32" t="n">
        <v>13.66</v>
      </c>
      <c r="Q262" s="32" t="n">
        <v>1808.87</v>
      </c>
      <c r="R262" s="31" t="inlineStr">
        <is>
          <t>Near 52W High Breakout</t>
        </is>
      </c>
      <c r="S262" s="31" t="inlineStr">
        <is>
          <t>Nifty Metal</t>
        </is>
      </c>
      <c r="T262" s="32" t="inlineStr"/>
      <c r="U262" s="32" t="inlineStr"/>
      <c r="V262" s="32" t="inlineStr"/>
      <c r="W262" s="32" t="inlineStr"/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Oligopoly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Cyclical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B2C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Fully One Time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Above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Yes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IF(B263=0,"",RANK(B263,$B$2:$B$368,0))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CONCORDBIO</t>
        </is>
      </c>
      <c r="D263" s="33" t="inlineStr">
        <is>
          <t>Concord Biotech Ltd</t>
        </is>
      </c>
      <c r="E263" s="31" t="inlineStr">
        <is>
          <t>healthcare</t>
        </is>
      </c>
      <c r="F263" s="31" t="inlineStr">
        <is>
          <t>pharmaceuticals - indian - bulk drugs &amp; formln</t>
        </is>
      </c>
      <c r="G263" s="31" t="inlineStr">
        <is>
          <t>midcap</t>
        </is>
      </c>
      <c r="H263" s="32" t="n">
        <v>16607.82</v>
      </c>
      <c r="I263" s="32" t="n">
        <v>1579.6</v>
      </c>
      <c r="J263" s="32" t="n">
        <v>-0.5</v>
      </c>
      <c r="K263" s="32" t="n">
        <v>38975</v>
      </c>
      <c r="L263" s="31" t="n">
        <v>31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64.53</v>
      </c>
      <c r="P263" s="32" t="n">
        <v>17.91</v>
      </c>
      <c r="Q263" s="32" t="n">
        <v>1208.41</v>
      </c>
      <c r="R263" s="31" t="inlineStr">
        <is>
          <t>Volume Spike / Accumulation</t>
        </is>
      </c>
      <c r="S263" s="31" t="inlineStr">
        <is>
          <t>Nifty Pharma</t>
        </is>
      </c>
      <c r="T263" s="32" t="n">
        <v>18.64</v>
      </c>
      <c r="U263" s="32" t="n">
        <v>-9.69</v>
      </c>
      <c r="V263" s="32" t="n">
        <v>-23.88</v>
      </c>
      <c r="W263" s="32" t="n">
        <v>7.66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Between 1.5 to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IF(B264=0,"",RANK(B264,$B$2:$B$368,0))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AARTIPHARM</t>
        </is>
      </c>
      <c r="D264" s="33" t="inlineStr">
        <is>
          <t>Aarti Pharmalabs Ltd</t>
        </is>
      </c>
      <c r="E264" s="31" t="inlineStr">
        <is>
          <t>healthcare</t>
        </is>
      </c>
      <c r="F264" s="31" t="inlineStr">
        <is>
          <t>pharmaceuticals - indian - bulk drugs &amp; formln</t>
        </is>
      </c>
      <c r="G264" s="31" t="inlineStr">
        <is>
          <t>midcap</t>
        </is>
      </c>
      <c r="H264" s="32" t="n">
        <v>7564.06</v>
      </c>
      <c r="I264" s="32" t="n">
        <v>829</v>
      </c>
      <c r="J264" s="32" t="n">
        <v>-0.62</v>
      </c>
      <c r="K264" s="32" t="n">
        <v>86666</v>
      </c>
      <c r="L264" s="31" t="n">
        <v>15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63.37</v>
      </c>
      <c r="P264" s="32" t="n">
        <v>13.34</v>
      </c>
      <c r="Q264" s="32" t="n">
        <v>650.71</v>
      </c>
      <c r="R264" s="31" t="inlineStr">
        <is>
          <t>Earnings / Momentum Support</t>
        </is>
      </c>
      <c r="S264" s="31" t="inlineStr">
        <is>
          <t>Nifty Pharma</t>
        </is>
      </c>
      <c r="T264" s="32" t="n">
        <v>18.64</v>
      </c>
      <c r="U264" s="32" t="n">
        <v>-3.47</v>
      </c>
      <c r="V264" s="32" t="n">
        <v>-18.64</v>
      </c>
      <c r="W264" s="32" t="n">
        <v>3.23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IF(B265=0,"",RANK(B265,$B$2:$B$368,0))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BECTORFOOD</t>
        </is>
      </c>
      <c r="D265" s="31" t="inlineStr">
        <is>
          <t>Mrs Bectors Food Specialities Ltd</t>
        </is>
      </c>
      <c r="E265" s="31" t="inlineStr">
        <is>
          <t>fmcg</t>
        </is>
      </c>
      <c r="F265" s="31" t="inlineStr">
        <is>
          <t>food - processing - indian</t>
        </is>
      </c>
      <c r="G265" s="31" t="inlineStr">
        <is>
          <t>midcap</t>
        </is>
      </c>
      <c r="H265" s="32" t="n">
        <v>8083.68</v>
      </c>
      <c r="I265" s="32" t="n">
        <v>258.02</v>
      </c>
      <c r="J265" s="32" t="n">
        <v>-2.01</v>
      </c>
      <c r="K265" s="32" t="n">
        <v>390058</v>
      </c>
      <c r="L265" s="31" t="inlineStr"/>
      <c r="M265" s="31" t="inlineStr"/>
      <c r="N265" s="32">
        <f>IF(M265="Underperforming",-5,IF(L265&gt;=95,15,IF(L265&gt;=90,10,IF(L265&gt;=80,5,0))))</f>
        <v/>
      </c>
      <c r="O265" s="32" t="n">
        <v>69.94</v>
      </c>
      <c r="P265" s="32" t="n">
        <v>17.84</v>
      </c>
      <c r="Q265" s="32" t="n">
        <v>200.13</v>
      </c>
      <c r="R265" s="31" t="inlineStr">
        <is>
          <t>Earnings / Momentum Support</t>
        </is>
      </c>
      <c r="S265" s="31" t="inlineStr">
        <is>
          <t>Nifty FMCG</t>
        </is>
      </c>
      <c r="T265" s="32" t="inlineStr"/>
      <c r="U265" s="32" t="inlineStr"/>
      <c r="V265" s="32" t="inlineStr"/>
      <c r="W265" s="32" t="inlineStr"/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B2C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IF(B266=0,"",RANK(B266,$B$2:$B$368,0))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EPL</t>
        </is>
      </c>
      <c r="D266" s="31" t="inlineStr">
        <is>
          <t>EPL Ltd</t>
        </is>
      </c>
      <c r="E266" s="31" t="inlineStr">
        <is>
          <t>industrials</t>
        </is>
      </c>
      <c r="F266" s="31" t="inlineStr">
        <is>
          <t>packaging</t>
        </is>
      </c>
      <c r="G266" s="31" t="inlineStr">
        <is>
          <t>midcap</t>
        </is>
      </c>
      <c r="H266" s="32" t="n">
        <v>8032.61</v>
      </c>
      <c r="I266" s="32" t="n">
        <v>271.58</v>
      </c>
      <c r="J266" s="32" t="n">
        <v>8.289999999999999</v>
      </c>
      <c r="K266" s="32" t="n">
        <v>1799758</v>
      </c>
      <c r="L266" s="31" t="n">
        <v>37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69.37</v>
      </c>
      <c r="P266" s="32" t="n">
        <v>11.77</v>
      </c>
      <c r="Q266" s="32" t="n">
        <v>217.24</v>
      </c>
      <c r="R266" s="31" t="inlineStr">
        <is>
          <t>Volume Spike &amp; Near 52W High Breakout</t>
        </is>
      </c>
      <c r="S266" s="31" t="inlineStr">
        <is>
          <t>Nifty 50</t>
        </is>
      </c>
      <c r="T266" s="32" t="n">
        <v>-2.57</v>
      </c>
      <c r="U266" s="32" t="n">
        <v>16.38</v>
      </c>
      <c r="V266" s="32" t="n">
        <v>19.45</v>
      </c>
      <c r="W266" s="32" t="n">
        <v>8.859999999999999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IF(B267=0,"",RANK(B267,$B$2:$B$368,0))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LUMAXTECH</t>
        </is>
      </c>
      <c r="D267" s="31" t="inlineStr">
        <is>
          <t>Lumax Auto Technologies Limited</t>
        </is>
      </c>
      <c r="E267" s="31" t="inlineStr">
        <is>
          <t>auto</t>
        </is>
      </c>
      <c r="F267" s="31" t="inlineStr">
        <is>
          <t>auto ancillaries</t>
        </is>
      </c>
      <c r="G267" s="31" t="inlineStr">
        <is>
          <t>midcap</t>
        </is>
      </c>
      <c r="H267" s="32" t="n">
        <v>13543.62</v>
      </c>
      <c r="I267" s="32" t="n">
        <v>2045.6</v>
      </c>
      <c r="J267" s="32" t="n">
        <v>2.94</v>
      </c>
      <c r="K267" s="32" t="n">
        <v>42346</v>
      </c>
      <c r="L267" s="31" t="inlineStr"/>
      <c r="M267" s="31" t="inlineStr"/>
      <c r="N267" s="32">
        <f>IF(M267="Underperforming",-5,IF(L267&gt;=95,15,IF(L267&gt;=90,10,IF(L267&gt;=80,5,0))))</f>
        <v/>
      </c>
      <c r="O267" s="32" t="n">
        <v>68.09999999999999</v>
      </c>
      <c r="P267" s="32" t="n">
        <v>16.31</v>
      </c>
      <c r="Q267" s="32" t="n">
        <v>1549.58</v>
      </c>
      <c r="R267" s="31" t="inlineStr">
        <is>
          <t>Near 52W High Breakout</t>
        </is>
      </c>
      <c r="S267" s="31" t="inlineStr">
        <is>
          <t>Nifty Auto</t>
        </is>
      </c>
      <c r="T267" s="32" t="inlineStr"/>
      <c r="U267" s="32" t="inlineStr"/>
      <c r="V267" s="32" t="inlineStr"/>
      <c r="W267" s="32" t="inlineStr"/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IF(B268=0,"",RANK(B268,$B$2:$B$368,0))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KANORICHEM</t>
        </is>
      </c>
      <c r="D268" s="31" t="inlineStr">
        <is>
          <t>Kanoria Chemicals &amp; Industries Limited</t>
        </is>
      </c>
      <c r="E268" s="31" t="inlineStr">
        <is>
          <t>chemicals</t>
        </is>
      </c>
      <c r="F268" s="31" t="inlineStr">
        <is>
          <t>chemicals</t>
        </is>
      </c>
      <c r="G268" s="31" t="inlineStr">
        <is>
          <t>smallcap</t>
        </is>
      </c>
      <c r="H268" s="32" t="n">
        <v>662.39</v>
      </c>
      <c r="I268" s="32" t="n">
        <v>155</v>
      </c>
      <c r="J268" s="32" t="n">
        <v>2.24</v>
      </c>
      <c r="K268" s="32" t="n">
        <v>18441</v>
      </c>
      <c r="L268" s="31" t="n">
        <v>88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71.58</v>
      </c>
      <c r="P268" s="32" t="n">
        <v>55.54</v>
      </c>
      <c r="Q268" s="32" t="n">
        <v>121.12</v>
      </c>
      <c r="R268" s="31" t="inlineStr">
        <is>
          <t>Earnings / Momentum Support</t>
        </is>
      </c>
      <c r="S268" s="31" t="inlineStr">
        <is>
          <t>Nifty 50</t>
        </is>
      </c>
      <c r="T268" s="32" t="n">
        <v>-2.57</v>
      </c>
      <c r="U268" s="32" t="n">
        <v>80.68000000000001</v>
      </c>
      <c r="V268" s="32" t="n">
        <v>85.43000000000001</v>
      </c>
      <c r="W268" s="32" t="n">
        <v>31.32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Above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IF(B269=0,"",RANK(B269,$B$2:$B$368,0))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INDHOTEL</t>
        </is>
      </c>
      <c r="D269" s="33" t="inlineStr">
        <is>
          <t>The Indian Hotels Company Limited</t>
        </is>
      </c>
      <c r="E269" s="31" t="inlineStr">
        <is>
          <t>services</t>
        </is>
      </c>
      <c r="F269" s="31" t="inlineStr">
        <is>
          <t>hotels</t>
        </is>
      </c>
      <c r="G269" s="31" t="inlineStr">
        <is>
          <t>largecap</t>
        </is>
      </c>
      <c r="H269" s="32" t="n">
        <v>102963.97</v>
      </c>
      <c r="I269" s="32" t="n">
        <v>735.85</v>
      </c>
      <c r="J269" s="32" t="n">
        <v>1.73</v>
      </c>
      <c r="K269" s="32" t="n">
        <v>424867</v>
      </c>
      <c r="L269" s="31" t="n">
        <v>12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59.12</v>
      </c>
      <c r="P269" s="32" t="n">
        <v>13.03</v>
      </c>
      <c r="Q269" s="32" t="n">
        <v>651.74</v>
      </c>
      <c r="R269" s="31" t="inlineStr">
        <is>
          <t>Near 52W High Breakout</t>
        </is>
      </c>
      <c r="S269" s="31" t="inlineStr">
        <is>
          <t>Nifty 50</t>
        </is>
      </c>
      <c r="T269" s="32" t="n">
        <v>-2.57</v>
      </c>
      <c r="U269" s="32" t="n">
        <v>-6.3</v>
      </c>
      <c r="V269" s="32" t="n">
        <v>-3.84</v>
      </c>
      <c r="W269" s="32" t="n">
        <v>1.74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IF(B270=0,"",RANK(B270,$B$2:$B$368,0))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PTCIL</t>
        </is>
      </c>
      <c r="D270" s="31" t="inlineStr">
        <is>
          <t>PTC Industries Ltd</t>
        </is>
      </c>
      <c r="E270" s="31" t="inlineStr">
        <is>
          <t>industrials</t>
        </is>
      </c>
      <c r="F270" s="31" t="inlineStr">
        <is>
          <t>castings &amp; forgings</t>
        </is>
      </c>
      <c r="G270" s="31" t="inlineStr">
        <is>
          <t>largecap</t>
        </is>
      </c>
      <c r="H270" s="32" t="n">
        <v>29197.99</v>
      </c>
      <c r="I270" s="32" t="n">
        <v>19576</v>
      </c>
      <c r="J270" s="32" t="n">
        <v>0.52</v>
      </c>
      <c r="K270" s="32" t="n">
        <v>4539</v>
      </c>
      <c r="L270" s="31" t="n">
        <v>54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64.73999999999999</v>
      </c>
      <c r="P270" s="32" t="n">
        <v>22.37</v>
      </c>
      <c r="Q270" s="32" t="n">
        <v>15803.43</v>
      </c>
      <c r="R270" s="31" t="inlineStr">
        <is>
          <t>Volume Spike &amp; Near 52W High Breakout</t>
        </is>
      </c>
      <c r="S270" s="31" t="inlineStr">
        <is>
          <t>Nifty 50</t>
        </is>
      </c>
      <c r="T270" s="32" t="n">
        <v>-2.57</v>
      </c>
      <c r="U270" s="32" t="n">
        <v>42.57</v>
      </c>
      <c r="V270" s="32" t="n">
        <v>46.32</v>
      </c>
      <c r="W270" s="32" t="n">
        <v>12.97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Negative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IF(B271=0,"",RANK(B271,$B$2:$B$368,0))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MARINE</t>
        </is>
      </c>
      <c r="D271" s="31" t="inlineStr">
        <is>
          <t>Marine Electricals (India) Ltd</t>
        </is>
      </c>
      <c r="E271" s="31" t="inlineStr">
        <is>
          <t>industrials</t>
        </is>
      </c>
      <c r="F271" s="31" t="inlineStr">
        <is>
          <t>electric equipment</t>
        </is>
      </c>
      <c r="G271" s="31" t="inlineStr">
        <is>
          <t>midcap</t>
        </is>
      </c>
      <c r="H271" s="32" t="n">
        <v>5198.24</v>
      </c>
      <c r="I271" s="32" t="n">
        <v>373.25</v>
      </c>
      <c r="J271" s="32" t="n">
        <v>0.48</v>
      </c>
      <c r="K271" s="32" t="n">
        <v>332937</v>
      </c>
      <c r="L271" s="31" t="n">
        <v>90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75.83</v>
      </c>
      <c r="P271" s="32" t="n">
        <v>37.26</v>
      </c>
      <c r="Q271" s="32" t="n">
        <v>276.6</v>
      </c>
      <c r="R271" s="31" t="inlineStr">
        <is>
          <t>Near 52W High Breakout</t>
        </is>
      </c>
      <c r="S271" s="31" t="inlineStr">
        <is>
          <t>Nifty 50</t>
        </is>
      </c>
      <c r="T271" s="32" t="n">
        <v>-2.57</v>
      </c>
      <c r="U271" s="32" t="n">
        <v>117.7</v>
      </c>
      <c r="V271" s="32" t="n">
        <v>123.43</v>
      </c>
      <c r="W271" s="32" t="n">
        <v>32.36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Above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Negative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IF(B272=0,"",RANK(B272,$B$2:$B$368,0))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ENDURANCE</t>
        </is>
      </c>
      <c r="D272" s="31" t="inlineStr">
        <is>
          <t>Endurance Technologies Limited</t>
        </is>
      </c>
      <c r="E272" s="31" t="inlineStr">
        <is>
          <t>auto</t>
        </is>
      </c>
      <c r="F272" s="31" t="inlineStr">
        <is>
          <t>auto ancillaries</t>
        </is>
      </c>
      <c r="G272" s="31" t="inlineStr">
        <is>
          <t>largecap</t>
        </is>
      </c>
      <c r="H272" s="32" t="n">
        <v>42038.5</v>
      </c>
      <c r="I272" s="32" t="n">
        <v>3000.7</v>
      </c>
      <c r="J272" s="32" t="n">
        <v>0.4</v>
      </c>
      <c r="K272" s="32" t="n">
        <v>63882</v>
      </c>
      <c r="L272" s="31" t="inlineStr"/>
      <c r="M272" s="31" t="inlineStr"/>
      <c r="N272" s="32">
        <f>IF(M272="Underperforming",-5,IF(L272&gt;=95,15,IF(L272&gt;=90,10,IF(L272&gt;=80,5,0))))</f>
        <v/>
      </c>
      <c r="O272" s="32" t="n">
        <v>66.34</v>
      </c>
      <c r="P272" s="32" t="n">
        <v>18.41</v>
      </c>
      <c r="Q272" s="32" t="n">
        <v>2455.89</v>
      </c>
      <c r="R272" s="31" t="inlineStr">
        <is>
          <t>Near 52W High Breakout</t>
        </is>
      </c>
      <c r="S272" s="31" t="inlineStr">
        <is>
          <t>Nifty Auto</t>
        </is>
      </c>
      <c r="T272" s="32" t="inlineStr"/>
      <c r="U272" s="32" t="inlineStr"/>
      <c r="V272" s="32" t="inlineStr"/>
      <c r="W272" s="32" t="inlineStr"/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IF(B273=0,"",RANK(B273,$B$2:$B$368,0))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SICALLOG</t>
        </is>
      </c>
      <c r="D273" s="31" t="inlineStr">
        <is>
          <t>Sical Logistics Ltd</t>
        </is>
      </c>
      <c r="E273" s="31" t="inlineStr">
        <is>
          <t>transportation</t>
        </is>
      </c>
      <c r="F273" s="31" t="inlineStr">
        <is>
          <t>miscellaneous</t>
        </is>
      </c>
      <c r="G273" s="31" t="inlineStr">
        <is>
          <t>smallcap</t>
        </is>
      </c>
      <c r="H273" s="32" t="n">
        <v>876.4400000000001</v>
      </c>
      <c r="I273" s="32" t="n">
        <v>110.05</v>
      </c>
      <c r="J273" s="32" t="n">
        <v>0.18</v>
      </c>
      <c r="K273" s="32" t="n">
        <v>1557</v>
      </c>
      <c r="L273" s="31" t="n">
        <v>74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62.81</v>
      </c>
      <c r="P273" s="32" t="n">
        <v>30.6</v>
      </c>
      <c r="Q273" s="32" t="n">
        <v>83.59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-2.57</v>
      </c>
      <c r="U273" s="32" t="n">
        <v>11.49</v>
      </c>
      <c r="V273" s="32" t="n">
        <v>14.42</v>
      </c>
      <c r="W273" s="32" t="n">
        <v>21.18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Between 50% to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More than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IF(B274=0,"",RANK(B274,$B$2:$B$368,0))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RGL</t>
        </is>
      </c>
      <c r="D274" s="31" t="inlineStr">
        <is>
          <t>Renaissance Global Ltd</t>
        </is>
      </c>
      <c r="E274" s="31" t="inlineStr">
        <is>
          <t>consumer discretionary</t>
        </is>
      </c>
      <c r="F274" s="31" t="inlineStr">
        <is>
          <t>diamond cutting / jewellery</t>
        </is>
      </c>
      <c r="G274" s="31" t="inlineStr">
        <is>
          <t>smallcap</t>
        </is>
      </c>
      <c r="H274" s="32" t="n">
        <v>1397.19</v>
      </c>
      <c r="I274" s="32" t="n">
        <v>130.33</v>
      </c>
      <c r="J274" s="32" t="n">
        <v>0.15</v>
      </c>
      <c r="K274" s="32" t="n">
        <v>161782</v>
      </c>
      <c r="L274" s="31" t="n">
        <v>40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63.04</v>
      </c>
      <c r="P274" s="32" t="n">
        <v>15.75</v>
      </c>
      <c r="Q274" s="32" t="n">
        <v>96.63</v>
      </c>
      <c r="R274" s="31" t="inlineStr">
        <is>
          <t>Earnings / Momentum Support</t>
        </is>
      </c>
      <c r="S274" s="31" t="inlineStr">
        <is>
          <t>Nifty 50</t>
        </is>
      </c>
      <c r="T274" s="32" t="n">
        <v>-2.57</v>
      </c>
      <c r="U274" s="32" t="n">
        <v>13.78</v>
      </c>
      <c r="V274" s="32" t="n">
        <v>16.78</v>
      </c>
      <c r="W274" s="32" t="n">
        <v>9.609999999999999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IF(B275=0,"",RANK(B275,$B$2:$B$368,0))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NATIONALUM</t>
        </is>
      </c>
      <c r="D275" s="31" t="inlineStr">
        <is>
          <t>National Aluminium Company Limited</t>
        </is>
      </c>
      <c r="E275" s="31" t="inlineStr">
        <is>
          <t>metals &amp; mining</t>
        </is>
      </c>
      <c r="F275" s="31" t="inlineStr">
        <is>
          <t>aluminium and aluminium products</t>
        </is>
      </c>
      <c r="G275" s="31" t="inlineStr">
        <is>
          <t>largecap</t>
        </is>
      </c>
      <c r="H275" s="32" t="n">
        <v>70995</v>
      </c>
      <c r="I275" s="32" t="n">
        <v>386.25</v>
      </c>
      <c r="J275" s="32" t="n">
        <v>-0.08</v>
      </c>
      <c r="K275" s="32" t="n">
        <v>2083756</v>
      </c>
      <c r="L275" s="31" t="inlineStr"/>
      <c r="M275" s="31" t="inlineStr"/>
      <c r="N275" s="32">
        <f>IF(M275="Underperforming",-5,IF(L275&gt;=95,15,IF(L275&gt;=90,10,IF(L275&gt;=80,5,0))))</f>
        <v/>
      </c>
      <c r="O275" s="32" t="n">
        <v>55.51</v>
      </c>
      <c r="P275" s="32" t="n">
        <v>24.35</v>
      </c>
      <c r="Q275" s="32" t="n">
        <v>333.86</v>
      </c>
      <c r="R275" s="31" t="inlineStr">
        <is>
          <t>Earnings / Momentum Support</t>
        </is>
      </c>
      <c r="S275" s="31" t="inlineStr">
        <is>
          <t>Nifty Metal</t>
        </is>
      </c>
      <c r="T275" s="32" t="inlineStr"/>
      <c r="U275" s="32" t="inlineStr"/>
      <c r="V275" s="32" t="inlineStr"/>
      <c r="W275" s="32" t="inlineStr"/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Volatile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IF(B276=0,"",RANK(B276,$B$2:$B$368,0))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UNOMINDA</t>
        </is>
      </c>
      <c r="D276" s="31" t="inlineStr">
        <is>
          <t>Uno Minda Ltd</t>
        </is>
      </c>
      <c r="E276" s="31" t="inlineStr">
        <is>
          <t>auto</t>
        </is>
      </c>
      <c r="F276" s="31" t="inlineStr">
        <is>
          <t>auto ancillaries</t>
        </is>
      </c>
      <c r="G276" s="31" t="inlineStr">
        <is>
          <t>largecap</t>
        </is>
      </c>
      <c r="H276" s="32" t="n">
        <v>73453.83</v>
      </c>
      <c r="I276" s="32" t="n">
        <v>1260.5</v>
      </c>
      <c r="J276" s="32" t="n">
        <v>-0.9</v>
      </c>
      <c r="K276" s="32" t="n">
        <v>576406</v>
      </c>
      <c r="L276" s="31" t="inlineStr"/>
      <c r="M276" s="31" t="inlineStr"/>
      <c r="N276" s="32">
        <f>IF(M276="Underperforming",-5,IF(L276&gt;=95,15,IF(L276&gt;=90,10,IF(L276&gt;=80,5,0))))</f>
        <v/>
      </c>
      <c r="O276" s="32" t="n">
        <v>60.21</v>
      </c>
      <c r="P276" s="32" t="n">
        <v>19.32</v>
      </c>
      <c r="Q276" s="32" t="n">
        <v>1055.81</v>
      </c>
      <c r="R276" s="31" t="inlineStr">
        <is>
          <t>Near 52W High Breakout</t>
        </is>
      </c>
      <c r="S276" s="31" t="inlineStr">
        <is>
          <t>Nifty Auto</t>
        </is>
      </c>
      <c r="T276" s="32" t="inlineStr"/>
      <c r="U276" s="32" t="inlineStr"/>
      <c r="V276" s="32" t="inlineStr"/>
      <c r="W276" s="32" t="inlineStr"/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Blue sky scenario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IF(B277=0,"",RANK(B277,$B$2:$B$368,0))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UGARSUGAR</t>
        </is>
      </c>
      <c r="D277" s="31" t="inlineStr">
        <is>
          <t>The Ugar Sugar Works Limited</t>
        </is>
      </c>
      <c r="E277" s="31" t="inlineStr">
        <is>
          <t>fmcg</t>
        </is>
      </c>
      <c r="F277" s="31" t="inlineStr">
        <is>
          <t>sugar</t>
        </is>
      </c>
      <c r="G277" s="31" t="inlineStr">
        <is>
          <t>smallcap</t>
        </is>
      </c>
      <c r="H277" s="32" t="n">
        <v>567.11</v>
      </c>
      <c r="I277" s="32" t="n">
        <v>56.07</v>
      </c>
      <c r="J277" s="32" t="n">
        <v>11.23</v>
      </c>
      <c r="K277" s="32" t="n">
        <v>1255601</v>
      </c>
      <c r="L277" s="31" t="inlineStr"/>
      <c r="M277" s="31" t="inlineStr"/>
      <c r="N277" s="32">
        <f>IF(M277="Underperforming",-5,IF(L277&gt;=95,15,IF(L277&gt;=90,10,IF(L277&gt;=80,5,0))))</f>
        <v/>
      </c>
      <c r="O277" s="32" t="n">
        <v>79.97</v>
      </c>
      <c r="P277" s="32" t="n">
        <v>17.34</v>
      </c>
      <c r="Q277" s="32" t="n">
        <v>43.1</v>
      </c>
      <c r="R277" s="31" t="inlineStr">
        <is>
          <t>Volume Spike &amp; Near 52W High Breakout</t>
        </is>
      </c>
      <c r="S277" s="31" t="inlineStr">
        <is>
          <t>Nifty FMCG</t>
        </is>
      </c>
      <c r="T277" s="32" t="inlineStr"/>
      <c r="U277" s="32" t="inlineStr"/>
      <c r="V277" s="32" t="inlineStr"/>
      <c r="W277" s="32" t="inlineStr"/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B2C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Above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IF(B278=0,"",RANK(B278,$B$2:$B$368,0))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UTTAMSUGAR</t>
        </is>
      </c>
      <c r="D278" s="31" t="inlineStr">
        <is>
          <t>Uttam Sugar Mills Limited</t>
        </is>
      </c>
      <c r="E278" s="31" t="inlineStr">
        <is>
          <t>fmcg</t>
        </is>
      </c>
      <c r="F278" s="31" t="inlineStr">
        <is>
          <t>sugar</t>
        </is>
      </c>
      <c r="G278" s="31" t="inlineStr">
        <is>
          <t>smallcap</t>
        </is>
      </c>
      <c r="H278" s="32" t="n">
        <v>1147.92</v>
      </c>
      <c r="I278" s="32" t="n">
        <v>332.64</v>
      </c>
      <c r="J278" s="32" t="n">
        <v>10.52</v>
      </c>
      <c r="K278" s="32" t="n">
        <v>544872</v>
      </c>
      <c r="L278" s="31" t="inlineStr"/>
      <c r="M278" s="31" t="inlineStr"/>
      <c r="N278" s="32">
        <f>IF(M278="Underperforming",-5,IF(L278&gt;=95,15,IF(L278&gt;=90,10,IF(L278&gt;=80,5,0))))</f>
        <v/>
      </c>
      <c r="O278" s="32" t="n">
        <v>74.63</v>
      </c>
      <c r="P278" s="32" t="n">
        <v>15.09</v>
      </c>
      <c r="Q278" s="32" t="n">
        <v>254.04</v>
      </c>
      <c r="R278" s="31" t="inlineStr">
        <is>
          <t>Volume Spike &amp; Near 52W High Breakout</t>
        </is>
      </c>
      <c r="S278" s="31" t="inlineStr">
        <is>
          <t>Nifty FMCG</t>
        </is>
      </c>
      <c r="T278" s="32" t="inlineStr"/>
      <c r="U278" s="32" t="inlineStr"/>
      <c r="V278" s="32" t="inlineStr"/>
      <c r="W278" s="32" t="inlineStr"/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B2C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Annuity, Lower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Between 0.7 to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IF(B279=0,"",RANK(B279,$B$2:$B$368,0))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MAGADSUGAR</t>
        </is>
      </c>
      <c r="D279" s="31" t="inlineStr">
        <is>
          <t>Magadh Sugar &amp; Energy Ltd</t>
        </is>
      </c>
      <c r="E279" s="31" t="inlineStr">
        <is>
          <t>fmcg</t>
        </is>
      </c>
      <c r="F279" s="31" t="inlineStr">
        <is>
          <t>sugar</t>
        </is>
      </c>
      <c r="G279" s="31" t="inlineStr">
        <is>
          <t>smallcap</t>
        </is>
      </c>
      <c r="H279" s="32" t="n">
        <v>818.09</v>
      </c>
      <c r="I279" s="32" t="n">
        <v>623.4</v>
      </c>
      <c r="J279" s="32" t="n">
        <v>7.38</v>
      </c>
      <c r="K279" s="32" t="n">
        <v>85527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75.56999999999999</v>
      </c>
      <c r="P279" s="32" t="n">
        <v>17.91</v>
      </c>
      <c r="Q279" s="32" t="n">
        <v>488.64</v>
      </c>
      <c r="R279" s="31" t="inlineStr">
        <is>
          <t>Volume Spike &amp; Near 52W High Breakout</t>
        </is>
      </c>
      <c r="S279" s="31" t="inlineStr">
        <is>
          <t>Nifty FMCG</t>
        </is>
      </c>
      <c r="T279" s="32" t="inlineStr"/>
      <c r="U279" s="32" t="inlineStr"/>
      <c r="V279" s="32" t="inlineStr"/>
      <c r="W279" s="32" t="inlineStr"/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B2C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Above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IF(B280=0,"",RANK(B280,$B$2:$B$368,0))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BCLIND</t>
        </is>
      </c>
      <c r="D280" s="31" t="inlineStr">
        <is>
          <t>BCL Industries Ltd</t>
        </is>
      </c>
      <c r="E280" s="31" t="inlineStr">
        <is>
          <t>fmcg</t>
        </is>
      </c>
      <c r="F280" s="31" t="inlineStr">
        <is>
          <t>breweries &amp; distilleries</t>
        </is>
      </c>
      <c r="G280" s="31" t="inlineStr">
        <is>
          <t>smallcap</t>
        </is>
      </c>
      <c r="H280" s="32" t="n">
        <v>1057.28</v>
      </c>
      <c r="I280" s="32" t="n">
        <v>37.37</v>
      </c>
      <c r="J280" s="32" t="n">
        <v>4.33</v>
      </c>
      <c r="K280" s="32" t="n">
        <v>341210</v>
      </c>
      <c r="L280" s="31" t="inlineStr"/>
      <c r="M280" s="31" t="inlineStr"/>
      <c r="N280" s="32">
        <f>IF(M280="Underperforming",-5,IF(L280&gt;=95,15,IF(L280&gt;=90,10,IF(L280&gt;=80,5,0))))</f>
        <v/>
      </c>
      <c r="O280" s="32" t="n">
        <v>56.43</v>
      </c>
      <c r="P280" s="32" t="n">
        <v>13.8</v>
      </c>
      <c r="Q280" s="32" t="n">
        <v>28.02</v>
      </c>
      <c r="R280" s="31" t="inlineStr">
        <is>
          <t>Earnings / Momentum Support</t>
        </is>
      </c>
      <c r="S280" s="31" t="inlineStr">
        <is>
          <t>Nifty FMCG</t>
        </is>
      </c>
      <c r="T280" s="32" t="inlineStr"/>
      <c r="U280" s="32" t="inlineStr"/>
      <c r="V280" s="32" t="inlineStr"/>
      <c r="W280" s="32" t="inlineStr"/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B2C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IF(B281=0,"",RANK(B281,$B$2:$B$368,0))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PVRINOX</t>
        </is>
      </c>
      <c r="D281" s="31" t="inlineStr">
        <is>
          <t>PVR Inox Ltd</t>
        </is>
      </c>
      <c r="E281" s="31" t="inlineStr">
        <is>
          <t>media</t>
        </is>
      </c>
      <c r="F281" s="31" t="inlineStr">
        <is>
          <t>entertainment / electronic media software</t>
        </is>
      </c>
      <c r="G281" s="31" t="inlineStr">
        <is>
          <t>midcap</t>
        </is>
      </c>
      <c r="H281" s="32" t="n">
        <v>11792.83</v>
      </c>
      <c r="I281" s="32" t="n">
        <v>1220</v>
      </c>
      <c r="J281" s="32" t="n">
        <v>1.59</v>
      </c>
      <c r="K281" s="32" t="n">
        <v>83973</v>
      </c>
      <c r="L281" s="31" t="n">
        <v>29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71.86</v>
      </c>
      <c r="P281" s="32" t="n">
        <v>17.83</v>
      </c>
      <c r="Q281" s="32" t="n">
        <v>1022.57</v>
      </c>
      <c r="R281" s="31" t="inlineStr">
        <is>
          <t>Near 52W High Breakout</t>
        </is>
      </c>
      <c r="S281" s="31" t="inlineStr">
        <is>
          <t>Nifty IT</t>
        </is>
      </c>
      <c r="T281" s="32" t="n">
        <v>-13.45</v>
      </c>
      <c r="U281" s="32" t="n">
        <v>7.81</v>
      </c>
      <c r="V281" s="32" t="n">
        <v>24.56</v>
      </c>
      <c r="W281" s="32" t="n">
        <v>6.98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Between 0.7 to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IF(B282=0,"",RANK(B282,$B$2:$B$368,0))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MUKKA</t>
        </is>
      </c>
      <c r="D282" s="31" t="inlineStr">
        <is>
          <t>Mukka Proteins Ltd</t>
        </is>
      </c>
      <c r="E282" s="31" t="inlineStr">
        <is>
          <t>fmcg</t>
        </is>
      </c>
      <c r="F282" s="31" t="inlineStr">
        <is>
          <t>food - processing - indian</t>
        </is>
      </c>
      <c r="G282" s="31" t="inlineStr">
        <is>
          <t>smallcap</t>
        </is>
      </c>
      <c r="H282" s="32" t="n">
        <v>791.4</v>
      </c>
      <c r="I282" s="32" t="n">
        <v>26.26</v>
      </c>
      <c r="J282" s="32" t="n">
        <v>-0.45</v>
      </c>
      <c r="K282" s="32" t="n">
        <v>82996</v>
      </c>
      <c r="L282" s="31" t="inlineStr"/>
      <c r="M282" s="31" t="inlineStr"/>
      <c r="N282" s="32">
        <f>IF(M282="Underperforming",-5,IF(L282&gt;=95,15,IF(L282&gt;=90,10,IF(L282&gt;=80,5,0))))</f>
        <v/>
      </c>
      <c r="O282" s="32" t="n">
        <v>62.01</v>
      </c>
      <c r="P282" s="32" t="n">
        <v>10.02</v>
      </c>
      <c r="Q282" s="32" t="n">
        <v>20.36</v>
      </c>
      <c r="R282" s="31" t="inlineStr">
        <is>
          <t>Earnings / Momentum Support</t>
        </is>
      </c>
      <c r="S282" s="31" t="inlineStr">
        <is>
          <t>Nifty FMCG</t>
        </is>
      </c>
      <c r="T282" s="32" t="inlineStr"/>
      <c r="U282" s="32" t="inlineStr"/>
      <c r="V282" s="32" t="inlineStr"/>
      <c r="W282" s="32" t="inlineStr"/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B2C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More than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IF(B283=0,"",RANK(B283,$B$2:$B$368,0))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HCG</t>
        </is>
      </c>
      <c r="D283" s="33" t="inlineStr">
        <is>
          <t>Healthcare Global Enterprises Limited</t>
        </is>
      </c>
      <c r="E283" s="31" t="inlineStr">
        <is>
          <t>healthcare</t>
        </is>
      </c>
      <c r="F283" s="31" t="inlineStr">
        <is>
          <t>healthcare</t>
        </is>
      </c>
      <c r="G283" s="31" t="inlineStr">
        <is>
          <t>midcap</t>
        </is>
      </c>
      <c r="H283" s="32" t="n">
        <v>11126.75</v>
      </c>
      <c r="I283" s="32" t="n">
        <v>731</v>
      </c>
      <c r="J283" s="32" t="n">
        <v>-1.91</v>
      </c>
      <c r="K283" s="32" t="n">
        <v>25845</v>
      </c>
      <c r="L283" s="31" t="n">
        <v>19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70.88</v>
      </c>
      <c r="P283" s="32" t="n">
        <v>30.4</v>
      </c>
      <c r="Q283" s="32" t="n">
        <v>598.12</v>
      </c>
      <c r="R283" s="31" t="inlineStr">
        <is>
          <t>Near 52W High Breakout</t>
        </is>
      </c>
      <c r="S283" s="31" t="inlineStr">
        <is>
          <t>Nifty Pharma</t>
        </is>
      </c>
      <c r="T283" s="32" t="n">
        <v>18.64</v>
      </c>
      <c r="U283" s="32" t="n">
        <v>7.78</v>
      </c>
      <c r="V283" s="32" t="n">
        <v>-9.15</v>
      </c>
      <c r="W283" s="32" t="n">
        <v>4.51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Annuity, Lower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More than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IF(B284=0,"",RANK(B284,$B$2:$B$368,0))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GENUSPOWER</t>
        </is>
      </c>
      <c r="D284" s="33" t="inlineStr">
        <is>
          <t>Genus Power Infrastructures Limited</t>
        </is>
      </c>
      <c r="E284" s="31" t="inlineStr">
        <is>
          <t>consumer discretionary</t>
        </is>
      </c>
      <c r="F284" s="31" t="inlineStr">
        <is>
          <t>electronics - components</t>
        </is>
      </c>
      <c r="G284" s="31" t="inlineStr">
        <is>
          <t>midcap</t>
        </is>
      </c>
      <c r="H284" s="32" t="n">
        <v>9410.219999999999</v>
      </c>
      <c r="I284" s="32" t="n">
        <v>334.25</v>
      </c>
      <c r="J284" s="32" t="n">
        <v>8.07</v>
      </c>
      <c r="K284" s="32" t="n">
        <v>5862051</v>
      </c>
      <c r="L284" s="31" t="n">
        <v>8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61.32</v>
      </c>
      <c r="P284" s="32" t="n">
        <v>8.1</v>
      </c>
      <c r="Q284" s="32" t="n">
        <v>253.35</v>
      </c>
      <c r="R284" s="31" t="inlineStr">
        <is>
          <t>Earnings / Momentum Support</t>
        </is>
      </c>
      <c r="S284" s="31" t="inlineStr">
        <is>
          <t>Nifty 50</t>
        </is>
      </c>
      <c r="T284" s="32" t="n">
        <v>-2.57</v>
      </c>
      <c r="U284" s="32" t="n">
        <v>-6.16</v>
      </c>
      <c r="V284" s="32" t="n">
        <v>-3.69</v>
      </c>
      <c r="W284" s="32" t="n">
        <v>0.8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Between 0.7 to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IF(B285=0,"",RANK(B285,$B$2:$B$368,0))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RATNAVEER</t>
        </is>
      </c>
      <c r="D285" s="31" t="inlineStr">
        <is>
          <t>Ratnaveer Precision Engineering Ltd</t>
        </is>
      </c>
      <c r="E285" s="31" t="inlineStr">
        <is>
          <t>metals &amp; mining</t>
        </is>
      </c>
      <c r="F285" s="31" t="inlineStr">
        <is>
          <t>steel - medium / small</t>
        </is>
      </c>
      <c r="G285" s="31" t="inlineStr">
        <is>
          <t>smallcap</t>
        </is>
      </c>
      <c r="H285" s="32" t="n">
        <v>1788.52</v>
      </c>
      <c r="I285" s="32" t="n">
        <v>269.24</v>
      </c>
      <c r="J285" s="32" t="n">
        <v>7.52</v>
      </c>
      <c r="K285" s="32" t="n">
        <v>3775345</v>
      </c>
      <c r="L285" s="31" t="inlineStr"/>
      <c r="M285" s="31" t="inlineStr"/>
      <c r="N285" s="32">
        <f>IF(M285="Underperforming",-5,IF(L285&gt;=95,15,IF(L285&gt;=90,10,IF(L285&gt;=80,5,0))))</f>
        <v/>
      </c>
      <c r="O285" s="32" t="n">
        <v>79.06</v>
      </c>
      <c r="P285" s="32" t="n">
        <v>51.03</v>
      </c>
      <c r="Q285" s="32" t="n">
        <v>203.66</v>
      </c>
      <c r="R285" s="31" t="inlineStr">
        <is>
          <t>Near 52W High Breakout</t>
        </is>
      </c>
      <c r="S285" s="31" t="inlineStr">
        <is>
          <t>Nifty Metal</t>
        </is>
      </c>
      <c r="T285" s="32" t="inlineStr"/>
      <c r="U285" s="32" t="inlineStr"/>
      <c r="V285" s="32" t="inlineStr"/>
      <c r="W285" s="32" t="inlineStr"/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Cyclical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Volatile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Above 40</t>
        </is>
      </c>
      <c r="AY285" s="31">
        <f>IF(AX285="Above 40",20,IF(AX285="20 to 40",10,IF(AX285="0 to 20",-5,0)))</f>
        <v/>
      </c>
      <c r="AZ285" s="31" t="inlineStr">
        <is>
          <t>Above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Blue sky scenario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IF(B286=0,"",RANK(B286,$B$2:$B$368,0))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RBA</t>
        </is>
      </c>
      <c r="D286" s="31" t="inlineStr">
        <is>
          <t>Restaurant Brands Asia Ltd</t>
        </is>
      </c>
      <c r="E286" s="31" t="inlineStr">
        <is>
          <t>consumer discretionary</t>
        </is>
      </c>
      <c r="F286" s="31" t="inlineStr">
        <is>
          <t>hotels</t>
        </is>
      </c>
      <c r="G286" s="31" t="inlineStr">
        <is>
          <t>midcap</t>
        </is>
      </c>
      <c r="H286" s="32" t="n">
        <v>7192.63</v>
      </c>
      <c r="I286" s="32" t="n">
        <v>105.4</v>
      </c>
      <c r="J286" s="32" t="n">
        <v>4.29</v>
      </c>
      <c r="K286" s="32" t="n">
        <v>1850732</v>
      </c>
      <c r="L286" s="31" t="n">
        <v>71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77.87</v>
      </c>
      <c r="P286" s="32" t="n">
        <v>31.75</v>
      </c>
      <c r="Q286" s="32" t="n">
        <v>83.97</v>
      </c>
      <c r="R286" s="31" t="inlineStr">
        <is>
          <t>Near 52W High Breakout</t>
        </is>
      </c>
      <c r="S286" s="31" t="inlineStr">
        <is>
          <t>Nifty 50</t>
        </is>
      </c>
      <c r="T286" s="32" t="n">
        <v>-2.57</v>
      </c>
      <c r="U286" s="32" t="n">
        <v>31.23</v>
      </c>
      <c r="V286" s="32" t="n">
        <v>34.69</v>
      </c>
      <c r="W286" s="32" t="n">
        <v>19.45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Above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More than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IF(B287=0,"",RANK(B287,$B$2:$B$368,0))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RITCO</t>
        </is>
      </c>
      <c r="D287" s="31" t="inlineStr">
        <is>
          <t>Ritco Logistics Ltd</t>
        </is>
      </c>
      <c r="E287" s="31" t="inlineStr">
        <is>
          <t>transportation</t>
        </is>
      </c>
      <c r="F287" s="31" t="inlineStr">
        <is>
          <t>miscellaneous</t>
        </is>
      </c>
      <c r="G287" s="31" t="inlineStr">
        <is>
          <t>smallcap</t>
        </is>
      </c>
      <c r="H287" s="32" t="n">
        <v>895.89</v>
      </c>
      <c r="I287" s="32" t="n">
        <v>322.7</v>
      </c>
      <c r="J287" s="32" t="n">
        <v>3.1</v>
      </c>
      <c r="K287" s="32" t="n">
        <v>66619</v>
      </c>
      <c r="L287" s="31" t="n">
        <v>34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68.87</v>
      </c>
      <c r="P287" s="32" t="n">
        <v>36.85</v>
      </c>
      <c r="Q287" s="32" t="n">
        <v>241.49</v>
      </c>
      <c r="R287" s="31" t="inlineStr">
        <is>
          <t>Near 52W High Breakout</t>
        </is>
      </c>
      <c r="S287" s="31" t="inlineStr">
        <is>
          <t>Nifty 50</t>
        </is>
      </c>
      <c r="T287" s="32" t="n">
        <v>-2.57</v>
      </c>
      <c r="U287" s="32" t="n">
        <v>14.51</v>
      </c>
      <c r="V287" s="32" t="n">
        <v>17.53</v>
      </c>
      <c r="W287" s="32" t="n">
        <v>8.35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More than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IF(B288=0,"",RANK(B288,$B$2:$B$368,0))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TNPETRO</t>
        </is>
      </c>
      <c r="D288" s="31" t="inlineStr">
        <is>
          <t>Tamilnadu Petroproducts Limited</t>
        </is>
      </c>
      <c r="E288" s="31" t="inlineStr">
        <is>
          <t>energy</t>
        </is>
      </c>
      <c r="F288" s="31" t="inlineStr">
        <is>
          <t>petrochemicals</t>
        </is>
      </c>
      <c r="G288" s="31" t="inlineStr">
        <is>
          <t>smallcap</t>
        </is>
      </c>
      <c r="H288" s="32" t="n">
        <v>1020.91</v>
      </c>
      <c r="I288" s="32" t="n">
        <v>115.32</v>
      </c>
      <c r="J288" s="32" t="n">
        <v>1.63</v>
      </c>
      <c r="K288" s="32" t="n">
        <v>149188</v>
      </c>
      <c r="L288" s="31" t="n">
        <v>42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72.91</v>
      </c>
      <c r="P288" s="32" t="n">
        <v>23.08</v>
      </c>
      <c r="Q288" s="32" t="n">
        <v>90.31</v>
      </c>
      <c r="R288" s="31" t="inlineStr">
        <is>
          <t>Volume Spike / Accumulation</t>
        </is>
      </c>
      <c r="S288" s="31" t="inlineStr">
        <is>
          <t>Nifty Energy</t>
        </is>
      </c>
      <c r="T288" s="32" t="n">
        <v>8.23</v>
      </c>
      <c r="U288" s="32" t="n">
        <v>13.42</v>
      </c>
      <c r="V288" s="32" t="n">
        <v>4.8</v>
      </c>
      <c r="W288" s="32" t="n">
        <v>10.06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Oligopoly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Yes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IF(B289=0,"",RANK(B289,$B$2:$B$368,0))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YUKEN</t>
        </is>
      </c>
      <c r="D289" s="33" t="inlineStr">
        <is>
          <t>Yuken India Ltd</t>
        </is>
      </c>
      <c r="E289" s="31" t="inlineStr">
        <is>
          <t>industrials</t>
        </is>
      </c>
      <c r="F289" s="31" t="inlineStr">
        <is>
          <t>engineering</t>
        </is>
      </c>
      <c r="G289" s="31" t="inlineStr">
        <is>
          <t>smallcap</t>
        </is>
      </c>
      <c r="H289" s="32" t="n">
        <v>1274.04</v>
      </c>
      <c r="I289" s="32" t="n">
        <v>949.4</v>
      </c>
      <c r="J289" s="32" t="n">
        <v>1.23</v>
      </c>
      <c r="K289" s="32" t="n">
        <v>21009</v>
      </c>
      <c r="L289" s="31" t="n">
        <v>39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68.38</v>
      </c>
      <c r="P289" s="32" t="n">
        <v>19.12</v>
      </c>
      <c r="Q289" s="32" t="n">
        <v>743.41</v>
      </c>
      <c r="R289" s="31" t="inlineStr">
        <is>
          <t>Volume Spike / Accumulation</t>
        </is>
      </c>
      <c r="S289" s="31" t="inlineStr">
        <is>
          <t>Nifty 50</t>
        </is>
      </c>
      <c r="T289" s="32" t="n">
        <v>-2.57</v>
      </c>
      <c r="U289" s="32" t="n">
        <v>-5.86</v>
      </c>
      <c r="V289" s="32" t="n">
        <v>-3.38</v>
      </c>
      <c r="W289" s="32" t="n">
        <v>9.57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IF(B290=0,"",RANK(B290,$B$2:$B$368,0))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CONCOR</t>
        </is>
      </c>
      <c r="D290" s="33" t="inlineStr">
        <is>
          <t>Container Corporation Of India Limited</t>
        </is>
      </c>
      <c r="E290" s="31" t="inlineStr">
        <is>
          <t>transportation</t>
        </is>
      </c>
      <c r="F290" s="31" t="inlineStr">
        <is>
          <t>miscellaneous</t>
        </is>
      </c>
      <c r="G290" s="31" t="inlineStr">
        <is>
          <t>largecap</t>
        </is>
      </c>
      <c r="H290" s="32" t="n">
        <v>39173.82</v>
      </c>
      <c r="I290" s="32" t="n">
        <v>519</v>
      </c>
      <c r="J290" s="32" t="n">
        <v>0.9</v>
      </c>
      <c r="K290" s="32" t="n">
        <v>166400</v>
      </c>
      <c r="L290" s="31" t="n">
        <v>5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55.46</v>
      </c>
      <c r="P290" s="32" t="n">
        <v>14.16</v>
      </c>
      <c r="Q290" s="32" t="n">
        <v>434.06</v>
      </c>
      <c r="R290" s="31" t="inlineStr">
        <is>
          <t>Near 52W High Breakout</t>
        </is>
      </c>
      <c r="S290" s="31" t="inlineStr">
        <is>
          <t>Nifty 50</t>
        </is>
      </c>
      <c r="T290" s="32" t="n">
        <v>-2.57</v>
      </c>
      <c r="U290" s="32" t="n">
        <v>-3.86</v>
      </c>
      <c r="V290" s="32" t="n">
        <v>-1.33</v>
      </c>
      <c r="W290" s="32" t="n">
        <v>-0.16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IF(B291=0,"",RANK(B291,$B$2:$B$368,0))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FOSECOIND</t>
        </is>
      </c>
      <c r="D291" s="33" t="inlineStr">
        <is>
          <t>Foseco India Limited</t>
        </is>
      </c>
      <c r="E291" s="31" t="inlineStr">
        <is>
          <t>chemicals</t>
        </is>
      </c>
      <c r="F291" s="31" t="inlineStr">
        <is>
          <t>chemicals</t>
        </is>
      </c>
      <c r="G291" s="31" t="inlineStr">
        <is>
          <t>smallcap</t>
        </is>
      </c>
      <c r="H291" s="32" t="n">
        <v>4120.62</v>
      </c>
      <c r="I291" s="32" t="n">
        <v>5514.5</v>
      </c>
      <c r="J291" s="32" t="n">
        <v>0.87</v>
      </c>
      <c r="K291" s="32" t="n">
        <v>2349</v>
      </c>
      <c r="L291" s="31" t="n">
        <v>3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59.67</v>
      </c>
      <c r="P291" s="32" t="n">
        <v>20.27</v>
      </c>
      <c r="Q291" s="32" t="n">
        <v>4495.22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-2.57</v>
      </c>
      <c r="U291" s="32" t="n">
        <v>-14.46</v>
      </c>
      <c r="V291" s="32" t="n">
        <v>-12.21</v>
      </c>
      <c r="W291" s="32" t="n">
        <v>-0.65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IF(B292=0,"",RANK(B292,$B$2:$B$368,0))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DOLPHIN</t>
        </is>
      </c>
      <c r="D292" s="31" t="inlineStr">
        <is>
          <t>Dolphin Offshore Enterprises (India) Ltd</t>
        </is>
      </c>
      <c r="E292" s="31" t="inlineStr">
        <is>
          <t>energy</t>
        </is>
      </c>
      <c r="F292" s="31" t="inlineStr">
        <is>
          <t>oil drilling / allied services</t>
        </is>
      </c>
      <c r="G292" s="31" t="inlineStr">
        <is>
          <t>smallcap</t>
        </is>
      </c>
      <c r="H292" s="32" t="n">
        <v>2477.28</v>
      </c>
      <c r="I292" s="32" t="n">
        <v>624.1</v>
      </c>
      <c r="J292" s="32" t="n">
        <v>0.78</v>
      </c>
      <c r="K292" s="32" t="n">
        <v>53323</v>
      </c>
      <c r="L292" s="31" t="n">
        <v>71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81.01000000000001</v>
      </c>
      <c r="P292" s="32" t="n">
        <v>30.63</v>
      </c>
      <c r="Q292" s="32" t="n">
        <v>464.27</v>
      </c>
      <c r="R292" s="31" t="inlineStr">
        <is>
          <t>Volume Spike &amp; Near 52W High Breakout</t>
        </is>
      </c>
      <c r="S292" s="31" t="inlineStr">
        <is>
          <t>Nifty Energy</t>
        </is>
      </c>
      <c r="T292" s="32" t="n">
        <v>8.23</v>
      </c>
      <c r="U292" s="32" t="n">
        <v>40.68</v>
      </c>
      <c r="V292" s="32" t="n">
        <v>29.98</v>
      </c>
      <c r="W292" s="32" t="n">
        <v>19.29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Cyclical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Above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IF(B293=0,"",RANK(B293,$B$2:$B$368,0))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AEROFLEX</t>
        </is>
      </c>
      <c r="D293" s="31" t="inlineStr">
        <is>
          <t>Aeroflex Industries Ltd</t>
        </is>
      </c>
      <c r="E293" s="31" t="inlineStr">
        <is>
          <t>metals &amp; mining</t>
        </is>
      </c>
      <c r="F293" s="31" t="inlineStr">
        <is>
          <t>steel - medium / small</t>
        </is>
      </c>
      <c r="G293" s="31" t="inlineStr">
        <is>
          <t>midcap</t>
        </is>
      </c>
      <c r="H293" s="32" t="n">
        <v>6274.46</v>
      </c>
      <c r="I293" s="32" t="n">
        <v>476.15</v>
      </c>
      <c r="J293" s="32" t="n">
        <v>0.42</v>
      </c>
      <c r="K293" s="32" t="n">
        <v>242754</v>
      </c>
      <c r="L293" s="31" t="inlineStr"/>
      <c r="M293" s="31" t="inlineStr"/>
      <c r="N293" s="32">
        <f>IF(M293="Underperforming",-5,IF(L293&gt;=95,15,IF(L293&gt;=90,10,IF(L293&gt;=80,5,0))))</f>
        <v/>
      </c>
      <c r="O293" s="32" t="n">
        <v>66.5</v>
      </c>
      <c r="P293" s="32" t="n">
        <v>64.08</v>
      </c>
      <c r="Q293" s="32" t="n">
        <v>360.02</v>
      </c>
      <c r="R293" s="31" t="inlineStr">
        <is>
          <t>Earnings / Momentum Support</t>
        </is>
      </c>
      <c r="S293" s="31" t="inlineStr">
        <is>
          <t>Nifty Metal</t>
        </is>
      </c>
      <c r="T293" s="32" t="inlineStr"/>
      <c r="U293" s="32" t="inlineStr"/>
      <c r="V293" s="32" t="inlineStr"/>
      <c r="W293" s="32" t="inlineStr"/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Above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IF(B294=0,"",RANK(B294,$B$2:$B$368,0))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DYNAMATECH</t>
        </is>
      </c>
      <c r="D294" s="31" t="inlineStr">
        <is>
          <t>Dynamatic Technologies Limited</t>
        </is>
      </c>
      <c r="E294" s="31" t="inlineStr">
        <is>
          <t>industrials</t>
        </is>
      </c>
      <c r="F294" s="31" t="inlineStr">
        <is>
          <t>engineering</t>
        </is>
      </c>
      <c r="G294" s="31" t="inlineStr">
        <is>
          <t>midcap</t>
        </is>
      </c>
      <c r="H294" s="32" t="n">
        <v>7969.76</v>
      </c>
      <c r="I294" s="32" t="n">
        <v>11765</v>
      </c>
      <c r="J294" s="32" t="n">
        <v>0.26</v>
      </c>
      <c r="K294" s="32" t="n">
        <v>3536</v>
      </c>
      <c r="L294" s="31" t="n">
        <v>59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60.07</v>
      </c>
      <c r="P294" s="32" t="n">
        <v>20.68</v>
      </c>
      <c r="Q294" s="32" t="n">
        <v>8491.950000000001</v>
      </c>
      <c r="R294" s="31" t="inlineStr">
        <is>
          <t>Earnings / Momentum Support</t>
        </is>
      </c>
      <c r="S294" s="31" t="inlineStr">
        <is>
          <t>Nifty 50</t>
        </is>
      </c>
      <c r="T294" s="32" t="n">
        <v>-2.57</v>
      </c>
      <c r="U294" s="32" t="n">
        <v>80.23</v>
      </c>
      <c r="V294" s="32" t="n">
        <v>84.98</v>
      </c>
      <c r="W294" s="32" t="n">
        <v>14.42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IF(B295=0,"",RANK(B295,$B$2:$B$368,0))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NAVINFLUOR</t>
        </is>
      </c>
      <c r="D295" s="31" t="inlineStr">
        <is>
          <t>Navin Fluorine International Limited</t>
        </is>
      </c>
      <c r="E295" s="31" t="inlineStr">
        <is>
          <t>chemicals</t>
        </is>
      </c>
      <c r="F295" s="31" t="inlineStr">
        <is>
          <t>chemicals</t>
        </is>
      </c>
      <c r="G295" s="31" t="inlineStr">
        <is>
          <t>largecap</t>
        </is>
      </c>
      <c r="H295" s="32" t="n">
        <v>42456.26</v>
      </c>
      <c r="I295" s="32" t="n">
        <v>8275.5</v>
      </c>
      <c r="J295" s="32" t="n">
        <v>-0.02</v>
      </c>
      <c r="K295" s="32" t="n">
        <v>18849</v>
      </c>
      <c r="L295" s="31" t="n">
        <v>57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73.59</v>
      </c>
      <c r="P295" s="32" t="n">
        <v>56.87</v>
      </c>
      <c r="Q295" s="32" t="n">
        <v>6851.05</v>
      </c>
      <c r="R295" s="31" t="inlineStr">
        <is>
          <t>Near 52W High Breakout</t>
        </is>
      </c>
      <c r="S295" s="31" t="inlineStr">
        <is>
          <t>Nifty 50</t>
        </is>
      </c>
      <c r="T295" s="32" t="n">
        <v>-2.57</v>
      </c>
      <c r="U295" s="32" t="n">
        <v>64.48999999999999</v>
      </c>
      <c r="V295" s="32" t="n">
        <v>68.81999999999999</v>
      </c>
      <c r="W295" s="32" t="n">
        <v>13.87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Oligopoly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Shallow Cyclical (2 to 3 Years Growth)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Between 50% to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IF(B296=0,"",RANK(B296,$B$2:$B$368,0))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BEML</t>
        </is>
      </c>
      <c r="D296" s="31" t="inlineStr">
        <is>
          <t>Beml Limited</t>
        </is>
      </c>
      <c r="E296" s="31" t="inlineStr">
        <is>
          <t>aerospace &amp; defence</t>
        </is>
      </c>
      <c r="F296" s="31" t="inlineStr">
        <is>
          <t>engineering</t>
        </is>
      </c>
      <c r="G296" s="31" t="inlineStr">
        <is>
          <t>midcap</t>
        </is>
      </c>
      <c r="H296" s="32" t="n">
        <v>16382.11</v>
      </c>
      <c r="I296" s="32" t="n">
        <v>1962</v>
      </c>
      <c r="J296" s="32" t="n">
        <v>-0.25</v>
      </c>
      <c r="K296" s="32" t="n">
        <v>76321</v>
      </c>
      <c r="L296" s="31" t="n">
        <v>9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60.21</v>
      </c>
      <c r="P296" s="32" t="n">
        <v>11.76</v>
      </c>
      <c r="Q296" s="32" t="n">
        <v>1543.53</v>
      </c>
      <c r="R296" s="31" t="inlineStr">
        <is>
          <t>Earnings / Momentum Support</t>
        </is>
      </c>
      <c r="S296" s="31" t="inlineStr">
        <is>
          <t>Nifty 50</t>
        </is>
      </c>
      <c r="T296" s="32" t="n">
        <v>-2.57</v>
      </c>
      <c r="U296" s="32" t="n">
        <v>-2.39</v>
      </c>
      <c r="V296" s="32" t="n">
        <v>0.18</v>
      </c>
      <c r="W296" s="32" t="n">
        <v>1.24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IF(B297=0,"",RANK(B297,$B$2:$B$368,0))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EMIL</t>
        </is>
      </c>
      <c r="D297" s="31" t="inlineStr">
        <is>
          <t>Electronics Mart India Ltd</t>
        </is>
      </c>
      <c r="E297" s="31" t="inlineStr">
        <is>
          <t>consumer discretionary</t>
        </is>
      </c>
      <c r="F297" s="31" t="inlineStr">
        <is>
          <t>trading</t>
        </is>
      </c>
      <c r="G297" s="31" t="inlineStr">
        <is>
          <t>midcap</t>
        </is>
      </c>
      <c r="H297" s="32" t="n">
        <v>7357.94</v>
      </c>
      <c r="I297" s="32" t="n">
        <v>189.99</v>
      </c>
      <c r="J297" s="32" t="n">
        <v>-0.65</v>
      </c>
      <c r="K297" s="32" t="n">
        <v>493253</v>
      </c>
      <c r="L297" s="31" t="n">
        <v>77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77.81999999999999</v>
      </c>
      <c r="P297" s="32" t="n">
        <v>30.99</v>
      </c>
      <c r="Q297" s="32" t="n">
        <v>147.37</v>
      </c>
      <c r="R297" s="31" t="inlineStr">
        <is>
          <t>Near 52W High Breakout</t>
        </is>
      </c>
      <c r="S297" s="31" t="inlineStr">
        <is>
          <t>Nifty 50</t>
        </is>
      </c>
      <c r="T297" s="32" t="n">
        <v>-2.57</v>
      </c>
      <c r="U297" s="32" t="n">
        <v>45.39</v>
      </c>
      <c r="V297" s="32" t="n">
        <v>49.22</v>
      </c>
      <c r="W297" s="32" t="n">
        <v>22.42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Above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More than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IF(B298=0,"",RANK(B298,$B$2:$B$368,0))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DEEPAKNTR</t>
        </is>
      </c>
      <c r="D298" s="33" t="inlineStr">
        <is>
          <t>Deepak Nitrite Limited</t>
        </is>
      </c>
      <c r="E298" s="31" t="n">
        <v/>
      </c>
      <c r="F298" s="31" t="n">
        <v/>
      </c>
      <c r="G298" s="31" t="n">
        <v/>
      </c>
      <c r="H298" s="32" t="n">
        <v/>
      </c>
      <c r="I298" s="32" t="n">
        <v>1751.6</v>
      </c>
      <c r="J298" s="32" t="n">
        <v>-0.9399999999999999</v>
      </c>
      <c r="K298" s="32" t="n">
        <v>39590</v>
      </c>
      <c r="L298" s="31" t="n">
        <v>4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55.67</v>
      </c>
      <c r="P298" s="32" t="n">
        <v>13.94</v>
      </c>
      <c r="Q298" s="32" t="n">
        <v>1459.86</v>
      </c>
      <c r="R298" s="31" t="inlineStr">
        <is>
          <t>Earnings / Momentum Support</t>
        </is>
      </c>
      <c r="S298" s="31" t="inlineStr">
        <is>
          <t>Nifty 50</t>
        </is>
      </c>
      <c r="T298" s="32" t="n">
        <v>-2.57</v>
      </c>
      <c r="U298" s="32" t="n">
        <v>-2.59</v>
      </c>
      <c r="V298" s="32" t="n">
        <v>-0.03</v>
      </c>
      <c r="W298" s="32" t="n">
        <v>-0.17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IF(B299=0,"",RANK(B299,$B$2:$B$368,0))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EXCELINDUS</t>
        </is>
      </c>
      <c r="D299" s="33" t="inlineStr">
        <is>
          <t>Excel Industries Limited</t>
        </is>
      </c>
      <c r="E299" s="31" t="inlineStr">
        <is>
          <t>chemicals</t>
        </is>
      </c>
      <c r="F299" s="31" t="inlineStr">
        <is>
          <t>pesticides / agrochemicals - indian</t>
        </is>
      </c>
      <c r="G299" s="31" t="inlineStr">
        <is>
          <t>smallcap</t>
        </is>
      </c>
      <c r="H299" s="32" t="n">
        <v>1424.57</v>
      </c>
      <c r="I299" s="32" t="n">
        <v>1103.5</v>
      </c>
      <c r="J299" s="32" t="n">
        <v>-2.63</v>
      </c>
      <c r="K299" s="32" t="n">
        <v>42956</v>
      </c>
      <c r="L299" s="31" t="n">
        <v>6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66.8</v>
      </c>
      <c r="P299" s="32" t="n">
        <v>15.55</v>
      </c>
      <c r="Q299" s="32" t="n">
        <v>892.96</v>
      </c>
      <c r="R299" s="31" t="inlineStr">
        <is>
          <t>Volume Spike / Accumulation</t>
        </is>
      </c>
      <c r="S299" s="31" t="inlineStr">
        <is>
          <t>Nifty 50</t>
        </is>
      </c>
      <c r="T299" s="32" t="n">
        <v>-2.57</v>
      </c>
      <c r="U299" s="32" t="n">
        <v>-14.39</v>
      </c>
      <c r="V299" s="32" t="n">
        <v>-12.14</v>
      </c>
      <c r="W299" s="32" t="n">
        <v>0.28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IF(B300=0,"",RANK(B300,$B$2:$B$368,0))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ONWARDTEC</t>
        </is>
      </c>
      <c r="D300" s="31" t="inlineStr">
        <is>
          <t>Onward Technologies Limited</t>
        </is>
      </c>
      <c r="E300" s="31" t="inlineStr">
        <is>
          <t>i.t</t>
        </is>
      </c>
      <c r="F300" s="31" t="inlineStr">
        <is>
          <t>computers - software - medium / small</t>
        </is>
      </c>
      <c r="G300" s="31" t="inlineStr">
        <is>
          <t>smallcap</t>
        </is>
      </c>
      <c r="H300" s="32" t="n">
        <v>628.14</v>
      </c>
      <c r="I300" s="32" t="n">
        <v>292</v>
      </c>
      <c r="J300" s="32" t="n">
        <v>3.4</v>
      </c>
      <c r="K300" s="32" t="n">
        <v>9002</v>
      </c>
      <c r="L300" s="31" t="n">
        <v>10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58.22</v>
      </c>
      <c r="P300" s="32" t="n">
        <v>19.33</v>
      </c>
      <c r="Q300" s="32" t="n">
        <v>220.06</v>
      </c>
      <c r="R300" s="31" t="inlineStr">
        <is>
          <t>Earnings / Momentum Support</t>
        </is>
      </c>
      <c r="S300" s="31" t="inlineStr">
        <is>
          <t>Nifty IT</t>
        </is>
      </c>
      <c r="T300" s="32" t="n">
        <v>-13.45</v>
      </c>
      <c r="U300" s="32" t="n">
        <v>-11.1</v>
      </c>
      <c r="V300" s="32" t="n">
        <v>2.72</v>
      </c>
      <c r="W300" s="32" t="n">
        <v>1.29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IF(B301=0,"",RANK(B301,$B$2:$B$368,0))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PERSISTENT</t>
        </is>
      </c>
      <c r="D301" s="31" t="inlineStr">
        <is>
          <t>Persistent Systems Limited</t>
        </is>
      </c>
      <c r="E301" s="31" t="inlineStr">
        <is>
          <t>i.t</t>
        </is>
      </c>
      <c r="F301" s="31" t="inlineStr">
        <is>
          <t>computers - software - large</t>
        </is>
      </c>
      <c r="G301" s="31" t="inlineStr">
        <is>
          <t>largecap</t>
        </is>
      </c>
      <c r="H301" s="32" t="n">
        <v>86920.25</v>
      </c>
      <c r="I301" s="32" t="n">
        <v>5677.5</v>
      </c>
      <c r="J301" s="32" t="n">
        <v>3.04</v>
      </c>
      <c r="K301" s="32" t="n">
        <v>232193</v>
      </c>
      <c r="L301" s="31" t="n">
        <v>22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59.71</v>
      </c>
      <c r="P301" s="32" t="n">
        <v>9.93</v>
      </c>
      <c r="Q301" s="32" t="n">
        <v>4511.07</v>
      </c>
      <c r="R301" s="31" t="inlineStr">
        <is>
          <t>Earnings / Momentum Support</t>
        </is>
      </c>
      <c r="S301" s="31" t="inlineStr">
        <is>
          <t>Nifty IT</t>
        </is>
      </c>
      <c r="T301" s="32" t="n">
        <v>-13.45</v>
      </c>
      <c r="U301" s="32" t="n">
        <v>6.43</v>
      </c>
      <c r="V301" s="32" t="n">
        <v>22.97</v>
      </c>
      <c r="W301" s="32" t="n">
        <v>5.03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Between 12 to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IF(B302=0,"",RANK(B302,$B$2:$B$368,0))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WINDLAS</t>
        </is>
      </c>
      <c r="D302" s="33" t="inlineStr">
        <is>
          <t>Windlas Biotech Ltd</t>
        </is>
      </c>
      <c r="E302" s="31" t="inlineStr">
        <is>
          <t>healthcare</t>
        </is>
      </c>
      <c r="F302" s="31" t="inlineStr">
        <is>
          <t>pharmaceuticals - indian - formulations</t>
        </is>
      </c>
      <c r="G302" s="31" t="inlineStr">
        <is>
          <t>smallcap</t>
        </is>
      </c>
      <c r="H302" s="32" t="n">
        <v>1991.29</v>
      </c>
      <c r="I302" s="32" t="n">
        <v>982.85</v>
      </c>
      <c r="J302" s="32" t="n">
        <v>1.86</v>
      </c>
      <c r="K302" s="32" t="n">
        <v>42144</v>
      </c>
      <c r="L302" s="31" t="n">
        <v>25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69.59999999999999</v>
      </c>
      <c r="P302" s="32" t="n">
        <v>18.27</v>
      </c>
      <c r="Q302" s="32" t="n">
        <v>784.05</v>
      </c>
      <c r="R302" s="31" t="inlineStr">
        <is>
          <t>Near 52W High Breakout</t>
        </is>
      </c>
      <c r="S302" s="31" t="inlineStr">
        <is>
          <t>Nifty Pharma</t>
        </is>
      </c>
      <c r="T302" s="32" t="n">
        <v>18.64</v>
      </c>
      <c r="U302" s="32" t="n">
        <v>-1.6</v>
      </c>
      <c r="V302" s="32" t="n">
        <v>-17.06</v>
      </c>
      <c r="W302" s="32" t="n">
        <v>6.01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IF(B303=0,"",RANK(B303,$B$2:$B$368,0))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INDGN</t>
        </is>
      </c>
      <c r="D303" s="33" t="inlineStr">
        <is>
          <t>Indegene Ltd</t>
        </is>
      </c>
      <c r="E303" s="31" t="inlineStr">
        <is>
          <t>healthcare</t>
        </is>
      </c>
      <c r="F303" s="31" t="inlineStr">
        <is>
          <t>miscellaneous</t>
        </is>
      </c>
      <c r="G303" s="31" t="inlineStr">
        <is>
          <t>midcap</t>
        </is>
      </c>
      <c r="H303" s="32" t="n">
        <v>13628.38</v>
      </c>
      <c r="I303" s="32" t="n">
        <v>568.5</v>
      </c>
      <c r="J303" s="32" t="n">
        <v>0.51</v>
      </c>
      <c r="K303" s="32" t="n">
        <v>165241</v>
      </c>
      <c r="L303" s="31" t="n">
        <v>13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64.34999999999999</v>
      </c>
      <c r="P303" s="32" t="n">
        <v>17.23</v>
      </c>
      <c r="Q303" s="32" t="n">
        <v>467.36</v>
      </c>
      <c r="R303" s="31" t="inlineStr">
        <is>
          <t>Near 52W High Breakout</t>
        </is>
      </c>
      <c r="S303" s="31" t="inlineStr">
        <is>
          <t>Nifty Pharma</t>
        </is>
      </c>
      <c r="T303" s="32" t="n">
        <v>18.64</v>
      </c>
      <c r="U303" s="32" t="n">
        <v>-0.58</v>
      </c>
      <c r="V303" s="32" t="n">
        <v>-16.2</v>
      </c>
      <c r="W303" s="32" t="n">
        <v>2.58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IF(B304=0,"",RANK(B304,$B$2:$B$368,0))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APCOTEXIND</t>
        </is>
      </c>
      <c r="D304" s="31" t="inlineStr">
        <is>
          <t>Apcotex Industries Limited</t>
        </is>
      </c>
      <c r="E304" s="31" t="inlineStr">
        <is>
          <t>chemicals</t>
        </is>
      </c>
      <c r="F304" s="31" t="inlineStr">
        <is>
          <t>miscellaneous</t>
        </is>
      </c>
      <c r="G304" s="31" t="inlineStr">
        <is>
          <t>smallcap</t>
        </is>
      </c>
      <c r="H304" s="32" t="n">
        <v>3215.68</v>
      </c>
      <c r="I304" s="32" t="n">
        <v>615</v>
      </c>
      <c r="J304" s="32" t="n">
        <v>-0.85</v>
      </c>
      <c r="K304" s="32" t="n">
        <v>29120</v>
      </c>
      <c r="L304" s="31" t="n">
        <v>62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71.55</v>
      </c>
      <c r="P304" s="32" t="n">
        <v>64.33</v>
      </c>
      <c r="Q304" s="32" t="n">
        <v>463.8</v>
      </c>
      <c r="R304" s="31" t="inlineStr">
        <is>
          <t>Near 52W High Breakout</t>
        </is>
      </c>
      <c r="S304" s="31" t="inlineStr">
        <is>
          <t>Nifty 50</t>
        </is>
      </c>
      <c r="T304" s="32" t="n">
        <v>-2.57</v>
      </c>
      <c r="U304" s="32" t="n">
        <v>58.61</v>
      </c>
      <c r="V304" s="32" t="n">
        <v>62.79</v>
      </c>
      <c r="W304" s="32" t="n">
        <v>15.76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Oligopoly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Fully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Above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1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Sideways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Overhead supply in last 2 years in last 2 years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Between 50% to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IF(B305=0,"",RANK(B305,$B$2:$B$368,0))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MANALIPETC</t>
        </is>
      </c>
      <c r="D305" s="33" t="inlineStr">
        <is>
          <t>Manali Petrochemicals Limited</t>
        </is>
      </c>
      <c r="E305" s="31" t="inlineStr">
        <is>
          <t>energy</t>
        </is>
      </c>
      <c r="F305" s="31" t="inlineStr">
        <is>
          <t>petrochemicals</t>
        </is>
      </c>
      <c r="G305" s="31" t="inlineStr">
        <is>
          <t>smallcap</t>
        </is>
      </c>
      <c r="H305" s="32" t="n">
        <v>1252.15</v>
      </c>
      <c r="I305" s="32" t="n">
        <v>77.81999999999999</v>
      </c>
      <c r="J305" s="32" t="n">
        <v>6.9</v>
      </c>
      <c r="K305" s="32" t="n">
        <v>1058138</v>
      </c>
      <c r="L305" s="31" t="n">
        <v>55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70.33</v>
      </c>
      <c r="P305" s="32" t="n">
        <v>33.4</v>
      </c>
      <c r="Q305" s="32" t="n">
        <v>59.38</v>
      </c>
      <c r="R305" s="31" t="inlineStr">
        <is>
          <t>Volume Spike &amp; Near 52W High Breakout</t>
        </is>
      </c>
      <c r="S305" s="31" t="inlineStr">
        <is>
          <t>Nifty Energy</t>
        </is>
      </c>
      <c r="T305" s="32" t="n">
        <v>8.23</v>
      </c>
      <c r="U305" s="32" t="n">
        <v>7.37</v>
      </c>
      <c r="V305" s="32" t="n">
        <v>-0.8</v>
      </c>
      <c r="W305" s="32" t="n">
        <v>13.18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Oligopoly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Yes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IF(B306=0,"",RANK(B306,$B$2:$B$368,0))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LUMAXIND</t>
        </is>
      </c>
      <c r="D306" s="31" t="inlineStr">
        <is>
          <t>Lumax Industries Limited</t>
        </is>
      </c>
      <c r="E306" s="31" t="inlineStr">
        <is>
          <t>auto</t>
        </is>
      </c>
      <c r="F306" s="31" t="inlineStr">
        <is>
          <t>auto ancillaries</t>
        </is>
      </c>
      <c r="G306" s="31" t="inlineStr">
        <is>
          <t>midcap</t>
        </is>
      </c>
      <c r="H306" s="32" t="n">
        <v>5261.84</v>
      </c>
      <c r="I306" s="32" t="n">
        <v>5813</v>
      </c>
      <c r="J306" s="32" t="n">
        <v>3.27</v>
      </c>
      <c r="K306" s="32" t="n">
        <v>7525</v>
      </c>
      <c r="L306" s="31" t="inlineStr"/>
      <c r="M306" s="31" t="inlineStr"/>
      <c r="N306" s="32">
        <f>IF(M306="Underperforming",-5,IF(L306&gt;=95,15,IF(L306&gt;=90,10,IF(L306&gt;=80,5,0))))</f>
        <v/>
      </c>
      <c r="O306" s="32" t="n">
        <v>59.71</v>
      </c>
      <c r="P306" s="32" t="n">
        <v>11.42</v>
      </c>
      <c r="Q306" s="32" t="n">
        <v>4387.71</v>
      </c>
      <c r="R306" s="31" t="inlineStr">
        <is>
          <t>Earnings / Momentum Support</t>
        </is>
      </c>
      <c r="S306" s="31" t="inlineStr">
        <is>
          <t>Nifty Auto</t>
        </is>
      </c>
      <c r="T306" s="32" t="inlineStr"/>
      <c r="U306" s="32" t="inlineStr"/>
      <c r="V306" s="32" t="inlineStr"/>
      <c r="W306" s="32" t="inlineStr"/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Less than 1.5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Between 0.7 to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IF(B307=0,"",RANK(B307,$B$2:$B$368,0))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DICIND</t>
        </is>
      </c>
      <c r="D307" s="31" t="inlineStr">
        <is>
          <t>Dic India Limited</t>
        </is>
      </c>
      <c r="E307" s="31" t="inlineStr">
        <is>
          <t>chemicals</t>
        </is>
      </c>
      <c r="F307" s="31" t="inlineStr">
        <is>
          <t>chemicals</t>
        </is>
      </c>
      <c r="G307" s="31" t="inlineStr">
        <is>
          <t>smallcap</t>
        </is>
      </c>
      <c r="H307" s="32" t="n">
        <v>529.54</v>
      </c>
      <c r="I307" s="32" t="n">
        <v>590</v>
      </c>
      <c r="J307" s="32" t="n">
        <v>2.27</v>
      </c>
      <c r="K307" s="32" t="n">
        <v>2493</v>
      </c>
      <c r="L307" s="31" t="n">
        <v>15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65.36</v>
      </c>
      <c r="P307" s="32" t="n">
        <v>13.74</v>
      </c>
      <c r="Q307" s="32" t="n">
        <v>449.05</v>
      </c>
      <c r="R307" s="31" t="inlineStr">
        <is>
          <t>Volume Spike &amp; Near 52W High Breakout</t>
        </is>
      </c>
      <c r="S307" s="31" t="inlineStr">
        <is>
          <t>Nifty 50</t>
        </is>
      </c>
      <c r="T307" s="32" t="n">
        <v>-2.57</v>
      </c>
      <c r="U307" s="32" t="n">
        <v>0.18</v>
      </c>
      <c r="V307" s="32" t="n">
        <v>2.81</v>
      </c>
      <c r="W307" s="32" t="n">
        <v>3.17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Negative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IF(B308=0,"",RANK(B308,$B$2:$B$368,0))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SIRCA</t>
        </is>
      </c>
      <c r="D308" s="31" t="inlineStr">
        <is>
          <t>Sirca Paints India Ltd</t>
        </is>
      </c>
      <c r="E308" s="31" t="inlineStr">
        <is>
          <t>building materials</t>
        </is>
      </c>
      <c r="F308" s="31" t="inlineStr">
        <is>
          <t>paints / varnishes</t>
        </is>
      </c>
      <c r="G308" s="31" t="inlineStr">
        <is>
          <t>smallcap</t>
        </is>
      </c>
      <c r="H308" s="32" t="n">
        <v>2511.95</v>
      </c>
      <c r="I308" s="32" t="n">
        <v>449.75</v>
      </c>
      <c r="J308" s="32" t="n">
        <v>1.68</v>
      </c>
      <c r="K308" s="32" t="n">
        <v>472532</v>
      </c>
      <c r="L308" s="31" t="inlineStr"/>
      <c r="M308" s="31" t="inlineStr"/>
      <c r="N308" s="32">
        <f>IF(M308="Underperforming",-5,IF(L308&gt;=95,15,IF(L308&gt;=90,10,IF(L308&gt;=80,5,0))))</f>
        <v/>
      </c>
      <c r="O308" s="32" t="n">
        <v>56.95</v>
      </c>
      <c r="P308" s="32" t="n">
        <v>17.94</v>
      </c>
      <c r="Q308" s="32" t="n">
        <v>368.6</v>
      </c>
      <c r="R308" s="31" t="inlineStr">
        <is>
          <t>Volume Spike / Accumulation</t>
        </is>
      </c>
      <c r="S308" s="31" t="inlineStr">
        <is>
          <t>Nifty Infra</t>
        </is>
      </c>
      <c r="T308" s="32" t="inlineStr"/>
      <c r="U308" s="32" t="inlineStr"/>
      <c r="V308" s="32" t="inlineStr"/>
      <c r="W308" s="32" t="inlineStr"/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Yes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IF(B309=0,"",RANK(B309,$B$2:$B$368,0))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SAIL</t>
        </is>
      </c>
      <c r="D309" s="31" t="inlineStr">
        <is>
          <t>Steel Authority Of India Limited</t>
        </is>
      </c>
      <c r="E309" s="31" t="inlineStr">
        <is>
          <t>metals &amp; mining</t>
        </is>
      </c>
      <c r="F309" s="31" t="inlineStr">
        <is>
          <t>steel - large</t>
        </is>
      </c>
      <c r="G309" s="31" t="inlineStr">
        <is>
          <t>largecap</t>
        </is>
      </c>
      <c r="H309" s="32" t="n">
        <v>71354.82000000001</v>
      </c>
      <c r="I309" s="32" t="n">
        <v>174.9</v>
      </c>
      <c r="J309" s="32" t="n">
        <v>1.24</v>
      </c>
      <c r="K309" s="32" t="n">
        <v>18122523</v>
      </c>
      <c r="L309" s="31" t="inlineStr"/>
      <c r="M309" s="31" t="inlineStr"/>
      <c r="N309" s="32">
        <f>IF(M309="Underperforming",-5,IF(L309&gt;=95,15,IF(L309&gt;=90,10,IF(L309&gt;=80,5,0))))</f>
        <v/>
      </c>
      <c r="O309" s="32" t="n">
        <v>54.04</v>
      </c>
      <c r="P309" s="32" t="n">
        <v>27.31</v>
      </c>
      <c r="Q309" s="32" t="n">
        <v>165.67</v>
      </c>
      <c r="R309" s="31" t="inlineStr">
        <is>
          <t>Earnings / Momentum Support</t>
        </is>
      </c>
      <c r="S309" s="31" t="inlineStr">
        <is>
          <t>Nifty Metal</t>
        </is>
      </c>
      <c r="T309" s="32" t="inlineStr"/>
      <c r="U309" s="32" t="inlineStr"/>
      <c r="V309" s="32" t="inlineStr"/>
      <c r="W309" s="32" t="inlineStr"/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Cyclical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Volatile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20 to 40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IF(B310=0,"",RANK(B310,$B$2:$B$368,0))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M&amp;M</t>
        </is>
      </c>
      <c r="D310" s="31" t="inlineStr">
        <is>
          <t>Mahindra &amp; Mahindra Limited</t>
        </is>
      </c>
      <c r="E310" s="31" t="inlineStr">
        <is>
          <t>auto</t>
        </is>
      </c>
      <c r="F310" s="31" t="inlineStr">
        <is>
          <t>automobiles - passenger cars</t>
        </is>
      </c>
      <c r="G310" s="31" t="inlineStr">
        <is>
          <t>largecap</t>
        </is>
      </c>
      <c r="H310" s="32" t="n">
        <v>424665.1</v>
      </c>
      <c r="I310" s="32" t="n">
        <v>3444.7</v>
      </c>
      <c r="J310" s="32" t="n">
        <v>0.87</v>
      </c>
      <c r="K310" s="32" t="n">
        <v>373572</v>
      </c>
      <c r="L310" s="31" t="inlineStr"/>
      <c r="M310" s="31" t="inlineStr"/>
      <c r="N310" s="32">
        <f>IF(M310="Underperforming",-5,IF(L310&gt;=95,15,IF(L310&gt;=90,10,IF(L310&gt;=80,5,0))))</f>
        <v/>
      </c>
      <c r="O310" s="32" t="n">
        <v>58.58</v>
      </c>
      <c r="P310" s="32" t="n">
        <v>14.48</v>
      </c>
      <c r="Q310" s="32" t="n">
        <v>2996.32</v>
      </c>
      <c r="R310" s="31" t="inlineStr">
        <is>
          <t>Earnings / Momentum Support</t>
        </is>
      </c>
      <c r="S310" s="31" t="inlineStr">
        <is>
          <t>Nifty Auto</t>
        </is>
      </c>
      <c r="T310" s="32" t="inlineStr"/>
      <c r="U310" s="32" t="inlineStr"/>
      <c r="V310" s="32" t="inlineStr"/>
      <c r="W310" s="32" t="inlineStr"/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More than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IF(B311=0,"",RANK(B311,$B$2:$B$368,0))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EMAMIPAP</t>
        </is>
      </c>
      <c r="D311" s="31" t="inlineStr">
        <is>
          <t>Emami Paper Mills Ltd</t>
        </is>
      </c>
      <c r="E311" s="31" t="inlineStr">
        <is>
          <t>building materials</t>
        </is>
      </c>
      <c r="F311" s="31" t="inlineStr">
        <is>
          <t>paper</t>
        </is>
      </c>
      <c r="G311" s="31" t="inlineStr">
        <is>
          <t>smallcap</t>
        </is>
      </c>
      <c r="H311" s="32" t="n">
        <v>688.0599999999999</v>
      </c>
      <c r="I311" s="32" t="n">
        <v>114.69</v>
      </c>
      <c r="J311" s="32" t="n">
        <v>0.84</v>
      </c>
      <c r="K311" s="32" t="n">
        <v>4269</v>
      </c>
      <c r="L311" s="31" t="inlineStr"/>
      <c r="M311" s="31" t="inlineStr"/>
      <c r="N311" s="32">
        <f>IF(M311="Underperforming",-5,IF(L311&gt;=95,15,IF(L311&gt;=90,10,IF(L311&gt;=80,5,0))))</f>
        <v/>
      </c>
      <c r="O311" s="32" t="n">
        <v>68.84999999999999</v>
      </c>
      <c r="P311" s="32" t="n">
        <v>23.51</v>
      </c>
      <c r="Q311" s="32" t="n">
        <v>87.66</v>
      </c>
      <c r="R311" s="31" t="inlineStr">
        <is>
          <t>Near 52W High Breakout</t>
        </is>
      </c>
      <c r="S311" s="31" t="inlineStr">
        <is>
          <t>Nifty Infra</t>
        </is>
      </c>
      <c r="T311" s="32" t="inlineStr"/>
      <c r="U311" s="32" t="inlineStr"/>
      <c r="V311" s="32" t="inlineStr"/>
      <c r="W311" s="32" t="inlineStr"/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Blue sky scenario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Less than 1.5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More than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IF(B312=0,"",RANK(B312,$B$2:$B$368,0))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HEROMOTOCO</t>
        </is>
      </c>
      <c r="D312" s="31" t="inlineStr">
        <is>
          <t>Hero Motocorp Limited</t>
        </is>
      </c>
      <c r="E312" s="31" t="inlineStr">
        <is>
          <t>auto</t>
        </is>
      </c>
      <c r="F312" s="31" t="inlineStr">
        <is>
          <t>automobiles - motorcycles / mopeds</t>
        </is>
      </c>
      <c r="G312" s="31" t="inlineStr">
        <is>
          <t>largecap</t>
        </is>
      </c>
      <c r="H312" s="32" t="n">
        <v>114243.06</v>
      </c>
      <c r="I312" s="32" t="n">
        <v>5726.5</v>
      </c>
      <c r="J312" s="32" t="n">
        <v>0.3</v>
      </c>
      <c r="K312" s="32" t="n">
        <v>99768</v>
      </c>
      <c r="L312" s="31" t="inlineStr"/>
      <c r="M312" s="31" t="inlineStr"/>
      <c r="N312" s="32">
        <f>IF(M312="Underperforming",-5,IF(L312&gt;=95,15,IF(L312&gt;=90,10,IF(L312&gt;=80,5,0))))</f>
        <v/>
      </c>
      <c r="O312" s="32" t="n">
        <v>63.09</v>
      </c>
      <c r="P312" s="32" t="n">
        <v>14.01</v>
      </c>
      <c r="Q312" s="32" t="n">
        <v>4998.6</v>
      </c>
      <c r="R312" s="31" t="inlineStr">
        <is>
          <t>Earnings / Momentum Support</t>
        </is>
      </c>
      <c r="S312" s="31" t="inlineStr">
        <is>
          <t>Nifty Auto</t>
        </is>
      </c>
      <c r="T312" s="32" t="inlineStr"/>
      <c r="U312" s="32" t="inlineStr"/>
      <c r="V312" s="32" t="inlineStr"/>
      <c r="W312" s="32" t="inlineStr"/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IF(B313=0,"",RANK(B313,$B$2:$B$368,0))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GRAPHITE</t>
        </is>
      </c>
      <c r="D313" s="31" t="inlineStr">
        <is>
          <t>Graphite India Limited</t>
        </is>
      </c>
      <c r="E313" s="31" t="inlineStr">
        <is>
          <t>industrials</t>
        </is>
      </c>
      <c r="F313" s="31" t="inlineStr">
        <is>
          <t>electrodes - graphites</t>
        </is>
      </c>
      <c r="G313" s="31" t="inlineStr">
        <is>
          <t>midcap</t>
        </is>
      </c>
      <c r="H313" s="32" t="n">
        <v>14019.18</v>
      </c>
      <c r="I313" s="32" t="n">
        <v>718.2</v>
      </c>
      <c r="J313" s="32" t="n">
        <v>0.09</v>
      </c>
      <c r="K313" s="32" t="n">
        <v>115558</v>
      </c>
      <c r="L313" s="31" t="n">
        <v>26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58.95</v>
      </c>
      <c r="P313" s="32" t="n">
        <v>15.88</v>
      </c>
      <c r="Q313" s="32" t="n">
        <v>561.49</v>
      </c>
      <c r="R313" s="31" t="inlineStr">
        <is>
          <t>Earnings / Momentum Support</t>
        </is>
      </c>
      <c r="S313" s="31" t="inlineStr">
        <is>
          <t>Nifty 50</t>
        </is>
      </c>
      <c r="T313" s="32" t="n">
        <v>-2.57</v>
      </c>
      <c r="U313" s="32" t="n">
        <v>34.96</v>
      </c>
      <c r="V313" s="32" t="n">
        <v>38.51</v>
      </c>
      <c r="W313" s="32" t="n">
        <v>6.15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IF(B314=0,"",RANK(B314,$B$2:$B$368,0))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JYOTICNC</t>
        </is>
      </c>
      <c r="D314" s="31" t="inlineStr">
        <is>
          <t>Jyoti CNC Automation Ltd</t>
        </is>
      </c>
      <c r="E314" s="31" t="inlineStr">
        <is>
          <t>industrials</t>
        </is>
      </c>
      <c r="F314" s="31" t="inlineStr">
        <is>
          <t>engineering</t>
        </is>
      </c>
      <c r="G314" s="31" t="inlineStr">
        <is>
          <t>largecap</t>
        </is>
      </c>
      <c r="H314" s="32" t="n">
        <v>21619.98</v>
      </c>
      <c r="I314" s="32" t="n">
        <v>950.65</v>
      </c>
      <c r="J314" s="32" t="n">
        <v>0</v>
      </c>
      <c r="K314" s="32" t="n">
        <v>317757</v>
      </c>
      <c r="L314" s="31" t="n">
        <v>44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65.08</v>
      </c>
      <c r="P314" s="32" t="n">
        <v>19.2</v>
      </c>
      <c r="Q314" s="32" t="n">
        <v>722.15</v>
      </c>
      <c r="R314" s="31" t="inlineStr">
        <is>
          <t>Volume Spike / Accumulation</t>
        </is>
      </c>
      <c r="S314" s="31" t="inlineStr">
        <is>
          <t>Nifty 50</t>
        </is>
      </c>
      <c r="T314" s="32" t="n">
        <v>-2.57</v>
      </c>
      <c r="U314" s="32" t="n">
        <v>-0.51</v>
      </c>
      <c r="V314" s="32" t="n">
        <v>2.11</v>
      </c>
      <c r="W314" s="32" t="n">
        <v>10.49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IF(B315=0,"",RANK(B315,$B$2:$B$368,0))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RKFORGE</t>
        </is>
      </c>
      <c r="D315" s="31" t="inlineStr">
        <is>
          <t>Ramkrishna Forgings Limited</t>
        </is>
      </c>
      <c r="E315" s="31" t="inlineStr">
        <is>
          <t>industrials</t>
        </is>
      </c>
      <c r="F315" s="31" t="inlineStr">
        <is>
          <t>castings &amp; forgings</t>
        </is>
      </c>
      <c r="G315" s="31" t="inlineStr">
        <is>
          <t>midcap</t>
        </is>
      </c>
      <c r="H315" s="32" t="n">
        <v>13648.18</v>
      </c>
      <c r="I315" s="32" t="n">
        <v>746.65</v>
      </c>
      <c r="J315" s="32" t="n">
        <v>-0.34</v>
      </c>
      <c r="K315" s="32" t="n">
        <v>153341</v>
      </c>
      <c r="L315" s="31" t="n">
        <v>55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73.52</v>
      </c>
      <c r="P315" s="32" t="n">
        <v>15.2</v>
      </c>
      <c r="Q315" s="32" t="n">
        <v>609.24</v>
      </c>
      <c r="R315" s="31" t="inlineStr">
        <is>
          <t>Near 52W High Breakout</t>
        </is>
      </c>
      <c r="S315" s="31" t="inlineStr">
        <is>
          <t>Nifty 50</t>
        </is>
      </c>
      <c r="T315" s="32" t="n">
        <v>-2.57</v>
      </c>
      <c r="U315" s="32" t="n">
        <v>30.43</v>
      </c>
      <c r="V315" s="32" t="n">
        <v>33.87</v>
      </c>
      <c r="W315" s="32" t="n">
        <v>13.19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Between 0.7 to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IF(B316=0,"",RANK(B316,$B$2:$B$368,0))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ASTRAL</t>
        </is>
      </c>
      <c r="D316" s="31" t="inlineStr">
        <is>
          <t>Astral Ltd</t>
        </is>
      </c>
      <c r="E316" s="31" t="inlineStr">
        <is>
          <t>plastic products</t>
        </is>
      </c>
      <c r="F316" s="31" t="inlineStr">
        <is>
          <t>plastics products</t>
        </is>
      </c>
      <c r="G316" s="31" t="inlineStr">
        <is>
          <t>largecap</t>
        </is>
      </c>
      <c r="H316" s="32" t="n">
        <v>41503.76</v>
      </c>
      <c r="I316" s="32" t="n">
        <v>1532</v>
      </c>
      <c r="J316" s="32" t="n">
        <v>-0.84</v>
      </c>
      <c r="K316" s="32" t="n">
        <v>93329</v>
      </c>
      <c r="L316" s="31" t="n">
        <v>11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52.75</v>
      </c>
      <c r="P316" s="32" t="n">
        <v>22.28</v>
      </c>
      <c r="Q316" s="32" t="n">
        <v>1285.97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-2.57</v>
      </c>
      <c r="U316" s="32" t="n">
        <v>7.77</v>
      </c>
      <c r="V316" s="32" t="n">
        <v>10.61</v>
      </c>
      <c r="W316" s="32" t="n">
        <v>1.59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1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Less than 1.5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IF(B317=0,"",RANK(B317,$B$2:$B$368,0))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JINDRILL</t>
        </is>
      </c>
      <c r="D317" s="33" t="inlineStr">
        <is>
          <t>Jindal Drilling And Industries Limited</t>
        </is>
      </c>
      <c r="E317" s="31" t="inlineStr">
        <is>
          <t>energy</t>
        </is>
      </c>
      <c r="F317" s="31" t="inlineStr">
        <is>
          <t>oil drilling / allied services</t>
        </is>
      </c>
      <c r="G317" s="31" t="inlineStr">
        <is>
          <t>smallcap</t>
        </is>
      </c>
      <c r="H317" s="32" t="n">
        <v>1840.59</v>
      </c>
      <c r="I317" s="32" t="n">
        <v>628.2</v>
      </c>
      <c r="J317" s="32" t="n">
        <v>-1.09</v>
      </c>
      <c r="K317" s="32" t="n">
        <v>202631</v>
      </c>
      <c r="L317" s="31" t="n">
        <v>17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56.74</v>
      </c>
      <c r="P317" s="32" t="n">
        <v>46.71</v>
      </c>
      <c r="Q317" s="32" t="n">
        <v>486.12</v>
      </c>
      <c r="R317" s="31" t="inlineStr">
        <is>
          <t>Volume Spike / Accumulation</t>
        </is>
      </c>
      <c r="S317" s="31" t="inlineStr">
        <is>
          <t>Nifty Energy</t>
        </is>
      </c>
      <c r="T317" s="32" t="n">
        <v>8.23</v>
      </c>
      <c r="U317" s="32" t="n">
        <v>0.77</v>
      </c>
      <c r="V317" s="32" t="n">
        <v>-6.89</v>
      </c>
      <c r="W317" s="32" t="n">
        <v>4.05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IF(B318=0,"",RANK(B318,$B$2:$B$368,0))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DHAMPURSUG</t>
        </is>
      </c>
      <c r="D318" s="31" t="inlineStr">
        <is>
          <t>Dhampur Sugar Mills Limited</t>
        </is>
      </c>
      <c r="E318" s="31" t="inlineStr">
        <is>
          <t>fmcg</t>
        </is>
      </c>
      <c r="F318" s="31" t="inlineStr">
        <is>
          <t>sugar</t>
        </is>
      </c>
      <c r="G318" s="31" t="inlineStr">
        <is>
          <t>smallcap</t>
        </is>
      </c>
      <c r="H318" s="32" t="n">
        <v>1132.95</v>
      </c>
      <c r="I318" s="32" t="n">
        <v>189.71</v>
      </c>
      <c r="J318" s="32" t="n">
        <v>7.68</v>
      </c>
      <c r="K318" s="32" t="n">
        <v>1843823</v>
      </c>
      <c r="L318" s="31" t="inlineStr"/>
      <c r="M318" s="31" t="inlineStr"/>
      <c r="N318" s="32">
        <f>IF(M318="Underperforming",-5,IF(L318&gt;=95,15,IF(L318&gt;=90,10,IF(L318&gt;=80,5,0))))</f>
        <v/>
      </c>
      <c r="O318" s="32" t="n">
        <v>77.08</v>
      </c>
      <c r="P318" s="32" t="n">
        <v>16.6</v>
      </c>
      <c r="Q318" s="32" t="n">
        <v>149.48</v>
      </c>
      <c r="R318" s="31" t="inlineStr">
        <is>
          <t>Volume Spike &amp; Near 52W High Breakout</t>
        </is>
      </c>
      <c r="S318" s="31" t="inlineStr">
        <is>
          <t>Nifty FMCG</t>
        </is>
      </c>
      <c r="T318" s="32" t="inlineStr"/>
      <c r="U318" s="32" t="inlineStr"/>
      <c r="V318" s="32" t="inlineStr"/>
      <c r="W318" s="32" t="inlineStr"/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B2C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Above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Between 0.7 to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IF(B319=0,"",RANK(B319,$B$2:$B$368,0))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ZEEL</t>
        </is>
      </c>
      <c r="D319" s="31" t="inlineStr">
        <is>
          <t>Zee Entertainment Enterprises Limited</t>
        </is>
      </c>
      <c r="E319" s="31" t="inlineStr">
        <is>
          <t>media</t>
        </is>
      </c>
      <c r="F319" s="31" t="inlineStr">
        <is>
          <t>entertainment / electronic media software</t>
        </is>
      </c>
      <c r="G319" s="31" t="inlineStr">
        <is>
          <t>midcap</t>
        </is>
      </c>
      <c r="H319" s="32" t="n">
        <v>9818.43</v>
      </c>
      <c r="I319" s="32" t="n">
        <v>107.76</v>
      </c>
      <c r="J319" s="32" t="n">
        <v>5.42</v>
      </c>
      <c r="K319" s="32" t="n">
        <v>11350460</v>
      </c>
      <c r="L319" s="31" t="n">
        <v>24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55.33</v>
      </c>
      <c r="P319" s="32" t="n">
        <v>17.3</v>
      </c>
      <c r="Q319" s="32" t="n">
        <v>82.16</v>
      </c>
      <c r="R319" s="31" t="inlineStr">
        <is>
          <t>Earnings / Momentum Support</t>
        </is>
      </c>
      <c r="S319" s="31" t="inlineStr">
        <is>
          <t>Nifty IT</t>
        </is>
      </c>
      <c r="T319" s="32" t="n">
        <v>-13.45</v>
      </c>
      <c r="U319" s="32" t="n">
        <v>-10.75</v>
      </c>
      <c r="V319" s="32" t="n">
        <v>3.13</v>
      </c>
      <c r="W319" s="32" t="n">
        <v>5.43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IF(B320=0,"",RANK(B320,$B$2:$B$368,0))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LINCOLN</t>
        </is>
      </c>
      <c r="D320" s="33" t="inlineStr">
        <is>
          <t>Lincoln Pharmaceuticals Limited</t>
        </is>
      </c>
      <c r="E320" s="31" t="inlineStr">
        <is>
          <t>healthcare</t>
        </is>
      </c>
      <c r="F320" s="31" t="inlineStr">
        <is>
          <t>pharmaceuticals - indian - formulations</t>
        </is>
      </c>
      <c r="G320" s="31" t="inlineStr">
        <is>
          <t>smallcap</t>
        </is>
      </c>
      <c r="H320" s="32" t="n">
        <v>1220.81</v>
      </c>
      <c r="I320" s="32" t="n">
        <v>623.2</v>
      </c>
      <c r="J320" s="32" t="n">
        <v>2.25</v>
      </c>
      <c r="K320" s="32" t="n">
        <v>5936</v>
      </c>
      <c r="L320" s="31" t="n">
        <v>6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53.52</v>
      </c>
      <c r="P320" s="32" t="n">
        <v>32.86</v>
      </c>
      <c r="Q320" s="32" t="n">
        <v>582</v>
      </c>
      <c r="R320" s="31" t="inlineStr">
        <is>
          <t>Earnings / Momentum Support</t>
        </is>
      </c>
      <c r="S320" s="31" t="inlineStr">
        <is>
          <t>Nifty Pharma</t>
        </is>
      </c>
      <c r="T320" s="32" t="n">
        <v>18.64</v>
      </c>
      <c r="U320" s="32" t="n">
        <v>13.45</v>
      </c>
      <c r="V320" s="32" t="n">
        <v>-4.38</v>
      </c>
      <c r="W320" s="32" t="n">
        <v>0.32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Yes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Annuity, Lower One Time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1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IF(B321=0,"",RANK(B321,$B$2:$B$368,0))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PRICOLLTD</t>
        </is>
      </c>
      <c r="D321" s="31" t="inlineStr">
        <is>
          <t>Pricol Ltd.</t>
        </is>
      </c>
      <c r="E321" s="31" t="inlineStr">
        <is>
          <t>auto</t>
        </is>
      </c>
      <c r="F321" s="31" t="inlineStr">
        <is>
          <t>auto ancillaries</t>
        </is>
      </c>
      <c r="G321" s="31" t="inlineStr">
        <is>
          <t>midcap</t>
        </is>
      </c>
      <c r="H321" s="32" t="n">
        <v>9806.59</v>
      </c>
      <c r="I321" s="32" t="n">
        <v>804.4</v>
      </c>
      <c r="J321" s="32" t="n">
        <v>-0.02</v>
      </c>
      <c r="K321" s="32" t="n">
        <v>116238</v>
      </c>
      <c r="L321" s="31" t="inlineStr"/>
      <c r="M321" s="31" t="inlineStr"/>
      <c r="N321" s="32">
        <f>IF(M321="Underperforming",-5,IF(L321&gt;=95,15,IF(L321&gt;=90,10,IF(L321&gt;=80,5,0))))</f>
        <v/>
      </c>
      <c r="O321" s="32" t="n">
        <v>76.15000000000001</v>
      </c>
      <c r="P321" s="32" t="n">
        <v>27.97</v>
      </c>
      <c r="Q321" s="32" t="n">
        <v>654.0700000000001</v>
      </c>
      <c r="R321" s="31" t="inlineStr">
        <is>
          <t>Near 52W High Breakout</t>
        </is>
      </c>
      <c r="S321" s="31" t="inlineStr">
        <is>
          <t>Nifty Auto</t>
        </is>
      </c>
      <c r="T321" s="32" t="inlineStr"/>
      <c r="U321" s="32" t="inlineStr"/>
      <c r="V321" s="32" t="inlineStr"/>
      <c r="W321" s="32" t="inlineStr"/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Oligopoly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Shallow Cyclical (2 to 3 Years Growth)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Fully One Time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Allocated capital in Non-core Areas</t>
        </is>
      </c>
      <c r="AU321" s="31">
        <f>IF(AT321="Good",10,0)</f>
        <v/>
      </c>
      <c r="AV321" s="31" t="inlineStr">
        <is>
          <t>Yes only for next 1 to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Blue sky scenario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Between 12 to 20%</t>
        </is>
      </c>
      <c r="BO321" s="31">
        <f>IF(BN321="More than 20%",10,IF(BN321="Between 12 to 20%",5,IF(BN321="Less than 12%",0,0)))</f>
        <v/>
      </c>
      <c r="BP321" s="31" t="inlineStr">
        <is>
          <t>Yes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Between 1.5 to 2</t>
        </is>
      </c>
      <c r="BU321" s="31">
        <f>IF(BT321="Above 2",0,IF(BT321="Between 1.5 to 2",5,IF(BT321="Less than 1.5",10,0)))</f>
        <v/>
      </c>
      <c r="BV321" s="31" t="inlineStr">
        <is>
          <t>Between 50% to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IF(B322=0,"",RANK(B322,$B$2:$B$368,0))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SURAKSHA</t>
        </is>
      </c>
      <c r="D322" s="33" t="inlineStr">
        <is>
          <t>Suraksha Diagnostic Ltd</t>
        </is>
      </c>
      <c r="E322" s="31" t="inlineStr">
        <is>
          <t>healthcare</t>
        </is>
      </c>
      <c r="F322" s="31" t="inlineStr">
        <is>
          <t>healthcare</t>
        </is>
      </c>
      <c r="G322" s="31" t="inlineStr">
        <is>
          <t>smallcap</t>
        </is>
      </c>
      <c r="H322" s="32" t="n">
        <v>1606.69</v>
      </c>
      <c r="I322" s="32" t="n">
        <v>305.7</v>
      </c>
      <c r="J322" s="32" t="n">
        <v>-0.91</v>
      </c>
      <c r="K322" s="32" t="n">
        <v>38739</v>
      </c>
      <c r="L322" s="31" t="n">
        <v>3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60.87</v>
      </c>
      <c r="P322" s="32" t="n">
        <v>15.5</v>
      </c>
      <c r="Q322" s="32" t="n">
        <v>242.12</v>
      </c>
      <c r="R322" s="31" t="inlineStr">
        <is>
          <t>Near 52W High Breakout</t>
        </is>
      </c>
      <c r="S322" s="31" t="inlineStr">
        <is>
          <t>Nifty Pharma</t>
        </is>
      </c>
      <c r="T322" s="32" t="n">
        <v>18.64</v>
      </c>
      <c r="U322" s="32" t="n">
        <v>-2.9</v>
      </c>
      <c r="V322" s="32" t="n">
        <v>-18.15</v>
      </c>
      <c r="W322" s="32" t="n">
        <v>-0.91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Annuity, Lower One Time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1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IF(B323=0,"",RANK(B323,$B$2:$B$368,0))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DLF</t>
        </is>
      </c>
      <c r="D323" s="33" t="inlineStr">
        <is>
          <t>Dlf Limited</t>
        </is>
      </c>
      <c r="E323" s="31" t="inlineStr">
        <is>
          <t>realty</t>
        </is>
      </c>
      <c r="F323" s="31" t="inlineStr">
        <is>
          <t>construction</t>
        </is>
      </c>
      <c r="G323" s="31" t="inlineStr">
        <is>
          <t>largecap</t>
        </is>
      </c>
      <c r="H323" s="32" t="n">
        <v>165821.13</v>
      </c>
      <c r="I323" s="32" t="n">
        <v>676.15</v>
      </c>
      <c r="J323" s="32" t="n">
        <v>0.93</v>
      </c>
      <c r="K323" s="32" t="n">
        <v>716171</v>
      </c>
      <c r="L323" s="31" t="n">
        <v>8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58.65</v>
      </c>
      <c r="P323" s="32" t="n">
        <v>13.47</v>
      </c>
      <c r="Q323" s="32" t="n">
        <v>558.6799999999999</v>
      </c>
      <c r="R323" s="31" t="inlineStr">
        <is>
          <t>Earnings / Momentum Support</t>
        </is>
      </c>
      <c r="S323" s="31" t="inlineStr">
        <is>
          <t>Nifty Realty</t>
        </is>
      </c>
      <c r="T323" s="32" t="n">
        <v>-4.49</v>
      </c>
      <c r="U323" s="32" t="n">
        <v>-16.54</v>
      </c>
      <c r="V323" s="32" t="n">
        <v>-12.62</v>
      </c>
      <c r="W323" s="32" t="n">
        <v>0.67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IF(B324=0,"",RANK(B324,$B$2:$B$368,0))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ASIANENE</t>
        </is>
      </c>
      <c r="D324" s="31" t="inlineStr">
        <is>
          <t>Asian Energy Services Ltd</t>
        </is>
      </c>
      <c r="E324" s="31" t="inlineStr">
        <is>
          <t>energy</t>
        </is>
      </c>
      <c r="F324" s="31" t="inlineStr">
        <is>
          <t>oil drilling / allied services</t>
        </is>
      </c>
      <c r="G324" s="31" t="inlineStr">
        <is>
          <t>smallcap</t>
        </is>
      </c>
      <c r="H324" s="32" t="n">
        <v>2328.14</v>
      </c>
      <c r="I324" s="32" t="n">
        <v>481</v>
      </c>
      <c r="J324" s="32" t="n">
        <v>0.47</v>
      </c>
      <c r="K324" s="32" t="n">
        <v>272845</v>
      </c>
      <c r="L324" s="31" t="n">
        <v>84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71.23</v>
      </c>
      <c r="P324" s="32" t="n">
        <v>19.22</v>
      </c>
      <c r="Q324" s="32" t="n">
        <v>356.13</v>
      </c>
      <c r="R324" s="31" t="inlineStr">
        <is>
          <t>Volume Spike &amp; Near 52W High Breakout</t>
        </is>
      </c>
      <c r="S324" s="31" t="inlineStr">
        <is>
          <t>Nifty Energy</t>
        </is>
      </c>
      <c r="T324" s="32" t="n">
        <v>8.23</v>
      </c>
      <c r="U324" s="32" t="n">
        <v>70.53</v>
      </c>
      <c r="V324" s="32" t="n">
        <v>57.56</v>
      </c>
      <c r="W324" s="32" t="n">
        <v>26.82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Oligopoly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Yes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Blue sky scenario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IF(B325=0,"",RANK(B325,$B$2:$B$368,0))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GANESHHOU</t>
        </is>
      </c>
      <c r="D325" s="33" t="inlineStr">
        <is>
          <t>Ganesh Housing Ltd</t>
        </is>
      </c>
      <c r="E325" s="31" t="inlineStr">
        <is>
          <t>realty</t>
        </is>
      </c>
      <c r="F325" s="31" t="inlineStr">
        <is>
          <t>construction</t>
        </is>
      </c>
      <c r="G325" s="31" t="inlineStr">
        <is>
          <t>midcap</t>
        </is>
      </c>
      <c r="H325" s="32" t="n">
        <v>6886.94</v>
      </c>
      <c r="I325" s="32" t="n">
        <v>826.2</v>
      </c>
      <c r="J325" s="32" t="n">
        <v>0.04</v>
      </c>
      <c r="K325" s="32" t="n">
        <v>5069</v>
      </c>
      <c r="L325" s="31" t="n">
        <v>23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58.1</v>
      </c>
      <c r="P325" s="32" t="n">
        <v>19.31</v>
      </c>
      <c r="Q325" s="32" t="n">
        <v>669.34</v>
      </c>
      <c r="R325" s="31" t="inlineStr">
        <is>
          <t>Earnings / Momentum Support</t>
        </is>
      </c>
      <c r="S325" s="31" t="inlineStr">
        <is>
          <t>Nifty Realty</t>
        </is>
      </c>
      <c r="T325" s="32" t="n">
        <v>-4.49</v>
      </c>
      <c r="U325" s="32" t="n">
        <v>-6.34</v>
      </c>
      <c r="V325" s="32" t="n">
        <v>-1.94</v>
      </c>
      <c r="W325" s="32" t="n">
        <v>5.38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IF(B326=0,"",RANK(B326,$B$2:$B$368,0))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SMLMAH</t>
        </is>
      </c>
      <c r="D326" s="31" t="inlineStr">
        <is>
          <t>SML Mahindra Ltd</t>
        </is>
      </c>
      <c r="E326" s="31" t="inlineStr">
        <is>
          <t>auto</t>
        </is>
      </c>
      <c r="F326" s="31" t="inlineStr">
        <is>
          <t>automobiles - lcvs / hcvs</t>
        </is>
      </c>
      <c r="G326" s="31" t="inlineStr">
        <is>
          <t>midcap</t>
        </is>
      </c>
      <c r="H326" s="32" t="n">
        <v>7566.5</v>
      </c>
      <c r="I326" s="32" t="n">
        <v>5185</v>
      </c>
      <c r="J326" s="32" t="n">
        <v>-0.83</v>
      </c>
      <c r="K326" s="32" t="n">
        <v>14013</v>
      </c>
      <c r="L326" s="31" t="inlineStr"/>
      <c r="M326" s="31" t="inlineStr"/>
      <c r="N326" s="32">
        <f>IF(M326="Underperforming",-5,IF(L326&gt;=95,15,IF(L326&gt;=90,10,IF(L326&gt;=80,5,0))))</f>
        <v/>
      </c>
      <c r="O326" s="32" t="n">
        <v>62.28</v>
      </c>
      <c r="P326" s="32" t="n">
        <v>13.75</v>
      </c>
      <c r="Q326" s="32" t="n">
        <v>4075.11</v>
      </c>
      <c r="R326" s="31" t="inlineStr">
        <is>
          <t>Earnings / Momentum Support</t>
        </is>
      </c>
      <c r="S326" s="31" t="inlineStr">
        <is>
          <t>Nifty Auto</t>
        </is>
      </c>
      <c r="T326" s="32" t="inlineStr"/>
      <c r="U326" s="32" t="inlineStr"/>
      <c r="V326" s="32" t="inlineStr"/>
      <c r="W326" s="32" t="inlineStr"/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IF(B327=0,"",RANK(B327,$B$2:$B$368,0))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BIL</t>
        </is>
      </c>
      <c r="D327" s="31" t="inlineStr">
        <is>
          <t>Bhartiya International Limited</t>
        </is>
      </c>
      <c r="E327" s="31" t="inlineStr">
        <is>
          <t>consumer discretionary</t>
        </is>
      </c>
      <c r="F327" s="31" t="inlineStr">
        <is>
          <t>leather / leather products</t>
        </is>
      </c>
      <c r="G327" s="31" t="inlineStr">
        <is>
          <t>smallcap</t>
        </is>
      </c>
      <c r="H327" s="32" t="n">
        <v>1129.96</v>
      </c>
      <c r="I327" s="32" t="n">
        <v>832.5</v>
      </c>
      <c r="J327" s="32" t="n">
        <v>-1.2</v>
      </c>
      <c r="K327" s="32" t="n">
        <v>1354</v>
      </c>
      <c r="L327" s="31" t="n">
        <v>16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58.58</v>
      </c>
      <c r="P327" s="32" t="n">
        <v>15.57</v>
      </c>
      <c r="Q327" s="32" t="n">
        <v>599.8200000000001</v>
      </c>
      <c r="R327" s="31" t="inlineStr">
        <is>
          <t>Earnings / Momentum Support</t>
        </is>
      </c>
      <c r="S327" s="31" t="inlineStr">
        <is>
          <t>Nifty 50</t>
        </is>
      </c>
      <c r="T327" s="32" t="n">
        <v>-2.57</v>
      </c>
      <c r="U327" s="32" t="n">
        <v>-0.41</v>
      </c>
      <c r="V327" s="32" t="n">
        <v>2.22</v>
      </c>
      <c r="W327" s="32" t="n">
        <v>3.7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Between 0.7 to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IF(B328=0,"",RANK(B328,$B$2:$B$368,0))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SYNCOMF</t>
        </is>
      </c>
      <c r="D328" s="33" t="inlineStr">
        <is>
          <t>Syncom Formulations (India) Ltd</t>
        </is>
      </c>
      <c r="E328" s="31" t="inlineStr">
        <is>
          <t>healthcare</t>
        </is>
      </c>
      <c r="F328" s="31" t="inlineStr">
        <is>
          <t>pharmaceuticals - indian - bulk drugs &amp; formln</t>
        </is>
      </c>
      <c r="G328" s="31" t="inlineStr">
        <is>
          <t>smallcap</t>
        </is>
      </c>
      <c r="H328" s="32" t="n">
        <v>1441.02</v>
      </c>
      <c r="I328" s="32" t="n">
        <v>15.47</v>
      </c>
      <c r="J328" s="32" t="n">
        <v>0.91</v>
      </c>
      <c r="K328" s="32" t="n">
        <v>829354</v>
      </c>
      <c r="L328" s="31" t="n">
        <v>5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59.83</v>
      </c>
      <c r="P328" s="32" t="n">
        <v>16.4</v>
      </c>
      <c r="Q328" s="32" t="n">
        <v>11.64</v>
      </c>
      <c r="R328" s="31" t="inlineStr">
        <is>
          <t>Earnings / Momentum Support</t>
        </is>
      </c>
      <c r="S328" s="31" t="inlineStr">
        <is>
          <t>Nifty Pharma</t>
        </is>
      </c>
      <c r="T328" s="32" t="n">
        <v>18.64</v>
      </c>
      <c r="U328" s="32" t="n">
        <v>-10.74</v>
      </c>
      <c r="V328" s="32" t="n">
        <v>-24.77</v>
      </c>
      <c r="W328" s="32" t="n">
        <v>-0.16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Yes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Annuity, Lower One Time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1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IF(B329=0,"",RANK(B329,$B$2:$B$368,0))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PFIZER</t>
        </is>
      </c>
      <c r="D329" s="33" t="inlineStr">
        <is>
          <t>Pfizer Limited</t>
        </is>
      </c>
      <c r="E329" s="31" t="inlineStr">
        <is>
          <t>healthcare</t>
        </is>
      </c>
      <c r="F329" s="31" t="inlineStr">
        <is>
          <t>pharmaceuticals - multinational</t>
        </is>
      </c>
      <c r="G329" s="31" t="inlineStr">
        <is>
          <t>largecap</t>
        </is>
      </c>
      <c r="H329" s="32" t="n">
        <v>22505.6</v>
      </c>
      <c r="I329" s="32" t="n">
        <v>4926</v>
      </c>
      <c r="J329" s="32" t="n">
        <v>0.13</v>
      </c>
      <c r="K329" s="32" t="n">
        <v>22390</v>
      </c>
      <c r="L329" s="31" t="n">
        <v>3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57.93</v>
      </c>
      <c r="P329" s="32" t="n">
        <v>14.26</v>
      </c>
      <c r="Q329" s="32" t="n">
        <v>4206.22</v>
      </c>
      <c r="R329" s="31" t="inlineStr">
        <is>
          <t>Volume Spike / Accumulation</t>
        </is>
      </c>
      <c r="S329" s="31" t="inlineStr">
        <is>
          <t>Nifty Pharma</t>
        </is>
      </c>
      <c r="T329" s="32" t="n">
        <v>18.64</v>
      </c>
      <c r="U329" s="32" t="n">
        <v>-11.8</v>
      </c>
      <c r="V329" s="32" t="n">
        <v>-25.66</v>
      </c>
      <c r="W329" s="32" t="n">
        <v>-0.87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Annuity, Lower One Time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IF(B330=0,"",RANK(B330,$B$2:$B$368,0))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MANGLMCEM</t>
        </is>
      </c>
      <c r="D330" s="31" t="inlineStr">
        <is>
          <t>Mangalam Cement Limited</t>
        </is>
      </c>
      <c r="E330" s="31" t="inlineStr">
        <is>
          <t>building materials</t>
        </is>
      </c>
      <c r="F330" s="31" t="inlineStr">
        <is>
          <t>cement - north india</t>
        </is>
      </c>
      <c r="G330" s="31" t="inlineStr">
        <is>
          <t>smallcap</t>
        </is>
      </c>
      <c r="H330" s="32" t="n">
        <v>2460.46</v>
      </c>
      <c r="I330" s="32" t="n">
        <v>978.2</v>
      </c>
      <c r="J330" s="32" t="n">
        <v>9.32</v>
      </c>
      <c r="K330" s="32" t="n">
        <v>718563</v>
      </c>
      <c r="L330" s="31" t="inlineStr"/>
      <c r="M330" s="31" t="inlineStr"/>
      <c r="N330" s="32">
        <f>IF(M330="Underperforming",-5,IF(L330&gt;=95,15,IF(L330&gt;=90,10,IF(L330&gt;=80,5,0))))</f>
        <v/>
      </c>
      <c r="O330" s="32" t="n">
        <v>61.61</v>
      </c>
      <c r="P330" s="32" t="n">
        <v>20.52</v>
      </c>
      <c r="Q330" s="32" t="n">
        <v>793.61</v>
      </c>
      <c r="R330" s="31" t="inlineStr">
        <is>
          <t>Volume Spike &amp; Near 52W High Breakout</t>
        </is>
      </c>
      <c r="S330" s="31" t="inlineStr">
        <is>
          <t>Nifty Infra</t>
        </is>
      </c>
      <c r="T330" s="32" t="inlineStr"/>
      <c r="U330" s="32" t="inlineStr"/>
      <c r="V330" s="32" t="inlineStr"/>
      <c r="W330" s="32" t="inlineStr"/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Yes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Blue sky scenario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IF(B331=0,"",RANK(B331,$B$2:$B$368,0))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MMTC</t>
        </is>
      </c>
      <c r="D331" s="31" t="inlineStr">
        <is>
          <t>Mmtc Limited</t>
        </is>
      </c>
      <c r="E331" s="31" t="inlineStr">
        <is>
          <t>services</t>
        </is>
      </c>
      <c r="F331" s="31" t="inlineStr">
        <is>
          <t>trading</t>
        </is>
      </c>
      <c r="G331" s="31" t="inlineStr">
        <is>
          <t>midcap</t>
        </is>
      </c>
      <c r="H331" s="32" t="n">
        <v>9322.5</v>
      </c>
      <c r="I331" s="32" t="n">
        <v>66.25</v>
      </c>
      <c r="J331" s="32" t="n">
        <v>6.6</v>
      </c>
      <c r="K331" s="32" t="n">
        <v>15889721</v>
      </c>
      <c r="L331" s="31" t="n">
        <v>10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52.72</v>
      </c>
      <c r="P331" s="32" t="n">
        <v>16.06</v>
      </c>
      <c r="Q331" s="32" t="n">
        <v>57.71</v>
      </c>
      <c r="R331" s="31" t="inlineStr">
        <is>
          <t>Earnings / Momentum Support</t>
        </is>
      </c>
      <c r="S331" s="31" t="inlineStr">
        <is>
          <t>Nifty 50</t>
        </is>
      </c>
      <c r="T331" s="32" t="n">
        <v>-2.57</v>
      </c>
      <c r="U331" s="32" t="n">
        <v>3.34</v>
      </c>
      <c r="V331" s="32" t="n">
        <v>6.06</v>
      </c>
      <c r="W331" s="32" t="n">
        <v>1.3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1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IF(B332=0,"",RANK(B332,$B$2:$B$368,0))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STYLEBAAZA</t>
        </is>
      </c>
      <c r="D332" s="31" t="inlineStr">
        <is>
          <t>Baazar Style Retail Ltd</t>
        </is>
      </c>
      <c r="E332" s="31" t="inlineStr">
        <is>
          <t>consumer discretionary</t>
        </is>
      </c>
      <c r="F332" s="31" t="inlineStr">
        <is>
          <t>trading</t>
        </is>
      </c>
      <c r="G332" s="31" t="inlineStr">
        <is>
          <t>smallcap</t>
        </is>
      </c>
      <c r="H332" s="32" t="n">
        <v>3217.86</v>
      </c>
      <c r="I332" s="32" t="n">
        <v>441</v>
      </c>
      <c r="J332" s="32" t="n">
        <v>4.32</v>
      </c>
      <c r="K332" s="32" t="n">
        <v>1702467</v>
      </c>
      <c r="L332" s="31" t="n">
        <v>55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64.81999999999999</v>
      </c>
      <c r="P332" s="32" t="n">
        <v>12</v>
      </c>
      <c r="Q332" s="32" t="n">
        <v>307.25</v>
      </c>
      <c r="R332" s="31" t="inlineStr">
        <is>
          <t>Volume Spike &amp; Near 52W High Breakout</t>
        </is>
      </c>
      <c r="S332" s="31" t="inlineStr">
        <is>
          <t>Nifty 50</t>
        </is>
      </c>
      <c r="T332" s="32" t="n">
        <v>-2.57</v>
      </c>
      <c r="U332" s="32" t="n">
        <v>39.58</v>
      </c>
      <c r="V332" s="32" t="n">
        <v>43.25</v>
      </c>
      <c r="W332" s="32" t="n">
        <v>13.16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Blue sky scenario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More than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IF(B333=0,"",RANK(B333,$B$2:$B$368,0))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GANDHAR</t>
        </is>
      </c>
      <c r="D333" s="31" t="inlineStr">
        <is>
          <t>Gandhar Oil Refinery (India) Ltd</t>
        </is>
      </c>
      <c r="E333" s="31" t="inlineStr">
        <is>
          <t>energy</t>
        </is>
      </c>
      <c r="F333" s="31" t="inlineStr">
        <is>
          <t>refineries</t>
        </is>
      </c>
      <c r="G333" s="31" t="inlineStr">
        <is>
          <t>smallcap</t>
        </is>
      </c>
      <c r="H333" s="32" t="n">
        <v>2448.46</v>
      </c>
      <c r="I333" s="32" t="n">
        <v>254.75</v>
      </c>
      <c r="J333" s="32" t="n">
        <v>1.84</v>
      </c>
      <c r="K333" s="32" t="n">
        <v>282417</v>
      </c>
      <c r="L333" s="31" t="n">
        <v>89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67.69</v>
      </c>
      <c r="P333" s="32" t="n">
        <v>63.67</v>
      </c>
      <c r="Q333" s="32" t="n">
        <v>210.13</v>
      </c>
      <c r="R333" s="31" t="inlineStr">
        <is>
          <t>Earnings / Momentum Support</t>
        </is>
      </c>
      <c r="S333" s="31" t="inlineStr">
        <is>
          <t>Nifty Energy</t>
        </is>
      </c>
      <c r="T333" s="32" t="n">
        <v>8.23</v>
      </c>
      <c r="U333" s="32" t="n">
        <v>54.4</v>
      </c>
      <c r="V333" s="32" t="n">
        <v>42.66</v>
      </c>
      <c r="W333" s="32" t="n">
        <v>31.91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Oligopoly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Yes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Cyclical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Volatile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Above 40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Less than 1.5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IF(B334=0,"",RANK(B334,$B$2:$B$368,0))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MAZDOCK</t>
        </is>
      </c>
      <c r="D334" s="33" t="inlineStr">
        <is>
          <t>Mazagon Dock Shipbuilders Ltd</t>
        </is>
      </c>
      <c r="E334" s="31" t="inlineStr">
        <is>
          <t>aerospace &amp; defence</t>
        </is>
      </c>
      <c r="F334" s="31" t="inlineStr">
        <is>
          <t>miscellaneous</t>
        </is>
      </c>
      <c r="G334" s="31" t="inlineStr">
        <is>
          <t>largecap</t>
        </is>
      </c>
      <c r="H334" s="32" t="n">
        <v>103418.56</v>
      </c>
      <c r="I334" s="32" t="n">
        <v>2570</v>
      </c>
      <c r="J334" s="32" t="n">
        <v>0.24</v>
      </c>
      <c r="K334" s="32" t="n">
        <v>154372</v>
      </c>
      <c r="L334" s="31" t="n">
        <v>6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54.55</v>
      </c>
      <c r="P334" s="32" t="n">
        <v>8.01</v>
      </c>
      <c r="Q334" s="32" t="n">
        <v>2108.15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-2.57</v>
      </c>
      <c r="U334" s="32" t="n">
        <v>-4.06</v>
      </c>
      <c r="V334" s="32" t="n">
        <v>-1.53</v>
      </c>
      <c r="W334" s="32" t="n">
        <v>0.28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Between 1.5 to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IF(B335=0,"",RANK(B335,$B$2:$B$368,0))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MAHSEAMLES</t>
        </is>
      </c>
      <c r="D335" s="31" t="inlineStr">
        <is>
          <t>Maharashtra Seamless Limited</t>
        </is>
      </c>
      <c r="E335" s="31" t="inlineStr">
        <is>
          <t>industrials</t>
        </is>
      </c>
      <c r="F335" s="31" t="inlineStr">
        <is>
          <t>steel - large</t>
        </is>
      </c>
      <c r="G335" s="31" t="inlineStr">
        <is>
          <t>midcap</t>
        </is>
      </c>
      <c r="H335" s="32" t="n">
        <v>8226.209999999999</v>
      </c>
      <c r="I335" s="32" t="n">
        <v>610.6</v>
      </c>
      <c r="J335" s="32" t="n">
        <v>-0.54</v>
      </c>
      <c r="K335" s="32" t="n">
        <v>33975</v>
      </c>
      <c r="L335" s="31" t="inlineStr"/>
      <c r="M335" s="31" t="inlineStr"/>
      <c r="N335" s="32">
        <f>IF(M335="Underperforming",-5,IF(L335&gt;=95,15,IF(L335&gt;=90,10,IF(L335&gt;=80,5,0))))</f>
        <v/>
      </c>
      <c r="O335" s="32" t="n">
        <v>53.49</v>
      </c>
      <c r="P335" s="32" t="n">
        <v>16.91</v>
      </c>
      <c r="Q335" s="32" t="n">
        <v>536.51</v>
      </c>
      <c r="R335" s="31" t="inlineStr">
        <is>
          <t>Earnings / Momentum Support</t>
        </is>
      </c>
      <c r="S335" s="31" t="inlineStr">
        <is>
          <t>Nifty Metal</t>
        </is>
      </c>
      <c r="T335" s="32" t="inlineStr"/>
      <c r="U335" s="32" t="inlineStr"/>
      <c r="V335" s="32" t="inlineStr"/>
      <c r="W335" s="32" t="inlineStr"/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1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Between 12 to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IF(B336=0,"",RANK(B336,$B$2:$B$368,0))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PRAJIND</t>
        </is>
      </c>
      <c r="D336" s="33" t="inlineStr">
        <is>
          <t>Praj Industries Limited</t>
        </is>
      </c>
      <c r="E336" s="31" t="inlineStr">
        <is>
          <t>industrials</t>
        </is>
      </c>
      <c r="F336" s="31" t="inlineStr">
        <is>
          <t>engineering</t>
        </is>
      </c>
      <c r="G336" s="31" t="inlineStr">
        <is>
          <t>midcap</t>
        </is>
      </c>
      <c r="H336" s="32" t="n">
        <v>6258.84</v>
      </c>
      <c r="I336" s="32" t="n">
        <v>359.3</v>
      </c>
      <c r="J336" s="32" t="n">
        <v>5.52</v>
      </c>
      <c r="K336" s="32" t="n">
        <v>1002384</v>
      </c>
      <c r="L336" s="31" t="n">
        <v>1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54.42</v>
      </c>
      <c r="P336" s="32" t="n">
        <v>8.300000000000001</v>
      </c>
      <c r="Q336" s="32" t="n">
        <v>299.68</v>
      </c>
      <c r="R336" s="31" t="inlineStr">
        <is>
          <t>Volume Spike / Accumulation</t>
        </is>
      </c>
      <c r="S336" s="31" t="inlineStr">
        <is>
          <t>Nifty 50</t>
        </is>
      </c>
      <c r="T336" s="32" t="n">
        <v>-2.57</v>
      </c>
      <c r="U336" s="32" t="n">
        <v>-11.05</v>
      </c>
      <c r="V336" s="32" t="n">
        <v>-8.710000000000001</v>
      </c>
      <c r="W336" s="32" t="n">
        <v>-2.74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IF(B337=0,"",RANK(B337,$B$2:$B$368,0))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MAXESTATES</t>
        </is>
      </c>
      <c r="D337" s="31" t="inlineStr">
        <is>
          <t>Max Estates Ltd</t>
        </is>
      </c>
      <c r="E337" s="31" t="inlineStr">
        <is>
          <t>realty</t>
        </is>
      </c>
      <c r="F337" s="31" t="inlineStr">
        <is>
          <t>construction</t>
        </is>
      </c>
      <c r="G337" s="31" t="inlineStr">
        <is>
          <t>midcap</t>
        </is>
      </c>
      <c r="H337" s="32" t="n">
        <v>8013.82</v>
      </c>
      <c r="I337" s="32" t="n">
        <v>498.5</v>
      </c>
      <c r="J337" s="32" t="n">
        <v>1.7</v>
      </c>
      <c r="K337" s="32" t="n">
        <v>55461</v>
      </c>
      <c r="L337" s="31" t="n">
        <v>26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64.76000000000001</v>
      </c>
      <c r="P337" s="32" t="n">
        <v>19.2</v>
      </c>
      <c r="Q337" s="32" t="n">
        <v>383.71</v>
      </c>
      <c r="R337" s="31" t="inlineStr">
        <is>
          <t>Volume Spike &amp; Near 52W High Breakout</t>
        </is>
      </c>
      <c r="S337" s="31" t="inlineStr">
        <is>
          <t>Nifty Realty</t>
        </is>
      </c>
      <c r="T337" s="32" t="n">
        <v>-4.49</v>
      </c>
      <c r="U337" s="32" t="n">
        <v>-2.21</v>
      </c>
      <c r="V337" s="32" t="n">
        <v>2.38</v>
      </c>
      <c r="W337" s="32" t="n">
        <v>6.11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Negative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Between 0.7 to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IF(B338=0,"",RANK(B338,$B$2:$B$368,0))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LT</t>
        </is>
      </c>
      <c r="D338" s="31" t="inlineStr">
        <is>
          <t>Larsen &amp; Toubro Limited</t>
        </is>
      </c>
      <c r="E338" s="31" t="inlineStr">
        <is>
          <t>realty</t>
        </is>
      </c>
      <c r="F338" s="31" t="inlineStr">
        <is>
          <t>engineering - turnkey services</t>
        </is>
      </c>
      <c r="G338" s="31" t="inlineStr">
        <is>
          <t>largecap</t>
        </is>
      </c>
      <c r="H338" s="32" t="n">
        <v>555973.4300000001</v>
      </c>
      <c r="I338" s="32" t="n">
        <v>4070</v>
      </c>
      <c r="J338" s="32" t="n">
        <v>0.71</v>
      </c>
      <c r="K338" s="32" t="n">
        <v>308327</v>
      </c>
      <c r="L338" s="31" t="n">
        <v>18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55.04</v>
      </c>
      <c r="P338" s="32" t="n">
        <v>6.99</v>
      </c>
      <c r="Q338" s="32" t="n">
        <v>3672.31</v>
      </c>
      <c r="R338" s="31" t="inlineStr">
        <is>
          <t>Earnings / Momentum Support</t>
        </is>
      </c>
      <c r="S338" s="31" t="inlineStr">
        <is>
          <t>Nifty Realty</t>
        </is>
      </c>
      <c r="T338" s="32" t="n">
        <v>-4.49</v>
      </c>
      <c r="U338" s="32" t="n">
        <v>19.69</v>
      </c>
      <c r="V338" s="32" t="n">
        <v>25.31</v>
      </c>
      <c r="W338" s="32" t="n">
        <v>4.37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Between 12 to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Between 0.7 to 1.2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IF(B339=0,"",RANK(B339,$B$2:$B$368,0))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SVLL</t>
        </is>
      </c>
      <c r="D339" s="31" t="inlineStr">
        <is>
          <t>Shree Vasu Logistics Ltd</t>
        </is>
      </c>
      <c r="E339" s="31" t="inlineStr">
        <is>
          <t>transportation</t>
        </is>
      </c>
      <c r="F339" s="31" t="inlineStr">
        <is>
          <t>miscellaneous</t>
        </is>
      </c>
      <c r="G339" s="31" t="inlineStr">
        <is>
          <t>smallcap</t>
        </is>
      </c>
      <c r="H339" s="32" t="n">
        <v>885.01</v>
      </c>
      <c r="I339" s="32" t="n">
        <v>770</v>
      </c>
      <c r="J339" s="32" t="n">
        <v>-0.13</v>
      </c>
      <c r="K339" s="32" t="n">
        <v>1350</v>
      </c>
      <c r="L339" s="31" t="n">
        <v>40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61.29</v>
      </c>
      <c r="P339" s="32" t="n">
        <v>34.33</v>
      </c>
      <c r="Q339" s="32" t="n">
        <v>556.64</v>
      </c>
      <c r="R339" s="31" t="inlineStr">
        <is>
          <t>Near 52W High Breakout</t>
        </is>
      </c>
      <c r="S339" s="31" t="inlineStr">
        <is>
          <t>Nifty 50</t>
        </is>
      </c>
      <c r="T339" s="32" t="n">
        <v>-2.57</v>
      </c>
      <c r="U339" s="32" t="n">
        <v>0.15</v>
      </c>
      <c r="V339" s="32" t="n">
        <v>2.79</v>
      </c>
      <c r="W339" s="32" t="n">
        <v>9.58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Blue sky scenario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More than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IF(B340=0,"",RANK(B340,$B$2:$B$368,0))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UFLEX</t>
        </is>
      </c>
      <c r="D340" s="31" t="inlineStr">
        <is>
          <t>Uflex Limited</t>
        </is>
      </c>
      <c r="E340" s="31" t="inlineStr">
        <is>
          <t>industrials</t>
        </is>
      </c>
      <c r="F340" s="31" t="inlineStr">
        <is>
          <t>packaging</t>
        </is>
      </c>
      <c r="G340" s="31" t="inlineStr">
        <is>
          <t>smallcap</t>
        </is>
      </c>
      <c r="H340" s="32" t="n">
        <v>4483.97</v>
      </c>
      <c r="I340" s="32" t="n">
        <v>610</v>
      </c>
      <c r="J340" s="32" t="n">
        <v>-1.76</v>
      </c>
      <c r="K340" s="32" t="n">
        <v>117484</v>
      </c>
      <c r="L340" s="31" t="n">
        <v>58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75.43000000000001</v>
      </c>
      <c r="P340" s="32" t="n">
        <v>19.25</v>
      </c>
      <c r="Q340" s="32" t="n">
        <v>482.7</v>
      </c>
      <c r="R340" s="31" t="inlineStr">
        <is>
          <t>Volume Spike &amp; Near 52W High Breakout</t>
        </is>
      </c>
      <c r="S340" s="31" t="inlineStr">
        <is>
          <t>Nifty 50</t>
        </is>
      </c>
      <c r="T340" s="32" t="n">
        <v>-2.57</v>
      </c>
      <c r="U340" s="32" t="n">
        <v>12.86</v>
      </c>
      <c r="V340" s="32" t="n">
        <v>15.83</v>
      </c>
      <c r="W340" s="32" t="n">
        <v>14.19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Above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Between 12 to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Less than 1.5</t>
        </is>
      </c>
      <c r="BU340" s="31">
        <f>IF(BT340="Above 2",0,IF(BT340="Between 1.5 to 2",5,IF(BT340="Less than 1.5",10,0)))</f>
        <v/>
      </c>
      <c r="BV340" s="31" t="inlineStr">
        <is>
          <t>Between 50% to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More than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IF(B341=0,"",RANK(B341,$B$2:$B$368,0))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HATSUN</t>
        </is>
      </c>
      <c r="D341" s="31" t="inlineStr">
        <is>
          <t>Hatsun Agro Product Limited</t>
        </is>
      </c>
      <c r="E341" s="31" t="inlineStr">
        <is>
          <t>fmcg</t>
        </is>
      </c>
      <c r="F341" s="31" t="inlineStr">
        <is>
          <t>food - processing - indian</t>
        </is>
      </c>
      <c r="G341" s="31" t="inlineStr">
        <is>
          <t>largecap</t>
        </is>
      </c>
      <c r="H341" s="32" t="n">
        <v>20722.27</v>
      </c>
      <c r="I341" s="32" t="n">
        <v>958.65</v>
      </c>
      <c r="J341" s="32" t="n">
        <v>3.05</v>
      </c>
      <c r="K341" s="32" t="n">
        <v>26793</v>
      </c>
      <c r="L341" s="31" t="inlineStr"/>
      <c r="M341" s="31" t="inlineStr"/>
      <c r="N341" s="32">
        <f>IF(M341="Underperforming",-5,IF(L341&gt;=95,15,IF(L341&gt;=90,10,IF(L341&gt;=80,5,0))))</f>
        <v/>
      </c>
      <c r="O341" s="32" t="n">
        <v>55.83</v>
      </c>
      <c r="P341" s="32" t="n">
        <v>11.24</v>
      </c>
      <c r="Q341" s="32" t="n">
        <v>813.1900000000001</v>
      </c>
      <c r="R341" s="31" t="inlineStr">
        <is>
          <t>Volume Spike / Accumulation</t>
        </is>
      </c>
      <c r="S341" s="31" t="inlineStr">
        <is>
          <t>Nifty FMCG</t>
        </is>
      </c>
      <c r="T341" s="32" t="inlineStr"/>
      <c r="U341" s="32" t="inlineStr"/>
      <c r="V341" s="32" t="inlineStr"/>
      <c r="W341" s="32" t="inlineStr"/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B2C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Annuity, Lower One Time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1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Between 0.7 to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IF(B342=0,"",RANK(B342,$B$2:$B$368,0))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OIL</t>
        </is>
      </c>
      <c r="D342" s="31" t="inlineStr">
        <is>
          <t>Oil India Limited</t>
        </is>
      </c>
      <c r="E342" s="31" t="inlineStr">
        <is>
          <t>energy</t>
        </is>
      </c>
      <c r="F342" s="31" t="inlineStr">
        <is>
          <t>oil drilling / allied services</t>
        </is>
      </c>
      <c r="G342" s="31" t="inlineStr">
        <is>
          <t>largecap</t>
        </is>
      </c>
      <c r="H342" s="32" t="n">
        <v>77239.47</v>
      </c>
      <c r="I342" s="32" t="n">
        <v>480.05</v>
      </c>
      <c r="J342" s="32" t="n">
        <v>1.1</v>
      </c>
      <c r="K342" s="32" t="n">
        <v>481676</v>
      </c>
      <c r="L342" s="31" t="n">
        <v>14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56.69</v>
      </c>
      <c r="P342" s="32" t="n">
        <v>15.31</v>
      </c>
      <c r="Q342" s="32" t="n">
        <v>411.31</v>
      </c>
      <c r="R342" s="31" t="inlineStr">
        <is>
          <t>Earnings / Momentum Support</t>
        </is>
      </c>
      <c r="S342" s="31" t="inlineStr">
        <is>
          <t>Nifty Energy</t>
        </is>
      </c>
      <c r="T342" s="32" t="n">
        <v>8.23</v>
      </c>
      <c r="U342" s="32" t="n">
        <v>13.64</v>
      </c>
      <c r="V342" s="32" t="n">
        <v>5</v>
      </c>
      <c r="W342" s="32" t="n">
        <v>3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Oligopoly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Yes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IF(B343=0,"",RANK(B343,$B$2:$B$368,0))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TIINDIA</t>
        </is>
      </c>
      <c r="D343" s="31" t="inlineStr">
        <is>
          <t>Tube Investments of India Ltd</t>
        </is>
      </c>
      <c r="E343" s="31" t="inlineStr">
        <is>
          <t>industrials</t>
        </is>
      </c>
      <c r="F343" s="31" t="inlineStr">
        <is>
          <t>steel - large</t>
        </is>
      </c>
      <c r="G343" s="31" t="inlineStr">
        <is>
          <t>largecap</t>
        </is>
      </c>
      <c r="H343" s="32" t="n">
        <v>57315.58</v>
      </c>
      <c r="I343" s="32" t="n">
        <v>2927.1</v>
      </c>
      <c r="J343" s="32" t="n">
        <v>-1.14</v>
      </c>
      <c r="K343" s="32" t="n">
        <v>57097</v>
      </c>
      <c r="L343" s="31" t="inlineStr"/>
      <c r="M343" s="31" t="inlineStr"/>
      <c r="N343" s="32">
        <f>IF(M343="Underperforming",-5,IF(L343&gt;=95,15,IF(L343&gt;=90,10,IF(L343&gt;=80,5,0))))</f>
        <v/>
      </c>
      <c r="O343" s="32" t="n">
        <v>52.78</v>
      </c>
      <c r="P343" s="32" t="n">
        <v>14.88</v>
      </c>
      <c r="Q343" s="32" t="n">
        <v>2634.15</v>
      </c>
      <c r="R343" s="31" t="inlineStr">
        <is>
          <t>Volume Spike / Accumulation</t>
        </is>
      </c>
      <c r="S343" s="31" t="inlineStr">
        <is>
          <t>Nifty Metal</t>
        </is>
      </c>
      <c r="T343" s="32" t="inlineStr"/>
      <c r="U343" s="32" t="inlineStr"/>
      <c r="V343" s="32" t="inlineStr"/>
      <c r="W343" s="32" t="inlineStr"/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1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IF(B344=0,"",RANK(B344,$B$2:$B$368,0))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TEGA</t>
        </is>
      </c>
      <c r="D344" s="33" t="inlineStr">
        <is>
          <t>Tega Industries Ltd</t>
        </is>
      </c>
      <c r="E344" s="31" t="inlineStr">
        <is>
          <t>industrials</t>
        </is>
      </c>
      <c r="F344" s="31" t="inlineStr">
        <is>
          <t>engineering</t>
        </is>
      </c>
      <c r="G344" s="31" t="inlineStr">
        <is>
          <t>midcap</t>
        </is>
      </c>
      <c r="H344" s="32" t="n">
        <v>12971.55</v>
      </c>
      <c r="I344" s="32" t="n">
        <v>1781.7</v>
      </c>
      <c r="J344" s="32" t="n">
        <v>3.19</v>
      </c>
      <c r="K344" s="32" t="n">
        <v>414638</v>
      </c>
      <c r="L344" s="31" t="n">
        <v>11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54.43</v>
      </c>
      <c r="P344" s="32" t="n">
        <v>12.46</v>
      </c>
      <c r="Q344" s="32" t="n">
        <v>1439.82</v>
      </c>
      <c r="R344" s="31" t="inlineStr">
        <is>
          <t>Volume Spike / Accumulation</t>
        </is>
      </c>
      <c r="S344" s="31" t="inlineStr">
        <is>
          <t>Nifty 50</t>
        </is>
      </c>
      <c r="T344" s="32" t="n">
        <v>-2.57</v>
      </c>
      <c r="U344" s="32" t="n">
        <v>-5.14</v>
      </c>
      <c r="V344" s="32" t="n">
        <v>-2.64</v>
      </c>
      <c r="W344" s="32" t="n">
        <v>1.44</v>
      </c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1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IF(B345=0,"",RANK(B345,$B$2:$B$368,0))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PETRONET</t>
        </is>
      </c>
      <c r="D345" s="33" t="inlineStr">
        <is>
          <t>Petronet Lng Limited</t>
        </is>
      </c>
      <c r="E345" s="31" t="inlineStr">
        <is>
          <t>energy</t>
        </is>
      </c>
      <c r="F345" s="31" t="inlineStr">
        <is>
          <t>miscellaneous</t>
        </is>
      </c>
      <c r="G345" s="31" t="inlineStr">
        <is>
          <t>largecap</t>
        </is>
      </c>
      <c r="H345" s="32" t="n">
        <v>43222.5</v>
      </c>
      <c r="I345" s="32" t="n">
        <v>291.2</v>
      </c>
      <c r="J345" s="32" t="n">
        <v>1.06</v>
      </c>
      <c r="K345" s="32" t="n">
        <v>1087636</v>
      </c>
      <c r="L345" s="31" t="n">
        <v>12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58.25</v>
      </c>
      <c r="P345" s="32" t="n">
        <v>5.76</v>
      </c>
      <c r="Q345" s="32" t="n">
        <v>247.25</v>
      </c>
      <c r="R345" s="31" t="inlineStr">
        <is>
          <t>Earnings / Momentum Support</t>
        </is>
      </c>
      <c r="S345" s="31" t="inlineStr">
        <is>
          <t>Nifty Energy</t>
        </is>
      </c>
      <c r="T345" s="32" t="n">
        <v>8.23</v>
      </c>
      <c r="U345" s="32" t="n">
        <v>0.2</v>
      </c>
      <c r="V345" s="32" t="n">
        <v>-7.42</v>
      </c>
      <c r="W345" s="32" t="n">
        <v>1.71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Yes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IF(B346=0,"",RANK(B346,$B$2:$B$368,0))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SALSTEEL</t>
        </is>
      </c>
      <c r="D346" s="31" t="inlineStr">
        <is>
          <t>SAL Steel</t>
        </is>
      </c>
      <c r="E346" s="31" t="inlineStr">
        <is>
          <t>metals &amp; mining</t>
        </is>
      </c>
      <c r="F346" s="31" t="inlineStr">
        <is>
          <t>steel - sponge iron</t>
        </is>
      </c>
      <c r="G346" s="31" t="inlineStr">
        <is>
          <t>smallcap</t>
        </is>
      </c>
      <c r="H346" s="32" t="n">
        <v>1146.84</v>
      </c>
      <c r="I346" s="32" t="n">
        <v>79</v>
      </c>
      <c r="J346" s="32" t="n">
        <v>-0.28</v>
      </c>
      <c r="K346" s="32" t="n">
        <v>253597</v>
      </c>
      <c r="L346" s="31" t="inlineStr"/>
      <c r="M346" s="31" t="inlineStr"/>
      <c r="N346" s="32">
        <f>IF(M346="Underperforming",-5,IF(L346&gt;=95,15,IF(L346&gt;=90,10,IF(L346&gt;=80,5,0))))</f>
        <v/>
      </c>
      <c r="O346" s="32" t="n">
        <v>77.55</v>
      </c>
      <c r="P346" s="32" t="n">
        <v>25.11</v>
      </c>
      <c r="Q346" s="32" t="n">
        <v>56.41</v>
      </c>
      <c r="R346" s="31" t="inlineStr">
        <is>
          <t>Volume Spike &amp; Near 52W High Breakout</t>
        </is>
      </c>
      <c r="S346" s="31" t="inlineStr">
        <is>
          <t>Nifty Metal</t>
        </is>
      </c>
      <c r="T346" s="32" t="inlineStr"/>
      <c r="U346" s="32" t="inlineStr"/>
      <c r="V346" s="32" t="inlineStr"/>
      <c r="W346" s="32" t="inlineStr"/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Above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Blue sky scenario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Negative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IF(B347=0,"",RANK(B347,$B$2:$B$368,0))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ASHOKLEY</t>
        </is>
      </c>
      <c r="D347" s="31" t="inlineStr">
        <is>
          <t>Ashok Leyland Limited</t>
        </is>
      </c>
      <c r="E347" s="31" t="inlineStr">
        <is>
          <t>auto</t>
        </is>
      </c>
      <c r="F347" s="31" t="inlineStr">
        <is>
          <t>automobiles - lcvs / hcvs</t>
        </is>
      </c>
      <c r="G347" s="31" t="inlineStr">
        <is>
          <t>largecap</t>
        </is>
      </c>
      <c r="H347" s="32" t="n">
        <v>101676.42</v>
      </c>
      <c r="I347" s="32" t="n">
        <v>173.53</v>
      </c>
      <c r="J347" s="32" t="n">
        <v>0.25</v>
      </c>
      <c r="K347" s="32" t="n">
        <v>1668267</v>
      </c>
      <c r="L347" s="31" t="inlineStr"/>
      <c r="M347" s="31" t="inlineStr"/>
      <c r="N347" s="32">
        <f>IF(M347="Underperforming",-5,IF(L347&gt;=95,15,IF(L347&gt;=90,10,IF(L347&gt;=80,5,0))))</f>
        <v/>
      </c>
      <c r="O347" s="32" t="n">
        <v>55.9</v>
      </c>
      <c r="P347" s="32" t="n">
        <v>14.71</v>
      </c>
      <c r="Q347" s="32" t="n">
        <v>141.37</v>
      </c>
      <c r="R347" s="31" t="inlineStr">
        <is>
          <t>Earnings / Momentum Support</t>
        </is>
      </c>
      <c r="S347" s="31" t="inlineStr">
        <is>
          <t>Nifty Auto</t>
        </is>
      </c>
      <c r="T347" s="32" t="inlineStr"/>
      <c r="U347" s="32" t="inlineStr"/>
      <c r="V347" s="32" t="inlineStr"/>
      <c r="W347" s="32" t="inlineStr"/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More than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IF(B348=0,"",RANK(B348,$B$2:$B$368,0))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LICI</t>
        </is>
      </c>
      <c r="D348" s="33" t="inlineStr">
        <is>
          <t>Life Insurance Corporation of India Ltd</t>
        </is>
      </c>
      <c r="E348" s="31" t="n">
        <v/>
      </c>
      <c r="F348" s="31" t="n">
        <v/>
      </c>
      <c r="G348" s="31" t="n">
        <v/>
      </c>
      <c r="H348" s="32" t="n">
        <v/>
      </c>
      <c r="I348" s="32" t="n">
        <v>422.25</v>
      </c>
      <c r="J348" s="32" t="n">
        <v>2.22</v>
      </c>
      <c r="K348" s="32" t="n">
        <v>6014748</v>
      </c>
      <c r="L348" s="31" t="n">
        <v>7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52.25</v>
      </c>
      <c r="P348" s="32" t="n">
        <v>16.15</v>
      </c>
      <c r="Q348" s="32" t="n">
        <v>375.33</v>
      </c>
      <c r="R348" s="31" t="inlineStr">
        <is>
          <t>Earnings / Momentum Support</t>
        </is>
      </c>
      <c r="S348" s="31" t="inlineStr">
        <is>
          <t>Nifty 50</t>
        </is>
      </c>
      <c r="T348" s="32" t="n">
        <v>-2.57</v>
      </c>
      <c r="U348" s="32" t="n">
        <v>-3.54</v>
      </c>
      <c r="V348" s="32" t="n">
        <v>-1</v>
      </c>
      <c r="W348" s="32" t="n">
        <v>0.47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Less than 1.5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IF(B349=0,"",RANK(B349,$B$2:$B$368,0))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20MICRONS</t>
        </is>
      </c>
      <c r="D349" s="31" t="inlineStr">
        <is>
          <t>20 Microns Limited</t>
        </is>
      </c>
      <c r="E349" s="31" t="inlineStr">
        <is>
          <t>metals &amp; mining</t>
        </is>
      </c>
      <c r="F349" s="31" t="inlineStr">
        <is>
          <t>mining / minerals / metals</t>
        </is>
      </c>
      <c r="G349" s="31" t="inlineStr">
        <is>
          <t>smallcap</t>
        </is>
      </c>
      <c r="H349" s="32" t="n">
        <v>691.76</v>
      </c>
      <c r="I349" s="32" t="n">
        <v>203.8</v>
      </c>
      <c r="J349" s="32" t="n">
        <v>3.96</v>
      </c>
      <c r="K349" s="32" t="n">
        <v>113826</v>
      </c>
      <c r="L349" s="31" t="inlineStr"/>
      <c r="M349" s="31" t="inlineStr"/>
      <c r="N349" s="32">
        <f>IF(M349="Underperforming",-5,IF(L349&gt;=95,15,IF(L349&gt;=90,10,IF(L349&gt;=80,5,0))))</f>
        <v/>
      </c>
      <c r="O349" s="32" t="n">
        <v>57.57</v>
      </c>
      <c r="P349" s="32" t="n">
        <v>13.53</v>
      </c>
      <c r="Q349" s="32" t="n">
        <v>151.26</v>
      </c>
      <c r="R349" s="31" t="inlineStr">
        <is>
          <t>Earnings / Momentum Support</t>
        </is>
      </c>
      <c r="S349" s="31" t="inlineStr">
        <is>
          <t>Nifty Metal</t>
        </is>
      </c>
      <c r="T349" s="32" t="inlineStr"/>
      <c r="U349" s="32" t="inlineStr"/>
      <c r="V349" s="32" t="inlineStr"/>
      <c r="W349" s="32" t="inlineStr"/>
      <c r="X349" s="31" t="inlineStr">
        <is>
          <t>Cyclical in an Upturn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Cyclical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Volatile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Between 1.5 to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IF(B350=0,"",RANK(B350,$B$2:$B$368,0))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GAEL</t>
        </is>
      </c>
      <c r="D350" s="31" t="inlineStr">
        <is>
          <t>Gujarat Ambuja Exports Limited</t>
        </is>
      </c>
      <c r="E350" s="31" t="inlineStr">
        <is>
          <t>fmcg</t>
        </is>
      </c>
      <c r="F350" s="31" t="inlineStr">
        <is>
          <t>miscellaneous</t>
        </is>
      </c>
      <c r="G350" s="31" t="inlineStr">
        <is>
          <t>midcap</t>
        </is>
      </c>
      <c r="H350" s="32" t="n">
        <v>7973.07</v>
      </c>
      <c r="I350" s="32" t="n">
        <v>182.5</v>
      </c>
      <c r="J350" s="32" t="n">
        <v>4.99</v>
      </c>
      <c r="K350" s="32" t="n">
        <v>459454</v>
      </c>
      <c r="L350" s="31" t="inlineStr"/>
      <c r="M350" s="31" t="inlineStr"/>
      <c r="N350" s="32">
        <f>IF(M350="Underperforming",-5,IF(L350&gt;=95,15,IF(L350&gt;=90,10,IF(L350&gt;=80,5,0))))</f>
        <v/>
      </c>
      <c r="O350" s="32" t="n">
        <v>67.75</v>
      </c>
      <c r="P350" s="32" t="n">
        <v>35.35</v>
      </c>
      <c r="Q350" s="32" t="n">
        <v>146.06</v>
      </c>
      <c r="R350" s="31" t="inlineStr">
        <is>
          <t>Near 52W High Breakout</t>
        </is>
      </c>
      <c r="S350" s="31" t="inlineStr">
        <is>
          <t>Nifty FMCG</t>
        </is>
      </c>
      <c r="T350" s="32" t="inlineStr"/>
      <c r="U350" s="32" t="inlineStr"/>
      <c r="V350" s="32" t="inlineStr"/>
      <c r="W350" s="32" t="inlineStr"/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Oligopoly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Shallow Cyclical (2 to 3 Years Growth)</t>
        </is>
      </c>
      <c r="AG350" s="31">
        <f>IF(AF350="Structural (10 Years Consistency)",10,IF(AF350="Shallow Cyclical (2 to 3 years growth)",5,0))</f>
        <v/>
      </c>
      <c r="AH350" s="31" t="inlineStr">
        <is>
          <t>Yes due to Product Mix change or Operating Leverage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Yes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Allocated capital in Non-core Areas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Above 40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Sideways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Overhead supply in last 2 years in last 2 years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More than 15%</t>
        </is>
      </c>
      <c r="CC350" s="31">
        <f>IF(CB350="More than 15%",-10,IF(CB350="Less than 15%",10,0))</f>
        <v/>
      </c>
      <c r="CD350" s="31" t="inlineStr">
        <is>
          <t>Yes Upto 10%</t>
        </is>
      </c>
      <c r="CE350" s="31">
        <f>IF(CD350="Yes, more than 10%",-10,IF(CD350="No",10,0))</f>
        <v/>
      </c>
    </row>
    <row r="351">
      <c r="A351" s="31">
        <f>IF(B351=0,"",RANK(B351,$B$2:$B$368,0))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GIPCL</t>
        </is>
      </c>
      <c r="D351" s="31" t="inlineStr">
        <is>
          <t>Gujarat Industries Power Company Limited</t>
        </is>
      </c>
      <c r="E351" s="31" t="inlineStr">
        <is>
          <t>power &amp; utilities</t>
        </is>
      </c>
      <c r="F351" s="31" t="inlineStr">
        <is>
          <t>power generation and supply</t>
        </is>
      </c>
      <c r="G351" s="31" t="inlineStr">
        <is>
          <t>smallcap</t>
        </is>
      </c>
      <c r="H351" s="32" t="n">
        <v>2669.09</v>
      </c>
      <c r="I351" s="32" t="n">
        <v>172.9</v>
      </c>
      <c r="J351" s="32" t="n">
        <v>0.55</v>
      </c>
      <c r="K351" s="32" t="n">
        <v>202684</v>
      </c>
      <c r="L351" s="31" t="n">
        <v>13</v>
      </c>
      <c r="M351" s="31" t="inlineStr">
        <is>
          <t>Outperforming</t>
        </is>
      </c>
      <c r="N351" s="32">
        <f>IF(M351="Underperforming",-5,IF(L351&gt;=95,15,IF(L351&gt;=90,10,IF(L351&gt;=80,5,0))))</f>
        <v/>
      </c>
      <c r="O351" s="32" t="n">
        <v>57.69</v>
      </c>
      <c r="P351" s="32" t="n">
        <v>13.51</v>
      </c>
      <c r="Q351" s="32" t="n">
        <v>141.49</v>
      </c>
      <c r="R351" s="31" t="inlineStr">
        <is>
          <t>Earnings / Momentum Support</t>
        </is>
      </c>
      <c r="S351" s="31" t="inlineStr">
        <is>
          <t>Nifty IT</t>
        </is>
      </c>
      <c r="T351" s="32" t="n">
        <v>-13.45</v>
      </c>
      <c r="U351" s="32" t="n">
        <v>-7.38</v>
      </c>
      <c r="V351" s="32" t="n">
        <v>7.01</v>
      </c>
      <c r="W351" s="32" t="n">
        <v>1.81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Oligopoly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Shallow Cyclical (2 to 3 Years Growth)</t>
        </is>
      </c>
      <c r="AG351" s="31">
        <f>IF(AF351="Structural (10 Years Consistency)",10,IF(AF351="Shallow Cyclical (2 to 3 years growth)",5,0))</f>
        <v/>
      </c>
      <c r="AH351" s="31" t="inlineStr">
        <is>
          <t>Yes due to Product Mix change or Operating Leverage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Volatile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Yes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Allocated capital in Non-core Areas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Above 40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3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Sideways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Overhead supply in last 2 years in last 2 years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Less than 1.5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More than 15%</t>
        </is>
      </c>
      <c r="CC351" s="31">
        <f>IF(CB351="More than 15%",-10,IF(CB351="Less than 15%",10,0))</f>
        <v/>
      </c>
      <c r="CD351" s="31" t="inlineStr">
        <is>
          <t>Yes Upto 10%</t>
        </is>
      </c>
      <c r="CE351" s="31">
        <f>IF(CD351="Yes, more than 10%",-10,IF(CD351="No",10,0))</f>
        <v/>
      </c>
    </row>
    <row r="352">
      <c r="A352" s="31">
        <f>IF(B352=0,"",RANK(B352,$B$2:$B$368,0))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FLUOROCHEM</t>
        </is>
      </c>
      <c r="D352" s="31" t="inlineStr">
        <is>
          <t>Gujarat Fluorochemicals Ltd</t>
        </is>
      </c>
      <c r="E352" s="31" t="inlineStr">
        <is>
          <t>chemicals</t>
        </is>
      </c>
      <c r="F352" s="31" t="inlineStr">
        <is>
          <t>chemicals</t>
        </is>
      </c>
      <c r="G352" s="31" t="inlineStr">
        <is>
          <t>largecap</t>
        </is>
      </c>
      <c r="H352" s="32" t="n">
        <v>51509.76</v>
      </c>
      <c r="I352" s="32" t="n">
        <v>4690.3</v>
      </c>
      <c r="J352" s="32" t="n">
        <v>0.03</v>
      </c>
      <c r="K352" s="32" t="n">
        <v>79835</v>
      </c>
      <c r="L352" s="31" t="n">
        <v>48</v>
      </c>
      <c r="M352" s="31" t="inlineStr">
        <is>
          <t>Outperforming</t>
        </is>
      </c>
      <c r="N352" s="32">
        <f>IF(M352="Underperforming",-5,IF(L352&gt;=95,15,IF(L352&gt;=90,10,IF(L352&gt;=80,5,0))))</f>
        <v/>
      </c>
      <c r="O352" s="32" t="n">
        <v>70.77</v>
      </c>
      <c r="P352" s="32" t="n">
        <v>33.12</v>
      </c>
      <c r="Q352" s="32" t="n">
        <v>3910.44</v>
      </c>
      <c r="R352" s="31" t="inlineStr">
        <is>
          <t>Near 52W High Breakout</t>
        </is>
      </c>
      <c r="S352" s="31" t="inlineStr">
        <is>
          <t>Nifty 50</t>
        </is>
      </c>
      <c r="T352" s="32" t="n">
        <v>-2.57</v>
      </c>
      <c r="U352" s="32" t="n">
        <v>36.86</v>
      </c>
      <c r="V352" s="32" t="n">
        <v>40.47</v>
      </c>
      <c r="W352" s="32" t="n">
        <v>11.27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Oligopoly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Shallow Cyclical (2 to 3 Years Growth)</t>
        </is>
      </c>
      <c r="AG352" s="31">
        <f>IF(AF352="Structural (10 Years Consistency)",10,IF(AF352="Shallow Cyclical (2 to 3 years growth)",5,0))</f>
        <v/>
      </c>
      <c r="AH352" s="31" t="inlineStr">
        <is>
          <t>Yes due to Product Mix change or Operating Leverage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Volatile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Yes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Allocated capital in Non-core Areas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Above 40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3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Sideways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Overhead supply in last 2 years in last 2 years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Less than 1.5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More than 15%</t>
        </is>
      </c>
      <c r="CC352" s="31">
        <f>IF(CB352="More than 15%",-10,IF(CB352="Less than 15%",10,0))</f>
        <v/>
      </c>
      <c r="CD352" s="31" t="inlineStr">
        <is>
          <t>Yes Upto 10%</t>
        </is>
      </c>
      <c r="CE352" s="31">
        <f>IF(CD352="Yes, more than 10%",-10,IF(CD352="No",10,0))</f>
        <v/>
      </c>
    </row>
    <row r="353">
      <c r="A353" s="31">
        <f>IF(B353=0,"",RANK(B353,$B$2:$B$368,0))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GPPL</t>
        </is>
      </c>
      <c r="D353" s="31" t="inlineStr">
        <is>
          <t>Gujarat Pipavav Port Limited</t>
        </is>
      </c>
      <c r="E353" s="31" t="inlineStr">
        <is>
          <t>transportation</t>
        </is>
      </c>
      <c r="F353" s="31" t="inlineStr">
        <is>
          <t>miscellaneous</t>
        </is>
      </c>
      <c r="G353" s="31" t="inlineStr">
        <is>
          <t>midcap</t>
        </is>
      </c>
      <c r="H353" s="32" t="n">
        <v>7983.04</v>
      </c>
      <c r="I353" s="32" t="n">
        <v>164.83</v>
      </c>
      <c r="J353" s="32" t="n">
        <v>-0.18</v>
      </c>
      <c r="K353" s="32" t="n">
        <v>647869</v>
      </c>
      <c r="L353" s="31" t="n">
        <v>20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58.38</v>
      </c>
      <c r="P353" s="32" t="n">
        <v>5.94</v>
      </c>
      <c r="Q353" s="32" t="n">
        <v>139.16</v>
      </c>
      <c r="R353" s="31" t="inlineStr">
        <is>
          <t>Earnings / Momentum Support</t>
        </is>
      </c>
      <c r="S353" s="31" t="inlineStr">
        <is>
          <t>Nifty 50</t>
        </is>
      </c>
      <c r="T353" s="32" t="n">
        <v>-2.57</v>
      </c>
      <c r="U353" s="32" t="n">
        <v>11.89</v>
      </c>
      <c r="V353" s="32" t="n">
        <v>14.83</v>
      </c>
      <c r="W353" s="32" t="n">
        <v>4.54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Oligopoly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Shallow Cyclical (2 to 3 Years Growth)</t>
        </is>
      </c>
      <c r="AG353" s="31">
        <f>IF(AF353="Structural (10 Years Consistency)",10,IF(AF353="Shallow Cyclical (2 to 3 years growth)",5,0))</f>
        <v/>
      </c>
      <c r="AH353" s="31" t="inlineStr">
        <is>
          <t>Yes due to Product Mix change or Operating Leverage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Allocated capital in Non-core Areas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Above 40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3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Sideways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Overhead supply in last 2 years in last 2 years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Less than 1.5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More than 15%</t>
        </is>
      </c>
      <c r="CC353" s="31">
        <f>IF(CB353="More than 15%",-10,IF(CB353="Less than 15%",10,0))</f>
        <v/>
      </c>
      <c r="CD353" s="31" t="inlineStr">
        <is>
          <t>Yes Upto 10%</t>
        </is>
      </c>
      <c r="CE353" s="31">
        <f>IF(CD353="Yes, more than 10%",-10,IF(CD353="No",10,0))</f>
        <v/>
      </c>
    </row>
    <row r="354">
      <c r="A354" s="31">
        <f>IF(B354=0,"",RANK(B354,$B$2:$B$368,0))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GNFC</t>
        </is>
      </c>
      <c r="D354" s="31" t="inlineStr">
        <is>
          <t>Gujarat Narmada Valley Fertilizers And Chemicals Limited</t>
        </is>
      </c>
      <c r="E354" s="31" t="inlineStr">
        <is>
          <t>chemicals</t>
        </is>
      </c>
      <c r="F354" s="31" t="inlineStr">
        <is>
          <t>chemicals</t>
        </is>
      </c>
      <c r="G354" s="31" t="inlineStr">
        <is>
          <t>midcap</t>
        </is>
      </c>
      <c r="H354" s="32" t="n">
        <v>8850.24</v>
      </c>
      <c r="I354" s="32" t="n">
        <v>592.8</v>
      </c>
      <c r="J354" s="32" t="n">
        <v>-1.58</v>
      </c>
      <c r="K354" s="32" t="n">
        <v>106160</v>
      </c>
      <c r="L354" s="31" t="n">
        <v>28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68.89</v>
      </c>
      <c r="P354" s="32" t="n">
        <v>34.22</v>
      </c>
      <c r="Q354" s="32" t="n">
        <v>479.35</v>
      </c>
      <c r="R354" s="31" t="inlineStr">
        <is>
          <t>Volume Spike &amp; Near 52W High Breakout</t>
        </is>
      </c>
      <c r="S354" s="31" t="inlineStr">
        <is>
          <t>Nifty 50</t>
        </is>
      </c>
      <c r="T354" s="32" t="n">
        <v>-2.57</v>
      </c>
      <c r="U354" s="32" t="n">
        <v>15.39</v>
      </c>
      <c r="V354" s="32" t="n">
        <v>18.43</v>
      </c>
      <c r="W354" s="32" t="n">
        <v>6.66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Oligopoly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Shallow Cyclical (2 to 3 Years Growth)</t>
        </is>
      </c>
      <c r="AG354" s="31">
        <f>IF(AF354="Structural (10 Years Consistency)",10,IF(AF354="Shallow Cyclical (2 to 3 years growth)",5,0))</f>
        <v/>
      </c>
      <c r="AH354" s="31" t="inlineStr">
        <is>
          <t>Yes due to Product Mix change or Operating Leverage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Allocated capital in Non-core Areas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Above 40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Sideways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Overhead supply in last 2 years in last 2 years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Less than 1.5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More than 15%</t>
        </is>
      </c>
      <c r="CC354" s="31">
        <f>IF(CB354="More than 15%",-10,IF(CB354="Less than 15%",10,0))</f>
        <v/>
      </c>
      <c r="CD354" s="31" t="inlineStr">
        <is>
          <t>Yes Upto 10%</t>
        </is>
      </c>
      <c r="CE354" s="31">
        <f>IF(CD354="Yes, more than 10%",-10,IF(CD354="No",10,0))</f>
        <v/>
      </c>
    </row>
    <row r="355">
      <c r="A355" s="31">
        <f>IF(B355=0,"",RANK(B355,$B$2:$B$368,0))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POLICYBZR</t>
        </is>
      </c>
      <c r="D355" s="31" t="inlineStr">
        <is>
          <t>PB Fintech Ltd</t>
        </is>
      </c>
      <c r="E355" s="31" t="inlineStr">
        <is>
          <t>i.t</t>
        </is>
      </c>
      <c r="F355" s="31" t="inlineStr">
        <is>
          <t>miscellaneous</t>
        </is>
      </c>
      <c r="G355" s="31" t="inlineStr">
        <is>
          <t>largecap</t>
        </is>
      </c>
      <c r="H355" s="32" t="n">
        <v>82456.85000000001</v>
      </c>
      <c r="I355" s="32" t="n">
        <v>1765</v>
      </c>
      <c r="J355" s="32" t="n">
        <v>-0.96</v>
      </c>
      <c r="K355" s="32" t="n">
        <v>342010</v>
      </c>
      <c r="L355" s="31" t="n">
        <v>2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60.69</v>
      </c>
      <c r="P355" s="32" t="n">
        <v>8.57</v>
      </c>
      <c r="Q355" s="32" t="n">
        <v>1451.06</v>
      </c>
      <c r="R355" s="31" t="inlineStr">
        <is>
          <t>Earnings / Momentum Support</t>
        </is>
      </c>
      <c r="S355" s="31" t="inlineStr">
        <is>
          <t>Nifty IT</t>
        </is>
      </c>
      <c r="T355" s="32" t="n">
        <v>-13.45</v>
      </c>
      <c r="U355" s="32" t="n">
        <v>-6.89</v>
      </c>
      <c r="V355" s="32" t="n">
        <v>7.59</v>
      </c>
      <c r="W355" s="32" t="n">
        <v>-0.93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Monopoly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Yes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B2C</t>
        </is>
      </c>
      <c r="AO355" s="31">
        <f>IF(AN355="B2C",10,IF(AN355="B2B",5,0))</f>
        <v/>
      </c>
      <c r="AP355" s="31" t="inlineStr">
        <is>
          <t>Yes</t>
        </is>
      </c>
      <c r="AQ355" s="31">
        <f>IF(AP355="Yes",10,0)</f>
        <v/>
      </c>
      <c r="AR355" s="31" t="inlineStr">
        <is>
          <t>Fully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Allocated capital in Non-core Areas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20 to 40</t>
        </is>
      </c>
      <c r="AY355" s="31">
        <f>IF(AX355="Above 40",20,IF(AX355="20 to 40",10,IF(AX355="0 to 20",-5,0)))</f>
        <v/>
      </c>
      <c r="AZ355" s="31" t="inlineStr">
        <is>
          <t>Below 45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Downtrend</t>
        </is>
      </c>
      <c r="BG355" s="31">
        <f>IF(BF355="Uptrend",10,IF(BF355="Sideways",5,0))</f>
        <v/>
      </c>
      <c r="BH355" s="31" t="inlineStr">
        <is>
          <t>Downtrend</t>
        </is>
      </c>
      <c r="BI355" s="31">
        <f>IF(BH355="Uptrend",10,IF(BH355="Sideways",5,0))</f>
        <v/>
      </c>
      <c r="BJ355" s="31" t="inlineStr">
        <is>
          <t>Overhead supply in last 2 years in last 2 years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Yes</t>
        </is>
      </c>
      <c r="BQ355" s="31">
        <f>IF(BP355="No",10,0)</f>
        <v/>
      </c>
      <c r="BR355" s="31" t="inlineStr">
        <is>
          <t>Yes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IF(B356=0,"",RANK(B356,$B$2:$B$368,0))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JINDALSTEL</t>
        </is>
      </c>
      <c r="D356" s="31" t="inlineStr">
        <is>
          <t>Jindal Steel Ltd</t>
        </is>
      </c>
      <c r="E356" s="31" t="inlineStr">
        <is>
          <t>metals &amp; mining</t>
        </is>
      </c>
      <c r="F356" s="31" t="inlineStr">
        <is>
          <t>steel - large</t>
        </is>
      </c>
      <c r="G356" s="31" t="inlineStr">
        <is>
          <t>largecap</t>
        </is>
      </c>
      <c r="H356" s="32" t="n">
        <v>113739.82</v>
      </c>
      <c r="I356" s="32" t="n">
        <v>1118.9</v>
      </c>
      <c r="J356" s="32" t="n">
        <v>0.35</v>
      </c>
      <c r="K356" s="32" t="n">
        <v>267177</v>
      </c>
      <c r="L356" s="31" t="inlineStr"/>
      <c r="M356" s="31" t="inlineStr"/>
      <c r="N356" s="32">
        <f>IF(M356="Underperforming",-5,IF(L356&gt;=95,15,IF(L356&gt;=90,10,IF(L356&gt;=80,5,0))))</f>
        <v/>
      </c>
      <c r="O356" s="32" t="n">
        <v>50.34</v>
      </c>
      <c r="P356" s="32" t="n">
        <v>15.11</v>
      </c>
      <c r="Q356" s="32" t="n">
        <v>1026.06</v>
      </c>
      <c r="R356" s="31" t="inlineStr">
        <is>
          <t>Earnings / Momentum Support</t>
        </is>
      </c>
      <c r="S356" s="31" t="inlineStr">
        <is>
          <t>Nifty Metal</t>
        </is>
      </c>
      <c r="T356" s="32" t="inlineStr"/>
      <c r="U356" s="32" t="inlineStr"/>
      <c r="V356" s="32" t="inlineStr"/>
      <c r="W356" s="32" t="inlineStr"/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Cyclical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1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IF(B357=0,"",RANK(B357,$B$2:$B$368,0))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ANURAS</t>
        </is>
      </c>
      <c r="D357" s="31" t="inlineStr">
        <is>
          <t>Anupam Rasayan India Ltd</t>
        </is>
      </c>
      <c r="E357" s="31" t="inlineStr">
        <is>
          <t>chemicals</t>
        </is>
      </c>
      <c r="F357" s="31" t="inlineStr">
        <is>
          <t>chemicals</t>
        </is>
      </c>
      <c r="G357" s="31" t="inlineStr">
        <is>
          <t>midcap</t>
        </is>
      </c>
      <c r="H357" s="32" t="n">
        <v>13950.97</v>
      </c>
      <c r="I357" s="32" t="n">
        <v>1239.4</v>
      </c>
      <c r="J357" s="32" t="n">
        <v>1.14</v>
      </c>
      <c r="K357" s="32" t="n">
        <v>82202</v>
      </c>
      <c r="L357" s="31" t="n">
        <v>6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46.89</v>
      </c>
      <c r="P357" s="32" t="n">
        <v>11.63</v>
      </c>
      <c r="Q357" s="32" t="n">
        <v>1174.7</v>
      </c>
      <c r="R357" s="31" t="inlineStr">
        <is>
          <t>Earnings / Momentum Support</t>
        </is>
      </c>
      <c r="S357" s="31" t="inlineStr">
        <is>
          <t>Nifty 50</t>
        </is>
      </c>
      <c r="T357" s="32" t="n">
        <v>-2.57</v>
      </c>
      <c r="U357" s="32" t="n">
        <v>9.609999999999999</v>
      </c>
      <c r="V357" s="32" t="n">
        <v>12.5</v>
      </c>
      <c r="W357" s="32" t="n">
        <v>0.22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Below 45</t>
        </is>
      </c>
      <c r="BA357" s="31">
        <f>IF(AZ357="Between 50 to 75",10,IF(AZ357="Above 75",0,0))</f>
        <v/>
      </c>
      <c r="BB357" s="31" t="inlineStr">
        <is>
          <t>Stage 4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Yes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Between 50% to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IF(B358=0,"",RANK(B358,$B$2:$B$368,0))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VERANDA</t>
        </is>
      </c>
      <c r="D358" s="31" t="inlineStr">
        <is>
          <t>Veranda Learning Solutions Ltd</t>
        </is>
      </c>
      <c r="E358" s="31" t="inlineStr">
        <is>
          <t>services</t>
        </is>
      </c>
      <c r="F358" s="31" t="inlineStr">
        <is>
          <t>miscellaneous</t>
        </is>
      </c>
      <c r="G358" s="31" t="inlineStr">
        <is>
          <t>smallcap</t>
        </is>
      </c>
      <c r="H358" s="32" t="n">
        <v>2251.02</v>
      </c>
      <c r="I358" s="32" t="n">
        <v>253.6</v>
      </c>
      <c r="J358" s="32" t="n">
        <v>8.52</v>
      </c>
      <c r="K358" s="32" t="n">
        <v>2566887</v>
      </c>
      <c r="L358" s="31" t="inlineStr"/>
      <c r="M358" s="31" t="inlineStr"/>
      <c r="N358" s="32">
        <f>IF(M358="Underperforming",-5,IF(L358&gt;=95,15,IF(L358&gt;=90,10,IF(L358&gt;=80,5,0))))</f>
        <v/>
      </c>
      <c r="O358" s="32" t="inlineStr"/>
      <c r="P358" s="32" t="inlineStr"/>
      <c r="Q358" s="32" t="inlineStr"/>
      <c r="R358" s="31" t="inlineStr"/>
      <c r="S358" s="31" t="inlineStr"/>
      <c r="T358" s="32" t="inlineStr"/>
      <c r="U358" s="32" t="inlineStr"/>
      <c r="V358" s="32" t="inlineStr"/>
      <c r="W358" s="32" t="inlineStr"/>
      <c r="X358" s="31" t="n"/>
      <c r="Y358" s="31">
        <f>IF(X358="Growing Industry",10,IF(X358="Cyclical in an Upturn",5,0))</f>
        <v/>
      </c>
      <c r="Z358" s="31" t="n"/>
      <c r="AA358" s="31">
        <f>IF(Z358="Monopoly",10,IF(Z358="Oligopoly",5,IF(Z358="Duopoly that cooperate",10,IF(Z358="Duopoly that compete",5,IF(Z358="Too many players with High ROCE",5,0)))))</f>
        <v/>
      </c>
      <c r="AB358" s="31" t="n"/>
      <c r="AC358" s="31">
        <f>IF(AB358="No",5,0)</f>
        <v/>
      </c>
      <c r="AD358" s="31" t="n"/>
      <c r="AE358" s="31">
        <f>IF(AD358="Tailwind",10,0)</f>
        <v/>
      </c>
      <c r="AF358" s="31" t="n"/>
      <c r="AG358" s="31">
        <f>IF(AF358="Structural (10 Years Consistency)",10,IF(AF358="Shallow Cyclical (2 to 3 years growth)",5,0))</f>
        <v/>
      </c>
      <c r="AH358" s="31" t="n"/>
      <c r="AI358" s="31">
        <f>IF(AH358="Yes due to Product Mix change or Operating Leverage",10,IF(AH358="Yes, these are peak margins",-5,IF(AH358="No",5,0)))</f>
        <v/>
      </c>
      <c r="AJ358" s="31" t="n"/>
      <c r="AK358" s="31">
        <f>IF(AJ358="Stable",10,0)</f>
        <v/>
      </c>
      <c r="AL358" s="31" t="n"/>
      <c r="AM358" s="31">
        <f>IF(AL358="Yes",10,0)</f>
        <v/>
      </c>
      <c r="AN358" s="31" t="n"/>
      <c r="AO358" s="31">
        <f>IF(AN358="B2C",10,IF(AN358="B2B",5,0))</f>
        <v/>
      </c>
      <c r="AP358" s="31" t="n"/>
      <c r="AQ358" s="31">
        <f>IF(AP358="Yes",10,0)</f>
        <v/>
      </c>
      <c r="AR358" s="31" t="n"/>
      <c r="AS358" s="31">
        <f>IF(AR358="Fully Annuity",10,IF(AR358="Higher Annuity, Lower One Time",5,IF(AR358="Higher One Time, Lower Annuity",3,0)))</f>
        <v/>
      </c>
      <c r="AT358" s="31" t="n"/>
      <c r="AU358" s="31">
        <f>IF(AT358="Good",10,0)</f>
        <v/>
      </c>
      <c r="AV358" s="31" t="n"/>
      <c r="AW358" s="31">
        <f>IF(AV358="Yes for more than 2 years",10,IF(AV358="Yes only for next 1 to 2 years",5,0))</f>
        <v/>
      </c>
      <c r="AX358" s="31" t="n"/>
      <c r="AY358" s="31">
        <f>IF(AX358="Above 40",20,IF(AX358="20 to 40",10,IF(AX358="0 to 20",-5,0)))</f>
        <v/>
      </c>
      <c r="AZ358" s="31" t="n"/>
      <c r="BA358" s="31">
        <f>IF(AZ358="Between 50 to 75",10,IF(AZ358="Above 75",0,0))</f>
        <v/>
      </c>
      <c r="BB358" s="31" t="n"/>
      <c r="BC358" s="31">
        <f>IF(BB358="Stage 2",20,IF(BB358="Stage 1",0,IF(BB358="Stage 3",5,IF(BB358="Stage 4",-5,0))))</f>
        <v/>
      </c>
      <c r="BD358" s="31" t="n"/>
      <c r="BE358" s="31">
        <f>IF(BD358="Positive Trend",20,IF(BD358="Negative Trend",-10,0))</f>
        <v/>
      </c>
      <c r="BF358" s="31" t="n"/>
      <c r="BG358" s="31">
        <f>IF(BF358="Uptrend",10,IF(BF358="Sideways",5,0))</f>
        <v/>
      </c>
      <c r="BH358" s="31" t="n"/>
      <c r="BI358" s="31">
        <f>IF(BH358="Uptrend",10,IF(BH358="Sideways",5,0))</f>
        <v/>
      </c>
      <c r="BJ358" s="31" t="n"/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n"/>
      <c r="BM358" s="31">
        <f>IF(BL358="Yes",10,0)</f>
        <v/>
      </c>
      <c r="BN358" s="31" t="n"/>
      <c r="BO358" s="31">
        <f>IF(BN358="More than 20%",10,IF(BN358="Between 12 to 20%",5,IF(BN358="Less than 12%",0,0)))</f>
        <v/>
      </c>
      <c r="BP358" s="31" t="n"/>
      <c r="BQ358" s="31">
        <f>IF(BP358="No",10,0)</f>
        <v/>
      </c>
      <c r="BR358" s="31" t="n"/>
      <c r="BS358" s="31">
        <f>IF(BR358="NO",5,0)</f>
        <v/>
      </c>
      <c r="BT358" s="31" t="n"/>
      <c r="BU358" s="31">
        <f>IF(BT358="Above 2",0,IF(BT358="Between 1.5 to 2",5,IF(BT358="Less than 1.5",10,0)))</f>
        <v/>
      </c>
      <c r="BV358" s="31" t="n"/>
      <c r="BW358" s="31">
        <f>IF(BV358="Above 70%",10,IF(BV358="Between 50% to 70%",5,IF(BV358="Less than 50%",0,IF(BV358="Negative",-10,IF(BV358="Less than 50% and Borrowings are increasing",-5,0)))))</f>
        <v/>
      </c>
      <c r="BX358" s="31" t="n"/>
      <c r="BY358" s="31">
        <f>IF(BX358="More than 1.2",-10,IF(BX358="Between 0.7 to 1.2",0,IF(BX358="Less than 0.7",10,0)))</f>
        <v/>
      </c>
      <c r="BZ358" s="31" t="n"/>
      <c r="CA358" s="31">
        <f>IF(BZ358="Yes",-10,0)</f>
        <v/>
      </c>
      <c r="CB358" s="31" t="n"/>
      <c r="CC358" s="31">
        <f>IF(CB358="More than 15%",-10,IF(CB358="Less than 15%",10,0))</f>
        <v/>
      </c>
      <c r="CD358" s="31" t="n"/>
      <c r="CE358" s="31">
        <f>IF(CD358="Yes, more than 10%",-10,IF(CD358="No",10,0))</f>
        <v/>
      </c>
    </row>
    <row r="359">
      <c r="A359" s="31">
        <f>IF(B359=0,"",RANK(B359,$B$2:$B$368,0))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KRYSTAL</t>
        </is>
      </c>
      <c r="D359" s="31" t="inlineStr">
        <is>
          <t>Krystal Integrated Services Ltd</t>
        </is>
      </c>
      <c r="E359" s="31" t="inlineStr">
        <is>
          <t>miscellaneous</t>
        </is>
      </c>
      <c r="F359" s="31" t="inlineStr">
        <is>
          <t>miscellaneous</t>
        </is>
      </c>
      <c r="G359" s="31" t="inlineStr">
        <is>
          <t>smallcap</t>
        </is>
      </c>
      <c r="H359" s="32" t="n">
        <v>879.46</v>
      </c>
      <c r="I359" s="32" t="n">
        <v>675.25</v>
      </c>
      <c r="J359" s="32" t="n">
        <v>7.28</v>
      </c>
      <c r="K359" s="32" t="n">
        <v>63813</v>
      </c>
      <c r="L359" s="31" t="inlineStr"/>
      <c r="M359" s="31" t="inlineStr"/>
      <c r="N359" s="32">
        <f>IF(M359="Underperforming",-5,IF(L359&gt;=95,15,IF(L359&gt;=90,10,IF(L359&gt;=80,5,0))))</f>
        <v/>
      </c>
      <c r="O359" s="32" t="inlineStr"/>
      <c r="P359" s="32" t="inlineStr"/>
      <c r="Q359" s="32" t="inlineStr"/>
      <c r="R359" s="31" t="inlineStr"/>
      <c r="S359" s="31" t="inlineStr"/>
      <c r="T359" s="32" t="inlineStr"/>
      <c r="U359" s="32" t="inlineStr"/>
      <c r="V359" s="32" t="inlineStr"/>
      <c r="W359" s="32" t="inlineStr"/>
      <c r="X359" s="31" t="n"/>
      <c r="Y359" s="31">
        <f>IF(X359="Growing Industry",10,IF(X359="Cyclical in an Upturn",5,0))</f>
        <v/>
      </c>
      <c r="Z359" s="31" t="n"/>
      <c r="AA359" s="31">
        <f>IF(Z359="Monopoly",10,IF(Z359="Oligopoly",5,IF(Z359="Duopoly that cooperate",10,IF(Z359="Duopoly that compete",5,IF(Z359="Too many players with High ROCE",5,0)))))</f>
        <v/>
      </c>
      <c r="AB359" s="31" t="n"/>
      <c r="AC359" s="31">
        <f>IF(AB359="No",5,0)</f>
        <v/>
      </c>
      <c r="AD359" s="31" t="n"/>
      <c r="AE359" s="31">
        <f>IF(AD359="Tailwind",10,0)</f>
        <v/>
      </c>
      <c r="AF359" s="31" t="n"/>
      <c r="AG359" s="31">
        <f>IF(AF359="Structural (10 Years Consistency)",10,IF(AF359="Shallow Cyclical (2 to 3 years growth)",5,0))</f>
        <v/>
      </c>
      <c r="AH359" s="31" t="n"/>
      <c r="AI359" s="31">
        <f>IF(AH359="Yes due to Product Mix change or Operating Leverage",10,IF(AH359="Yes, these are peak margins",-5,IF(AH359="No",5,0)))</f>
        <v/>
      </c>
      <c r="AJ359" s="31" t="n"/>
      <c r="AK359" s="31">
        <f>IF(AJ359="Stable",10,0)</f>
        <v/>
      </c>
      <c r="AL359" s="31" t="n"/>
      <c r="AM359" s="31">
        <f>IF(AL359="Yes",10,0)</f>
        <v/>
      </c>
      <c r="AN359" s="31" t="n"/>
      <c r="AO359" s="31">
        <f>IF(AN359="B2C",10,IF(AN359="B2B",5,0))</f>
        <v/>
      </c>
      <c r="AP359" s="31" t="n"/>
      <c r="AQ359" s="31">
        <f>IF(AP359="Yes",10,0)</f>
        <v/>
      </c>
      <c r="AR359" s="31" t="n"/>
      <c r="AS359" s="31">
        <f>IF(AR359="Fully Annuity",10,IF(AR359="Higher Annuity, Lower One Time",5,IF(AR359="Higher One Time, Lower Annuity",3,0)))</f>
        <v/>
      </c>
      <c r="AT359" s="31" t="n"/>
      <c r="AU359" s="31">
        <f>IF(AT359="Good",10,0)</f>
        <v/>
      </c>
      <c r="AV359" s="31" t="n"/>
      <c r="AW359" s="31">
        <f>IF(AV359="Yes for more than 2 years",10,IF(AV359="Yes only for next 1 to 2 years",5,0))</f>
        <v/>
      </c>
      <c r="AX359" s="31" t="n"/>
      <c r="AY359" s="31">
        <f>IF(AX359="Above 40",20,IF(AX359="20 to 40",10,IF(AX359="0 to 20",-5,0)))</f>
        <v/>
      </c>
      <c r="AZ359" s="31" t="n"/>
      <c r="BA359" s="31">
        <f>IF(AZ359="Between 50 to 75",10,IF(AZ359="Above 75",0,0))</f>
        <v/>
      </c>
      <c r="BB359" s="31" t="n"/>
      <c r="BC359" s="31">
        <f>IF(BB359="Stage 2",20,IF(BB359="Stage 1",0,IF(BB359="Stage 3",5,IF(BB359="Stage 4",-5,0))))</f>
        <v/>
      </c>
      <c r="BD359" s="31" t="n"/>
      <c r="BE359" s="31">
        <f>IF(BD359="Positive Trend",20,IF(BD359="Negative Trend",-10,0))</f>
        <v/>
      </c>
      <c r="BF359" s="31" t="n"/>
      <c r="BG359" s="31">
        <f>IF(BF359="Uptrend",10,IF(BF359="Sideways",5,0))</f>
        <v/>
      </c>
      <c r="BH359" s="31" t="n"/>
      <c r="BI359" s="31">
        <f>IF(BH359="Uptrend",10,IF(BH359="Sideways",5,0))</f>
        <v/>
      </c>
      <c r="BJ359" s="31" t="n"/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n"/>
      <c r="BM359" s="31">
        <f>IF(BL359="Yes",10,0)</f>
        <v/>
      </c>
      <c r="BN359" s="31" t="n"/>
      <c r="BO359" s="31">
        <f>IF(BN359="More than 20%",10,IF(BN359="Between 12 to 20%",5,IF(BN359="Less than 12%",0,0)))</f>
        <v/>
      </c>
      <c r="BP359" s="31" t="n"/>
      <c r="BQ359" s="31">
        <f>IF(BP359="No",10,0)</f>
        <v/>
      </c>
      <c r="BR359" s="31" t="n"/>
      <c r="BS359" s="31">
        <f>IF(BR359="NO",5,0)</f>
        <v/>
      </c>
      <c r="BT359" s="31" t="n"/>
      <c r="BU359" s="31">
        <f>IF(BT359="Above 2",0,IF(BT359="Between 1.5 to 2",5,IF(BT359="Less than 1.5",10,0)))</f>
        <v/>
      </c>
      <c r="BV359" s="31" t="n"/>
      <c r="BW359" s="31">
        <f>IF(BV359="Above 70%",10,IF(BV359="Between 50% to 70%",5,IF(BV359="Less than 50%",0,IF(BV359="Negative",-10,IF(BV359="Less than 50% and Borrowings are increasing",-5,0)))))</f>
        <v/>
      </c>
      <c r="BX359" s="31" t="n"/>
      <c r="BY359" s="31">
        <f>IF(BX359="More than 1.2",-10,IF(BX359="Between 0.7 to 1.2",0,IF(BX359="Less than 0.7",10,0)))</f>
        <v/>
      </c>
      <c r="BZ359" s="31" t="n"/>
      <c r="CA359" s="31">
        <f>IF(BZ359="Yes",-10,0)</f>
        <v/>
      </c>
      <c r="CB359" s="31" t="n"/>
      <c r="CC359" s="31">
        <f>IF(CB359="More than 15%",-10,IF(CB359="Less than 15%",10,0))</f>
        <v/>
      </c>
      <c r="CD359" s="31" t="n"/>
      <c r="CE359" s="31">
        <f>IF(CD359="Yes, more than 10%",-10,IF(CD359="No",10,0))</f>
        <v/>
      </c>
    </row>
    <row r="360">
      <c r="A360" s="31">
        <f>IF(B360=0,"",RANK(B360,$B$2:$B$368,0))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DBOL</t>
        </is>
      </c>
      <c r="D360" s="31" t="inlineStr">
        <is>
          <t>Dhampur Bio Organics Ltd</t>
        </is>
      </c>
      <c r="E360" s="31" t="inlineStr">
        <is>
          <t>fmcg</t>
        </is>
      </c>
      <c r="F360" s="31" t="inlineStr">
        <is>
          <t>sugar</t>
        </is>
      </c>
      <c r="G360" s="31" t="inlineStr">
        <is>
          <t>smallcap</t>
        </is>
      </c>
      <c r="H360" s="32" t="n">
        <v>858.13</v>
      </c>
      <c r="I360" s="32" t="n">
        <v>135.46</v>
      </c>
      <c r="J360" s="32" t="n">
        <v>4.8</v>
      </c>
      <c r="K360" s="32" t="n">
        <v>387280</v>
      </c>
      <c r="L360" s="31" t="inlineStr"/>
      <c r="M360" s="31" t="inlineStr"/>
      <c r="N360" s="32">
        <f>IF(M360="Underperforming",-5,IF(L360&gt;=95,15,IF(L360&gt;=90,10,IF(L360&gt;=80,5,0))))</f>
        <v/>
      </c>
      <c r="O360" s="32" t="inlineStr"/>
      <c r="P360" s="32" t="inlineStr"/>
      <c r="Q360" s="32" t="inlineStr"/>
      <c r="R360" s="31" t="inlineStr"/>
      <c r="S360" s="31" t="inlineStr"/>
      <c r="T360" s="32" t="inlineStr"/>
      <c r="U360" s="32" t="inlineStr"/>
      <c r="V360" s="32" t="inlineStr"/>
      <c r="W360" s="32" t="inlineStr"/>
      <c r="X360" s="31" t="n"/>
      <c r="Y360" s="31">
        <f>IF(X360="Growing Industry",10,IF(X360="Cyclical in an Upturn",5,0))</f>
        <v/>
      </c>
      <c r="Z360" s="31" t="n"/>
      <c r="AA360" s="31">
        <f>IF(Z360="Monopoly",10,IF(Z360="Oligopoly",5,IF(Z360="Duopoly that cooperate",10,IF(Z360="Duopoly that compete",5,IF(Z360="Too many players with High ROCE",5,0)))))</f>
        <v/>
      </c>
      <c r="AB360" s="31" t="n"/>
      <c r="AC360" s="31">
        <f>IF(AB360="No",5,0)</f>
        <v/>
      </c>
      <c r="AD360" s="31" t="n"/>
      <c r="AE360" s="31">
        <f>IF(AD360="Tailwind",10,0)</f>
        <v/>
      </c>
      <c r="AF360" s="31" t="n"/>
      <c r="AG360" s="31">
        <f>IF(AF360="Structural (10 Years Consistency)",10,IF(AF360="Shallow Cyclical (2 to 3 years growth)",5,0))</f>
        <v/>
      </c>
      <c r="AH360" s="31" t="n"/>
      <c r="AI360" s="31">
        <f>IF(AH360="Yes due to Product Mix change or Operating Leverage",10,IF(AH360="Yes, these are peak margins",-5,IF(AH360="No",5,0)))</f>
        <v/>
      </c>
      <c r="AJ360" s="31" t="n"/>
      <c r="AK360" s="31">
        <f>IF(AJ360="Stable",10,0)</f>
        <v/>
      </c>
      <c r="AL360" s="31" t="n"/>
      <c r="AM360" s="31">
        <f>IF(AL360="Yes",10,0)</f>
        <v/>
      </c>
      <c r="AN360" s="31" t="n"/>
      <c r="AO360" s="31">
        <f>IF(AN360="B2C",10,IF(AN360="B2B",5,0))</f>
        <v/>
      </c>
      <c r="AP360" s="31" t="n"/>
      <c r="AQ360" s="31">
        <f>IF(AP360="Yes",10,0)</f>
        <v/>
      </c>
      <c r="AR360" s="31" t="n"/>
      <c r="AS360" s="31">
        <f>IF(AR360="Fully Annuity",10,IF(AR360="Higher Annuity, Lower One Time",5,IF(AR360="Higher One Time, Lower Annuity",3,0)))</f>
        <v/>
      </c>
      <c r="AT360" s="31" t="n"/>
      <c r="AU360" s="31">
        <f>IF(AT360="Good",10,0)</f>
        <v/>
      </c>
      <c r="AV360" s="31" t="n"/>
      <c r="AW360" s="31">
        <f>IF(AV360="Yes for more than 2 years",10,IF(AV360="Yes only for next 1 to 2 years",5,0))</f>
        <v/>
      </c>
      <c r="AX360" s="31" t="n"/>
      <c r="AY360" s="31">
        <f>IF(AX360="Above 40",20,IF(AX360="20 to 40",10,IF(AX360="0 to 20",-5,0)))</f>
        <v/>
      </c>
      <c r="AZ360" s="31" t="n"/>
      <c r="BA360" s="31">
        <f>IF(AZ360="Between 50 to 75",10,IF(AZ360="Above 75",0,0))</f>
        <v/>
      </c>
      <c r="BB360" s="31" t="n"/>
      <c r="BC360" s="31">
        <f>IF(BB360="Stage 2",20,IF(BB360="Stage 1",0,IF(BB360="Stage 3",5,IF(BB360="Stage 4",-5,0))))</f>
        <v/>
      </c>
      <c r="BD360" s="31" t="n"/>
      <c r="BE360" s="31">
        <f>IF(BD360="Positive Trend",20,IF(BD360="Negative Trend",-10,0))</f>
        <v/>
      </c>
      <c r="BF360" s="31" t="n"/>
      <c r="BG360" s="31">
        <f>IF(BF360="Uptrend",10,IF(BF360="Sideways",5,0))</f>
        <v/>
      </c>
      <c r="BH360" s="31" t="n"/>
      <c r="BI360" s="31">
        <f>IF(BH360="Uptrend",10,IF(BH360="Sideways",5,0))</f>
        <v/>
      </c>
      <c r="BJ360" s="31" t="n"/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n"/>
      <c r="BM360" s="31">
        <f>IF(BL360="Yes",10,0)</f>
        <v/>
      </c>
      <c r="BN360" s="31" t="n"/>
      <c r="BO360" s="31">
        <f>IF(BN360="More than 20%",10,IF(BN360="Between 12 to 20%",5,IF(BN360="Less than 12%",0,0)))</f>
        <v/>
      </c>
      <c r="BP360" s="31" t="n"/>
      <c r="BQ360" s="31">
        <f>IF(BP360="No",10,0)</f>
        <v/>
      </c>
      <c r="BR360" s="31" t="n"/>
      <c r="BS360" s="31">
        <f>IF(BR360="NO",5,0)</f>
        <v/>
      </c>
      <c r="BT360" s="31" t="n"/>
      <c r="BU360" s="31">
        <f>IF(BT360="Above 2",0,IF(BT360="Between 1.5 to 2",5,IF(BT360="Less than 1.5",10,0)))</f>
        <v/>
      </c>
      <c r="BV360" s="31" t="n"/>
      <c r="BW360" s="31">
        <f>IF(BV360="Above 70%",10,IF(BV360="Between 50% to 70%",5,IF(BV360="Less than 50%",0,IF(BV360="Negative",-10,IF(BV360="Less than 50% and Borrowings are increasing",-5,0)))))</f>
        <v/>
      </c>
      <c r="BX360" s="31" t="n"/>
      <c r="BY360" s="31">
        <f>IF(BX360="More than 1.2",-10,IF(BX360="Between 0.7 to 1.2",0,IF(BX360="Less than 0.7",10,0)))</f>
        <v/>
      </c>
      <c r="BZ360" s="31" t="n"/>
      <c r="CA360" s="31">
        <f>IF(BZ360="Yes",-10,0)</f>
        <v/>
      </c>
      <c r="CB360" s="31" t="n"/>
      <c r="CC360" s="31">
        <f>IF(CB360="More than 15%",-10,IF(CB360="Less than 15%",10,0))</f>
        <v/>
      </c>
      <c r="CD360" s="31" t="n"/>
      <c r="CE360" s="31">
        <f>IF(CD360="Yes, more than 10%",-10,IF(CD360="No",10,0))</f>
        <v/>
      </c>
    </row>
    <row r="361">
      <c r="A361" s="31">
        <f>IF(B361=0,"",RANK(B361,$B$2:$B$368,0))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ZIMLAB</t>
        </is>
      </c>
      <c r="D361" s="31" t="inlineStr">
        <is>
          <t>Zim Laboratories Ltd</t>
        </is>
      </c>
      <c r="E361" s="31" t="inlineStr">
        <is>
          <t>healthcare</t>
        </is>
      </c>
      <c r="F361" s="31" t="inlineStr">
        <is>
          <t>pharmaceuticals - indian - bulk drugs &amp; formln</t>
        </is>
      </c>
      <c r="G361" s="31" t="inlineStr">
        <is>
          <t>smallcap</t>
        </is>
      </c>
      <c r="H361" s="32" t="n">
        <v>632.09</v>
      </c>
      <c r="I361" s="32" t="n">
        <v>119</v>
      </c>
      <c r="J361" s="32" t="n">
        <v>0.8100000000000001</v>
      </c>
      <c r="K361" s="32" t="n">
        <v>38336</v>
      </c>
      <c r="L361" s="31" t="inlineStr"/>
      <c r="M361" s="31" t="inlineStr"/>
      <c r="N361" s="32">
        <f>IF(M361="Underperforming",-5,IF(L361&gt;=95,15,IF(L361&gt;=90,10,IF(L361&gt;=80,5,0))))</f>
        <v/>
      </c>
      <c r="O361" s="32" t="inlineStr"/>
      <c r="P361" s="32" t="inlineStr"/>
      <c r="Q361" s="32" t="inlineStr"/>
      <c r="R361" s="31" t="inlineStr"/>
      <c r="S361" s="31" t="inlineStr"/>
      <c r="T361" s="32" t="inlineStr"/>
      <c r="U361" s="32" t="inlineStr"/>
      <c r="V361" s="32" t="inlineStr"/>
      <c r="W361" s="32" t="inlineStr"/>
      <c r="X361" s="31" t="n"/>
      <c r="Y361" s="31">
        <f>IF(X361="Growing Industry",10,IF(X361="Cyclical in an Upturn",5,0))</f>
        <v/>
      </c>
      <c r="Z361" s="31" t="n"/>
      <c r="AA361" s="31">
        <f>IF(Z361="Monopoly",10,IF(Z361="Oligopoly",5,IF(Z361="Duopoly that cooperate",10,IF(Z361="Duopoly that compete",5,IF(Z361="Too many players with High ROCE",5,0)))))</f>
        <v/>
      </c>
      <c r="AB361" s="31" t="n"/>
      <c r="AC361" s="31">
        <f>IF(AB361="No",5,0)</f>
        <v/>
      </c>
      <c r="AD361" s="31" t="n"/>
      <c r="AE361" s="31">
        <f>IF(AD361="Tailwind",10,0)</f>
        <v/>
      </c>
      <c r="AF361" s="31" t="n"/>
      <c r="AG361" s="31">
        <f>IF(AF361="Structural (10 Years Consistency)",10,IF(AF361="Shallow Cyclical (2 to 3 years growth)",5,0))</f>
        <v/>
      </c>
      <c r="AH361" s="31" t="n"/>
      <c r="AI361" s="31">
        <f>IF(AH361="Yes due to Product Mix change or Operating Leverage",10,IF(AH361="Yes, these are peak margins",-5,IF(AH361="No",5,0)))</f>
        <v/>
      </c>
      <c r="AJ361" s="31" t="n"/>
      <c r="AK361" s="31">
        <f>IF(AJ361="Stable",10,0)</f>
        <v/>
      </c>
      <c r="AL361" s="31" t="n"/>
      <c r="AM361" s="31">
        <f>IF(AL361="Yes",10,0)</f>
        <v/>
      </c>
      <c r="AN361" s="31" t="n"/>
      <c r="AO361" s="31">
        <f>IF(AN361="B2C",10,IF(AN361="B2B",5,0))</f>
        <v/>
      </c>
      <c r="AP361" s="31" t="n"/>
      <c r="AQ361" s="31">
        <f>IF(AP361="Yes",10,0)</f>
        <v/>
      </c>
      <c r="AR361" s="31" t="n"/>
      <c r="AS361" s="31">
        <f>IF(AR361="Fully Annuity",10,IF(AR361="Higher Annuity, Lower One Time",5,IF(AR361="Higher One Time, Lower Annuity",3,0)))</f>
        <v/>
      </c>
      <c r="AT361" s="31" t="n"/>
      <c r="AU361" s="31">
        <f>IF(AT361="Good",10,0)</f>
        <v/>
      </c>
      <c r="AV361" s="31" t="n"/>
      <c r="AW361" s="31">
        <f>IF(AV361="Yes for more than 2 years",10,IF(AV361="Yes only for next 1 to 2 years",5,0))</f>
        <v/>
      </c>
      <c r="AX361" s="31" t="n"/>
      <c r="AY361" s="31">
        <f>IF(AX361="Above 40",20,IF(AX361="20 to 40",10,IF(AX361="0 to 20",-5,0)))</f>
        <v/>
      </c>
      <c r="AZ361" s="31" t="n"/>
      <c r="BA361" s="31">
        <f>IF(AZ361="Between 50 to 75",10,IF(AZ361="Above 75",0,0))</f>
        <v/>
      </c>
      <c r="BB361" s="31" t="n"/>
      <c r="BC361" s="31">
        <f>IF(BB361="Stage 2",20,IF(BB361="Stage 1",0,IF(BB361="Stage 3",5,IF(BB361="Stage 4",-5,0))))</f>
        <v/>
      </c>
      <c r="BD361" s="31" t="n"/>
      <c r="BE361" s="31">
        <f>IF(BD361="Positive Trend",20,IF(BD361="Negative Trend",-10,0))</f>
        <v/>
      </c>
      <c r="BF361" s="31" t="n"/>
      <c r="BG361" s="31">
        <f>IF(BF361="Uptrend",10,IF(BF361="Sideways",5,0))</f>
        <v/>
      </c>
      <c r="BH361" s="31" t="n"/>
      <c r="BI361" s="31">
        <f>IF(BH361="Uptrend",10,IF(BH361="Sideways",5,0))</f>
        <v/>
      </c>
      <c r="BJ361" s="31" t="n"/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n"/>
      <c r="BM361" s="31">
        <f>IF(BL361="Yes",10,0)</f>
        <v/>
      </c>
      <c r="BN361" s="31" t="n"/>
      <c r="BO361" s="31">
        <f>IF(BN361="More than 20%",10,IF(BN361="Between 12 to 20%",5,IF(BN361="Less than 12%",0,0)))</f>
        <v/>
      </c>
      <c r="BP361" s="31" t="n"/>
      <c r="BQ361" s="31">
        <f>IF(BP361="No",10,0)</f>
        <v/>
      </c>
      <c r="BR361" s="31" t="n"/>
      <c r="BS361" s="31">
        <f>IF(BR361="NO",5,0)</f>
        <v/>
      </c>
      <c r="BT361" s="31" t="n"/>
      <c r="BU361" s="31">
        <f>IF(BT361="Above 2",0,IF(BT361="Between 1.5 to 2",5,IF(BT361="Less than 1.5",10,0)))</f>
        <v/>
      </c>
      <c r="BV361" s="31" t="n"/>
      <c r="BW361" s="31">
        <f>IF(BV361="Above 70%",10,IF(BV361="Between 50% to 70%",5,IF(BV361="Less than 50%",0,IF(BV361="Negative",-10,IF(BV361="Less than 50% and Borrowings are increasing",-5,0)))))</f>
        <v/>
      </c>
      <c r="BX361" s="31" t="n"/>
      <c r="BY361" s="31">
        <f>IF(BX361="More than 1.2",-10,IF(BX361="Between 0.7 to 1.2",0,IF(BX361="Less than 0.7",10,0)))</f>
        <v/>
      </c>
      <c r="BZ361" s="31" t="n"/>
      <c r="CA361" s="31">
        <f>IF(BZ361="Yes",-10,0)</f>
        <v/>
      </c>
      <c r="CB361" s="31" t="n"/>
      <c r="CC361" s="31">
        <f>IF(CB361="More than 15%",-10,IF(CB361="Less than 15%",10,0))</f>
        <v/>
      </c>
      <c r="CD361" s="31" t="n"/>
      <c r="CE361" s="31">
        <f>IF(CD361="Yes, more than 10%",-10,IF(CD361="No",10,0))</f>
        <v/>
      </c>
    </row>
    <row r="362">
      <c r="A362" s="31">
        <f>IF(B362=0,"",RANK(B362,$B$2:$B$368,0))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EIMCOELECO</t>
        </is>
      </c>
      <c r="D362" s="31" t="inlineStr">
        <is>
          <t>Eimco Elecon (india) Limited</t>
        </is>
      </c>
      <c r="E362" s="31" t="inlineStr">
        <is>
          <t>industrials</t>
        </is>
      </c>
      <c r="F362" s="31" t="inlineStr">
        <is>
          <t>engineering</t>
        </is>
      </c>
      <c r="G362" s="31" t="inlineStr">
        <is>
          <t>smallcap</t>
        </is>
      </c>
      <c r="H362" s="32" t="n">
        <v>1252.2</v>
      </c>
      <c r="I362" s="32" t="n">
        <v>2180</v>
      </c>
      <c r="J362" s="32" t="n">
        <v>0.42</v>
      </c>
      <c r="K362" s="32" t="n">
        <v>25722</v>
      </c>
      <c r="L362" s="31" t="inlineStr"/>
      <c r="M362" s="31" t="inlineStr"/>
      <c r="N362" s="32">
        <f>IF(M362="Underperforming",-5,IF(L362&gt;=95,15,IF(L362&gt;=90,10,IF(L362&gt;=80,5,0))))</f>
        <v/>
      </c>
      <c r="O362" s="32" t="inlineStr"/>
      <c r="P362" s="32" t="inlineStr"/>
      <c r="Q362" s="32" t="inlineStr"/>
      <c r="R362" s="31" t="inlineStr"/>
      <c r="S362" s="31" t="inlineStr"/>
      <c r="T362" s="32" t="inlineStr"/>
      <c r="U362" s="32" t="inlineStr"/>
      <c r="V362" s="32" t="inlineStr"/>
      <c r="W362" s="32" t="inlineStr"/>
      <c r="X362" s="31" t="n"/>
      <c r="Y362" s="31">
        <f>IF(X362="Growing Industry",10,IF(X362="Cyclical in an Upturn",5,0))</f>
        <v/>
      </c>
      <c r="Z362" s="31" t="n"/>
      <c r="AA362" s="31">
        <f>IF(Z362="Monopoly",10,IF(Z362="Oligopoly",5,IF(Z362="Duopoly that cooperate",10,IF(Z362="Duopoly that compete",5,IF(Z362="Too many players with High ROCE",5,0)))))</f>
        <v/>
      </c>
      <c r="AB362" s="31" t="n"/>
      <c r="AC362" s="31">
        <f>IF(AB362="No",5,0)</f>
        <v/>
      </c>
      <c r="AD362" s="31" t="n"/>
      <c r="AE362" s="31">
        <f>IF(AD362="Tailwind",10,0)</f>
        <v/>
      </c>
      <c r="AF362" s="31" t="n"/>
      <c r="AG362" s="31">
        <f>IF(AF362="Structural (10 Years Consistency)",10,IF(AF362="Shallow Cyclical (2 to 3 years growth)",5,0))</f>
        <v/>
      </c>
      <c r="AH362" s="31" t="n"/>
      <c r="AI362" s="31">
        <f>IF(AH362="Yes due to Product Mix change or Operating Leverage",10,IF(AH362="Yes, these are peak margins",-5,IF(AH362="No",5,0)))</f>
        <v/>
      </c>
      <c r="AJ362" s="31" t="n"/>
      <c r="AK362" s="31">
        <f>IF(AJ362="Stable",10,0)</f>
        <v/>
      </c>
      <c r="AL362" s="31" t="n"/>
      <c r="AM362" s="31">
        <f>IF(AL362="Yes",10,0)</f>
        <v/>
      </c>
      <c r="AN362" s="31" t="n"/>
      <c r="AO362" s="31">
        <f>IF(AN362="B2C",10,IF(AN362="B2B",5,0))</f>
        <v/>
      </c>
      <c r="AP362" s="31" t="n"/>
      <c r="AQ362" s="31">
        <f>IF(AP362="Yes",10,0)</f>
        <v/>
      </c>
      <c r="AR362" s="31" t="n"/>
      <c r="AS362" s="31">
        <f>IF(AR362="Fully Annuity",10,IF(AR362="Higher Annuity, Lower One Time",5,IF(AR362="Higher One Time, Lower Annuity",3,0)))</f>
        <v/>
      </c>
      <c r="AT362" s="31" t="n"/>
      <c r="AU362" s="31">
        <f>IF(AT362="Good",10,0)</f>
        <v/>
      </c>
      <c r="AV362" s="31" t="n"/>
      <c r="AW362" s="31">
        <f>IF(AV362="Yes for more than 2 years",10,IF(AV362="Yes only for next 1 to 2 years",5,0))</f>
        <v/>
      </c>
      <c r="AX362" s="31" t="n"/>
      <c r="AY362" s="31">
        <f>IF(AX362="Above 40",20,IF(AX362="20 to 40",10,IF(AX362="0 to 20",-5,0)))</f>
        <v/>
      </c>
      <c r="AZ362" s="31" t="n"/>
      <c r="BA362" s="31">
        <f>IF(AZ362="Between 50 to 75",10,IF(AZ362="Above 75",0,0))</f>
        <v/>
      </c>
      <c r="BB362" s="31" t="n"/>
      <c r="BC362" s="31">
        <f>IF(BB362="Stage 2",20,IF(BB362="Stage 1",0,IF(BB362="Stage 3",5,IF(BB362="Stage 4",-5,0))))</f>
        <v/>
      </c>
      <c r="BD362" s="31" t="n"/>
      <c r="BE362" s="31">
        <f>IF(BD362="Positive Trend",20,IF(BD362="Negative Trend",-10,0))</f>
        <v/>
      </c>
      <c r="BF362" s="31" t="n"/>
      <c r="BG362" s="31">
        <f>IF(BF362="Uptrend",10,IF(BF362="Sideways",5,0))</f>
        <v/>
      </c>
      <c r="BH362" s="31" t="n"/>
      <c r="BI362" s="31">
        <f>IF(BH362="Uptrend",10,IF(BH362="Sideways",5,0))</f>
        <v/>
      </c>
      <c r="BJ362" s="31" t="n"/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n"/>
      <c r="BM362" s="31">
        <f>IF(BL362="Yes",10,0)</f>
        <v/>
      </c>
      <c r="BN362" s="31" t="n"/>
      <c r="BO362" s="31">
        <f>IF(BN362="More than 20%",10,IF(BN362="Between 12 to 20%",5,IF(BN362="Less than 12%",0,0)))</f>
        <v/>
      </c>
      <c r="BP362" s="31" t="n"/>
      <c r="BQ362" s="31">
        <f>IF(BP362="No",10,0)</f>
        <v/>
      </c>
      <c r="BR362" s="31" t="n"/>
      <c r="BS362" s="31">
        <f>IF(BR362="NO",5,0)</f>
        <v/>
      </c>
      <c r="BT362" s="31" t="n"/>
      <c r="BU362" s="31">
        <f>IF(BT362="Above 2",0,IF(BT362="Between 1.5 to 2",5,IF(BT362="Less than 1.5",10,0)))</f>
        <v/>
      </c>
      <c r="BV362" s="31" t="n"/>
      <c r="BW362" s="31">
        <f>IF(BV362="Above 70%",10,IF(BV362="Between 50% to 70%",5,IF(BV362="Less than 50%",0,IF(BV362="Negative",-10,IF(BV362="Less than 50% and Borrowings are increasing",-5,0)))))</f>
        <v/>
      </c>
      <c r="BX362" s="31" t="n"/>
      <c r="BY362" s="31">
        <f>IF(BX362="More than 1.2",-10,IF(BX362="Between 0.7 to 1.2",0,IF(BX362="Less than 0.7",10,0)))</f>
        <v/>
      </c>
      <c r="BZ362" s="31" t="n"/>
      <c r="CA362" s="31">
        <f>IF(BZ362="Yes",-10,0)</f>
        <v/>
      </c>
      <c r="CB362" s="31" t="n"/>
      <c r="CC362" s="31">
        <f>IF(CB362="More than 15%",-10,IF(CB362="Less than 15%",10,0))</f>
        <v/>
      </c>
      <c r="CD362" s="31" t="n"/>
      <c r="CE362" s="31">
        <f>IF(CD362="Yes, more than 10%",-10,IF(CD362="No",10,0))</f>
        <v/>
      </c>
    </row>
    <row r="363">
      <c r="A363" s="31">
        <f>IF(B363=0,"",RANK(B363,$B$2:$B$368,0))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GRAVITA</t>
        </is>
      </c>
      <c r="D363" s="31" t="inlineStr">
        <is>
          <t>Gravita India Limited</t>
        </is>
      </c>
      <c r="E363" s="31" t="inlineStr">
        <is>
          <t>metals &amp; mining</t>
        </is>
      </c>
      <c r="F363" s="31" t="inlineStr">
        <is>
          <t>mining / minerals / metals</t>
        </is>
      </c>
      <c r="G363" s="31" t="inlineStr">
        <is>
          <t>midcap</t>
        </is>
      </c>
      <c r="H363" s="32" t="n">
        <v>13234.59</v>
      </c>
      <c r="I363" s="32" t="n">
        <v>1792.3</v>
      </c>
      <c r="J363" s="32" t="n">
        <v>-0.04</v>
      </c>
      <c r="K363" s="32" t="n">
        <v>64085</v>
      </c>
      <c r="L363" s="31" t="inlineStr"/>
      <c r="M363" s="31" t="inlineStr"/>
      <c r="N363" s="32">
        <f>IF(M363="Underperforming",-5,IF(L363&gt;=95,15,IF(L363&gt;=90,10,IF(L363&gt;=80,5,0))))</f>
        <v/>
      </c>
      <c r="O363" s="32" t="inlineStr"/>
      <c r="P363" s="32" t="inlineStr"/>
      <c r="Q363" s="32" t="inlineStr"/>
      <c r="R363" s="31" t="inlineStr"/>
      <c r="S363" s="31" t="inlineStr"/>
      <c r="T363" s="32" t="inlineStr"/>
      <c r="U363" s="32" t="inlineStr"/>
      <c r="V363" s="32" t="inlineStr"/>
      <c r="W363" s="32" t="inlineStr"/>
      <c r="X363" s="31" t="n"/>
      <c r="Y363" s="31">
        <f>IF(X363="Growing Industry",10,IF(X363="Cyclical in an Upturn",5,0))</f>
        <v/>
      </c>
      <c r="Z363" s="31" t="n"/>
      <c r="AA363" s="31">
        <f>IF(Z363="Monopoly",10,IF(Z363="Oligopoly",5,IF(Z363="Duopoly that cooperate",10,IF(Z363="Duopoly that compete",5,IF(Z363="Too many players with High ROCE",5,0)))))</f>
        <v/>
      </c>
      <c r="AB363" s="31" t="n"/>
      <c r="AC363" s="31">
        <f>IF(AB363="No",5,0)</f>
        <v/>
      </c>
      <c r="AD363" s="31" t="n"/>
      <c r="AE363" s="31">
        <f>IF(AD363="Tailwind",10,0)</f>
        <v/>
      </c>
      <c r="AF363" s="31" t="n"/>
      <c r="AG363" s="31">
        <f>IF(AF363="Structural (10 Years Consistency)",10,IF(AF363="Shallow Cyclical (2 to 3 years growth)",5,0))</f>
        <v/>
      </c>
      <c r="AH363" s="31" t="n"/>
      <c r="AI363" s="31">
        <f>IF(AH363="Yes due to Product Mix change or Operating Leverage",10,IF(AH363="Yes, these are peak margins",-5,IF(AH363="No",5,0)))</f>
        <v/>
      </c>
      <c r="AJ363" s="31" t="n"/>
      <c r="AK363" s="31">
        <f>IF(AJ363="Stable",10,0)</f>
        <v/>
      </c>
      <c r="AL363" s="31" t="n"/>
      <c r="AM363" s="31">
        <f>IF(AL363="Yes",10,0)</f>
        <v/>
      </c>
      <c r="AN363" s="31" t="n"/>
      <c r="AO363" s="31">
        <f>IF(AN363="B2C",10,IF(AN363="B2B",5,0))</f>
        <v/>
      </c>
      <c r="AP363" s="31" t="n"/>
      <c r="AQ363" s="31">
        <f>IF(AP363="Yes",10,0)</f>
        <v/>
      </c>
      <c r="AR363" s="31" t="n"/>
      <c r="AS363" s="31">
        <f>IF(AR363="Fully Annuity",10,IF(AR363="Higher Annuity, Lower One Time",5,IF(AR363="Higher One Time, Lower Annuity",3,0)))</f>
        <v/>
      </c>
      <c r="AT363" s="31" t="n"/>
      <c r="AU363" s="31">
        <f>IF(AT363="Good",10,0)</f>
        <v/>
      </c>
      <c r="AV363" s="31" t="n"/>
      <c r="AW363" s="31">
        <f>IF(AV363="Yes for more than 2 years",10,IF(AV363="Yes only for next 1 to 2 years",5,0))</f>
        <v/>
      </c>
      <c r="AX363" s="31" t="n"/>
      <c r="AY363" s="31">
        <f>IF(AX363="Above 40",20,IF(AX363="20 to 40",10,IF(AX363="0 to 20",-5,0)))</f>
        <v/>
      </c>
      <c r="AZ363" s="31" t="n"/>
      <c r="BA363" s="31">
        <f>IF(AZ363="Between 50 to 75",10,IF(AZ363="Above 75",0,0))</f>
        <v/>
      </c>
      <c r="BB363" s="31" t="n"/>
      <c r="BC363" s="31">
        <f>IF(BB363="Stage 2",20,IF(BB363="Stage 1",0,IF(BB363="Stage 3",5,IF(BB363="Stage 4",-5,0))))</f>
        <v/>
      </c>
      <c r="BD363" s="31" t="n"/>
      <c r="BE363" s="31">
        <f>IF(BD363="Positive Trend",20,IF(BD363="Negative Trend",-10,0))</f>
        <v/>
      </c>
      <c r="BF363" s="31" t="n"/>
      <c r="BG363" s="31">
        <f>IF(BF363="Uptrend",10,IF(BF363="Sideways",5,0))</f>
        <v/>
      </c>
      <c r="BH363" s="31" t="n"/>
      <c r="BI363" s="31">
        <f>IF(BH363="Uptrend",10,IF(BH363="Sideways",5,0))</f>
        <v/>
      </c>
      <c r="BJ363" s="31" t="n"/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n"/>
      <c r="BM363" s="31">
        <f>IF(BL363="Yes",10,0)</f>
        <v/>
      </c>
      <c r="BN363" s="31" t="n"/>
      <c r="BO363" s="31">
        <f>IF(BN363="More than 20%",10,IF(BN363="Between 12 to 20%",5,IF(BN363="Less than 12%",0,0)))</f>
        <v/>
      </c>
      <c r="BP363" s="31" t="n"/>
      <c r="BQ363" s="31">
        <f>IF(BP363="No",10,0)</f>
        <v/>
      </c>
      <c r="BR363" s="31" t="n"/>
      <c r="BS363" s="31">
        <f>IF(BR363="NO",5,0)</f>
        <v/>
      </c>
      <c r="BT363" s="31" t="n"/>
      <c r="BU363" s="31">
        <f>IF(BT363="Above 2",0,IF(BT363="Between 1.5 to 2",5,IF(BT363="Less than 1.5",10,0)))</f>
        <v/>
      </c>
      <c r="BV363" s="31" t="n"/>
      <c r="BW363" s="31">
        <f>IF(BV363="Above 70%",10,IF(BV363="Between 50% to 70%",5,IF(BV363="Less than 50%",0,IF(BV363="Negative",-10,IF(BV363="Less than 50% and Borrowings are increasing",-5,0)))))</f>
        <v/>
      </c>
      <c r="BX363" s="31" t="n"/>
      <c r="BY363" s="31">
        <f>IF(BX363="More than 1.2",-10,IF(BX363="Between 0.7 to 1.2",0,IF(BX363="Less than 0.7",10,0)))</f>
        <v/>
      </c>
      <c r="BZ363" s="31" t="n"/>
      <c r="CA363" s="31">
        <f>IF(BZ363="Yes",-10,0)</f>
        <v/>
      </c>
      <c r="CB363" s="31" t="n"/>
      <c r="CC363" s="31">
        <f>IF(CB363="More than 15%",-10,IF(CB363="Less than 15%",10,0))</f>
        <v/>
      </c>
      <c r="CD363" s="31" t="n"/>
      <c r="CE363" s="31">
        <f>IF(CD363="Yes, more than 10%",-10,IF(CD363="No",10,0))</f>
        <v/>
      </c>
    </row>
    <row r="364">
      <c r="A364" s="31">
        <f>IF(B364=0,"",RANK(B364,$B$2:$B$368,0))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MUNJALAU</t>
        </is>
      </c>
      <c r="D364" s="31" t="inlineStr">
        <is>
          <t>Munjal Auto Industries Limited</t>
        </is>
      </c>
      <c r="E364" s="31" t="inlineStr">
        <is>
          <t>auto</t>
        </is>
      </c>
      <c r="F364" s="31" t="inlineStr">
        <is>
          <t>auto ancillaries</t>
        </is>
      </c>
      <c r="G364" s="31" t="inlineStr">
        <is>
          <t>smallcap</t>
        </is>
      </c>
      <c r="H364" s="32" t="n">
        <v>1148.5</v>
      </c>
      <c r="I364" s="32" t="n">
        <v>114.8</v>
      </c>
      <c r="J364" s="32" t="n">
        <v>-0.04</v>
      </c>
      <c r="K364" s="32" t="n">
        <v>459018</v>
      </c>
      <c r="L364" s="31" t="inlineStr"/>
      <c r="M364" s="31" t="inlineStr"/>
      <c r="N364" s="32">
        <f>IF(M364="Underperforming",-5,IF(L364&gt;=95,15,IF(L364&gt;=90,10,IF(L364&gt;=80,5,0))))</f>
        <v/>
      </c>
      <c r="O364" s="32" t="inlineStr"/>
      <c r="P364" s="32" t="inlineStr"/>
      <c r="Q364" s="32" t="inlineStr"/>
      <c r="R364" s="31" t="inlineStr"/>
      <c r="S364" s="31" t="inlineStr"/>
      <c r="T364" s="32" t="inlineStr"/>
      <c r="U364" s="32" t="inlineStr"/>
      <c r="V364" s="32" t="inlineStr"/>
      <c r="W364" s="32" t="inlineStr"/>
      <c r="X364" s="31" t="n"/>
      <c r="Y364" s="31">
        <f>IF(X364="Growing Industry",10,IF(X364="Cyclical in an Upturn",5,0))</f>
        <v/>
      </c>
      <c r="Z364" s="31" t="n"/>
      <c r="AA364" s="31">
        <f>IF(Z364="Monopoly",10,IF(Z364="Oligopoly",5,IF(Z364="Duopoly that cooperate",10,IF(Z364="Duopoly that compete",5,IF(Z364="Too many players with High ROCE",5,0)))))</f>
        <v/>
      </c>
      <c r="AB364" s="31" t="n"/>
      <c r="AC364" s="31">
        <f>IF(AB364="No",5,0)</f>
        <v/>
      </c>
      <c r="AD364" s="31" t="n"/>
      <c r="AE364" s="31">
        <f>IF(AD364="Tailwind",10,0)</f>
        <v/>
      </c>
      <c r="AF364" s="31" t="n"/>
      <c r="AG364" s="31">
        <f>IF(AF364="Structural (10 Years Consistency)",10,IF(AF364="Shallow Cyclical (2 to 3 years growth)",5,0))</f>
        <v/>
      </c>
      <c r="AH364" s="31" t="n"/>
      <c r="AI364" s="31">
        <f>IF(AH364="Yes due to Product Mix change or Operating Leverage",10,IF(AH364="Yes, these are peak margins",-5,IF(AH364="No",5,0)))</f>
        <v/>
      </c>
      <c r="AJ364" s="31" t="n"/>
      <c r="AK364" s="31">
        <f>IF(AJ364="Stable",10,0)</f>
        <v/>
      </c>
      <c r="AL364" s="31" t="n"/>
      <c r="AM364" s="31">
        <f>IF(AL364="Yes",10,0)</f>
        <v/>
      </c>
      <c r="AN364" s="31" t="n"/>
      <c r="AO364" s="31">
        <f>IF(AN364="B2C",10,IF(AN364="B2B",5,0))</f>
        <v/>
      </c>
      <c r="AP364" s="31" t="n"/>
      <c r="AQ364" s="31">
        <f>IF(AP364="Yes",10,0)</f>
        <v/>
      </c>
      <c r="AR364" s="31" t="n"/>
      <c r="AS364" s="31">
        <f>IF(AR364="Fully Annuity",10,IF(AR364="Higher Annuity, Lower One Time",5,IF(AR364="Higher One Time, Lower Annuity",3,0)))</f>
        <v/>
      </c>
      <c r="AT364" s="31" t="n"/>
      <c r="AU364" s="31">
        <f>IF(AT364="Good",10,0)</f>
        <v/>
      </c>
      <c r="AV364" s="31" t="n"/>
      <c r="AW364" s="31">
        <f>IF(AV364="Yes for more than 2 years",10,IF(AV364="Yes only for next 1 to 2 years",5,0))</f>
        <v/>
      </c>
      <c r="AX364" s="31" t="n"/>
      <c r="AY364" s="31">
        <f>IF(AX364="Above 40",20,IF(AX364="20 to 40",10,IF(AX364="0 to 20",-5,0)))</f>
        <v/>
      </c>
      <c r="AZ364" s="31" t="n"/>
      <c r="BA364" s="31">
        <f>IF(AZ364="Between 50 to 75",10,IF(AZ364="Above 75",0,0))</f>
        <v/>
      </c>
      <c r="BB364" s="31" t="n"/>
      <c r="BC364" s="31">
        <f>IF(BB364="Stage 2",20,IF(BB364="Stage 1",0,IF(BB364="Stage 3",5,IF(BB364="Stage 4",-5,0))))</f>
        <v/>
      </c>
      <c r="BD364" s="31" t="n"/>
      <c r="BE364" s="31">
        <f>IF(BD364="Positive Trend",20,IF(BD364="Negative Trend",-10,0))</f>
        <v/>
      </c>
      <c r="BF364" s="31" t="n"/>
      <c r="BG364" s="31">
        <f>IF(BF364="Uptrend",10,IF(BF364="Sideways",5,0))</f>
        <v/>
      </c>
      <c r="BH364" s="31" t="n"/>
      <c r="BI364" s="31">
        <f>IF(BH364="Uptrend",10,IF(BH364="Sideways",5,0))</f>
        <v/>
      </c>
      <c r="BJ364" s="31" t="n"/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n"/>
      <c r="BM364" s="31">
        <f>IF(BL364="Yes",10,0)</f>
        <v/>
      </c>
      <c r="BN364" s="31" t="n"/>
      <c r="BO364" s="31">
        <f>IF(BN364="More than 20%",10,IF(BN364="Between 12 to 20%",5,IF(BN364="Less than 12%",0,0)))</f>
        <v/>
      </c>
      <c r="BP364" s="31" t="n"/>
      <c r="BQ364" s="31">
        <f>IF(BP364="No",10,0)</f>
        <v/>
      </c>
      <c r="BR364" s="31" t="n"/>
      <c r="BS364" s="31">
        <f>IF(BR364="NO",5,0)</f>
        <v/>
      </c>
      <c r="BT364" s="31" t="n"/>
      <c r="BU364" s="31">
        <f>IF(BT364="Above 2",0,IF(BT364="Between 1.5 to 2",5,IF(BT364="Less than 1.5",10,0)))</f>
        <v/>
      </c>
      <c r="BV364" s="31" t="n"/>
      <c r="BW364" s="31">
        <f>IF(BV364="Above 70%",10,IF(BV364="Between 50% to 70%",5,IF(BV364="Less than 50%",0,IF(BV364="Negative",-10,IF(BV364="Less than 50% and Borrowings are increasing",-5,0)))))</f>
        <v/>
      </c>
      <c r="BX364" s="31" t="n"/>
      <c r="BY364" s="31">
        <f>IF(BX364="More than 1.2",-10,IF(BX364="Between 0.7 to 1.2",0,IF(BX364="Less than 0.7",10,0)))</f>
        <v/>
      </c>
      <c r="BZ364" s="31" t="n"/>
      <c r="CA364" s="31">
        <f>IF(BZ364="Yes",-10,0)</f>
        <v/>
      </c>
      <c r="CB364" s="31" t="n"/>
      <c r="CC364" s="31">
        <f>IF(CB364="More than 15%",-10,IF(CB364="Less than 15%",10,0))</f>
        <v/>
      </c>
      <c r="CD364" s="31" t="n"/>
      <c r="CE364" s="31">
        <f>IF(CD364="Yes, more than 10%",-10,IF(CD364="No",10,0))</f>
        <v/>
      </c>
    </row>
    <row r="365">
      <c r="A365" s="31">
        <f>IF(B365=0,"",RANK(B365,$B$2:$B$368,0))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MAHASTEEL</t>
        </is>
      </c>
      <c r="D365" s="31" t="inlineStr">
        <is>
          <t>Mahamaya Steel Industries Limited</t>
        </is>
      </c>
      <c r="E365" s="31" t="inlineStr">
        <is>
          <t>metals &amp; mining</t>
        </is>
      </c>
      <c r="F365" s="31" t="inlineStr">
        <is>
          <t>steel - medium / small</t>
        </is>
      </c>
      <c r="G365" s="31" t="inlineStr">
        <is>
          <t>smallcap</t>
        </is>
      </c>
      <c r="H365" s="32" t="n">
        <v>1874.67</v>
      </c>
      <c r="I365" s="32" t="n">
        <v>1140</v>
      </c>
      <c r="J365" s="32" t="n">
        <v>-0.06</v>
      </c>
      <c r="K365" s="32" t="n">
        <v>2441</v>
      </c>
      <c r="L365" s="31" t="inlineStr"/>
      <c r="M365" s="31" t="inlineStr"/>
      <c r="N365" s="32">
        <f>IF(M365="Underperforming",-5,IF(L365&gt;=95,15,IF(L365&gt;=90,10,IF(L365&gt;=80,5,0))))</f>
        <v/>
      </c>
      <c r="O365" s="32" t="inlineStr"/>
      <c r="P365" s="32" t="inlineStr"/>
      <c r="Q365" s="32" t="inlineStr"/>
      <c r="R365" s="31" t="inlineStr"/>
      <c r="S365" s="31" t="inlineStr"/>
      <c r="T365" s="32" t="inlineStr"/>
      <c r="U365" s="32" t="inlineStr"/>
      <c r="V365" s="32" t="inlineStr"/>
      <c r="W365" s="32" t="inlineStr"/>
      <c r="X365" s="31" t="n"/>
      <c r="Y365" s="31">
        <f>IF(X365="Growing Industry",10,IF(X365="Cyclical in an Upturn",5,0))</f>
        <v/>
      </c>
      <c r="Z365" s="31" t="n"/>
      <c r="AA365" s="31">
        <f>IF(Z365="Monopoly",10,IF(Z365="Oligopoly",5,IF(Z365="Duopoly that cooperate",10,IF(Z365="Duopoly that compete",5,IF(Z365="Too many players with High ROCE",5,0)))))</f>
        <v/>
      </c>
      <c r="AB365" s="31" t="n"/>
      <c r="AC365" s="31">
        <f>IF(AB365="No",5,0)</f>
        <v/>
      </c>
      <c r="AD365" s="31" t="n"/>
      <c r="AE365" s="31">
        <f>IF(AD365="Tailwind",10,0)</f>
        <v/>
      </c>
      <c r="AF365" s="31" t="n"/>
      <c r="AG365" s="31">
        <f>IF(AF365="Structural (10 Years Consistency)",10,IF(AF365="Shallow Cyclical (2 to 3 years growth)",5,0))</f>
        <v/>
      </c>
      <c r="AH365" s="31" t="n"/>
      <c r="AI365" s="31">
        <f>IF(AH365="Yes due to Product Mix change or Operating Leverage",10,IF(AH365="Yes, these are peak margins",-5,IF(AH365="No",5,0)))</f>
        <v/>
      </c>
      <c r="AJ365" s="31" t="n"/>
      <c r="AK365" s="31">
        <f>IF(AJ365="Stable",10,0)</f>
        <v/>
      </c>
      <c r="AL365" s="31" t="n"/>
      <c r="AM365" s="31">
        <f>IF(AL365="Yes",10,0)</f>
        <v/>
      </c>
      <c r="AN365" s="31" t="n"/>
      <c r="AO365" s="31">
        <f>IF(AN365="B2C",10,IF(AN365="B2B",5,0))</f>
        <v/>
      </c>
      <c r="AP365" s="31" t="n"/>
      <c r="AQ365" s="31">
        <f>IF(AP365="Yes",10,0)</f>
        <v/>
      </c>
      <c r="AR365" s="31" t="n"/>
      <c r="AS365" s="31">
        <f>IF(AR365="Fully Annuity",10,IF(AR365="Higher Annuity, Lower One Time",5,IF(AR365="Higher One Time, Lower Annuity",3,0)))</f>
        <v/>
      </c>
      <c r="AT365" s="31" t="n"/>
      <c r="AU365" s="31">
        <f>IF(AT365="Good",10,0)</f>
        <v/>
      </c>
      <c r="AV365" s="31" t="n"/>
      <c r="AW365" s="31">
        <f>IF(AV365="Yes for more than 2 years",10,IF(AV365="Yes only for next 1 to 2 years",5,0))</f>
        <v/>
      </c>
      <c r="AX365" s="31" t="n"/>
      <c r="AY365" s="31">
        <f>IF(AX365="Above 40",20,IF(AX365="20 to 40",10,IF(AX365="0 to 20",-5,0)))</f>
        <v/>
      </c>
      <c r="AZ365" s="31" t="n"/>
      <c r="BA365" s="31">
        <f>IF(AZ365="Between 50 to 75",10,IF(AZ365="Above 75",0,0))</f>
        <v/>
      </c>
      <c r="BB365" s="31" t="n"/>
      <c r="BC365" s="31">
        <f>IF(BB365="Stage 2",20,IF(BB365="Stage 1",0,IF(BB365="Stage 3",5,IF(BB365="Stage 4",-5,0))))</f>
        <v/>
      </c>
      <c r="BD365" s="31" t="n"/>
      <c r="BE365" s="31">
        <f>IF(BD365="Positive Trend",20,IF(BD365="Negative Trend",-10,0))</f>
        <v/>
      </c>
      <c r="BF365" s="31" t="n"/>
      <c r="BG365" s="31">
        <f>IF(BF365="Uptrend",10,IF(BF365="Sideways",5,0))</f>
        <v/>
      </c>
      <c r="BH365" s="31" t="n"/>
      <c r="BI365" s="31">
        <f>IF(BH365="Uptrend",10,IF(BH365="Sideways",5,0))</f>
        <v/>
      </c>
      <c r="BJ365" s="31" t="n"/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n"/>
      <c r="BM365" s="31">
        <f>IF(BL365="Yes",10,0)</f>
        <v/>
      </c>
      <c r="BN365" s="31" t="n"/>
      <c r="BO365" s="31">
        <f>IF(BN365="More than 20%",10,IF(BN365="Between 12 to 20%",5,IF(BN365="Less than 12%",0,0)))</f>
        <v/>
      </c>
      <c r="BP365" s="31" t="n"/>
      <c r="BQ365" s="31">
        <f>IF(BP365="No",10,0)</f>
        <v/>
      </c>
      <c r="BR365" s="31" t="n"/>
      <c r="BS365" s="31">
        <f>IF(BR365="NO",5,0)</f>
        <v/>
      </c>
      <c r="BT365" s="31" t="n"/>
      <c r="BU365" s="31">
        <f>IF(BT365="Above 2",0,IF(BT365="Between 1.5 to 2",5,IF(BT365="Less than 1.5",10,0)))</f>
        <v/>
      </c>
      <c r="BV365" s="31" t="n"/>
      <c r="BW365" s="31">
        <f>IF(BV365="Above 70%",10,IF(BV365="Between 50% to 70%",5,IF(BV365="Less than 50%",0,IF(BV365="Negative",-10,IF(BV365="Less than 50% and Borrowings are increasing",-5,0)))))</f>
        <v/>
      </c>
      <c r="BX365" s="31" t="n"/>
      <c r="BY365" s="31">
        <f>IF(BX365="More than 1.2",-10,IF(BX365="Between 0.7 to 1.2",0,IF(BX365="Less than 0.7",10,0)))</f>
        <v/>
      </c>
      <c r="BZ365" s="31" t="n"/>
      <c r="CA365" s="31">
        <f>IF(BZ365="Yes",-10,0)</f>
        <v/>
      </c>
      <c r="CB365" s="31" t="n"/>
      <c r="CC365" s="31">
        <f>IF(CB365="More than 15%",-10,IF(CB365="Less than 15%",10,0))</f>
        <v/>
      </c>
      <c r="CD365" s="31" t="n"/>
      <c r="CE365" s="31">
        <f>IF(CD365="Yes, more than 10%",-10,IF(CD365="No",10,0))</f>
        <v/>
      </c>
    </row>
    <row r="366">
      <c r="A366" s="31">
        <f>IF(B366=0,"",RANK(B366,$B$2:$B$368,0))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JGCHEM</t>
        </is>
      </c>
      <c r="D366" s="31" t="inlineStr">
        <is>
          <t>J.G.Chemicals Ltd</t>
        </is>
      </c>
      <c r="E366" s="31" t="inlineStr">
        <is>
          <t>chemicals</t>
        </is>
      </c>
      <c r="F366" s="31" t="inlineStr">
        <is>
          <t>chemicals</t>
        </is>
      </c>
      <c r="G366" s="31" t="inlineStr">
        <is>
          <t>smallcap</t>
        </is>
      </c>
      <c r="H366" s="32" t="n">
        <v>2460.69</v>
      </c>
      <c r="I366" s="32" t="n">
        <v>619.9</v>
      </c>
      <c r="J366" s="32" t="n">
        <v>-1.28</v>
      </c>
      <c r="K366" s="32" t="n">
        <v>73836</v>
      </c>
      <c r="L366" s="31" t="inlineStr"/>
      <c r="M366" s="31" t="inlineStr"/>
      <c r="N366" s="32">
        <f>IF(M366="Underperforming",-5,IF(L366&gt;=95,15,IF(L366&gt;=90,10,IF(L366&gt;=80,5,0))))</f>
        <v/>
      </c>
      <c r="O366" s="32" t="inlineStr"/>
      <c r="P366" s="32" t="inlineStr"/>
      <c r="Q366" s="32" t="inlineStr"/>
      <c r="R366" s="31" t="inlineStr"/>
      <c r="S366" s="31" t="inlineStr"/>
      <c r="T366" s="32" t="inlineStr"/>
      <c r="U366" s="32" t="inlineStr"/>
      <c r="V366" s="32" t="inlineStr"/>
      <c r="W366" s="32" t="inlineStr"/>
      <c r="X366" s="31" t="n"/>
      <c r="Y366" s="31">
        <f>IF(X366="Growing Industry",10,IF(X366="Cyclical in an Upturn",5,0))</f>
        <v/>
      </c>
      <c r="Z366" s="31" t="n"/>
      <c r="AA366" s="31">
        <f>IF(Z366="Monopoly",10,IF(Z366="Oligopoly",5,IF(Z366="Duopoly that cooperate",10,IF(Z366="Duopoly that compete",5,IF(Z366="Too many players with High ROCE",5,0)))))</f>
        <v/>
      </c>
      <c r="AB366" s="31" t="n"/>
      <c r="AC366" s="31">
        <f>IF(AB366="No",5,0)</f>
        <v/>
      </c>
      <c r="AD366" s="31" t="n"/>
      <c r="AE366" s="31">
        <f>IF(AD366="Tailwind",10,0)</f>
        <v/>
      </c>
      <c r="AF366" s="31" t="n"/>
      <c r="AG366" s="31">
        <f>IF(AF366="Structural (10 Years Consistency)",10,IF(AF366="Shallow Cyclical (2 to 3 years growth)",5,0))</f>
        <v/>
      </c>
      <c r="AH366" s="31" t="n"/>
      <c r="AI366" s="31">
        <f>IF(AH366="Yes due to Product Mix change or Operating Leverage",10,IF(AH366="Yes, these are peak margins",-5,IF(AH366="No",5,0)))</f>
        <v/>
      </c>
      <c r="AJ366" s="31" t="n"/>
      <c r="AK366" s="31">
        <f>IF(AJ366="Stable",10,0)</f>
        <v/>
      </c>
      <c r="AL366" s="31" t="n"/>
      <c r="AM366" s="31">
        <f>IF(AL366="Yes",10,0)</f>
        <v/>
      </c>
      <c r="AN366" s="31" t="n"/>
      <c r="AO366" s="31">
        <f>IF(AN366="B2C",10,IF(AN366="B2B",5,0))</f>
        <v/>
      </c>
      <c r="AP366" s="31" t="n"/>
      <c r="AQ366" s="31">
        <f>IF(AP366="Yes",10,0)</f>
        <v/>
      </c>
      <c r="AR366" s="31" t="n"/>
      <c r="AS366" s="31">
        <f>IF(AR366="Fully Annuity",10,IF(AR366="Higher Annuity, Lower One Time",5,IF(AR366="Higher One Time, Lower Annuity",3,0)))</f>
        <v/>
      </c>
      <c r="AT366" s="31" t="n"/>
      <c r="AU366" s="31">
        <f>IF(AT366="Good",10,0)</f>
        <v/>
      </c>
      <c r="AV366" s="31" t="n"/>
      <c r="AW366" s="31">
        <f>IF(AV366="Yes for more than 2 years",10,IF(AV366="Yes only for next 1 to 2 years",5,0))</f>
        <v/>
      </c>
      <c r="AX366" s="31" t="n"/>
      <c r="AY366" s="31">
        <f>IF(AX366="Above 40",20,IF(AX366="20 to 40",10,IF(AX366="0 to 20",-5,0)))</f>
        <v/>
      </c>
      <c r="AZ366" s="31" t="n"/>
      <c r="BA366" s="31">
        <f>IF(AZ366="Between 50 to 75",10,IF(AZ366="Above 75",0,0))</f>
        <v/>
      </c>
      <c r="BB366" s="31" t="n"/>
      <c r="BC366" s="31">
        <f>IF(BB366="Stage 2",20,IF(BB366="Stage 1",0,IF(BB366="Stage 3",5,IF(BB366="Stage 4",-5,0))))</f>
        <v/>
      </c>
      <c r="BD366" s="31" t="n"/>
      <c r="BE366" s="31">
        <f>IF(BD366="Positive Trend",20,IF(BD366="Negative Trend",-10,0))</f>
        <v/>
      </c>
      <c r="BF366" s="31" t="n"/>
      <c r="BG366" s="31">
        <f>IF(BF366="Uptrend",10,IF(BF366="Sideways",5,0))</f>
        <v/>
      </c>
      <c r="BH366" s="31" t="n"/>
      <c r="BI366" s="31">
        <f>IF(BH366="Uptrend",10,IF(BH366="Sideways",5,0))</f>
        <v/>
      </c>
      <c r="BJ366" s="31" t="n"/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n"/>
      <c r="BM366" s="31">
        <f>IF(BL366="Yes",10,0)</f>
        <v/>
      </c>
      <c r="BN366" s="31" t="n"/>
      <c r="BO366" s="31">
        <f>IF(BN366="More than 20%",10,IF(BN366="Between 12 to 20%",5,IF(BN366="Less than 12%",0,0)))</f>
        <v/>
      </c>
      <c r="BP366" s="31" t="n"/>
      <c r="BQ366" s="31">
        <f>IF(BP366="No",10,0)</f>
        <v/>
      </c>
      <c r="BR366" s="31" t="n"/>
      <c r="BS366" s="31">
        <f>IF(BR366="NO",5,0)</f>
        <v/>
      </c>
      <c r="BT366" s="31" t="n"/>
      <c r="BU366" s="31">
        <f>IF(BT366="Above 2",0,IF(BT366="Between 1.5 to 2",5,IF(BT366="Less than 1.5",10,0)))</f>
        <v/>
      </c>
      <c r="BV366" s="31" t="n"/>
      <c r="BW366" s="31">
        <f>IF(BV366="Above 70%",10,IF(BV366="Between 50% to 70%",5,IF(BV366="Less than 50%",0,IF(BV366="Negative",-10,IF(BV366="Less than 50% and Borrowings are increasing",-5,0)))))</f>
        <v/>
      </c>
      <c r="BX366" s="31" t="n"/>
      <c r="BY366" s="31">
        <f>IF(BX366="More than 1.2",-10,IF(BX366="Between 0.7 to 1.2",0,IF(BX366="Less than 0.7",10,0)))</f>
        <v/>
      </c>
      <c r="BZ366" s="31" t="n"/>
      <c r="CA366" s="31">
        <f>IF(BZ366="Yes",-10,0)</f>
        <v/>
      </c>
      <c r="CB366" s="31" t="n"/>
      <c r="CC366" s="31">
        <f>IF(CB366="More than 15%",-10,IF(CB366="Less than 15%",10,0))</f>
        <v/>
      </c>
      <c r="CD366" s="31" t="n"/>
      <c r="CE366" s="31">
        <f>IF(CD366="Yes, more than 10%",-10,IF(CD366="No",10,0))</f>
        <v/>
      </c>
    </row>
    <row r="367">
      <c r="A367" s="31">
        <f>IF(B367=0,"",RANK(B367,$B$2:$B$368,0))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DEEPINDS</t>
        </is>
      </c>
      <c r="D367" s="31" t="inlineStr">
        <is>
          <t>Deep Industries Ltd</t>
        </is>
      </c>
      <c r="E367" s="31" t="inlineStr">
        <is>
          <t>energy</t>
        </is>
      </c>
      <c r="F367" s="31" t="inlineStr">
        <is>
          <t>oil drilling / allied services</t>
        </is>
      </c>
      <c r="G367" s="31" t="inlineStr">
        <is>
          <t>smallcap</t>
        </is>
      </c>
      <c r="H367" s="32" t="n">
        <v>4271.04</v>
      </c>
      <c r="I367" s="32" t="n">
        <v>656.9</v>
      </c>
      <c r="J367" s="32" t="n">
        <v>-1.57</v>
      </c>
      <c r="K367" s="32" t="n">
        <v>176841</v>
      </c>
      <c r="L367" s="31" t="inlineStr"/>
      <c r="M367" s="31" t="inlineStr"/>
      <c r="N367" s="32">
        <f>IF(M367="Underperforming",-5,IF(L367&gt;=95,15,IF(L367&gt;=90,10,IF(L367&gt;=80,5,0))))</f>
        <v/>
      </c>
      <c r="O367" s="32" t="inlineStr"/>
      <c r="P367" s="32" t="inlineStr"/>
      <c r="Q367" s="32" t="inlineStr"/>
      <c r="R367" s="31" t="inlineStr"/>
      <c r="S367" s="31" t="inlineStr"/>
      <c r="T367" s="32" t="inlineStr"/>
      <c r="U367" s="32" t="inlineStr"/>
      <c r="V367" s="32" t="inlineStr"/>
      <c r="W367" s="32" t="inlineStr"/>
      <c r="X367" s="31" t="n"/>
      <c r="Y367" s="31">
        <f>IF(X367="Growing Industry",10,IF(X367="Cyclical in an Upturn",5,0))</f>
        <v/>
      </c>
      <c r="Z367" s="31" t="n"/>
      <c r="AA367" s="31">
        <f>IF(Z367="Monopoly",10,IF(Z367="Oligopoly",5,IF(Z367="Duopoly that cooperate",10,IF(Z367="Duopoly that compete",5,IF(Z367="Too many players with High ROCE",5,0)))))</f>
        <v/>
      </c>
      <c r="AB367" s="31" t="n"/>
      <c r="AC367" s="31">
        <f>IF(AB367="No",5,0)</f>
        <v/>
      </c>
      <c r="AD367" s="31" t="n"/>
      <c r="AE367" s="31">
        <f>IF(AD367="Tailwind",10,0)</f>
        <v/>
      </c>
      <c r="AF367" s="31" t="n"/>
      <c r="AG367" s="31">
        <f>IF(AF367="Structural (10 Years Consistency)",10,IF(AF367="Shallow Cyclical (2 to 3 years growth)",5,0))</f>
        <v/>
      </c>
      <c r="AH367" s="31" t="n"/>
      <c r="AI367" s="31">
        <f>IF(AH367="Yes due to Product Mix change or Operating Leverage",10,IF(AH367="Yes, these are peak margins",-5,IF(AH367="No",5,0)))</f>
        <v/>
      </c>
      <c r="AJ367" s="31" t="n"/>
      <c r="AK367" s="31">
        <f>IF(AJ367="Stable",10,0)</f>
        <v/>
      </c>
      <c r="AL367" s="31" t="n"/>
      <c r="AM367" s="31">
        <f>IF(AL367="Yes",10,0)</f>
        <v/>
      </c>
      <c r="AN367" s="31" t="n"/>
      <c r="AO367" s="31">
        <f>IF(AN367="B2C",10,IF(AN367="B2B",5,0))</f>
        <v/>
      </c>
      <c r="AP367" s="31" t="n"/>
      <c r="AQ367" s="31">
        <f>IF(AP367="Yes",10,0)</f>
        <v/>
      </c>
      <c r="AR367" s="31" t="n"/>
      <c r="AS367" s="31">
        <f>IF(AR367="Fully Annuity",10,IF(AR367="Higher Annuity, Lower One Time",5,IF(AR367="Higher One Time, Lower Annuity",3,0)))</f>
        <v/>
      </c>
      <c r="AT367" s="31" t="n"/>
      <c r="AU367" s="31">
        <f>IF(AT367="Good",10,0)</f>
        <v/>
      </c>
      <c r="AV367" s="31" t="n"/>
      <c r="AW367" s="31">
        <f>IF(AV367="Yes for more than 2 years",10,IF(AV367="Yes only for next 1 to 2 years",5,0))</f>
        <v/>
      </c>
      <c r="AX367" s="31" t="n"/>
      <c r="AY367" s="31">
        <f>IF(AX367="Above 40",20,IF(AX367="20 to 40",10,IF(AX367="0 to 20",-5,0)))</f>
        <v/>
      </c>
      <c r="AZ367" s="31" t="n"/>
      <c r="BA367" s="31">
        <f>IF(AZ367="Between 50 to 75",10,IF(AZ367="Above 75",0,0))</f>
        <v/>
      </c>
      <c r="BB367" s="31" t="n"/>
      <c r="BC367" s="31">
        <f>IF(BB367="Stage 2",20,IF(BB367="Stage 1",0,IF(BB367="Stage 3",5,IF(BB367="Stage 4",-5,0))))</f>
        <v/>
      </c>
      <c r="BD367" s="31" t="n"/>
      <c r="BE367" s="31">
        <f>IF(BD367="Positive Trend",20,IF(BD367="Negative Trend",-10,0))</f>
        <v/>
      </c>
      <c r="BF367" s="31" t="n"/>
      <c r="BG367" s="31">
        <f>IF(BF367="Uptrend",10,IF(BF367="Sideways",5,0))</f>
        <v/>
      </c>
      <c r="BH367" s="31" t="n"/>
      <c r="BI367" s="31">
        <f>IF(BH367="Uptrend",10,IF(BH367="Sideways",5,0))</f>
        <v/>
      </c>
      <c r="BJ367" s="31" t="n"/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n"/>
      <c r="BM367" s="31">
        <f>IF(BL367="Yes",10,0)</f>
        <v/>
      </c>
      <c r="BN367" s="31" t="n"/>
      <c r="BO367" s="31">
        <f>IF(BN367="More than 20%",10,IF(BN367="Between 12 to 20%",5,IF(BN367="Less than 12%",0,0)))</f>
        <v/>
      </c>
      <c r="BP367" s="31" t="n"/>
      <c r="BQ367" s="31">
        <f>IF(BP367="No",10,0)</f>
        <v/>
      </c>
      <c r="BR367" s="31" t="n"/>
      <c r="BS367" s="31">
        <f>IF(BR367="NO",5,0)</f>
        <v/>
      </c>
      <c r="BT367" s="31" t="n"/>
      <c r="BU367" s="31">
        <f>IF(BT367="Above 2",0,IF(BT367="Between 1.5 to 2",5,IF(BT367="Less than 1.5",10,0)))</f>
        <v/>
      </c>
      <c r="BV367" s="31" t="n"/>
      <c r="BW367" s="31">
        <f>IF(BV367="Above 70%",10,IF(BV367="Between 50% to 70%",5,IF(BV367="Less than 50%",0,IF(BV367="Negative",-10,IF(BV367="Less than 50% and Borrowings are increasing",-5,0)))))</f>
        <v/>
      </c>
      <c r="BX367" s="31" t="n"/>
      <c r="BY367" s="31">
        <f>IF(BX367="More than 1.2",-10,IF(BX367="Between 0.7 to 1.2",0,IF(BX367="Less than 0.7",10,0)))</f>
        <v/>
      </c>
      <c r="BZ367" s="31" t="n"/>
      <c r="CA367" s="31">
        <f>IF(BZ367="Yes",-10,0)</f>
        <v/>
      </c>
      <c r="CB367" s="31" t="n"/>
      <c r="CC367" s="31">
        <f>IF(CB367="More than 15%",-10,IF(CB367="Less than 15%",10,0))</f>
        <v/>
      </c>
      <c r="CD367" s="31" t="n"/>
      <c r="CE367" s="31">
        <f>IF(CD367="Yes, more than 10%",-10,IF(CD367="No",10,0))</f>
        <v/>
      </c>
    </row>
    <row r="368">
      <c r="A368" s="31">
        <f>IF(B368=0,"",RANK(B368,$B$2:$B$368,0))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NRL</t>
        </is>
      </c>
      <c r="D368" s="31" t="inlineStr">
        <is>
          <t>Nupur Recyclers Ltd</t>
        </is>
      </c>
      <c r="E368" s="31" t="inlineStr">
        <is>
          <t>services</t>
        </is>
      </c>
      <c r="F368" s="31" t="inlineStr">
        <is>
          <t>trading</t>
        </is>
      </c>
      <c r="G368" s="31" t="inlineStr">
        <is>
          <t>smallcap</t>
        </is>
      </c>
      <c r="H368" s="32" t="n">
        <v>781.17</v>
      </c>
      <c r="I368" s="32" t="n">
        <v>113.1</v>
      </c>
      <c r="J368" s="32" t="n">
        <v>-1.65</v>
      </c>
      <c r="K368" s="32" t="n">
        <v>18566</v>
      </c>
      <c r="L368" s="31" t="inlineStr"/>
      <c r="M368" s="31" t="inlineStr"/>
      <c r="N368" s="32">
        <f>IF(M368="Underperforming",-5,IF(L368&gt;=95,15,IF(L368&gt;=90,10,IF(L368&gt;=80,5,0))))</f>
        <v/>
      </c>
      <c r="O368" s="32" t="inlineStr"/>
      <c r="P368" s="32" t="inlineStr"/>
      <c r="Q368" s="32" t="inlineStr"/>
      <c r="R368" s="31" t="inlineStr"/>
      <c r="S368" s="31" t="inlineStr"/>
      <c r="T368" s="32" t="inlineStr"/>
      <c r="U368" s="32" t="inlineStr"/>
      <c r="V368" s="32" t="inlineStr"/>
      <c r="W368" s="32" t="inlineStr"/>
      <c r="X368" s="31" t="n"/>
      <c r="Y368" s="31">
        <f>IF(X368="Growing Industry",10,IF(X368="Cyclical in an Upturn",5,0))</f>
        <v/>
      </c>
      <c r="Z368" s="31" t="n"/>
      <c r="AA368" s="31">
        <f>IF(Z368="Monopoly",10,IF(Z368="Oligopoly",5,IF(Z368="Duopoly that cooperate",10,IF(Z368="Duopoly that compete",5,IF(Z368="Too many players with High ROCE",5,0)))))</f>
        <v/>
      </c>
      <c r="AB368" s="31" t="n"/>
      <c r="AC368" s="31">
        <f>IF(AB368="No",5,0)</f>
        <v/>
      </c>
      <c r="AD368" s="31" t="n"/>
      <c r="AE368" s="31">
        <f>IF(AD368="Tailwind",10,0)</f>
        <v/>
      </c>
      <c r="AF368" s="31" t="n"/>
      <c r="AG368" s="31">
        <f>IF(AF368="Structural (10 Years Consistency)",10,IF(AF368="Shallow Cyclical (2 to 3 years growth)",5,0))</f>
        <v/>
      </c>
      <c r="AH368" s="31" t="n"/>
      <c r="AI368" s="31">
        <f>IF(AH368="Yes due to Product Mix change or Operating Leverage",10,IF(AH368="Yes, these are peak margins",-5,IF(AH368="No",5,0)))</f>
        <v/>
      </c>
      <c r="AJ368" s="31" t="n"/>
      <c r="AK368" s="31">
        <f>IF(AJ368="Stable",10,0)</f>
        <v/>
      </c>
      <c r="AL368" s="31" t="n"/>
      <c r="AM368" s="31">
        <f>IF(AL368="Yes",10,0)</f>
        <v/>
      </c>
      <c r="AN368" s="31" t="n"/>
      <c r="AO368" s="31">
        <f>IF(AN368="B2C",10,IF(AN368="B2B",5,0))</f>
        <v/>
      </c>
      <c r="AP368" s="31" t="n"/>
      <c r="AQ368" s="31">
        <f>IF(AP368="Yes",10,0)</f>
        <v/>
      </c>
      <c r="AR368" s="31" t="n"/>
      <c r="AS368" s="31">
        <f>IF(AR368="Fully Annuity",10,IF(AR368="Higher Annuity, Lower One Time",5,IF(AR368="Higher One Time, Lower Annuity",3,0)))</f>
        <v/>
      </c>
      <c r="AT368" s="31" t="n"/>
      <c r="AU368" s="31">
        <f>IF(AT368="Good",10,0)</f>
        <v/>
      </c>
      <c r="AV368" s="31" t="n"/>
      <c r="AW368" s="31">
        <f>IF(AV368="Yes for more than 2 years",10,IF(AV368="Yes only for next 1 to 2 years",5,0))</f>
        <v/>
      </c>
      <c r="AX368" s="31" t="n"/>
      <c r="AY368" s="31">
        <f>IF(AX368="Above 40",20,IF(AX368="20 to 40",10,IF(AX368="0 to 20",-5,0)))</f>
        <v/>
      </c>
      <c r="AZ368" s="31" t="n"/>
      <c r="BA368" s="31">
        <f>IF(AZ368="Between 50 to 75",10,IF(AZ368="Above 75",0,0))</f>
        <v/>
      </c>
      <c r="BB368" s="31" t="n"/>
      <c r="BC368" s="31">
        <f>IF(BB368="Stage 2",20,IF(BB368="Stage 1",0,IF(BB368="Stage 3",5,IF(BB368="Stage 4",-5,0))))</f>
        <v/>
      </c>
      <c r="BD368" s="31" t="n"/>
      <c r="BE368" s="31">
        <f>IF(BD368="Positive Trend",20,IF(BD368="Negative Trend",-10,0))</f>
        <v/>
      </c>
      <c r="BF368" s="31" t="n"/>
      <c r="BG368" s="31">
        <f>IF(BF368="Uptrend",10,IF(BF368="Sideways",5,0))</f>
        <v/>
      </c>
      <c r="BH368" s="31" t="n"/>
      <c r="BI368" s="31">
        <f>IF(BH368="Uptrend",10,IF(BH368="Sideways",5,0))</f>
        <v/>
      </c>
      <c r="BJ368" s="31" t="n"/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n"/>
      <c r="BM368" s="31">
        <f>IF(BL368="Yes",10,0)</f>
        <v/>
      </c>
      <c r="BN368" s="31" t="n"/>
      <c r="BO368" s="31">
        <f>IF(BN368="More than 20%",10,IF(BN368="Between 12 to 20%",5,IF(BN368="Less than 12%",0,0)))</f>
        <v/>
      </c>
      <c r="BP368" s="31" t="n"/>
      <c r="BQ368" s="31">
        <f>IF(BP368="No",10,0)</f>
        <v/>
      </c>
      <c r="BR368" s="31" t="n"/>
      <c r="BS368" s="31">
        <f>IF(BR368="NO",5,0)</f>
        <v/>
      </c>
      <c r="BT368" s="31" t="n"/>
      <c r="BU368" s="31">
        <f>IF(BT368="Above 2",0,IF(BT368="Between 1.5 to 2",5,IF(BT368="Less than 1.5",10,0)))</f>
        <v/>
      </c>
      <c r="BV368" s="31" t="n"/>
      <c r="BW368" s="31">
        <f>IF(BV368="Above 70%",10,IF(BV368="Between 50% to 70%",5,IF(BV368="Less than 50%",0,IF(BV368="Negative",-10,IF(BV368="Less than 50% and Borrowings are increasing",-5,0)))))</f>
        <v/>
      </c>
      <c r="BX368" s="31" t="n"/>
      <c r="BY368" s="31">
        <f>IF(BX368="More than 1.2",-10,IF(BX368="Between 0.7 to 1.2",0,IF(BX368="Less than 0.7",10,0)))</f>
        <v/>
      </c>
      <c r="BZ368" s="31" t="n"/>
      <c r="CA368" s="31">
        <f>IF(BZ368="Yes",-10,0)</f>
        <v/>
      </c>
      <c r="CB368" s="31" t="n"/>
      <c r="CC368" s="31">
        <f>IF(CB368="More than 15%",-10,IF(CB368="Less than 15%",10,0))</f>
        <v/>
      </c>
      <c r="CD368" s="31" t="n"/>
      <c r="CE368" s="31">
        <f>IF(CD368="Yes, more than 10%",-10,IF(CD368="No",10,0))</f>
        <v/>
      </c>
    </row>
  </sheetData>
  <autoFilter ref="A1:CE368"/>
  <conditionalFormatting sqref="B2:B36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6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6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68">
    <cfRule type="cellIs" priority="36" operator="equal" dxfId="3" stopIfTrue="1">
      <formula>"Underperforming"</formula>
    </cfRule>
  </conditionalFormatting>
  <conditionalFormatting sqref="N2:N368">
    <cfRule type="cellIs" priority="37" operator="equal" dxfId="3" stopIfTrue="1">
      <formula>-5</formula>
    </cfRule>
  </conditionalFormatting>
  <conditionalFormatting sqref="Q2:Q368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68" showDropDown="0" showInputMessage="0" showErrorMessage="0" allowBlank="1" type="list">
      <formula1>"Growing Industry,Stagnant Industry,Cyclical in an Upturn"</formula1>
    </dataValidation>
    <dataValidation sqref="Z2:Z36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68" showDropDown="0" showInputMessage="0" showErrorMessage="0" allowBlank="1" type="list">
      <formula1>"Yes,No"</formula1>
    </dataValidation>
    <dataValidation sqref="AD2:AD368" showDropDown="0" showInputMessage="0" showErrorMessage="0" allowBlank="1" type="list">
      <formula1>"Tailwind,Headwind"</formula1>
    </dataValidation>
    <dataValidation sqref="AF2:AF368" showDropDown="0" showInputMessage="0" showErrorMessage="0" allowBlank="1" type="list">
      <formula1>"Structural (10 Years Consistency),Shallow Cyclical (2 to 3 Years Growth),Cyclical"</formula1>
    </dataValidation>
    <dataValidation sqref="AH2:AH368" showDropDown="0" showInputMessage="0" showErrorMessage="0" allowBlank="1" type="list">
      <formula1>"Yes due to Product Mix change or Operating Leverage,Yes, these are peak margins,No"</formula1>
    </dataValidation>
    <dataValidation sqref="AJ2:AJ368" showDropDown="0" showInputMessage="0" showErrorMessage="0" allowBlank="1" type="list">
      <formula1>"Stable,Volatile"</formula1>
    </dataValidation>
    <dataValidation sqref="AL2:AL368" showDropDown="0" showInputMessage="0" showErrorMessage="0" allowBlank="1" type="list">
      <formula1>"Yes,No"</formula1>
    </dataValidation>
    <dataValidation sqref="AN2:AN368" showDropDown="0" showInputMessage="0" showErrorMessage="0" allowBlank="1" type="list">
      <formula1>"B2C,B2B,B2G"</formula1>
    </dataValidation>
    <dataValidation sqref="AP2:AP368" showDropDown="0" showInputMessage="0" showErrorMessage="0" allowBlank="1" type="list">
      <formula1>"Yes,No"</formula1>
    </dataValidation>
    <dataValidation sqref="AR2:AR368" showDropDown="0" showInputMessage="0" showErrorMessage="0" allowBlank="1" type="list">
      <formula1>"Fully Annuity,Higher Annuity, Lower One time,Higher One Time, Lower Annuity,Fully One Time"</formula1>
    </dataValidation>
    <dataValidation sqref="AT2:AT368" showDropDown="0" showInputMessage="0" showErrorMessage="0" allowBlank="1" type="list">
      <formula1>"Good,Allocated capital in Non-core Areas"</formula1>
    </dataValidation>
    <dataValidation sqref="AV2:AV368" showDropDown="0" showInputMessage="0" showErrorMessage="0" allowBlank="1" type="list">
      <formula1>"Yes for more than 2 years,Yes only for next 1 to 2 years,No"</formula1>
    </dataValidation>
    <dataValidation sqref="AX2:AX368" showDropDown="0" showInputMessage="0" showErrorMessage="0" allowBlank="1" type="list">
      <formula1>"Above 40,20 to 40,0 to 20"</formula1>
    </dataValidation>
    <dataValidation sqref="AZ2:AZ368" showDropDown="0" showInputMessage="0" showErrorMessage="0" allowBlank="1" type="list">
      <formula1>"Between 50 to 75,Above 75,Below 45"</formula1>
    </dataValidation>
    <dataValidation sqref="BB2:BB368" showDropDown="0" showInputMessage="0" showErrorMessage="0" allowBlank="1" type="list">
      <formula1>"Stage 1,Stage 2,Stage 3,Stage 4"</formula1>
    </dataValidation>
    <dataValidation sqref="BD2:BD368" showDropDown="0" showInputMessage="0" showErrorMessage="0" allowBlank="1" type="list">
      <formula1>"Positive Trend,Negative Trend"</formula1>
    </dataValidation>
    <dataValidation sqref="BF2:BF368" showDropDown="0" showInputMessage="0" showErrorMessage="0" allowBlank="1" type="list">
      <formula1>"Uptrend,Sideways,Downtrend"</formula1>
    </dataValidation>
    <dataValidation sqref="BH2:BH368" showDropDown="0" showInputMessage="0" showErrorMessage="0" allowBlank="1" type="list">
      <formula1>"Uptrend,Sideways,Downtrend"</formula1>
    </dataValidation>
    <dataValidation sqref="BJ2:BJ36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68" showDropDown="0" showInputMessage="0" showErrorMessage="0" allowBlank="1" type="list">
      <formula1>"Yes,No"</formula1>
    </dataValidation>
    <dataValidation sqref="BN2:BN368" showDropDown="0" showInputMessage="0" showErrorMessage="0" allowBlank="1" type="list">
      <formula1>"More than 20%,Between 12 to 20%,Less than 12%"</formula1>
    </dataValidation>
    <dataValidation sqref="BP2:BP368" showDropDown="0" showInputMessage="0" showErrorMessage="0" allowBlank="1" type="list">
      <formula1>"Yes,No"</formula1>
    </dataValidation>
    <dataValidation sqref="BR2:BR368" showDropDown="0" showInputMessage="0" showErrorMessage="0" allowBlank="1" type="list">
      <formula1>"Yes,No"</formula1>
    </dataValidation>
    <dataValidation sqref="BT2:BT368" showDropDown="0" showInputMessage="0" showErrorMessage="0" allowBlank="1" type="list">
      <formula1>"Above 2,Between 1.5 to 2,Less than 1.5"</formula1>
    </dataValidation>
    <dataValidation sqref="BV2:BV368" showDropDown="0" showInputMessage="0" showErrorMessage="0" allowBlank="1" type="list">
      <formula1>"Above 70%,Between 50% to 70%,Less than 50%,Less than 50% and Borrowings are increasing,Negative"</formula1>
    </dataValidation>
    <dataValidation sqref="BX2:BX368" showDropDown="0" showInputMessage="0" showErrorMessage="0" allowBlank="1" type="list">
      <formula1>"More than 1.2,Between 0.7 to 1.2,Less than 0.7"</formula1>
    </dataValidation>
    <dataValidation sqref="BZ2:BZ368" showDropDown="0" showInputMessage="0" showErrorMessage="0" allowBlank="1" type="list">
      <formula1>"Yes,No"</formula1>
    </dataValidation>
    <dataValidation sqref="CB2:CB368" showDropDown="0" showInputMessage="0" showErrorMessage="0" allowBlank="1" type="list">
      <formula1>"More than 15%,Less than 15%"</formula1>
    </dataValidation>
    <dataValidation sqref="CD2:CD36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IF(B2=0,"",RANK(B2,$B$2:$B$39,0))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13283.31</v>
      </c>
      <c r="I2" s="32" t="n">
        <v>870.5</v>
      </c>
      <c r="J2" s="32" t="n">
        <v>3.77</v>
      </c>
      <c r="K2" s="32" t="n">
        <v>64133</v>
      </c>
      <c r="L2" s="31" t="n">
        <v>78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70.09</v>
      </c>
      <c r="P2" s="32" t="n">
        <v>38.68</v>
      </c>
      <c r="Q2" s="32" t="n">
        <v>707.8200000000001</v>
      </c>
      <c r="R2" s="31" t="inlineStr">
        <is>
          <t>Near 52W High Breakout</t>
        </is>
      </c>
      <c r="S2" s="31" t="inlineStr">
        <is>
          <t>Nifty Bank</t>
        </is>
      </c>
      <c r="T2" s="32" t="n">
        <v>4.25</v>
      </c>
      <c r="U2" s="32" t="n">
        <v>106.98</v>
      </c>
      <c r="V2" s="32" t="n">
        <v>98.53</v>
      </c>
      <c r="W2" s="32" t="n">
        <v>22.63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IF(B3=0,"",RANK(B3,$B$2:$B$39,0))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12255.68</v>
      </c>
      <c r="I3" s="32" t="n">
        <v>334.05</v>
      </c>
      <c r="J3" s="32" t="n">
        <v>3.09</v>
      </c>
      <c r="K3" s="32" t="n">
        <v>1483343</v>
      </c>
      <c r="L3" s="31" t="n">
        <v>73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79.31</v>
      </c>
      <c r="P3" s="32" t="n">
        <v>47.02</v>
      </c>
      <c r="Q3" s="32" t="n">
        <v>277.2</v>
      </c>
      <c r="R3" s="31" t="inlineStr">
        <is>
          <t>Near 52W High Breakout</t>
        </is>
      </c>
      <c r="S3" s="31" t="inlineStr">
        <is>
          <t>Nifty Bank</t>
        </is>
      </c>
      <c r="T3" s="32" t="n">
        <v>4.25</v>
      </c>
      <c r="U3" s="32" t="n">
        <v>99.77</v>
      </c>
      <c r="V3" s="32" t="n">
        <v>91.62</v>
      </c>
      <c r="W3" s="32" t="n">
        <v>20.75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IF(B4=0,"",RANK(B4,$B$2:$B$39,0))</f>
        <v/>
      </c>
      <c r="B4" s="32">
        <f>SUM(N4,Y4,AA4,AC4,AE4,AG4,AI4,AK4,AM4,AO4,AQ4,AS4,AU4,AW4,AY4,BA4,BC4,BE4,BG4,BI4,BK4,BM4,BO4,BQ4,BS4,BU4,BW4,BY4,CA4)</f>
        <v/>
      </c>
      <c r="C4" s="31" t="inlineStr">
        <is>
          <t>RBLBANK</t>
        </is>
      </c>
      <c r="D4" s="31" t="inlineStr">
        <is>
          <t>Rbl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59077.49</v>
      </c>
      <c r="I4" s="32" t="n">
        <v>392.3</v>
      </c>
      <c r="J4" s="32" t="n">
        <v>2.83</v>
      </c>
      <c r="K4" s="32" t="n">
        <v>813457</v>
      </c>
      <c r="L4" s="31" t="n">
        <v>56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65.39</v>
      </c>
      <c r="P4" s="32" t="n">
        <v>36.64</v>
      </c>
      <c r="Q4" s="32" t="n">
        <v>332.9</v>
      </c>
      <c r="R4" s="31" t="inlineStr">
        <is>
          <t>Near 52W High Breakout</t>
        </is>
      </c>
      <c r="S4" s="31" t="inlineStr">
        <is>
          <t>Nifty Bank</t>
        </is>
      </c>
      <c r="T4" s="32" t="n">
        <v>4.25</v>
      </c>
      <c r="U4" s="32" t="n">
        <v>55.93</v>
      </c>
      <c r="V4" s="32" t="n">
        <v>49.57</v>
      </c>
      <c r="W4" s="32" t="n">
        <v>13.21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IF(B5=0,"",RANK(B5,$B$2:$B$39,0))</f>
        <v/>
      </c>
      <c r="B5" s="32">
        <f>SUM(N5,Y5,AA5,AC5,AE5,AG5,AI5,AK5,AM5,AO5,AQ5,AS5,AU5,AW5,AY5,BA5,BC5,BE5,BG5,BI5,BK5,BM5,BO5,BQ5,BS5,BU5,BW5,BY5,CA5)</f>
        <v/>
      </c>
      <c r="C5" s="31" t="inlineStr">
        <is>
          <t>IIFL</t>
        </is>
      </c>
      <c r="D5" s="31" t="inlineStr">
        <is>
          <t>IIFL Finance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largecap</t>
        </is>
      </c>
      <c r="H5" s="32" t="n">
        <v>26831.63</v>
      </c>
      <c r="I5" s="32" t="n">
        <v>637.45</v>
      </c>
      <c r="J5" s="32" t="n">
        <v>1.05</v>
      </c>
      <c r="K5" s="32" t="n">
        <v>454353</v>
      </c>
      <c r="L5" s="31" t="n">
        <v>64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71.87</v>
      </c>
      <c r="P5" s="32" t="n">
        <v>22.06</v>
      </c>
      <c r="Q5" s="32" t="n">
        <v>514.3</v>
      </c>
      <c r="R5" s="31" t="inlineStr">
        <is>
          <t>Near 52W High Breakout</t>
        </is>
      </c>
      <c r="S5" s="31" t="inlineStr">
        <is>
          <t>Nifty Bank</t>
        </is>
      </c>
      <c r="T5" s="32" t="n">
        <v>4.25</v>
      </c>
      <c r="U5" s="32" t="n">
        <v>42.19</v>
      </c>
      <c r="V5" s="32" t="n">
        <v>36.39</v>
      </c>
      <c r="W5" s="32" t="n">
        <v>16.15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IF(B6=0,"",RANK(B6,$B$2:$B$39,0))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TFCILTD</t>
        </is>
      </c>
      <c r="D6" s="31" t="inlineStr">
        <is>
          <t>Tourism Finance Corporation Of India Limited</t>
        </is>
      </c>
      <c r="E6" s="31" t="inlineStr">
        <is>
          <t>financials</t>
        </is>
      </c>
      <c r="F6" s="31" t="inlineStr">
        <is>
          <t>finance - term-lending institutions</t>
        </is>
      </c>
      <c r="G6" s="31" t="inlineStr">
        <is>
          <t>midcap</t>
        </is>
      </c>
      <c r="H6" s="32" t="n">
        <v>6083.98</v>
      </c>
      <c r="I6" s="32" t="n">
        <v>132.48</v>
      </c>
      <c r="J6" s="32" t="n">
        <v>0.8100000000000001</v>
      </c>
      <c r="K6" s="32" t="n">
        <v>7764319</v>
      </c>
      <c r="L6" s="31" t="n">
        <v>93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83.90000000000001</v>
      </c>
      <c r="P6" s="32" t="n">
        <v>54.48</v>
      </c>
      <c r="Q6" s="32" t="n">
        <v>105.63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4.25</v>
      </c>
      <c r="U6" s="32" t="n">
        <v>115.91</v>
      </c>
      <c r="V6" s="32" t="n">
        <v>107.1</v>
      </c>
      <c r="W6" s="32" t="n">
        <v>36.21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IF(B7=0,"",RANK(B7,$B$2:$B$39,0))</f>
        <v/>
      </c>
      <c r="B7" s="32">
        <f>SUM(N7,Y7,AA7,AC7,AE7,AG7,AI7,AK7,AM7,AO7,AQ7,AS7,AU7,AW7,AY7,BA7,BC7,BE7,BG7,BI7,BK7,BM7,BO7,BQ7,BS7,BU7,BW7,BY7,CA7)</f>
        <v/>
      </c>
      <c r="C7" s="31" t="inlineStr">
        <is>
          <t>UJJIVANSFB</t>
        </is>
      </c>
      <c r="D7" s="31" t="inlineStr">
        <is>
          <t>Ujjivan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13966.94</v>
      </c>
      <c r="I7" s="32" t="n">
        <v>71.93000000000001</v>
      </c>
      <c r="J7" s="32" t="n">
        <v>0.18</v>
      </c>
      <c r="K7" s="32" t="n">
        <v>10124577</v>
      </c>
      <c r="L7" s="31" t="n">
        <v>71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67.11</v>
      </c>
      <c r="P7" s="32" t="n">
        <v>38.34</v>
      </c>
      <c r="Q7" s="32" t="n">
        <v>58.19</v>
      </c>
      <c r="R7" s="31" t="inlineStr">
        <is>
          <t>Near 52W High Breakout</t>
        </is>
      </c>
      <c r="S7" s="31" t="inlineStr">
        <is>
          <t>Nifty Bank</t>
        </is>
      </c>
      <c r="T7" s="32" t="n">
        <v>4.25</v>
      </c>
      <c r="U7" s="32" t="n">
        <v>64.56</v>
      </c>
      <c r="V7" s="32" t="n">
        <v>57.85</v>
      </c>
      <c r="W7" s="32" t="n">
        <v>19.48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IF(B8=0,"",RANK(B8,$B$2:$B$39,0))</f>
        <v/>
      </c>
      <c r="B8" s="32">
        <f>SUM(N8,Y8,AA8,AC8,AE8,AG8,AI8,AK8,AM8,AO8,AQ8,AS8,AU8,AW8,AY8,BA8,BC8,BE8,BG8,BI8,BK8,BM8,BO8,BQ8,BS8,BU8,BW8,BY8,CA8)</f>
        <v/>
      </c>
      <c r="C8" s="31" t="inlineStr">
        <is>
          <t>ESAFSFB</t>
        </is>
      </c>
      <c r="D8" s="31" t="inlineStr">
        <is>
          <t>ESAF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2162.87</v>
      </c>
      <c r="I8" s="32" t="n">
        <v>43.28</v>
      </c>
      <c r="J8" s="32" t="n">
        <v>3.24</v>
      </c>
      <c r="K8" s="32" t="n">
        <v>442202</v>
      </c>
      <c r="L8" s="31" t="n">
        <v>73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69.64</v>
      </c>
      <c r="P8" s="32" t="n">
        <v>33.73</v>
      </c>
      <c r="Q8" s="32" t="n">
        <v>32.05</v>
      </c>
      <c r="R8" s="31" t="inlineStr">
        <is>
          <t>Near 52W High Breakout</t>
        </is>
      </c>
      <c r="S8" s="31" t="inlineStr">
        <is>
          <t>Nifty Bank</t>
        </is>
      </c>
      <c r="T8" s="32" t="n">
        <v>4.25</v>
      </c>
      <c r="U8" s="32" t="n">
        <v>46.83</v>
      </c>
      <c r="V8" s="32" t="n">
        <v>40.84</v>
      </c>
      <c r="W8" s="32" t="n">
        <v>20.72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IF(B9=0,"",RANK(B9,$B$2:$B$39,0))</f>
        <v/>
      </c>
      <c r="B9" s="32">
        <f>SUM(N9,Y9,AA9,AC9,AE9,AG9,AI9,AK9,AM9,AO9,AQ9,AS9,AU9,AW9,AY9,BA9,BC9,BE9,BG9,BI9,BK9,BM9,BO9,BQ9,BS9,BU9,BW9,BY9,CA9)</f>
        <v/>
      </c>
      <c r="C9" s="31" t="inlineStr">
        <is>
          <t>GEECEE</t>
        </is>
      </c>
      <c r="D9" s="31" t="inlineStr">
        <is>
          <t>Geecee Ventures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775.51</v>
      </c>
      <c r="I9" s="32" t="n">
        <v>369</v>
      </c>
      <c r="J9" s="32" t="n">
        <v>-0.5</v>
      </c>
      <c r="K9" s="32" t="n">
        <v>862</v>
      </c>
      <c r="L9" s="31" t="n">
        <v>17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61.73</v>
      </c>
      <c r="P9" s="32" t="n">
        <v>35.48</v>
      </c>
      <c r="Q9" s="32" t="n">
        <v>286.42</v>
      </c>
      <c r="R9" s="31" t="inlineStr">
        <is>
          <t>Near 52W High Breakout</t>
        </is>
      </c>
      <c r="S9" s="31" t="inlineStr">
        <is>
          <t>Nifty Bank</t>
        </is>
      </c>
      <c r="T9" s="32" t="n">
        <v>4.25</v>
      </c>
      <c r="U9" s="32" t="n">
        <v>5.4</v>
      </c>
      <c r="V9" s="32" t="n">
        <v>1.1</v>
      </c>
      <c r="W9" s="32" t="n">
        <v>4.15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IF(B10=0,"",RANK(B10,$B$2:$B$39,0))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IFCI</t>
        </is>
      </c>
      <c r="D10" s="31" t="inlineStr">
        <is>
          <t>Ifci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largecap</t>
        </is>
      </c>
      <c r="H10" s="32" t="n">
        <v>22007.16</v>
      </c>
      <c r="I10" s="32" t="n">
        <v>81.05</v>
      </c>
      <c r="J10" s="32" t="n">
        <v>-0.77</v>
      </c>
      <c r="K10" s="32" t="n">
        <v>8901609</v>
      </c>
      <c r="L10" s="31" t="n">
        <v>65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62.49</v>
      </c>
      <c r="P10" s="32" t="n">
        <v>43.45</v>
      </c>
      <c r="Q10" s="32" t="n">
        <v>63.65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4.25</v>
      </c>
      <c r="U10" s="32" t="n">
        <v>51.3</v>
      </c>
      <c r="V10" s="32" t="n">
        <v>45.12</v>
      </c>
      <c r="W10" s="32" t="n">
        <v>16.37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IF(B11=0,"",RANK(B11,$B$2:$B$39,0))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JSFB</t>
        </is>
      </c>
      <c r="D11" s="31" t="inlineStr">
        <is>
          <t>Jana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6016.55</v>
      </c>
      <c r="I11" s="32" t="n">
        <v>562.35</v>
      </c>
      <c r="J11" s="32" t="n">
        <v>-1.54</v>
      </c>
      <c r="K11" s="32" t="n">
        <v>114463</v>
      </c>
      <c r="L11" s="31" t="n">
        <v>36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66.41</v>
      </c>
      <c r="P11" s="32" t="n">
        <v>37.43</v>
      </c>
      <c r="Q11" s="32" t="n">
        <v>444.4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4.25</v>
      </c>
      <c r="U11" s="32" t="n">
        <v>13.41</v>
      </c>
      <c r="V11" s="32" t="n">
        <v>8.779999999999999</v>
      </c>
      <c r="W11" s="32" t="n">
        <v>8.66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IF(B12=0,"",RANK(B12,$B$2:$B$39,0))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MUFIN</t>
        </is>
      </c>
      <c r="D12" s="31" t="inlineStr">
        <is>
          <t>Mufin Green Finance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2677.37</v>
      </c>
      <c r="I12" s="32" t="n">
        <v>139</v>
      </c>
      <c r="J12" s="32" t="n">
        <v>2.88</v>
      </c>
      <c r="K12" s="32" t="n">
        <v>466929</v>
      </c>
      <c r="L12" s="31" t="n">
        <v>55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65.86</v>
      </c>
      <c r="P12" s="32" t="n">
        <v>36.24</v>
      </c>
      <c r="Q12" s="32" t="n">
        <v>114.56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4.25</v>
      </c>
      <c r="U12" s="32" t="n">
        <v>58.68</v>
      </c>
      <c r="V12" s="32" t="n">
        <v>52.2</v>
      </c>
      <c r="W12" s="32" t="n">
        <v>13.1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IF(B13=0,"",RANK(B13,$B$2:$B$39,0))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AUBANK</t>
        </is>
      </c>
      <c r="D13" s="31" t="inlineStr">
        <is>
          <t>AU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80514.49000000001</v>
      </c>
      <c r="I13" s="32" t="n">
        <v>1086.5</v>
      </c>
      <c r="J13" s="32" t="n">
        <v>1.07</v>
      </c>
      <c r="K13" s="32" t="n">
        <v>717678</v>
      </c>
      <c r="L13" s="31" t="n">
        <v>45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61.81</v>
      </c>
      <c r="P13" s="32" t="n">
        <v>23.75</v>
      </c>
      <c r="Q13" s="32" t="n">
        <v>911.72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4.25</v>
      </c>
      <c r="U13" s="32" t="n">
        <v>46.76</v>
      </c>
      <c r="V13" s="32" t="n">
        <v>40.77</v>
      </c>
      <c r="W13" s="32" t="n">
        <v>10.71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IF(B14=0,"",RANK(B14,$B$2:$B$39,0))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IDFCFIRSTB</t>
        </is>
      </c>
      <c r="D14" s="31" t="inlineStr">
        <is>
          <t>IDFC First Bank Ltd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73647.38</v>
      </c>
      <c r="I14" s="32" t="n">
        <v>85.93000000000001</v>
      </c>
      <c r="J14" s="32" t="n">
        <v>0.51</v>
      </c>
      <c r="K14" s="32" t="n">
        <v>4396673</v>
      </c>
      <c r="L14" s="31" t="n">
        <v>44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68.45999999999999</v>
      </c>
      <c r="P14" s="32" t="n">
        <v>24.1</v>
      </c>
      <c r="Q14" s="32" t="n">
        <v>73.88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4.25</v>
      </c>
      <c r="U14" s="32" t="n">
        <v>23.55</v>
      </c>
      <c r="V14" s="32" t="n">
        <v>18.51</v>
      </c>
      <c r="W14" s="32" t="n">
        <v>10.3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IF(B15=0,"",RANK(B15,$B$2:$B$39,0))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PNBHOUSING</t>
        </is>
      </c>
      <c r="D15" s="31" t="inlineStr">
        <is>
          <t>Pnb Housing Finance Limited</t>
        </is>
      </c>
      <c r="E15" s="31" t="inlineStr">
        <is>
          <t>financials</t>
        </is>
      </c>
      <c r="F15" s="31" t="inlineStr">
        <is>
          <t>finance - housing</t>
        </is>
      </c>
      <c r="G15" s="31" t="inlineStr">
        <is>
          <t>largecap</t>
        </is>
      </c>
      <c r="H15" s="32" t="n">
        <v>30593.26</v>
      </c>
      <c r="I15" s="32" t="n">
        <v>1176</v>
      </c>
      <c r="J15" s="32" t="n">
        <v>0.17</v>
      </c>
      <c r="K15" s="32" t="n">
        <v>705438</v>
      </c>
      <c r="L15" s="31" t="n">
        <v>46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68.54000000000001</v>
      </c>
      <c r="P15" s="32" t="n">
        <v>33.68</v>
      </c>
      <c r="Q15" s="32" t="n">
        <v>969.59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4.25</v>
      </c>
      <c r="U15" s="32" t="n">
        <v>48.13</v>
      </c>
      <c r="V15" s="32" t="n">
        <v>42.09</v>
      </c>
      <c r="W15" s="32" t="n">
        <v>11.01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IF(B16=0,"",RANK(B16,$B$2:$B$39,0))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STEL</t>
        </is>
      </c>
      <c r="D16" s="31" t="inlineStr">
        <is>
          <t>Stel Holdings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1072.26</v>
      </c>
      <c r="I16" s="32" t="n">
        <v>581.5</v>
      </c>
      <c r="J16" s="32" t="n">
        <v>0.09</v>
      </c>
      <c r="K16" s="32" t="n">
        <v>1463</v>
      </c>
      <c r="L16" s="31" t="n">
        <v>56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62.89</v>
      </c>
      <c r="P16" s="32" t="n">
        <v>20.38</v>
      </c>
      <c r="Q16" s="32" t="n">
        <v>450.02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4.25</v>
      </c>
      <c r="U16" s="32" t="n">
        <v>34.95</v>
      </c>
      <c r="V16" s="32" t="n">
        <v>29.45</v>
      </c>
      <c r="W16" s="32" t="n">
        <v>13.39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IF(B17=0,"",RANK(B17,$B$2:$B$39,0))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ANANDRATHI</t>
        </is>
      </c>
      <c r="D17" s="31" t="inlineStr">
        <is>
          <t>Anand Rathi Wealth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36349.75</v>
      </c>
      <c r="I17" s="32" t="n">
        <v>2169.6</v>
      </c>
      <c r="J17" s="32" t="n">
        <v>-0.9</v>
      </c>
      <c r="K17" s="32" t="n">
        <v>39993</v>
      </c>
      <c r="L17" s="31" t="n">
        <v>57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74.61</v>
      </c>
      <c r="P17" s="32" t="n">
        <v>53.39</v>
      </c>
      <c r="Q17" s="32" t="n">
        <v>1871.58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4.25</v>
      </c>
      <c r="U17" s="32" t="n">
        <v>55.34</v>
      </c>
      <c r="V17" s="32" t="n">
        <v>49</v>
      </c>
      <c r="W17" s="32" t="n">
        <v>13.85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Above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IF(B18=0,"",RANK(B18,$B$2:$B$39,0))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OFSS</t>
        </is>
      </c>
      <c r="D18" s="31" t="inlineStr">
        <is>
          <t>Oracle Financial Services Software Limited</t>
        </is>
      </c>
      <c r="E18" s="31" t="inlineStr">
        <is>
          <t>i.t</t>
        </is>
      </c>
      <c r="F18" s="31" t="inlineStr">
        <is>
          <t>computers - software - large</t>
        </is>
      </c>
      <c r="G18" s="31" t="inlineStr">
        <is>
          <t>largecap</t>
        </is>
      </c>
      <c r="H18" s="32" t="n">
        <v>102518.74</v>
      </c>
      <c r="I18" s="32" t="n">
        <v>11826</v>
      </c>
      <c r="J18" s="32" t="n">
        <v>0.44</v>
      </c>
      <c r="K18" s="32" t="n">
        <v>62254</v>
      </c>
      <c r="L18" s="31" t="n">
        <v>60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69.18000000000001</v>
      </c>
      <c r="P18" s="32" t="n">
        <v>30.56</v>
      </c>
      <c r="Q18" s="32" t="n">
        <v>9485.57</v>
      </c>
      <c r="R18" s="31" t="inlineStr">
        <is>
          <t>Near 52W High Breakout</t>
        </is>
      </c>
      <c r="S18" s="31" t="inlineStr">
        <is>
          <t>Nifty IT</t>
        </is>
      </c>
      <c r="T18" s="32" t="n">
        <v>-13.45</v>
      </c>
      <c r="U18" s="32" t="n">
        <v>43.24</v>
      </c>
      <c r="V18" s="32" t="n">
        <v>65.51000000000001</v>
      </c>
      <c r="W18" s="32" t="n">
        <v>14.66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IF(B19=0,"",RANK(B19,$B$2:$B$39,0))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SHRIRAMFIN</t>
        </is>
      </c>
      <c r="D19" s="31" t="inlineStr">
        <is>
          <t>Shriram Finance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260232.41</v>
      </c>
      <c r="I19" s="32" t="n">
        <v>1128.2</v>
      </c>
      <c r="J19" s="32" t="n">
        <v>2.01</v>
      </c>
      <c r="K19" s="32" t="n">
        <v>4416996</v>
      </c>
      <c r="L19" s="31" t="n">
        <v>69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65.56999999999999</v>
      </c>
      <c r="P19" s="32" t="n">
        <v>17.84</v>
      </c>
      <c r="Q19" s="32" t="n">
        <v>926.28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4.25</v>
      </c>
      <c r="U19" s="32" t="n">
        <v>85.34999999999999</v>
      </c>
      <c r="V19" s="32" t="n">
        <v>77.79000000000001</v>
      </c>
      <c r="W19" s="32" t="n">
        <v>18.63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IF(B20=0,"",RANK(B20,$B$2:$B$39,0))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NAM-INDIA</t>
        </is>
      </c>
      <c r="D20" s="31" t="inlineStr">
        <is>
          <t>Nippon Life India Asset Management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77802.31</v>
      </c>
      <c r="I20" s="32" t="n">
        <v>1235.8</v>
      </c>
      <c r="J20" s="32" t="n">
        <v>1.54</v>
      </c>
      <c r="K20" s="32" t="n">
        <v>1107038</v>
      </c>
      <c r="L20" s="31" t="n">
        <v>47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66.28</v>
      </c>
      <c r="P20" s="32" t="n">
        <v>39.96</v>
      </c>
      <c r="Q20" s="32" t="n">
        <v>992.5599999999999</v>
      </c>
      <c r="R20" s="31" t="inlineStr">
        <is>
          <t>Volume Spike &amp; Near 52W High Breakout</t>
        </is>
      </c>
      <c r="S20" s="31" t="inlineStr">
        <is>
          <t>Nifty Bank</t>
        </is>
      </c>
      <c r="T20" s="32" t="n">
        <v>4.25</v>
      </c>
      <c r="U20" s="32" t="n">
        <v>45.55</v>
      </c>
      <c r="V20" s="32" t="n">
        <v>39.61</v>
      </c>
      <c r="W20" s="32" t="n">
        <v>11.02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IF(B21=0,"",RANK(B21,$B$2:$B$39,0))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BAJFINANCE</t>
        </is>
      </c>
      <c r="D21" s="31" t="inlineStr">
        <is>
          <t>Bajaj Finance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672527.58</v>
      </c>
      <c r="I21" s="32" t="n">
        <v>1095</v>
      </c>
      <c r="J21" s="32" t="n">
        <v>1.37</v>
      </c>
      <c r="K21" s="32" t="n">
        <v>2040411</v>
      </c>
      <c r="L21" s="31" t="n">
        <v>37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61.45</v>
      </c>
      <c r="P21" s="32" t="n">
        <v>23.71</v>
      </c>
      <c r="Q21" s="32" t="n">
        <v>952.12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4.25</v>
      </c>
      <c r="U21" s="32" t="n">
        <v>23.17</v>
      </c>
      <c r="V21" s="32" t="n">
        <v>18.14</v>
      </c>
      <c r="W21" s="32" t="n">
        <v>8.85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IF(B22=0,"",RANK(B22,$B$2:$B$39,0))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PRUDENT</t>
        </is>
      </c>
      <c r="D22" s="31" t="inlineStr">
        <is>
          <t>Prudent Corporate Advisory Services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14051.77</v>
      </c>
      <c r="I22" s="32" t="n">
        <v>3377.2</v>
      </c>
      <c r="J22" s="32" t="n">
        <v>-0.48</v>
      </c>
      <c r="K22" s="32" t="n">
        <v>3483</v>
      </c>
      <c r="L22" s="31" t="n">
        <v>39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67.8</v>
      </c>
      <c r="P22" s="32" t="n">
        <v>29.79</v>
      </c>
      <c r="Q22" s="32" t="n">
        <v>2730.27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4.25</v>
      </c>
      <c r="U22" s="32" t="n">
        <v>16.45</v>
      </c>
      <c r="V22" s="32" t="n">
        <v>11.69</v>
      </c>
      <c r="W22" s="32" t="n">
        <v>9.449999999999999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IF(B23=0,"",RANK(B23,$B$2:$B$39,0))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EDELWEISS</t>
        </is>
      </c>
      <c r="D23" s="31" t="inlineStr">
        <is>
          <t>Edelweiss Financial Services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11573.24</v>
      </c>
      <c r="I23" s="32" t="n">
        <v>126.45</v>
      </c>
      <c r="J23" s="32" t="n">
        <v>3.42</v>
      </c>
      <c r="K23" s="32" t="n">
        <v>3871363</v>
      </c>
      <c r="L23" s="31" t="n">
        <v>42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59.32</v>
      </c>
      <c r="P23" s="32" t="n">
        <v>10.7</v>
      </c>
      <c r="Q23" s="32" t="n">
        <v>96.19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4.25</v>
      </c>
      <c r="U23" s="32" t="n">
        <v>36.69</v>
      </c>
      <c r="V23" s="32" t="n">
        <v>31.11</v>
      </c>
      <c r="W23" s="32" t="n">
        <v>9.98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IF(B24=0,"",RANK(B24,$B$2:$B$39,0))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MONARCH</t>
        </is>
      </c>
      <c r="D24" s="31" t="inlineStr">
        <is>
          <t>Monarch Networth Capital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3054.56</v>
      </c>
      <c r="I24" s="32" t="n">
        <v>391.65</v>
      </c>
      <c r="J24" s="32" t="n">
        <v>1.69</v>
      </c>
      <c r="K24" s="32" t="n">
        <v>44071</v>
      </c>
      <c r="L24" s="31" t="n">
        <v>35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72.42</v>
      </c>
      <c r="P24" s="32" t="n">
        <v>33.79</v>
      </c>
      <c r="Q24" s="32" t="n">
        <v>317.6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4.25</v>
      </c>
      <c r="U24" s="32" t="n">
        <v>17.53</v>
      </c>
      <c r="V24" s="32" t="n">
        <v>12.74</v>
      </c>
      <c r="W24" s="32" t="n">
        <v>8.369999999999999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IF(B25=0,"",RANK(B25,$B$2:$B$39,0))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SMCGLOBAL</t>
        </is>
      </c>
      <c r="D25" s="31" t="inlineStr">
        <is>
          <t>SMC Global Securities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smallcap</t>
        </is>
      </c>
      <c r="H25" s="32" t="n">
        <v>1703.05</v>
      </c>
      <c r="I25" s="32" t="n">
        <v>81.3</v>
      </c>
      <c r="J25" s="32" t="n">
        <v>-0.04</v>
      </c>
      <c r="K25" s="32" t="n">
        <v>105558</v>
      </c>
      <c r="L25" s="31" t="n">
        <v>54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59.55</v>
      </c>
      <c r="P25" s="32" t="n">
        <v>19.44</v>
      </c>
      <c r="Q25" s="32" t="n">
        <v>62.78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4.25</v>
      </c>
      <c r="U25" s="32" t="n">
        <v>21.51</v>
      </c>
      <c r="V25" s="32" t="n">
        <v>16.55</v>
      </c>
      <c r="W25" s="32" t="n">
        <v>13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IF(B26=0,"",RANK(B26,$B$2:$B$39,0))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SGFIN</t>
        </is>
      </c>
      <c r="D26" s="31" t="inlineStr">
        <is>
          <t>SG Finserve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4564.88</v>
      </c>
      <c r="I26" s="32" t="n">
        <v>684.65</v>
      </c>
      <c r="J26" s="32" t="n">
        <v>-1.17</v>
      </c>
      <c r="K26" s="32" t="n">
        <v>70360</v>
      </c>
      <c r="L26" s="31" t="n">
        <v>65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65.06</v>
      </c>
      <c r="P26" s="32" t="n">
        <v>52.85</v>
      </c>
      <c r="Q26" s="32" t="n">
        <v>517.66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4.25</v>
      </c>
      <c r="U26" s="32" t="n">
        <v>79.16</v>
      </c>
      <c r="V26" s="32" t="n">
        <v>71.84999999999999</v>
      </c>
      <c r="W26" s="32" t="n">
        <v>16.77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Above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IF(B27=0,"",RANK(B27,$B$2:$B$39,0))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GEOJITFSL</t>
        </is>
      </c>
      <c r="D27" s="31" t="inlineStr">
        <is>
          <t>Geojit Financial Services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2233.26</v>
      </c>
      <c r="I27" s="32" t="n">
        <v>80.65000000000001</v>
      </c>
      <c r="J27" s="32" t="n">
        <v>0.8</v>
      </c>
      <c r="K27" s="32" t="n">
        <v>76714</v>
      </c>
      <c r="L27" s="31" t="n">
        <v>22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62.91</v>
      </c>
      <c r="P27" s="32" t="n">
        <v>13.25</v>
      </c>
      <c r="Q27" s="32" t="n">
        <v>64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4.25</v>
      </c>
      <c r="U27" s="32" t="n">
        <v>12.1</v>
      </c>
      <c r="V27" s="32" t="n">
        <v>7.53</v>
      </c>
      <c r="W27" s="32" t="n">
        <v>5.07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IF(B28=0,"",RANK(B28,$B$2:$B$39,0))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INDIANB</t>
        </is>
      </c>
      <c r="D28" s="31" t="inlineStr">
        <is>
          <t>Indian Bank Ltd</t>
        </is>
      </c>
      <c r="E28" s="31" t="n">
        <v/>
      </c>
      <c r="F28" s="31" t="n">
        <v/>
      </c>
      <c r="G28" s="31" t="n">
        <v/>
      </c>
      <c r="H28" s="32" t="n">
        <v/>
      </c>
      <c r="I28" s="32" t="n">
        <v>873.7</v>
      </c>
      <c r="J28" s="32" t="n">
        <v>0.06</v>
      </c>
      <c r="K28" s="32" t="n">
        <v>166410</v>
      </c>
      <c r="L28" s="31" t="n">
        <v>33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53.64</v>
      </c>
      <c r="P28" s="32" t="n">
        <v>9.51</v>
      </c>
      <c r="Q28" s="32" t="n">
        <v>732.38</v>
      </c>
      <c r="R28" s="31" t="inlineStr">
        <is>
          <t>Earnings / Momentum Support</t>
        </is>
      </c>
      <c r="S28" s="31" t="inlineStr">
        <is>
          <t>Nifty 50</t>
        </is>
      </c>
      <c r="T28" s="32" t="n">
        <v>-2.57</v>
      </c>
      <c r="U28" s="32" t="n">
        <v>32.72</v>
      </c>
      <c r="V28" s="32" t="n">
        <v>36.22</v>
      </c>
      <c r="W28" s="32" t="n">
        <v>8.17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IF(B29=0,"",RANK(B29,$B$2:$B$39,0))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NIACL</t>
        </is>
      </c>
      <c r="D29" s="33" t="inlineStr">
        <is>
          <t>New India Assurance Company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30600.06</v>
      </c>
      <c r="I29" s="32" t="n">
        <v>183.76</v>
      </c>
      <c r="J29" s="32" t="n">
        <v>-1.03</v>
      </c>
      <c r="K29" s="32" t="n">
        <v>252187</v>
      </c>
      <c r="L29" s="31" t="n">
        <v>13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58.87</v>
      </c>
      <c r="P29" s="32" t="n">
        <v>25.25</v>
      </c>
      <c r="Q29" s="32" t="n">
        <v>155.2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4.25</v>
      </c>
      <c r="U29" s="32" t="n">
        <v>-5.03</v>
      </c>
      <c r="V29" s="32" t="n">
        <v>-8.91</v>
      </c>
      <c r="W29" s="32" t="n">
        <v>1.95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IF(B30=0,"",RANK(B30,$B$2:$B$39,0))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5PAISA</t>
        </is>
      </c>
      <c r="D30" s="31" t="inlineStr">
        <is>
          <t>5Paisa Capital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1901.54</v>
      </c>
      <c r="I30" s="32" t="n">
        <v>391.65</v>
      </c>
      <c r="J30" s="32" t="n">
        <v>-3.44</v>
      </c>
      <c r="K30" s="32" t="n">
        <v>43650</v>
      </c>
      <c r="L30" s="31" t="n">
        <v>27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61.54</v>
      </c>
      <c r="P30" s="32" t="n">
        <v>18.72</v>
      </c>
      <c r="Q30" s="32" t="n">
        <v>289.79</v>
      </c>
      <c r="R30" s="31" t="inlineStr">
        <is>
          <t>Volume Spike &amp; Near 52W High Breakout</t>
        </is>
      </c>
      <c r="S30" s="31" t="inlineStr">
        <is>
          <t>Nifty Bank</t>
        </is>
      </c>
      <c r="T30" s="32" t="n">
        <v>4.25</v>
      </c>
      <c r="U30" s="32" t="n">
        <v>5.93</v>
      </c>
      <c r="V30" s="32" t="n">
        <v>1.61</v>
      </c>
      <c r="W30" s="32" t="n">
        <v>6.32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IF(B31=0,"",RANK(B31,$B$2:$B$39,0))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MCX</t>
        </is>
      </c>
      <c r="D31" s="31" t="inlineStr">
        <is>
          <t>Multi Commodity Exchange Of India Limited</t>
        </is>
      </c>
      <c r="E31" s="31" t="inlineStr">
        <is>
          <t>financials</t>
        </is>
      </c>
      <c r="F31" s="31" t="inlineStr">
        <is>
          <t>miscellaneous</t>
        </is>
      </c>
      <c r="G31" s="31" t="inlineStr">
        <is>
          <t>largecap</t>
        </is>
      </c>
      <c r="H31" s="32" t="n">
        <v>75809.08</v>
      </c>
      <c r="I31" s="32" t="n">
        <v>3120</v>
      </c>
      <c r="J31" s="32" t="n">
        <v>4.94</v>
      </c>
      <c r="K31" s="32" t="n">
        <v>1306529</v>
      </c>
      <c r="L31" s="31" t="n">
        <v>59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65.14</v>
      </c>
      <c r="P31" s="32" t="n">
        <v>23.48</v>
      </c>
      <c r="Q31" s="32" t="n">
        <v>2603.4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4.25</v>
      </c>
      <c r="U31" s="32" t="n">
        <v>96.36</v>
      </c>
      <c r="V31" s="32" t="n">
        <v>88.34</v>
      </c>
      <c r="W31" s="32" t="n">
        <v>14.61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IF(B32=0,"",RANK(B32,$B$2:$B$39,0))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CHOLAFIN</t>
        </is>
      </c>
      <c r="D32" s="31" t="inlineStr">
        <is>
          <t>Cholamandalam Investment And Finance Company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159732.11</v>
      </c>
      <c r="I32" s="32" t="n">
        <v>1885</v>
      </c>
      <c r="J32" s="32" t="n">
        <v>0.61</v>
      </c>
      <c r="K32" s="32" t="n">
        <v>175716</v>
      </c>
      <c r="L32" s="31" t="n">
        <v>39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63.56</v>
      </c>
      <c r="P32" s="32" t="n">
        <v>19.23</v>
      </c>
      <c r="Q32" s="32" t="n">
        <v>1567.02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4.25</v>
      </c>
      <c r="U32" s="32" t="n">
        <v>24.03</v>
      </c>
      <c r="V32" s="32" t="n">
        <v>18.97</v>
      </c>
      <c r="W32" s="32" t="n">
        <v>9.43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IF(B33=0,"",RANK(B33,$B$2:$B$39,0))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POONAWALLA</t>
        </is>
      </c>
      <c r="D33" s="31" t="inlineStr">
        <is>
          <t>Poonawalla Fincorp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43435</v>
      </c>
      <c r="I33" s="32" t="n">
        <v>494.05</v>
      </c>
      <c r="J33" s="32" t="n">
        <v>0.15</v>
      </c>
      <c r="K33" s="32" t="n">
        <v>375933</v>
      </c>
      <c r="L33" s="31" t="n">
        <v>28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62.02</v>
      </c>
      <c r="P33" s="32" t="n">
        <v>16.98</v>
      </c>
      <c r="Q33" s="32" t="n">
        <v>401.82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4.25</v>
      </c>
      <c r="U33" s="32" t="n">
        <v>6.13</v>
      </c>
      <c r="V33" s="32" t="n">
        <v>1.8</v>
      </c>
      <c r="W33" s="32" t="n">
        <v>6.65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IF(B34=0,"",RANK(B34,$B$2:$B$39,0))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MOTILALOFS</t>
        </is>
      </c>
      <c r="D34" s="31" t="inlineStr">
        <is>
          <t>Motilal Oswal Financial Services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56728.24</v>
      </c>
      <c r="I34" s="32" t="n">
        <v>973.4</v>
      </c>
      <c r="J34" s="32" t="n">
        <v>3.32</v>
      </c>
      <c r="K34" s="32" t="n">
        <v>739946</v>
      </c>
      <c r="L34" s="31" t="n">
        <v>21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60.99</v>
      </c>
      <c r="P34" s="32" t="n">
        <v>15.81</v>
      </c>
      <c r="Q34" s="32" t="n">
        <v>787.52</v>
      </c>
      <c r="R34" s="31" t="inlineStr">
        <is>
          <t>Volume Spike / Accumulation</t>
        </is>
      </c>
      <c r="S34" s="31" t="inlineStr">
        <is>
          <t>Nifty Bank</t>
        </is>
      </c>
      <c r="T34" s="32" t="n">
        <v>4.25</v>
      </c>
      <c r="U34" s="32" t="n">
        <v>5.6</v>
      </c>
      <c r="V34" s="32" t="n">
        <v>1.29</v>
      </c>
      <c r="W34" s="32" t="n">
        <v>4.68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IF(B35=0,"",RANK(B35,$B$2:$B$39,0))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360ONE</t>
        </is>
      </c>
      <c r="D35" s="31" t="inlineStr">
        <is>
          <t>360 ONE WAM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48009.17</v>
      </c>
      <c r="I35" s="32" t="n">
        <v>1203</v>
      </c>
      <c r="J35" s="32" t="n">
        <v>1.91</v>
      </c>
      <c r="K35" s="32" t="n">
        <v>404379</v>
      </c>
      <c r="L35" s="31" t="n">
        <v>17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61.06</v>
      </c>
      <c r="P35" s="32" t="n">
        <v>15.5</v>
      </c>
      <c r="Q35" s="32" t="n">
        <v>987.28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4.25</v>
      </c>
      <c r="U35" s="32" t="n">
        <v>12.86</v>
      </c>
      <c r="V35" s="32" t="n">
        <v>8.25</v>
      </c>
      <c r="W35" s="32" t="n">
        <v>4.16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IF(B36=0,"",RANK(B36,$B$2:$B$39,0))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PNB</t>
        </is>
      </c>
      <c r="D36" s="31" t="inlineStr">
        <is>
          <t>Punjab National Bank Ltd</t>
        </is>
      </c>
      <c r="E36" s="31" t="inlineStr">
        <is>
          <t>bank</t>
        </is>
      </c>
      <c r="F36" s="31" t="inlineStr">
        <is>
          <t>banks - public sector</t>
        </is>
      </c>
      <c r="G36" s="31" t="inlineStr">
        <is>
          <t>largecap</t>
        </is>
      </c>
      <c r="H36" s="32" t="n">
        <v>135019.1</v>
      </c>
      <c r="I36" s="32" t="n">
        <v>117.69</v>
      </c>
      <c r="J36" s="32" t="n">
        <v>0.18</v>
      </c>
      <c r="K36" s="32" t="n">
        <v>3289649</v>
      </c>
      <c r="L36" s="31" t="n">
        <v>30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61.63</v>
      </c>
      <c r="P36" s="32" t="n">
        <v>10.03</v>
      </c>
      <c r="Q36" s="32" t="n">
        <v>101.46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4.25</v>
      </c>
      <c r="U36" s="32" t="n">
        <v>15.33</v>
      </c>
      <c r="V36" s="32" t="n">
        <v>10.62</v>
      </c>
      <c r="W36" s="32" t="n">
        <v>7.58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IF(B37=0,"",RANK(B37,$B$2:$B$39,0))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UNIONBANK</t>
        </is>
      </c>
      <c r="D37" s="31" t="inlineStr">
        <is>
          <t>Union Bank Of India Ltd</t>
        </is>
      </c>
      <c r="E37" s="31" t="inlineStr">
        <is>
          <t>bank</t>
        </is>
      </c>
      <c r="F37" s="31" t="inlineStr">
        <is>
          <t>banks - public sector</t>
        </is>
      </c>
      <c r="G37" s="31" t="inlineStr">
        <is>
          <t>largecap</t>
        </is>
      </c>
      <c r="H37" s="32" t="n">
        <v>142672.09</v>
      </c>
      <c r="I37" s="32" t="n">
        <v>184.68</v>
      </c>
      <c r="J37" s="32" t="n">
        <v>-1.19</v>
      </c>
      <c r="K37" s="32" t="n">
        <v>12846759</v>
      </c>
      <c r="L37" s="31" t="n">
        <v>51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62.64</v>
      </c>
      <c r="P37" s="32" t="n">
        <v>18.67</v>
      </c>
      <c r="Q37" s="32" t="n">
        <v>155.5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4.25</v>
      </c>
      <c r="U37" s="32" t="n">
        <v>41.09</v>
      </c>
      <c r="V37" s="32" t="n">
        <v>35.33</v>
      </c>
      <c r="W37" s="32" t="n">
        <v>12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IF(B38=0,"",RANK(B38,$B$2:$B$39,0))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KOTAKBANK</t>
        </is>
      </c>
      <c r="D38" s="33" t="inlineStr">
        <is>
          <t>Kotak Mahindra Bank Limited</t>
        </is>
      </c>
      <c r="E38" s="31" t="inlineStr">
        <is>
          <t>bank</t>
        </is>
      </c>
      <c r="F38" s="31" t="inlineStr">
        <is>
          <t>banks - private sector</t>
        </is>
      </c>
      <c r="G38" s="31" t="inlineStr">
        <is>
          <t>largecap</t>
        </is>
      </c>
      <c r="H38" s="32" t="n">
        <v>388170.32</v>
      </c>
      <c r="I38" s="32" t="n">
        <v>397.9</v>
      </c>
      <c r="J38" s="32" t="n">
        <v>1.96</v>
      </c>
      <c r="K38" s="32" t="n">
        <v>1835726</v>
      </c>
      <c r="L38" s="31" t="n">
        <v>8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52.33</v>
      </c>
      <c r="P38" s="32" t="n">
        <v>8.26</v>
      </c>
      <c r="Q38" s="32" t="n">
        <v>358.79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4.25</v>
      </c>
      <c r="U38" s="32" t="n">
        <v>0.18</v>
      </c>
      <c r="V38" s="32" t="n">
        <v>-3.91</v>
      </c>
      <c r="W38" s="32" t="n">
        <v>0.88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1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IF(B39=0,"",RANK(B39,$B$2:$B$39,0))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BAJAJFINSV</t>
        </is>
      </c>
      <c r="D39" s="31" t="inlineStr">
        <is>
          <t>Bajaj Finserv Limited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322030.66</v>
      </c>
      <c r="I39" s="32" t="n">
        <v>2014.5</v>
      </c>
      <c r="J39" s="32" t="n">
        <v>0.12</v>
      </c>
      <c r="K39" s="32" t="n">
        <v>139238</v>
      </c>
      <c r="L39" s="31" t="inlineStr"/>
      <c r="M39" s="31" t="inlineStr"/>
      <c r="N39" s="32">
        <f>IF(M39="Underperforming",-5,IF(L39&gt;=95,15,IF(L39&gt;=90,10,IF(L39&gt;=80,5,0))))</f>
        <v/>
      </c>
      <c r="O39" s="32" t="inlineStr"/>
      <c r="P39" s="32" t="inlineStr"/>
      <c r="Q39" s="32" t="inlineStr"/>
      <c r="R39" s="31" t="inlineStr"/>
      <c r="S39" s="31" t="inlineStr"/>
      <c r="T39" s="32" t="inlineStr"/>
      <c r="U39" s="32" t="inlineStr"/>
      <c r="V39" s="32" t="inlineStr"/>
      <c r="W39" s="32" t="inlineStr"/>
      <c r="X39" s="31" t="n"/>
      <c r="Y39" s="31">
        <f>IF(X39="Growing Industry",10,IF(X39="Cyclical in an Upturn",5,0))</f>
        <v/>
      </c>
      <c r="Z39" s="31" t="n"/>
      <c r="AA39" s="31">
        <f>IF(Z39="Fragmented with Low ROE",-5,IF(Z39="Fragmented with High ROE",10,IF(Z39= "highly cyclical",5,0)))</f>
        <v/>
      </c>
      <c r="AB39" s="31" t="n"/>
      <c r="AC39" s="31">
        <f>IF(AB39="No",5,0)</f>
        <v/>
      </c>
      <c r="AD39" s="31" t="n"/>
      <c r="AE39" s="31">
        <f>IF(AD39="Tailwind",10,0)</f>
        <v/>
      </c>
      <c r="AF39" s="31" t="n"/>
      <c r="AG39" s="31">
        <f>IF(AF39="Structural (10 Years Consistency)",15,IF(AF39="Shallow Cyclical (2 to 3 years growth)",10,IF(AF39 = "Cyclical in an Uptick",5,IF(AF39 = "Cyclical in an Downtick",-10,0))))</f>
        <v/>
      </c>
      <c r="AH39" s="31" t="n"/>
      <c r="AI39" s="31">
        <f>IF(AH39="Yes",10,0)</f>
        <v/>
      </c>
      <c r="AJ39" s="31" t="n"/>
      <c r="AK39" s="31">
        <f>IF(AJ39="Yes",10,0)</f>
        <v/>
      </c>
      <c r="AL39" s="31" t="n"/>
      <c r="AM39" s="31">
        <f>IF(AL39="No",10,0)</f>
        <v/>
      </c>
      <c r="AN39" s="31" t="n"/>
      <c r="AO39" s="31">
        <f>IF(AN39="Yes",10,0)</f>
        <v/>
      </c>
      <c r="AP39" s="31" t="n"/>
      <c r="AQ39" s="31">
        <f>IF(AP39="Yes",10,0)</f>
        <v/>
      </c>
      <c r="AR39" s="31" t="n"/>
      <c r="AS39" s="31">
        <f>IF(AR39="Yes",5,0)</f>
        <v/>
      </c>
      <c r="AT39" s="31" t="n"/>
      <c r="AU39" s="31">
        <f>IF(AT39="No",10,IF(AT39="Yes",-10,0))</f>
        <v/>
      </c>
      <c r="AV39" s="31" t="n"/>
      <c r="AW39" s="31">
        <f>IF(AV39="No",10,0)</f>
        <v/>
      </c>
      <c r="AX39" s="31" t="n"/>
      <c r="AY39" s="31">
        <f>IF(AX39="No",10,IF(AX39= "Yes CEO Resignation",-5,0))</f>
        <v/>
      </c>
      <c r="AZ39" s="31" t="n"/>
      <c r="BA39" s="31">
        <f>IF(AZ39="No",10,IF(AZ39="Yes",-5,0))</f>
        <v/>
      </c>
      <c r="BB39" s="31" t="n"/>
      <c r="BC39" s="31">
        <f>IF(BB39="No",5,IF(BB39="Yes",-5,0))</f>
        <v/>
      </c>
      <c r="BD39" s="31" t="n"/>
      <c r="BE39" s="31">
        <f>IF(BD39="Yes",10,0)</f>
        <v/>
      </c>
      <c r="BF39" s="31" t="n"/>
      <c r="BG39" s="31">
        <f>IF(BF39="Yes",10,0)</f>
        <v/>
      </c>
      <c r="BH39" s="31" t="n"/>
      <c r="BI39" s="31">
        <f>IF(BH39="Yes",10,0)</f>
        <v/>
      </c>
      <c r="BJ39" s="31" t="n"/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n"/>
      <c r="BM39" s="31">
        <f>IF(BL39="Above 40",20,IF(BL39="20 to 40",10,IF(BL39="0 to 20",-5,0)))</f>
        <v/>
      </c>
      <c r="BN39" s="31" t="n"/>
      <c r="BO39" s="31">
        <f>IF(BN39="Between 50 to 75",10,IF(BN39="Above 75",0,0))</f>
        <v/>
      </c>
      <c r="BP39" s="31" t="n"/>
      <c r="BQ39" s="31">
        <f>IF(BP39="Stage 2",20,IF(BP39="Stage 1",0,IF(BP39="Stage 3",5,IF(BP39="Stage 4",-5,0))))</f>
        <v/>
      </c>
      <c r="BR39" s="31" t="n"/>
      <c r="BS39" s="31">
        <f>IF(BR39="Positive Trend",20,IF(BR39="Negative Trend",-10,0))</f>
        <v/>
      </c>
      <c r="BT39" s="31" t="n"/>
      <c r="BU39" s="31">
        <f>IF(BT39="Uptrend",10,IF(BT39="Sideways",5,0))</f>
        <v/>
      </c>
      <c r="BV39" s="31" t="n"/>
      <c r="BW39" s="31">
        <f>IF(BV39="Uptrend",10,IF(BV39="Sideways",5,0))</f>
        <v/>
      </c>
      <c r="BX39" s="31" t="n"/>
      <c r="BY39" s="31">
        <f>IF(BX39="Overhead supply in last 2 years in last 2 years",-5,IF(BX39="Close to 52 week high or retracement",5,IF(BX39="Blue sky scenario",10,IF(BX39="Long term Downtrend",-10,0))))</f>
        <v/>
      </c>
      <c r="BZ39" s="31" t="n"/>
      <c r="CA39" s="31">
        <f>IF(BZ39="Yes",10,0)</f>
        <v/>
      </c>
    </row>
  </sheetData>
  <autoFilter ref="A1:CA39"/>
  <conditionalFormatting sqref="B2:B3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9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9">
    <cfRule type="cellIs" priority="34" operator="equal" dxfId="3" stopIfTrue="1">
      <formula>"Underperforming"</formula>
    </cfRule>
  </conditionalFormatting>
  <conditionalFormatting sqref="N2:N39">
    <cfRule type="cellIs" priority="35" operator="equal" dxfId="3" stopIfTrue="1">
      <formula>-5</formula>
    </cfRule>
  </conditionalFormatting>
  <conditionalFormatting sqref="Q2:Q39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9" showDropDown="0" showInputMessage="0" showErrorMessage="0" allowBlank="1" type="list">
      <formula1>"Growing Industry,Stagnant Industry,Cyclical in an Upturn"</formula1>
    </dataValidation>
    <dataValidation sqref="Z2:Z39" showDropDown="0" showInputMessage="0" showErrorMessage="0" allowBlank="1" type="list">
      <formula1>"Fragmented with Low ROE,Fragmented with High ROE,Highly Cyclical"</formula1>
    </dataValidation>
    <dataValidation sqref="AB2:AB39" showDropDown="0" showInputMessage="0" showErrorMessage="0" allowBlank="1" type="list">
      <formula1>"Yes,No"</formula1>
    </dataValidation>
    <dataValidation sqref="AD2:AD39" showDropDown="0" showInputMessage="0" showErrorMessage="0" allowBlank="1" type="list">
      <formula1>"Tailwind,Headwind"</formula1>
    </dataValidation>
    <dataValidation sqref="AF2:AF3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9" showDropDown="0" showInputMessage="0" showErrorMessage="0" allowBlank="1" type="list">
      <formula1>"Yes,No"</formula1>
    </dataValidation>
    <dataValidation sqref="AJ2:AJ39" showDropDown="0" showInputMessage="0" showErrorMessage="0" allowBlank="1" type="list">
      <formula1>"Yes,No,Not Applicable"</formula1>
    </dataValidation>
    <dataValidation sqref="AL2:AL39" showDropDown="0" showInputMessage="0" showErrorMessage="0" allowBlank="1" type="list">
      <formula1>"Yes,No"</formula1>
    </dataValidation>
    <dataValidation sqref="AN2:AN39" showDropDown="0" showInputMessage="0" showErrorMessage="0" allowBlank="1" type="list">
      <formula1>"Yes,No"</formula1>
    </dataValidation>
    <dataValidation sqref="AP2:AP39" showDropDown="0" showInputMessage="0" showErrorMessage="0" allowBlank="1" type="list">
      <formula1>"Yes,No"</formula1>
    </dataValidation>
    <dataValidation sqref="AR2:AR39" showDropDown="0" showInputMessage="0" showErrorMessage="0" allowBlank="1" type="list">
      <formula1>"Yes,No"</formula1>
    </dataValidation>
    <dataValidation sqref="AT2:AT39" showDropDown="0" showInputMessage="0" showErrorMessage="0" allowBlank="1" type="list">
      <formula1>"No,Yes"</formula1>
    </dataValidation>
    <dataValidation sqref="AV2:AV39" showDropDown="0" showInputMessage="0" showErrorMessage="0" allowBlank="1" type="list">
      <formula1>"No,Yes"</formula1>
    </dataValidation>
    <dataValidation sqref="AX2:AX39" showDropDown="0" showInputMessage="0" showErrorMessage="0" allowBlank="1" type="list">
      <formula1>"No,Yes CEO Resignation,Yes CEO Retirement"</formula1>
    </dataValidation>
    <dataValidation sqref="AZ2:AZ39" showDropDown="0" showInputMessage="0" showErrorMessage="0" allowBlank="1" type="list">
      <formula1>"No,Yes"</formula1>
    </dataValidation>
    <dataValidation sqref="BB2:BB39" showDropDown="0" showInputMessage="0" showErrorMessage="0" allowBlank="1" type="list">
      <formula1>"No,Yes"</formula1>
    </dataValidation>
    <dataValidation sqref="BD2:BD39" showDropDown="0" showInputMessage="0" showErrorMessage="0" allowBlank="1" type="list">
      <formula1>"Yes,No"</formula1>
    </dataValidation>
    <dataValidation sqref="BF2:BF39" showDropDown="0" showInputMessage="0" showErrorMessage="0" allowBlank="1" type="list">
      <formula1>"Yes,No"</formula1>
    </dataValidation>
    <dataValidation sqref="BH2:BH39" showDropDown="0" showInputMessage="0" showErrorMessage="0" allowBlank="1" type="list">
      <formula1>"Yes,No"</formula1>
    </dataValidation>
    <dataValidation sqref="BJ2:BJ3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9" showDropDown="0" showInputMessage="0" showErrorMessage="0" allowBlank="1" type="list">
      <formula1>"Above 40,20 to 40,0 to 20"</formula1>
    </dataValidation>
    <dataValidation sqref="BN2:BN39" showDropDown="0" showInputMessage="0" showErrorMessage="0" allowBlank="1" type="list">
      <formula1>"Between 50 to 75,Above 75,Below 45"</formula1>
    </dataValidation>
    <dataValidation sqref="BP2:BP39" showDropDown="0" showInputMessage="0" showErrorMessage="0" allowBlank="1" type="list">
      <formula1>"Stage 1,Stage 2,Stage 3,Stage 4"</formula1>
    </dataValidation>
    <dataValidation sqref="BR2:BR39" showDropDown="0" showInputMessage="0" showErrorMessage="0" allowBlank="1" type="list">
      <formula1>"Positive Trend,Negative Trend"</formula1>
    </dataValidation>
    <dataValidation sqref="BT2:BT39" showDropDown="0" showInputMessage="0" showErrorMessage="0" allowBlank="1" type="list">
      <formula1>"Uptrend,Sideways,Downtrend"</formula1>
    </dataValidation>
    <dataValidation sqref="BV2:BV39" showDropDown="0" showInputMessage="0" showErrorMessage="0" allowBlank="1" type="list">
      <formula1>"Uptrend,Sideways,Downtrend"</formula1>
    </dataValidation>
    <dataValidation sqref="BX2:BX3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177</v>
      </c>
      <c r="H2" s="31" t="inlineStr">
        <is>
          <t>CHEMBONDCH</t>
        </is>
      </c>
      <c r="I2" s="31" t="inlineStr">
        <is>
          <t>Chembond Chemicals Ltd</t>
        </is>
      </c>
      <c r="J2" s="31" t="inlineStr">
        <is>
          <t>chemicals</t>
        </is>
      </c>
      <c r="K2" s="31" t="inlineStr">
        <is>
          <t>chemicals</t>
        </is>
      </c>
      <c r="L2" s="31" t="inlineStr">
        <is>
          <t>smallcap</t>
        </is>
      </c>
      <c r="M2" s="32" t="n">
        <v>725.62</v>
      </c>
      <c r="N2" s="32" t="n">
        <v>283.26</v>
      </c>
      <c r="O2" s="32" t="n">
        <v>5</v>
      </c>
      <c r="P2" s="32" t="n">
        <v>2499</v>
      </c>
      <c r="Q2" s="31" t="n">
        <v>68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71.8</v>
      </c>
      <c r="U2" s="32" t="n">
        <v>46.09</v>
      </c>
      <c r="V2" s="32" t="n">
        <v>200.87</v>
      </c>
      <c r="W2" s="31" t="inlineStr">
        <is>
          <t>Near 52W High Breakout</t>
        </is>
      </c>
      <c r="X2" s="31" t="inlineStr">
        <is>
          <t>Nifty 50</t>
        </is>
      </c>
      <c r="Y2" s="32" t="n">
        <v>-2.57</v>
      </c>
      <c r="Z2" s="32" t="n">
        <v>30.5</v>
      </c>
      <c r="AA2" s="32" t="n">
        <v>33.94</v>
      </c>
      <c r="AB2" s="32" t="n">
        <v>18.03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179</v>
      </c>
      <c r="H3" s="31" t="inlineStr">
        <is>
          <t>MENONBE</t>
        </is>
      </c>
      <c r="I3" s="31" t="inlineStr">
        <is>
          <t>Menon Bearings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1489.94</v>
      </c>
      <c r="N3" s="32" t="n">
        <v>279.16</v>
      </c>
      <c r="O3" s="32" t="n">
        <v>5</v>
      </c>
      <c r="P3" s="32" t="n">
        <v>97651</v>
      </c>
      <c r="Q3" s="31" t="inlineStr"/>
      <c r="R3" s="31" t="inlineStr"/>
      <c r="S3" s="32">
        <f>IF(R3="Underperforming",-5,IF(Q3&gt;=95,15,IF(Q3&gt;=90,10,IF(Q3&gt;=80,5,0))))</f>
        <v/>
      </c>
      <c r="T3" s="32" t="n">
        <v>82.95</v>
      </c>
      <c r="U3" s="32" t="n">
        <v>56.05</v>
      </c>
      <c r="V3" s="32" t="n">
        <v>214.67</v>
      </c>
      <c r="W3" s="31" t="inlineStr">
        <is>
          <t>Near 52W High Breakout</t>
        </is>
      </c>
      <c r="X3" s="31" t="inlineStr">
        <is>
          <t>Nifty Auto</t>
        </is>
      </c>
      <c r="Y3" s="32" t="inlineStr"/>
      <c r="Z3" s="32" t="inlineStr"/>
      <c r="AA3" s="32" t="inlineStr"/>
      <c r="AB3" s="32" t="inlineStr"/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138.9</v>
      </c>
      <c r="E4" s="32" t="inlineStr">
        <is>
          <t>5%</t>
        </is>
      </c>
      <c r="F4" s="32" t="n">
        <v>50000</v>
      </c>
      <c r="G4" s="32" t="n">
        <v>29</v>
      </c>
      <c r="H4" s="31" t="inlineStr">
        <is>
          <t>ADOR</t>
        </is>
      </c>
      <c r="I4" s="31" t="inlineStr">
        <is>
          <t>Ador Welding Ltd</t>
        </is>
      </c>
      <c r="J4" s="31" t="inlineStr">
        <is>
          <t>industrials</t>
        </is>
      </c>
      <c r="K4" s="31" t="inlineStr">
        <is>
          <t>electrodes - welding equipment</t>
        </is>
      </c>
      <c r="L4" s="31" t="inlineStr">
        <is>
          <t>smallcap</t>
        </is>
      </c>
      <c r="M4" s="32" t="n">
        <v>2844.66</v>
      </c>
      <c r="N4" s="32" t="n">
        <v>1684</v>
      </c>
      <c r="O4" s="32" t="n">
        <v>3.02</v>
      </c>
      <c r="P4" s="32" t="n">
        <v>55372</v>
      </c>
      <c r="Q4" s="31" t="n">
        <v>84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85.93000000000001</v>
      </c>
      <c r="U4" s="32" t="n">
        <v>55.59</v>
      </c>
      <c r="V4" s="32" t="n">
        <v>1374.22</v>
      </c>
      <c r="W4" s="31" t="inlineStr">
        <is>
          <t>Near 52W High Breakout</t>
        </is>
      </c>
      <c r="X4" s="31" t="inlineStr">
        <is>
          <t>Nifty 50</t>
        </is>
      </c>
      <c r="Y4" s="32" t="n">
        <v>-2.57</v>
      </c>
      <c r="Z4" s="32" t="n">
        <v>87.09</v>
      </c>
      <c r="AA4" s="32" t="n">
        <v>92.02</v>
      </c>
      <c r="AB4" s="32" t="n">
        <v>27.37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123</v>
      </c>
      <c r="H5" s="31" t="inlineStr">
        <is>
          <t>MODISONLTD</t>
        </is>
      </c>
      <c r="I5" s="31" t="inlineStr">
        <is>
          <t>Modison Ltd</t>
        </is>
      </c>
      <c r="J5" s="31" t="inlineStr">
        <is>
          <t>industrials</t>
        </is>
      </c>
      <c r="K5" s="31" t="inlineStr">
        <is>
          <t>electric equipment</t>
        </is>
      </c>
      <c r="L5" s="31" t="inlineStr">
        <is>
          <t>smallcap</t>
        </is>
      </c>
      <c r="M5" s="32" t="n">
        <v>1273.18</v>
      </c>
      <c r="N5" s="32" t="n">
        <v>408</v>
      </c>
      <c r="O5" s="32" t="n">
        <v>3.99</v>
      </c>
      <c r="P5" s="32" t="n">
        <v>99064</v>
      </c>
      <c r="Q5" s="31" t="n">
        <v>98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76.12</v>
      </c>
      <c r="U5" s="32" t="n">
        <v>58.12</v>
      </c>
      <c r="V5" s="32" t="n">
        <v>300.66</v>
      </c>
      <c r="W5" s="31" t="inlineStr">
        <is>
          <t>Volume Spike &amp; Near 52W High Breakout</t>
        </is>
      </c>
      <c r="X5" s="31" t="inlineStr">
        <is>
          <t>Nifty 50</t>
        </is>
      </c>
      <c r="Y5" s="32" t="n">
        <v>-2.57</v>
      </c>
      <c r="Z5" s="32" t="n">
        <v>160.34</v>
      </c>
      <c r="AA5" s="32" t="n">
        <v>167.19</v>
      </c>
      <c r="AB5" s="32" t="n">
        <v>56.65</v>
      </c>
      <c r="AC5" s="31" t="inlineStr">
        <is>
          <t>Cyclical in an Upturn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138.6</v>
      </c>
      <c r="E6" s="32" t="inlineStr">
        <is>
          <t>5%</t>
        </is>
      </c>
      <c r="F6" s="32" t="n">
        <v>50000</v>
      </c>
      <c r="G6" s="32" t="n">
        <v>78</v>
      </c>
      <c r="H6" s="31" t="inlineStr">
        <is>
          <t>WSTCSTPAPR</t>
        </is>
      </c>
      <c r="I6" s="31" t="inlineStr">
        <is>
          <t>West Coast Paper Mills Limited</t>
        </is>
      </c>
      <c r="J6" s="31" t="inlineStr">
        <is>
          <t>building materials</t>
        </is>
      </c>
      <c r="K6" s="31" t="inlineStr">
        <is>
          <t>paper</t>
        </is>
      </c>
      <c r="L6" s="31" t="inlineStr">
        <is>
          <t>smallcap</t>
        </is>
      </c>
      <c r="M6" s="32" t="n">
        <v>4062.34</v>
      </c>
      <c r="N6" s="32" t="n">
        <v>634.15</v>
      </c>
      <c r="O6" s="32" t="n">
        <v>3.11</v>
      </c>
      <c r="P6" s="32" t="n">
        <v>56621</v>
      </c>
      <c r="Q6" s="31" t="inlineStr"/>
      <c r="R6" s="31" t="inlineStr"/>
      <c r="S6" s="32">
        <f>IF(R6="Underperforming",-5,IF(Q6&gt;=95,15,IF(Q6&gt;=90,10,IF(Q6&gt;=80,5,0))))</f>
        <v/>
      </c>
      <c r="T6" s="32" t="n">
        <v>72.81999999999999</v>
      </c>
      <c r="U6" s="32" t="n">
        <v>43.67</v>
      </c>
      <c r="V6" s="32" t="n">
        <v>504.75</v>
      </c>
      <c r="W6" s="31" t="inlineStr">
        <is>
          <t>Near 52W High Breakout</t>
        </is>
      </c>
      <c r="X6" s="31" t="inlineStr">
        <is>
          <t>Nifty Infra</t>
        </is>
      </c>
      <c r="Y6" s="32" t="inlineStr"/>
      <c r="Z6" s="32" t="inlineStr"/>
      <c r="AA6" s="32" t="inlineStr"/>
      <c r="AB6" s="32" t="inlineStr"/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139.5</v>
      </c>
      <c r="E7" s="32" t="inlineStr">
        <is>
          <t>5%</t>
        </is>
      </c>
      <c r="F7" s="32" t="n">
        <v>50000</v>
      </c>
      <c r="G7" s="32" t="n">
        <v>21</v>
      </c>
      <c r="H7" s="31" t="inlineStr">
        <is>
          <t>HAPPYFORGE</t>
        </is>
      </c>
      <c r="I7" s="31" t="inlineStr">
        <is>
          <t>Happy Forgings Ltd</t>
        </is>
      </c>
      <c r="J7" s="31" t="inlineStr">
        <is>
          <t>industrials</t>
        </is>
      </c>
      <c r="K7" s="31" t="inlineStr">
        <is>
          <t>castings &amp; forgings</t>
        </is>
      </c>
      <c r="L7" s="31" t="inlineStr">
        <is>
          <t>largecap</t>
        </is>
      </c>
      <c r="M7" s="32" t="n">
        <v>21781.67</v>
      </c>
      <c r="N7" s="32" t="n">
        <v>2329.4</v>
      </c>
      <c r="O7" s="32" t="n">
        <v>0.93</v>
      </c>
      <c r="P7" s="32" t="n">
        <v>23049</v>
      </c>
      <c r="Q7" s="31" t="n">
        <v>92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88.83</v>
      </c>
      <c r="U7" s="32" t="n">
        <v>55.64</v>
      </c>
      <c r="V7" s="32" t="n">
        <v>1923.21</v>
      </c>
      <c r="W7" s="31" t="inlineStr">
        <is>
          <t>Near 52W High Breakout</t>
        </is>
      </c>
      <c r="X7" s="31" t="inlineStr">
        <is>
          <t>Nifty 50</t>
        </is>
      </c>
      <c r="Y7" s="32" t="n">
        <v>-2.57</v>
      </c>
      <c r="Z7" s="32" t="n">
        <v>146.08</v>
      </c>
      <c r="AA7" s="32" t="n">
        <v>152.56</v>
      </c>
      <c r="AB7" s="32" t="n">
        <v>36.13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Between 1.5 to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139.4</v>
      </c>
      <c r="E8" s="32" t="inlineStr">
        <is>
          <t>5%</t>
        </is>
      </c>
      <c r="F8" s="32" t="n">
        <v>50000</v>
      </c>
      <c r="G8" s="32" t="n">
        <v>9</v>
      </c>
      <c r="H8" s="31" t="inlineStr">
        <is>
          <t>NETWEB</t>
        </is>
      </c>
      <c r="I8" s="31" t="inlineStr">
        <is>
          <t>Netweb Technologies India Ltd</t>
        </is>
      </c>
      <c r="J8" s="31" t="inlineStr">
        <is>
          <t>i.t</t>
        </is>
      </c>
      <c r="K8" s="31" t="inlineStr">
        <is>
          <t>computers - hardware</t>
        </is>
      </c>
      <c r="L8" s="31" t="inlineStr">
        <is>
          <t>largecap</t>
        </is>
      </c>
      <c r="M8" s="32" t="n">
        <v>28840.46</v>
      </c>
      <c r="N8" s="32" t="n">
        <v>5425.1</v>
      </c>
      <c r="O8" s="32" t="n">
        <v>7.11</v>
      </c>
      <c r="P8" s="32" t="n">
        <v>1396354</v>
      </c>
      <c r="Q8" s="31" t="n">
        <v>85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68.19</v>
      </c>
      <c r="U8" s="32" t="n">
        <v>38.65</v>
      </c>
      <c r="V8" s="32" t="n">
        <v>4071.54</v>
      </c>
      <c r="W8" s="31" t="inlineStr">
        <is>
          <t>Near 52W High Breakout</t>
        </is>
      </c>
      <c r="X8" s="31" t="inlineStr">
        <is>
          <t>Nifty IT</t>
        </is>
      </c>
      <c r="Y8" s="32" t="n">
        <v>-13.45</v>
      </c>
      <c r="Z8" s="32" t="n">
        <v>133.52</v>
      </c>
      <c r="AA8" s="32" t="n">
        <v>169.81</v>
      </c>
      <c r="AB8" s="32" t="n">
        <v>27.98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139.1</v>
      </c>
      <c r="E9" s="32" t="inlineStr">
        <is>
          <t>5%</t>
        </is>
      </c>
      <c r="F9" s="32" t="n">
        <v>50000</v>
      </c>
      <c r="G9" s="32" t="n">
        <v>92</v>
      </c>
      <c r="H9" s="31" t="inlineStr">
        <is>
          <t>THELEELA</t>
        </is>
      </c>
      <c r="I9" s="31" t="inlineStr">
        <is>
          <t>Leela Palaces Hotels &amp; Resorts Ltd</t>
        </is>
      </c>
      <c r="J9" s="31" t="inlineStr">
        <is>
          <t>services</t>
        </is>
      </c>
      <c r="K9" s="31" t="inlineStr">
        <is>
          <t>hotels</t>
        </is>
      </c>
      <c r="L9" s="31" t="inlineStr">
        <is>
          <t>midcap</t>
        </is>
      </c>
      <c r="M9" s="32" t="n">
        <v>17793.28</v>
      </c>
      <c r="N9" s="32" t="n">
        <v>536</v>
      </c>
      <c r="O9" s="32" t="n">
        <v>0.6</v>
      </c>
      <c r="P9" s="32" t="n">
        <v>701693</v>
      </c>
      <c r="Q9" s="31" t="n">
        <v>50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67.90000000000001</v>
      </c>
      <c r="U9" s="32" t="n">
        <v>29.55</v>
      </c>
      <c r="V9" s="32" t="n">
        <v>439.41</v>
      </c>
      <c r="W9" s="31" t="inlineStr">
        <is>
          <t>Near 52W High Breakout</t>
        </is>
      </c>
      <c r="X9" s="31" t="inlineStr">
        <is>
          <t>Nifty 50</t>
        </is>
      </c>
      <c r="Y9" s="32" t="n">
        <v>-2.57</v>
      </c>
      <c r="Z9" s="32" t="n">
        <v>28.3</v>
      </c>
      <c r="AA9" s="32" t="n">
        <v>31.68</v>
      </c>
      <c r="AB9" s="32" t="n">
        <v>11.73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139.4</v>
      </c>
      <c r="E10" s="32" t="inlineStr">
        <is>
          <t>5%</t>
        </is>
      </c>
      <c r="F10" s="32" t="n">
        <v>50000</v>
      </c>
      <c r="G10" s="32" t="n">
        <v>24</v>
      </c>
      <c r="H10" s="31" t="inlineStr">
        <is>
          <t>WELCORP</t>
        </is>
      </c>
      <c r="I10" s="31" t="inlineStr">
        <is>
          <t>Welspun Corp Limited</t>
        </is>
      </c>
      <c r="J10" s="31" t="inlineStr">
        <is>
          <t>industrials</t>
        </is>
      </c>
      <c r="K10" s="31" t="inlineStr">
        <is>
          <t>steel - large</t>
        </is>
      </c>
      <c r="L10" s="31" t="inlineStr">
        <is>
          <t>largecap</t>
        </is>
      </c>
      <c r="M10" s="32" t="n">
        <v>52069.64</v>
      </c>
      <c r="N10" s="32" t="n">
        <v>2005.6</v>
      </c>
      <c r="O10" s="32" t="n">
        <v>1.61</v>
      </c>
      <c r="P10" s="32" t="n">
        <v>278554</v>
      </c>
      <c r="Q10" s="31" t="inlineStr"/>
      <c r="R10" s="31" t="inlineStr"/>
      <c r="S10" s="32">
        <f>IF(R10="Underperforming",-5,IF(Q10&gt;=95,15,IF(Q10&gt;=90,10,IF(Q10&gt;=80,5,0))))</f>
        <v/>
      </c>
      <c r="T10" s="32" t="n">
        <v>90.63</v>
      </c>
      <c r="U10" s="32" t="n">
        <v>71.63</v>
      </c>
      <c r="V10" s="32" t="n">
        <v>1676.97</v>
      </c>
      <c r="W10" s="31" t="inlineStr">
        <is>
          <t>Near 52W High Breakout</t>
        </is>
      </c>
      <c r="X10" s="31" t="inlineStr">
        <is>
          <t>Nifty Metal</t>
        </is>
      </c>
      <c r="Y10" s="32" t="inlineStr"/>
      <c r="Z10" s="32" t="inlineStr"/>
      <c r="AA10" s="32" t="inlineStr"/>
      <c r="AB10" s="32" t="inlineStr"/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138.8</v>
      </c>
      <c r="E11" s="32" t="inlineStr">
        <is>
          <t>5%</t>
        </is>
      </c>
      <c r="F11" s="32" t="n">
        <v>50000</v>
      </c>
      <c r="G11" s="32" t="n">
        <v>29</v>
      </c>
      <c r="H11" s="31" t="inlineStr">
        <is>
          <t>SEAMECLTD</t>
        </is>
      </c>
      <c r="I11" s="31" t="inlineStr">
        <is>
          <t>Seamec Limited</t>
        </is>
      </c>
      <c r="J11" s="31" t="inlineStr">
        <is>
          <t>miscellaneous</t>
        </is>
      </c>
      <c r="K11" s="31" t="inlineStr">
        <is>
          <t>miscellaneous</t>
        </is>
      </c>
      <c r="L11" s="31" t="inlineStr">
        <is>
          <t>smallcap</t>
        </is>
      </c>
      <c r="M11" s="32" t="n">
        <v>4158.77</v>
      </c>
      <c r="N11" s="32" t="n">
        <v>1700</v>
      </c>
      <c r="O11" s="32" t="n">
        <v>3.93</v>
      </c>
      <c r="P11" s="32" t="n">
        <v>242323</v>
      </c>
      <c r="Q11" s="31" t="n">
        <v>64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67.62</v>
      </c>
      <c r="U11" s="32" t="n">
        <v>23.16</v>
      </c>
      <c r="V11" s="32" t="n">
        <v>1316.39</v>
      </c>
      <c r="W11" s="31" t="inlineStr">
        <is>
          <t>Volume Spike &amp; Near 52W High Breakout</t>
        </is>
      </c>
      <c r="X11" s="31" t="inlineStr">
        <is>
          <t>Nifty 50</t>
        </is>
      </c>
      <c r="Y11" s="32" t="n">
        <v>-2.57</v>
      </c>
      <c r="Z11" s="32" t="n">
        <v>89.23999999999999</v>
      </c>
      <c r="AA11" s="32" t="n">
        <v>94.22</v>
      </c>
      <c r="AB11" s="32" t="n">
        <v>16.18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Less than 12%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138.1</v>
      </c>
      <c r="E12" s="32" t="inlineStr">
        <is>
          <t>5%</t>
        </is>
      </c>
      <c r="F12" s="32" t="n">
        <v>50000</v>
      </c>
      <c r="G12" s="32" t="n">
        <v>254</v>
      </c>
      <c r="H12" s="31" t="inlineStr">
        <is>
          <t>KRISHANA</t>
        </is>
      </c>
      <c r="I12" s="31" t="inlineStr">
        <is>
          <t>Krishana Phoschem Ltd</t>
        </is>
      </c>
      <c r="J12" s="31" t="inlineStr">
        <is>
          <t>chemicals</t>
        </is>
      </c>
      <c r="K12" s="31" t="inlineStr">
        <is>
          <t>fertilizers</t>
        </is>
      </c>
      <c r="L12" s="31" t="inlineStr">
        <is>
          <t>smallcap</t>
        </is>
      </c>
      <c r="M12" s="32" t="n">
        <v>1201.31</v>
      </c>
      <c r="N12" s="32" t="n">
        <v>196.52</v>
      </c>
      <c r="O12" s="32" t="n">
        <v>1.14</v>
      </c>
      <c r="P12" s="32" t="n">
        <v>272866</v>
      </c>
      <c r="Q12" s="31" t="n">
        <v>77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80.7</v>
      </c>
      <c r="U12" s="32" t="n">
        <v>47.44</v>
      </c>
      <c r="V12" s="32" t="n">
        <v>155.4</v>
      </c>
      <c r="W12" s="31" t="inlineStr">
        <is>
          <t>Near 52W High Breakout</t>
        </is>
      </c>
      <c r="X12" s="31" t="inlineStr">
        <is>
          <t>Nifty 50</t>
        </is>
      </c>
      <c r="Y12" s="32" t="n">
        <v>-2.57</v>
      </c>
      <c r="Z12" s="32" t="n">
        <v>63.49</v>
      </c>
      <c r="AA12" s="32" t="n">
        <v>67.8</v>
      </c>
      <c r="AB12" s="32" t="n">
        <v>22.18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More than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138.7</v>
      </c>
      <c r="E13" s="32" t="inlineStr">
        <is>
          <t>5%</t>
        </is>
      </c>
      <c r="F13" s="32" t="n">
        <v>50000</v>
      </c>
      <c r="G13" s="32" t="n">
        <v>10</v>
      </c>
      <c r="H13" s="31" t="inlineStr">
        <is>
          <t>INGERRAND</t>
        </is>
      </c>
      <c r="I13" s="31" t="inlineStr">
        <is>
          <t>Ingersoll Rand (india) Limited</t>
        </is>
      </c>
      <c r="J13" s="31" t="inlineStr">
        <is>
          <t>industrials</t>
        </is>
      </c>
      <c r="K13" s="31" t="inlineStr">
        <is>
          <t>compressors / drilling equipment</t>
        </is>
      </c>
      <c r="L13" s="31" t="inlineStr">
        <is>
          <t>midcap</t>
        </is>
      </c>
      <c r="M13" s="32" t="n">
        <v>14651.97</v>
      </c>
      <c r="N13" s="32" t="n">
        <v>4710.4</v>
      </c>
      <c r="O13" s="32" t="n">
        <v>1.49</v>
      </c>
      <c r="P13" s="32" t="n">
        <v>7302</v>
      </c>
      <c r="Q13" s="31" t="n">
        <v>27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61.62</v>
      </c>
      <c r="U13" s="32" t="n">
        <v>23.86</v>
      </c>
      <c r="V13" s="32" t="n">
        <v>3782.51</v>
      </c>
      <c r="W13" s="31" t="inlineStr">
        <is>
          <t>Volume Spike &amp; Near 52W High Breakout</t>
        </is>
      </c>
      <c r="X13" s="31" t="inlineStr">
        <is>
          <t>Nifty 50</t>
        </is>
      </c>
      <c r="Y13" s="32" t="n">
        <v>-2.57</v>
      </c>
      <c r="Z13" s="32" t="n">
        <v>26.97</v>
      </c>
      <c r="AA13" s="32" t="n">
        <v>30.31</v>
      </c>
      <c r="AB13" s="32" t="n">
        <v>6.17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138.6</v>
      </c>
      <c r="E14" s="32" t="inlineStr">
        <is>
          <t>5%</t>
        </is>
      </c>
      <c r="F14" s="32" t="n">
        <v>50000</v>
      </c>
      <c r="G14" s="32" t="n">
        <v>139</v>
      </c>
      <c r="H14" s="31" t="inlineStr">
        <is>
          <t>STEELCAS</t>
        </is>
      </c>
      <c r="I14" s="31" t="inlineStr">
        <is>
          <t>Steelcast Ltd</t>
        </is>
      </c>
      <c r="J14" s="31" t="inlineStr">
        <is>
          <t>industrials</t>
        </is>
      </c>
      <c r="K14" s="31" t="inlineStr">
        <is>
          <t>castings &amp; forgings</t>
        </is>
      </c>
      <c r="L14" s="31" t="inlineStr">
        <is>
          <t>smallcap</t>
        </is>
      </c>
      <c r="M14" s="32" t="n">
        <v>3616.38</v>
      </c>
      <c r="N14" s="32" t="n">
        <v>359</v>
      </c>
      <c r="O14" s="32" t="n">
        <v>0.46</v>
      </c>
      <c r="P14" s="32" t="n">
        <v>53243</v>
      </c>
      <c r="Q14" s="31" t="n">
        <v>63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80.45999999999999</v>
      </c>
      <c r="U14" s="32" t="n">
        <v>42.24</v>
      </c>
      <c r="V14" s="32" t="n">
        <v>280.59</v>
      </c>
      <c r="W14" s="31" t="inlineStr">
        <is>
          <t>Near 52W High Breakout</t>
        </is>
      </c>
      <c r="X14" s="31" t="inlineStr">
        <is>
          <t>Nifty 50</t>
        </is>
      </c>
      <c r="Y14" s="32" t="n">
        <v>-2.57</v>
      </c>
      <c r="Z14" s="32" t="n">
        <v>65.17</v>
      </c>
      <c r="AA14" s="32" t="n">
        <v>69.52</v>
      </c>
      <c r="AB14" s="32" t="n">
        <v>16.03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Between 12 to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139.2</v>
      </c>
      <c r="E15" s="32" t="inlineStr">
        <is>
          <t>5%</t>
        </is>
      </c>
      <c r="F15" s="32" t="n">
        <v>50000</v>
      </c>
      <c r="G15" s="32" t="n">
        <v>33</v>
      </c>
      <c r="H15" s="31" t="inlineStr">
        <is>
          <t>SAILIFE</t>
        </is>
      </c>
      <c r="I15" s="31" t="inlineStr">
        <is>
          <t>Sai Life Sciences Ltd</t>
        </is>
      </c>
      <c r="J15" s="31" t="inlineStr">
        <is>
          <t>healthcare</t>
        </is>
      </c>
      <c r="K15" s="31" t="inlineStr">
        <is>
          <t>pharmaceuticals - indian - bulk drugs &amp; formln</t>
        </is>
      </c>
      <c r="L15" s="31" t="inlineStr">
        <is>
          <t>largecap</t>
        </is>
      </c>
      <c r="M15" s="32" t="n">
        <v>30191.32</v>
      </c>
      <c r="N15" s="32" t="n">
        <v>1468.3</v>
      </c>
      <c r="O15" s="32" t="n">
        <v>3.24</v>
      </c>
      <c r="P15" s="32" t="n">
        <v>142574</v>
      </c>
      <c r="Q15" s="31" t="n">
        <v>66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81.13</v>
      </c>
      <c r="U15" s="32" t="n">
        <v>34.39</v>
      </c>
      <c r="V15" s="32" t="n">
        <v>1222.33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18.64</v>
      </c>
      <c r="Z15" s="32" t="n">
        <v>58.94</v>
      </c>
      <c r="AA15" s="32" t="n">
        <v>33.96</v>
      </c>
      <c r="AB15" s="32" t="n">
        <v>16.98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138.4</v>
      </c>
      <c r="E16" s="32" t="inlineStr">
        <is>
          <t>5%</t>
        </is>
      </c>
      <c r="F16" s="32" t="n">
        <v>50000</v>
      </c>
      <c r="G16" s="32" t="n">
        <v>61</v>
      </c>
      <c r="H16" s="31" t="inlineStr">
        <is>
          <t>AVADHSUGAR</t>
        </is>
      </c>
      <c r="I16" s="31" t="inlineStr">
        <is>
          <t>Avadh Sugar &amp; Energy</t>
        </is>
      </c>
      <c r="J16" s="31" t="inlineStr">
        <is>
          <t>fmcg</t>
        </is>
      </c>
      <c r="K16" s="31" t="inlineStr">
        <is>
          <t>sugar</t>
        </is>
      </c>
      <c r="L16" s="31" t="inlineStr">
        <is>
          <t>smallcap</t>
        </is>
      </c>
      <c r="M16" s="32" t="n">
        <v>1489.17</v>
      </c>
      <c r="N16" s="32" t="n">
        <v>811</v>
      </c>
      <c r="O16" s="32" t="n">
        <v>9.02</v>
      </c>
      <c r="P16" s="32" t="n">
        <v>718476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85.06999999999999</v>
      </c>
      <c r="U16" s="32" t="n">
        <v>39.74</v>
      </c>
      <c r="V16" s="32" t="n">
        <v>637.24</v>
      </c>
      <c r="W16" s="31" t="inlineStr">
        <is>
          <t>Volume Spike &amp; Near 52W High Breakout</t>
        </is>
      </c>
      <c r="X16" s="31" t="inlineStr">
        <is>
          <t>Nifty FMCG</t>
        </is>
      </c>
      <c r="Y16" s="32" t="inlineStr"/>
      <c r="Z16" s="32" t="inlineStr"/>
      <c r="AA16" s="32" t="inlineStr"/>
      <c r="AB16" s="32" t="inlineStr"/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B2C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139.2</v>
      </c>
      <c r="E17" s="32" t="inlineStr">
        <is>
          <t>5%</t>
        </is>
      </c>
      <c r="F17" s="32" t="n">
        <v>50000</v>
      </c>
      <c r="G17" s="32" t="n">
        <v>1</v>
      </c>
      <c r="H17" s="31" t="inlineStr">
        <is>
          <t>BOSCHLTD</t>
        </is>
      </c>
      <c r="I17" s="31" t="inlineStr">
        <is>
          <t>Bosch Limited</t>
        </is>
      </c>
      <c r="J17" s="31" t="inlineStr">
        <is>
          <t>auto</t>
        </is>
      </c>
      <c r="K17" s="31" t="inlineStr">
        <is>
          <t>auto ancillaries</t>
        </is>
      </c>
      <c r="L17" s="31" t="inlineStr">
        <is>
          <t>largecap</t>
        </is>
      </c>
      <c r="M17" s="32" t="n">
        <v>142938.1</v>
      </c>
      <c r="N17" s="32" t="n">
        <v>48750</v>
      </c>
      <c r="O17" s="32" t="n">
        <v>0.6</v>
      </c>
      <c r="P17" s="32" t="n">
        <v>14832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76.66</v>
      </c>
      <c r="U17" s="32" t="n">
        <v>32.88</v>
      </c>
      <c r="V17" s="32" t="n">
        <v>41543.79</v>
      </c>
      <c r="W17" s="31" t="inlineStr">
        <is>
          <t>Near 52W High Breakout</t>
        </is>
      </c>
      <c r="X17" s="31" t="inlineStr">
        <is>
          <t>Nifty Auto</t>
        </is>
      </c>
      <c r="Y17" s="32" t="inlineStr"/>
      <c r="Z17" s="32" t="inlineStr"/>
      <c r="AA17" s="32" t="inlineStr"/>
      <c r="AB17" s="32" t="inlineStr"/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</v>
      </c>
      <c r="E18" s="32" t="inlineStr">
        <is>
          <t>5%</t>
        </is>
      </c>
      <c r="F18" s="32" t="n">
        <v>50000</v>
      </c>
      <c r="G18" s="32" t="n">
        <v>103</v>
      </c>
      <c r="H18" s="31" t="inlineStr">
        <is>
          <t>ASIANENE</t>
        </is>
      </c>
      <c r="I18" s="31" t="inlineStr">
        <is>
          <t>Asian Energy Services Ltd</t>
        </is>
      </c>
      <c r="J18" s="31" t="inlineStr">
        <is>
          <t>energy</t>
        </is>
      </c>
      <c r="K18" s="31" t="inlineStr">
        <is>
          <t>oil drilling / allied services</t>
        </is>
      </c>
      <c r="L18" s="31" t="inlineStr">
        <is>
          <t>smallcap</t>
        </is>
      </c>
      <c r="M18" s="32" t="n">
        <v>2328.14</v>
      </c>
      <c r="N18" s="32" t="n">
        <v>481</v>
      </c>
      <c r="O18" s="32" t="n">
        <v>0.47</v>
      </c>
      <c r="P18" s="32" t="n">
        <v>272845</v>
      </c>
      <c r="Q18" s="31" t="n">
        <v>84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71.23</v>
      </c>
      <c r="U18" s="32" t="n">
        <v>19.22</v>
      </c>
      <c r="V18" s="32" t="n">
        <v>356.13</v>
      </c>
      <c r="W18" s="31" t="inlineStr">
        <is>
          <t>Volume Spike &amp; Near 52W High Breakout</t>
        </is>
      </c>
      <c r="X18" s="31" t="inlineStr">
        <is>
          <t>Nifty Energy</t>
        </is>
      </c>
      <c r="Y18" s="32" t="n">
        <v>8.23</v>
      </c>
      <c r="Z18" s="32" t="n">
        <v>70.53</v>
      </c>
      <c r="AA18" s="32" t="n">
        <v>57.56</v>
      </c>
      <c r="AB18" s="32" t="n">
        <v>26.82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Volatile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</v>
      </c>
      <c r="E19" s="32" t="inlineStr">
        <is>
          <t>5%</t>
        </is>
      </c>
      <c r="F19" s="32" t="n">
        <v>50000</v>
      </c>
      <c r="G19" s="32" t="n">
        <v>113</v>
      </c>
      <c r="H19" s="31" t="inlineStr">
        <is>
          <t>STYLEBAAZA</t>
        </is>
      </c>
      <c r="I19" s="31" t="inlineStr">
        <is>
          <t>Baazar Style Retail Ltd</t>
        </is>
      </c>
      <c r="J19" s="31" t="inlineStr">
        <is>
          <t>consumer discretionary</t>
        </is>
      </c>
      <c r="K19" s="31" t="inlineStr">
        <is>
          <t>trading</t>
        </is>
      </c>
      <c r="L19" s="31" t="inlineStr">
        <is>
          <t>smallcap</t>
        </is>
      </c>
      <c r="M19" s="32" t="n">
        <v>3217.86</v>
      </c>
      <c r="N19" s="32" t="n">
        <v>441</v>
      </c>
      <c r="O19" s="32" t="n">
        <v>4.32</v>
      </c>
      <c r="P19" s="32" t="n">
        <v>1702467</v>
      </c>
      <c r="Q19" s="31" t="n">
        <v>55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64.81999999999999</v>
      </c>
      <c r="U19" s="32" t="n">
        <v>12</v>
      </c>
      <c r="V19" s="32" t="n">
        <v>307.25</v>
      </c>
      <c r="W19" s="31" t="inlineStr">
        <is>
          <t>Volume Spike &amp; Near 52W High Breakout</t>
        </is>
      </c>
      <c r="X19" s="31" t="inlineStr">
        <is>
          <t>Nifty 50</t>
        </is>
      </c>
      <c r="Y19" s="32" t="n">
        <v>-2.57</v>
      </c>
      <c r="Z19" s="32" t="n">
        <v>39.58</v>
      </c>
      <c r="AA19" s="32" t="n">
        <v>43.25</v>
      </c>
      <c r="AB19" s="32" t="n">
        <v>13.16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139.5</v>
      </c>
      <c r="E20" s="32" t="inlineStr">
        <is>
          <t>5%</t>
        </is>
      </c>
      <c r="F20" s="32" t="n">
        <v>50000</v>
      </c>
      <c r="G20" s="32" t="n">
        <v>43</v>
      </c>
      <c r="H20" s="31" t="inlineStr">
        <is>
          <t>MAHASTEEL</t>
        </is>
      </c>
      <c r="I20" s="31" t="inlineStr">
        <is>
          <t>Mahamaya Steel Industries Limited</t>
        </is>
      </c>
      <c r="J20" s="31" t="inlineStr">
        <is>
          <t>metals &amp; mining</t>
        </is>
      </c>
      <c r="K20" s="31" t="inlineStr">
        <is>
          <t>steel - medium / small</t>
        </is>
      </c>
      <c r="L20" s="31" t="inlineStr">
        <is>
          <t>smallcap</t>
        </is>
      </c>
      <c r="M20" s="32" t="n">
        <v>1874.67</v>
      </c>
      <c r="N20" s="32" t="n">
        <v>1140</v>
      </c>
      <c r="O20" s="32" t="n">
        <v>-0.06</v>
      </c>
      <c r="P20" s="32" t="n">
        <v>2441</v>
      </c>
      <c r="Q20" s="31" t="inlineStr"/>
      <c r="R20" s="31" t="inlineStr"/>
      <c r="S20" s="32">
        <f>IF(R20="Underperforming",-5,IF(Q20&gt;=95,15,IF(Q20&gt;=90,10,IF(Q20&gt;=80,5,0))))</f>
        <v/>
      </c>
      <c r="T20" s="32" t="inlineStr"/>
      <c r="U20" s="32" t="inlineStr"/>
      <c r="V20" s="32" t="inlineStr"/>
      <c r="W20" s="31" t="inlineStr"/>
      <c r="X20" s="31" t="inlineStr"/>
      <c r="Y20" s="32" t="inlineStr"/>
      <c r="Z20" s="32" t="inlineStr"/>
      <c r="AA20" s="32" t="inlineStr"/>
      <c r="AB20" s="32" t="inlineStr"/>
      <c r="AC20" s="31" t="n"/>
      <c r="AD20" s="31">
        <f>IF(AC20="Growing Industry",10,IF(AC20="Cyclical in an Upturn",5,0))</f>
        <v/>
      </c>
      <c r="AE20" s="31" t="n"/>
      <c r="AF20" s="31">
        <f>IF(AE20="Monopoly",10,IF(AE20="Oligopoly",5,IF(AE20="Duopoly that cooperate",10,IF(AE20="Duopoly that compete",5,IF(AE20="Too many players with High ROCE",5,0)))))</f>
        <v/>
      </c>
      <c r="AG20" s="31" t="n"/>
      <c r="AH20" s="31">
        <f>IF(AG20="No",5,0)</f>
        <v/>
      </c>
      <c r="AI20" s="31" t="n"/>
      <c r="AJ20" s="31">
        <f>IF(AI20="Tailwind",10,0)</f>
        <v/>
      </c>
      <c r="AK20" s="31" t="n"/>
      <c r="AL20" s="31">
        <f>IF(AK20="Structural (10 Years Consistency)",10,IF(AK20="Shallow Cyclical (2 to 3 years growth)",5,0))</f>
        <v/>
      </c>
      <c r="AM20" s="31" t="n"/>
      <c r="AN20" s="31">
        <f>IF(AM20="Yes due to Product Mix change or Operating Leverage",10,IF(AM20="Yes, these are peak margins",-5,IF(AM20="No",5,0)))</f>
        <v/>
      </c>
      <c r="AO20" s="31" t="n"/>
      <c r="AP20" s="31">
        <f>IF(AO20="Stable",10,0)</f>
        <v/>
      </c>
      <c r="AQ20" s="31" t="n"/>
      <c r="AR20" s="31">
        <f>IF(AQ20="Yes",10,0)</f>
        <v/>
      </c>
      <c r="AS20" s="31" t="n"/>
      <c r="AT20" s="31">
        <f>IF(AS20="B2C",10,IF(AS20="B2B",5,0))</f>
        <v/>
      </c>
      <c r="AU20" s="31" t="n"/>
      <c r="AV20" s="31">
        <f>IF(AU20="Yes",10,0)</f>
        <v/>
      </c>
      <c r="AW20" s="31" t="n"/>
      <c r="AX20" s="31">
        <f>IF(AW20="Fully Annuity",10,IF(AW20="Higher Annuity, Lower One Time",5,IF(AW20="Higher One Time, Lower Annuity",3,0)))</f>
        <v/>
      </c>
      <c r="AY20" s="31" t="n"/>
      <c r="AZ20" s="31">
        <f>IF(AY20="Good",10,0)</f>
        <v/>
      </c>
      <c r="BA20" s="31" t="n"/>
      <c r="BB20" s="31">
        <f>IF(BA20="Yes for more than 2 years",10,IF(BA20="Yes only for next 1 to 2 years",5,0))</f>
        <v/>
      </c>
      <c r="BC20" s="31" t="n"/>
      <c r="BD20" s="31">
        <f>IF(BC20="Above 40",20,IF(BC20="20 to 40",10,IF(BC20="0 to 20",-5,0)))</f>
        <v/>
      </c>
      <c r="BE20" s="31" t="n"/>
      <c r="BF20" s="31">
        <f>IF(BE20="Between 50 to 75",10,IF(BE20="Above 75",0,0))</f>
        <v/>
      </c>
      <c r="BG20" s="31" t="n"/>
      <c r="BH20" s="31">
        <f>IF(BG20="Stage 2",20,IF(BG20="Stage 1",0,IF(BG20="Stage 3",5,IF(BG20="Stage 4",-5,0))))</f>
        <v/>
      </c>
      <c r="BI20" s="31" t="n"/>
      <c r="BJ20" s="31">
        <f>IF(BI20="Positive Trend",20,IF(BI20="Negative Trend",-10,0))</f>
        <v/>
      </c>
      <c r="BK20" s="31" t="n"/>
      <c r="BL20" s="31">
        <f>IF(BK20="Uptrend",10,IF(BK20="Sideways",5,0))</f>
        <v/>
      </c>
      <c r="BM20" s="31" t="n"/>
      <c r="BN20" s="31">
        <f>IF(BM20="Uptrend",10,IF(BM20="Sideways",5,0))</f>
        <v/>
      </c>
      <c r="BO20" s="31" t="n"/>
      <c r="BP20" s="31">
        <f>IF(BO20="Overhead supply in last 2 years in last 2 years",-5,IF(BO20="Close to 52 week high or retracement",5,IF(BO20="Blue sky scenario",10,IF(BO20="Long term Downtrend",-10,0))))</f>
        <v/>
      </c>
      <c r="BQ20" s="31" t="n"/>
      <c r="BR20" s="31">
        <f>IF(BQ20="Yes",10,0)</f>
        <v/>
      </c>
      <c r="BS20" s="31" t="n"/>
      <c r="BT20" s="31">
        <f>IF(BS20="More than 20%",10,IF(BS20="Between 12 to 20%",5,IF(BS20="Less than 12%",0,0)))</f>
        <v/>
      </c>
      <c r="BU20" s="31" t="n"/>
      <c r="BV20" s="31">
        <f>IF(BU20="No",10,0)</f>
        <v/>
      </c>
      <c r="BW20" s="31" t="n"/>
      <c r="BX20" s="31">
        <f>IF(BW20="NO",5,0)</f>
        <v/>
      </c>
      <c r="BY20" s="31" t="n"/>
      <c r="BZ20" s="31">
        <f>IF(BY20="Above 2",0,IF(BY20="Between 1.5 to 2",5,IF(BY20="Less than 1.5",10,0)))</f>
        <v/>
      </c>
      <c r="CA20" s="31" t="n"/>
      <c r="CB20" s="31">
        <f>IF(CA20="Above 70%",10,IF(CA20="Between 50% to 70%",5,IF(CA20="Less than 50%",0,IF(CA20="Negative",-10,IF(CA20="Less than 50% and Borrowings are increasing",-5,0)))))</f>
        <v/>
      </c>
      <c r="CC20" s="31" t="n"/>
      <c r="CD20" s="31">
        <f>IF(CC20="More than 1.2",-10,IF(CC20="Between 0.7 to 1.2",0,IF(CC20="Less than 0.7",10,0)))</f>
        <v/>
      </c>
      <c r="CE20" s="31" t="n"/>
      <c r="CF20" s="31">
        <f>IF(CE20="Yes",-10,0)</f>
        <v/>
      </c>
      <c r="CG20" s="31" t="n"/>
      <c r="CH20" s="31">
        <f>IF(CG20="More than 15%",-10,IF(CG20="Less than 15%",10,0))</f>
        <v/>
      </c>
      <c r="CI20" s="31" t="n"/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127</v>
      </c>
      <c r="H2" s="31" t="inlineStr">
        <is>
          <t>RBLBANK</t>
        </is>
      </c>
      <c r="I2" s="31" t="inlineStr">
        <is>
          <t>Rbl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59077.49</v>
      </c>
      <c r="N2" s="32" t="n">
        <v>392.3</v>
      </c>
      <c r="O2" s="32" t="n">
        <v>2.83</v>
      </c>
      <c r="P2" s="32" t="n">
        <v>813457</v>
      </c>
      <c r="Q2" s="31" t="n">
        <v>56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65.39</v>
      </c>
      <c r="U2" s="32" t="n">
        <v>36.64</v>
      </c>
      <c r="V2" s="32" t="n">
        <v>332.9</v>
      </c>
      <c r="W2" s="31" t="inlineStr">
        <is>
          <t>Near 52W High Breakout</t>
        </is>
      </c>
      <c r="X2" s="31" t="inlineStr">
        <is>
          <t>Nifty Bank</t>
        </is>
      </c>
      <c r="Y2" s="32" t="n">
        <v>4.25</v>
      </c>
      <c r="Z2" s="32" t="n">
        <v>55.93</v>
      </c>
      <c r="AA2" s="32" t="n">
        <v>49.57</v>
      </c>
      <c r="AB2" s="32" t="n">
        <v>13.21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138.4</v>
      </c>
      <c r="E3" s="32" t="inlineStr">
        <is>
          <t>5%</t>
        </is>
      </c>
      <c r="F3" s="32" t="n">
        <v>50000</v>
      </c>
      <c r="G3" s="32" t="n">
        <v>376</v>
      </c>
      <c r="H3" s="31" t="inlineStr">
        <is>
          <t>TFCILTD</t>
        </is>
      </c>
      <c r="I3" s="31" t="inlineStr">
        <is>
          <t>Tourism Finance Corporation Of India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midcap</t>
        </is>
      </c>
      <c r="M3" s="32" t="n">
        <v>6083.98</v>
      </c>
      <c r="N3" s="32" t="n">
        <v>132.48</v>
      </c>
      <c r="O3" s="32" t="n">
        <v>0.8100000000000001</v>
      </c>
      <c r="P3" s="32" t="n">
        <v>7764319</v>
      </c>
      <c r="Q3" s="31" t="n">
        <v>93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83.90000000000001</v>
      </c>
      <c r="U3" s="32" t="n">
        <v>54.48</v>
      </c>
      <c r="V3" s="32" t="n">
        <v>105.63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4.25</v>
      </c>
      <c r="Z3" s="32" t="n">
        <v>115.91</v>
      </c>
      <c r="AA3" s="32" t="n">
        <v>107.1</v>
      </c>
      <c r="AB3" s="32" t="n">
        <v>36.21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138.7</v>
      </c>
      <c r="E4" s="32" t="inlineStr">
        <is>
          <t>5%</t>
        </is>
      </c>
      <c r="F4" s="32" t="n">
        <v>50000</v>
      </c>
      <c r="G4" s="32" t="n">
        <v>358</v>
      </c>
      <c r="H4" s="31" t="inlineStr">
        <is>
          <t>MUFIN</t>
        </is>
      </c>
      <c r="I4" s="31" t="inlineStr">
        <is>
          <t>Mufin Green Finance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smallcap</t>
        </is>
      </c>
      <c r="M4" s="32" t="n">
        <v>2677.37</v>
      </c>
      <c r="N4" s="32" t="n">
        <v>139</v>
      </c>
      <c r="O4" s="32" t="n">
        <v>2.88</v>
      </c>
      <c r="P4" s="32" t="n">
        <v>466929</v>
      </c>
      <c r="Q4" s="31" t="n">
        <v>55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65.86</v>
      </c>
      <c r="U4" s="32" t="n">
        <v>36.24</v>
      </c>
      <c r="V4" s="32" t="n">
        <v>114.56</v>
      </c>
      <c r="W4" s="31" t="inlineStr">
        <is>
          <t>Near 52W High Breakout</t>
        </is>
      </c>
      <c r="X4" s="31" t="inlineStr">
        <is>
          <t>Nifty Bank</t>
        </is>
      </c>
      <c r="Y4" s="32" t="n">
        <v>4.25</v>
      </c>
      <c r="Z4" s="32" t="n">
        <v>58.68</v>
      </c>
      <c r="AA4" s="32" t="n">
        <v>52.2</v>
      </c>
      <c r="AB4" s="32" t="n">
        <v>13.1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between 2.5x to 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9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smallcap</t>
        </is>
      </c>
      <c r="H2" s="32" t="n">
        <v>3652.16</v>
      </c>
      <c r="I2" s="32" t="n">
        <v>554.2</v>
      </c>
      <c r="J2" s="32" t="n">
        <v>-0.24</v>
      </c>
      <c r="K2" s="32" t="n">
        <v>0</v>
      </c>
      <c r="L2" s="31" t="n">
        <v>93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74.67</v>
      </c>
      <c r="P2" s="32" t="n">
        <v>80.58</v>
      </c>
      <c r="Q2" s="32" t="n">
        <v>690.95</v>
      </c>
      <c r="R2" s="31" t="inlineStr">
        <is>
          <t>Near 52W High Breakout</t>
        </is>
      </c>
      <c r="S2" s="31" t="inlineStr">
        <is>
          <t>Nifty IT</t>
        </is>
      </c>
      <c r="T2" s="32" t="n">
        <v>-13.45</v>
      </c>
      <c r="U2" s="32" t="n">
        <v>203.28</v>
      </c>
      <c r="V2" s="32" t="n">
        <v>250.42</v>
      </c>
      <c r="W2" s="32" t="n">
        <v>38.39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IF(B3=0,"",RANK(B3,$B$2:$B$95,0))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VADILALIND</t>
        </is>
      </c>
      <c r="D3" s="31" t="inlineStr">
        <is>
          <t>Vadilal Industries Ltd</t>
        </is>
      </c>
      <c r="E3" s="31" t="inlineStr">
        <is>
          <t>fmcg</t>
        </is>
      </c>
      <c r="F3" s="31" t="inlineStr">
        <is>
          <t>FMCG - Dairy Products</t>
        </is>
      </c>
      <c r="G3" s="31" t="inlineStr">
        <is>
          <t>smallcap</t>
        </is>
      </c>
      <c r="H3" s="32" t="n">
        <v>3870.57</v>
      </c>
      <c r="I3" s="32" t="n">
        <v>5384.9</v>
      </c>
      <c r="J3" s="32" t="n">
        <v>2.39</v>
      </c>
      <c r="K3" s="32" t="n">
        <v>0</v>
      </c>
      <c r="L3" s="31" t="inlineStr"/>
      <c r="M3" s="31" t="inlineStr"/>
      <c r="N3" s="32">
        <f>IF(M3="Underperforming",-5,IF(L3&gt;=95,15,IF(L3&gt;=90,10,IF(L3&gt;=80,5,0))))</f>
        <v/>
      </c>
      <c r="O3" s="32" t="n">
        <v>71.79000000000001</v>
      </c>
      <c r="P3" s="32" t="n">
        <v>45.32</v>
      </c>
      <c r="Q3" s="32" t="n">
        <v>6145.35</v>
      </c>
      <c r="R3" s="31" t="inlineStr">
        <is>
          <t>Near 52W High Breakout</t>
        </is>
      </c>
      <c r="S3" s="31" t="inlineStr">
        <is>
          <t>Nifty FMCG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IF(B4=0,"",RANK(B4,$B$2:$B$95,0))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TIMEX</t>
        </is>
      </c>
      <c r="D4" s="34" t="inlineStr">
        <is>
          <t>Timex Group India Ltd</t>
        </is>
      </c>
      <c r="E4" s="31" t="inlineStr">
        <is>
          <t>Consumer Cyclical</t>
        </is>
      </c>
      <c r="F4" s="31" t="inlineStr">
        <is>
          <t>Watches</t>
        </is>
      </c>
      <c r="G4" s="31" t="inlineStr">
        <is>
          <t>smallcap</t>
        </is>
      </c>
      <c r="H4" s="32" t="n">
        <v>4395.36</v>
      </c>
      <c r="I4" s="32" t="n">
        <v>435.4</v>
      </c>
      <c r="J4" s="32" t="n">
        <v>-3.24</v>
      </c>
      <c r="K4" s="32" t="n">
        <v>0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68.75</v>
      </c>
      <c r="P4" s="32" t="n">
        <v>54.5</v>
      </c>
      <c r="Q4" s="32" t="n">
        <v>441.44</v>
      </c>
      <c r="R4" s="31" t="inlineStr">
        <is>
          <t>Near 52W High Breakout</t>
        </is>
      </c>
      <c r="S4" s="31" t="inlineStr">
        <is>
          <t>Nifty 50</t>
        </is>
      </c>
      <c r="T4" s="32" t="n">
        <v>-2.57</v>
      </c>
      <c r="U4" s="32" t="n">
        <v>112.61</v>
      </c>
      <c r="V4" s="32" t="n">
        <v>118.21</v>
      </c>
      <c r="W4" s="32" t="n">
        <v>30.1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24</t>
        </is>
      </c>
      <c r="CG4" s="31">
        <f>IF(CF4&gt;20,10,IF(CF4&gt;=10,5,2))</f>
        <v/>
      </c>
    </row>
    <row r="5">
      <c r="A5" s="31">
        <f>IF(B5=0,"",RANK(B5,$B$2:$B$95,0))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INDOBORAX</t>
        </is>
      </c>
      <c r="D5" s="34" t="inlineStr">
        <is>
          <t>Indo Borax &amp; Chemicals Ltd</t>
        </is>
      </c>
      <c r="E5" s="31" t="inlineStr">
        <is>
          <t>chemicals</t>
        </is>
      </c>
      <c r="F5" s="31" t="inlineStr">
        <is>
          <t>Chemicals - Inorganic</t>
        </is>
      </c>
      <c r="G5" s="31" t="inlineStr">
        <is>
          <t>smallcap</t>
        </is>
      </c>
      <c r="H5" s="32" t="n">
        <v>1109.99</v>
      </c>
      <c r="I5" s="32" t="n">
        <v>345.9</v>
      </c>
      <c r="J5" s="32" t="n">
        <v>0.76</v>
      </c>
      <c r="K5" s="32" t="n">
        <v>0</v>
      </c>
      <c r="L5" s="31" t="n">
        <v>90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80.2</v>
      </c>
      <c r="P5" s="32" t="n">
        <v>74.53</v>
      </c>
      <c r="Q5" s="32" t="n">
        <v>360.41</v>
      </c>
      <c r="R5" s="31" t="inlineStr">
        <is>
          <t>Volume Spike &amp; Near 52W High Breakout</t>
        </is>
      </c>
      <c r="S5" s="31" t="inlineStr">
        <is>
          <t>Nifty 50</t>
        </is>
      </c>
      <c r="T5" s="32" t="n">
        <v>-2.57</v>
      </c>
      <c r="U5" s="32" t="n">
        <v>110.78</v>
      </c>
      <c r="V5" s="32" t="n">
        <v>116.33</v>
      </c>
      <c r="W5" s="32" t="n">
        <v>32.71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20</t>
        </is>
      </c>
      <c r="CG5" s="31">
        <f>IF(CF5&gt;20,10,IF(CF5&gt;=10,5,2))</f>
        <v/>
      </c>
    </row>
    <row r="6">
      <c r="A6" s="31">
        <f>IF(B6=0,"",RANK(B6,$B$2:$B$95,0))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SANGHVIMOV</t>
        </is>
      </c>
      <c r="D6" s="34" t="inlineStr">
        <is>
          <t>Sanghvi Movers Ltd</t>
        </is>
      </c>
      <c r="E6" s="31" t="inlineStr">
        <is>
          <t>miscellaneous</t>
        </is>
      </c>
      <c r="F6" s="31" t="inlineStr">
        <is>
          <t>Capital Goods - EPC/Cranes</t>
        </is>
      </c>
      <c r="G6" s="31" t="inlineStr">
        <is>
          <t>smallcap</t>
        </is>
      </c>
      <c r="H6" s="32" t="n">
        <v>3094.66</v>
      </c>
      <c r="I6" s="32" t="n">
        <v>357.45</v>
      </c>
      <c r="J6" s="32" t="n">
        <v>2.61</v>
      </c>
      <c r="K6" s="32" t="n">
        <v>0</v>
      </c>
      <c r="L6" s="31" t="n">
        <v>69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68.59</v>
      </c>
      <c r="P6" s="32" t="n">
        <v>43.24</v>
      </c>
      <c r="Q6" s="32" t="n">
        <v>363.41</v>
      </c>
      <c r="R6" s="31" t="inlineStr">
        <is>
          <t>Near 52W High Breakout</t>
        </is>
      </c>
      <c r="S6" s="31" t="inlineStr">
        <is>
          <t>Nifty 50</t>
        </is>
      </c>
      <c r="T6" s="32" t="n">
        <v>-2.57</v>
      </c>
      <c r="U6" s="32" t="n">
        <v>46.56</v>
      </c>
      <c r="V6" s="32" t="n">
        <v>50.42</v>
      </c>
      <c r="W6" s="32" t="n">
        <v>18.09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18</t>
        </is>
      </c>
      <c r="CG6" s="31">
        <f>IF(CF6&gt;20,10,IF(CF6&gt;=10,5,2))</f>
        <v/>
      </c>
    </row>
    <row r="7">
      <c r="A7" s="31">
        <f>IF(B7=0,"",RANK(B7,$B$2:$B$95,0))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SYRMA</t>
        </is>
      </c>
      <c r="D7" s="31" t="inlineStr">
        <is>
          <t>Syrma SGS Technology Ltd</t>
        </is>
      </c>
      <c r="E7" s="31" t="inlineStr">
        <is>
          <t>Technology</t>
        </is>
      </c>
      <c r="F7" s="31" t="inlineStr">
        <is>
          <t>Consumer Electronics - EMS</t>
        </is>
      </c>
      <c r="G7" s="31" t="inlineStr">
        <is>
          <t>largecap</t>
        </is>
      </c>
      <c r="H7" s="32" t="n">
        <v>22499.46</v>
      </c>
      <c r="I7" s="32" t="n">
        <v>1166.8</v>
      </c>
      <c r="J7" s="32" t="n">
        <v>5.37</v>
      </c>
      <c r="K7" s="32" t="n">
        <v>0</v>
      </c>
      <c r="L7" s="31" t="n">
        <v>79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67.68000000000001</v>
      </c>
      <c r="P7" s="32" t="n">
        <v>60.35</v>
      </c>
      <c r="Q7" s="32" t="n">
        <v>1127.2</v>
      </c>
      <c r="R7" s="31" t="inlineStr">
        <is>
          <t>Near 52W High Breakout</t>
        </is>
      </c>
      <c r="S7" s="31" t="inlineStr">
        <is>
          <t>Nifty 50</t>
        </is>
      </c>
      <c r="T7" s="32" t="n">
        <v>-2.57</v>
      </c>
      <c r="U7" s="32" t="n">
        <v>94.09999999999999</v>
      </c>
      <c r="V7" s="32" t="n">
        <v>99.20999999999999</v>
      </c>
      <c r="W7" s="32" t="n">
        <v>22.98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22</t>
        </is>
      </c>
      <c r="CG7" s="31">
        <f>IF(CF7&gt;20,10,IF(CF7&gt;=10,5,2))</f>
        <v/>
      </c>
    </row>
    <row r="8">
      <c r="A8" s="31">
        <f>IF(B8=0,"",RANK(B8,$B$2:$B$95,0))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SENORES</t>
        </is>
      </c>
      <c r="D8" s="31" t="inlineStr">
        <is>
          <t>Senores Pharmaceuticals Ltd</t>
        </is>
      </c>
      <c r="E8" s="31" t="inlineStr">
        <is>
          <t>healthcare</t>
        </is>
      </c>
      <c r="F8" s="31" t="inlineStr">
        <is>
          <t>Pharma - API</t>
        </is>
      </c>
      <c r="G8" s="31" t="inlineStr">
        <is>
          <t>smallcap</t>
        </is>
      </c>
      <c r="H8" s="32" t="n">
        <v>4759.64</v>
      </c>
      <c r="I8" s="32" t="n">
        <v>1033.5</v>
      </c>
      <c r="J8" s="32" t="n">
        <v>-3.21</v>
      </c>
      <c r="K8" s="32" t="n">
        <v>0</v>
      </c>
      <c r="L8" s="31" t="n">
        <v>80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74.13</v>
      </c>
      <c r="P8" s="32" t="n">
        <v>61.71</v>
      </c>
      <c r="Q8" s="32" t="n">
        <v>1166.58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18.64</v>
      </c>
      <c r="U8" s="32" t="n">
        <v>108.95</v>
      </c>
      <c r="V8" s="32" t="n">
        <v>76.11</v>
      </c>
      <c r="W8" s="32" t="n">
        <v>24.31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IF(B9=0,"",RANK(B9,$B$2:$B$95,0))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IOLCP</t>
        </is>
      </c>
      <c r="D9" s="34" t="inlineStr">
        <is>
          <t>IOL Chemicals &amp; Pharmaceuticals Ltd</t>
        </is>
      </c>
      <c r="E9" s="31" t="inlineStr">
        <is>
          <t>healthcare</t>
        </is>
      </c>
      <c r="F9" s="31" t="inlineStr">
        <is>
          <t>Pharma - API &amp; CRAMS</t>
        </is>
      </c>
      <c r="G9" s="31" t="inlineStr">
        <is>
          <t>smallcap</t>
        </is>
      </c>
      <c r="H9" s="32" t="n">
        <v>3857.54</v>
      </c>
      <c r="I9" s="32" t="n">
        <v>131.42</v>
      </c>
      <c r="J9" s="32" t="n">
        <v>4.41</v>
      </c>
      <c r="K9" s="32" t="n">
        <v>0</v>
      </c>
      <c r="L9" s="31" t="n">
        <v>78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69.59999999999999</v>
      </c>
      <c r="P9" s="32" t="n">
        <v>77.91</v>
      </c>
      <c r="Q9" s="32" t="n">
        <v>123.62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18.64</v>
      </c>
      <c r="U9" s="32" t="n">
        <v>71.42</v>
      </c>
      <c r="V9" s="32" t="n">
        <v>44.48</v>
      </c>
      <c r="W9" s="32" t="n">
        <v>22.67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FCL</t>
        </is>
      </c>
      <c r="D10" s="34" t="inlineStr">
        <is>
          <t>Fineotex Chemical Ltd</t>
        </is>
      </c>
      <c r="E10" s="31" t="inlineStr">
        <is>
          <t>chemicals</t>
        </is>
      </c>
      <c r="F10" s="31" t="inlineStr">
        <is>
          <t>Speciality Chemicals</t>
        </is>
      </c>
      <c r="G10" s="31" t="inlineStr">
        <is>
          <t>smallcap</t>
        </is>
      </c>
      <c r="H10" s="32" t="n">
        <v>4932.83</v>
      </c>
      <c r="I10" s="32" t="n">
        <v>42.36</v>
      </c>
      <c r="J10" s="32" t="n">
        <v>3.6</v>
      </c>
      <c r="K10" s="32" t="n">
        <v>0</v>
      </c>
      <c r="L10" s="31" t="n">
        <v>70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67.59999999999999</v>
      </c>
      <c r="P10" s="32" t="n">
        <v>50.24</v>
      </c>
      <c r="Q10" s="32" t="n">
        <v>30.8</v>
      </c>
      <c r="R10" s="31" t="inlineStr">
        <is>
          <t>Near 52W High Breakout</t>
        </is>
      </c>
      <c r="S10" s="31" t="inlineStr">
        <is>
          <t>Nifty 50</t>
        </is>
      </c>
      <c r="T10" s="32" t="n">
        <v>-2.57</v>
      </c>
      <c r="U10" s="32" t="n">
        <v>71.58</v>
      </c>
      <c r="V10" s="32" t="n">
        <v>76.09999999999999</v>
      </c>
      <c r="W10" s="32" t="n">
        <v>18.73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30</t>
        </is>
      </c>
      <c r="CG10" s="31">
        <f>IF(CF10&gt;20,10,IF(CF10&gt;=10,5,2))</f>
        <v/>
      </c>
    </row>
    <row r="11">
      <c r="A11" s="31">
        <f>IF(B11=0,"",RANK(B11,$B$2:$B$95,0))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MODISONLTD</t>
        </is>
      </c>
      <c r="D11" s="31" t="inlineStr">
        <is>
          <t>Modison Ltd</t>
        </is>
      </c>
      <c r="E11" s="31" t="inlineStr">
        <is>
          <t>industrials</t>
        </is>
      </c>
      <c r="F11" s="31" t="inlineStr">
        <is>
          <t>Capital Goods - Electric General</t>
        </is>
      </c>
      <c r="G11" s="31" t="inlineStr">
        <is>
          <t>smallcap</t>
        </is>
      </c>
      <c r="H11" s="32" t="n">
        <v>1017.96</v>
      </c>
      <c r="I11" s="32" t="n">
        <v>313.7</v>
      </c>
      <c r="J11" s="32" t="n">
        <v>4.99</v>
      </c>
      <c r="K11" s="32" t="n">
        <v>0</v>
      </c>
      <c r="L11" s="31" t="n">
        <v>98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76.12</v>
      </c>
      <c r="P11" s="32" t="n">
        <v>58.12</v>
      </c>
      <c r="Q11" s="32" t="n">
        <v>300.66</v>
      </c>
      <c r="R11" s="31" t="inlineStr">
        <is>
          <t>Volume Spike &amp; Near 52W High Breakout</t>
        </is>
      </c>
      <c r="S11" s="31" t="inlineStr">
        <is>
          <t>Nifty 50</t>
        </is>
      </c>
      <c r="T11" s="32" t="n">
        <v>-2.57</v>
      </c>
      <c r="U11" s="32" t="n">
        <v>160.34</v>
      </c>
      <c r="V11" s="32" t="n">
        <v>167.19</v>
      </c>
      <c r="W11" s="32" t="n">
        <v>56.65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28</t>
        </is>
      </c>
      <c r="CG11" s="31">
        <f>IF(CF11&gt;20,10,IF(CF11&gt;=10,5,2))</f>
        <v/>
      </c>
    </row>
    <row r="12">
      <c r="A12" s="31">
        <f>IF(B12=0,"",RANK(B12,$B$2:$B$95,0))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UNIPARTS</t>
        </is>
      </c>
      <c r="D12" s="31" t="inlineStr">
        <is>
          <t>Uniparts India Ltd</t>
        </is>
      </c>
      <c r="E12" s="31" t="inlineStr">
        <is>
          <t>industrials</t>
        </is>
      </c>
      <c r="F12" s="31" t="inlineStr">
        <is>
          <t>Castings, Forgings &amp; Fastners</t>
        </is>
      </c>
      <c r="G12" s="31" t="inlineStr">
        <is>
          <t>smallcap</t>
        </is>
      </c>
      <c r="H12" s="32" t="n">
        <v>2704.98</v>
      </c>
      <c r="I12" s="32" t="n">
        <v>599.2</v>
      </c>
      <c r="J12" s="32" t="n">
        <v>1.06</v>
      </c>
      <c r="K12" s="32" t="n">
        <v>0</v>
      </c>
      <c r="L12" s="31" t="n">
        <v>82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78.17</v>
      </c>
      <c r="P12" s="32" t="n">
        <v>63.76</v>
      </c>
      <c r="Q12" s="32" t="n">
        <v>656.0599999999999</v>
      </c>
      <c r="R12" s="31" t="inlineStr">
        <is>
          <t>Near 52W High Breakout</t>
        </is>
      </c>
      <c r="S12" s="31" t="inlineStr">
        <is>
          <t>Nifty 50</t>
        </is>
      </c>
      <c r="T12" s="32" t="n">
        <v>-2.57</v>
      </c>
      <c r="U12" s="32" t="n">
        <v>106.36</v>
      </c>
      <c r="V12" s="32" t="n">
        <v>111.8</v>
      </c>
      <c r="W12" s="32" t="n">
        <v>25.81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26</t>
        </is>
      </c>
      <c r="CG12" s="31">
        <f>IF(CF12&gt;20,10,IF(CF12&gt;=10,5,2))</f>
        <v/>
      </c>
    </row>
    <row r="13">
      <c r="A13" s="31">
        <f>IF(B13=0,"",RANK(B13,$B$2:$B$95,0))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UNIVCABLES</t>
        </is>
      </c>
      <c r="D13" s="31" t="inlineStr">
        <is>
          <t>Universal Cables Ltd</t>
        </is>
      </c>
      <c r="E13" s="31" t="inlineStr">
        <is>
          <t>industrials</t>
        </is>
      </c>
      <c r="F13" s="31" t="inlineStr">
        <is>
          <t>Cables - Power</t>
        </is>
      </c>
      <c r="G13" s="31" t="inlineStr">
        <is>
          <t>smallcap</t>
        </is>
      </c>
      <c r="H13" s="32" t="n">
        <v>4299.45</v>
      </c>
      <c r="I13" s="32" t="n">
        <v>1239.2</v>
      </c>
      <c r="J13" s="32" t="n">
        <v>13.3</v>
      </c>
      <c r="K13" s="32" t="n">
        <v>0</v>
      </c>
      <c r="L13" s="31" t="n">
        <v>95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76.81</v>
      </c>
      <c r="P13" s="32" t="n">
        <v>58.83</v>
      </c>
      <c r="Q13" s="32" t="n">
        <v>1186.95</v>
      </c>
      <c r="R13" s="31" t="inlineStr">
        <is>
          <t>Near 52W High Breakout</t>
        </is>
      </c>
      <c r="S13" s="31" t="inlineStr">
        <is>
          <t>Nifty Energy</t>
        </is>
      </c>
      <c r="T13" s="32" t="n">
        <v>8.23</v>
      </c>
      <c r="U13" s="32" t="n">
        <v>122.53</v>
      </c>
      <c r="V13" s="32" t="n">
        <v>105.61</v>
      </c>
      <c r="W13" s="32" t="n">
        <v>43.07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18</t>
        </is>
      </c>
      <c r="CG13" s="31">
        <f>IF(CF13&gt;20,10,IF(CF13&gt;=10,5,2))</f>
        <v/>
      </c>
    </row>
    <row r="14">
      <c r="A14" s="31">
        <f>IF(B14=0,"",RANK(B14,$B$2:$B$95,0))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RATEGAIN</t>
        </is>
      </c>
      <c r="D14" s="31" t="inlineStr">
        <is>
          <t>Rategain Travel Technologies Ltd</t>
        </is>
      </c>
      <c r="E14" s="31" t="inlineStr">
        <is>
          <t>Technology</t>
        </is>
      </c>
      <c r="F14" s="31" t="inlineStr">
        <is>
          <t>IT Product Companies</t>
        </is>
      </c>
      <c r="G14" s="31" t="inlineStr">
        <is>
          <t>midcap</t>
        </is>
      </c>
      <c r="H14" s="32" t="n">
        <v>9155.459999999999</v>
      </c>
      <c r="I14" s="32" t="n">
        <v>774.8</v>
      </c>
      <c r="J14" s="32" t="n">
        <v>-0.3</v>
      </c>
      <c r="K14" s="32" t="n">
        <v>0</v>
      </c>
      <c r="L14" s="31" t="n">
        <v>78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72.04000000000001</v>
      </c>
      <c r="P14" s="32" t="n">
        <v>45.23</v>
      </c>
      <c r="Q14" s="32" t="n">
        <v>724.28</v>
      </c>
      <c r="R14" s="31" t="inlineStr">
        <is>
          <t>Near 52W High Breakout</t>
        </is>
      </c>
      <c r="S14" s="31" t="inlineStr">
        <is>
          <t>Nifty IT</t>
        </is>
      </c>
      <c r="T14" s="32" t="n">
        <v>-13.45</v>
      </c>
      <c r="U14" s="32" t="n">
        <v>90.64</v>
      </c>
      <c r="V14" s="32" t="n">
        <v>120.27</v>
      </c>
      <c r="W14" s="32" t="n">
        <v>22.57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29</t>
        </is>
      </c>
      <c r="CG14" s="31">
        <f>IF(CF14&gt;20,10,IF(CF14&gt;=10,5,2))</f>
        <v/>
      </c>
    </row>
    <row r="15">
      <c r="A15" s="31">
        <f>IF(B15=0,"",RANK(B15,$B$2:$B$95,0))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KMCSHIL</t>
        </is>
      </c>
      <c r="D15" s="31" t="inlineStr">
        <is>
          <t>KMC Speciality Hospitals (India) Ltd</t>
        </is>
      </c>
      <c r="E15" s="31" t="inlineStr">
        <is>
          <t>Healthcare</t>
        </is>
      </c>
      <c r="F15" s="31" t="inlineStr">
        <is>
          <t>Hospitals</t>
        </is>
      </c>
      <c r="G15" s="31" t="inlineStr">
        <is>
          <t>smallcap</t>
        </is>
      </c>
      <c r="H15" s="32" t="n">
        <v>1939.08</v>
      </c>
      <c r="I15" s="32" t="n">
        <v>118.9</v>
      </c>
      <c r="J15" s="32" t="n">
        <v>3.39</v>
      </c>
      <c r="K15" s="32" t="n">
        <v>0</v>
      </c>
      <c r="L15" s="31" t="n">
        <v>81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72.08</v>
      </c>
      <c r="P15" s="32" t="n">
        <v>63.01</v>
      </c>
      <c r="Q15" s="32" t="n">
        <v>104.07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18.64</v>
      </c>
      <c r="U15" s="32" t="n">
        <v>96.88</v>
      </c>
      <c r="V15" s="32" t="n">
        <v>65.94</v>
      </c>
      <c r="W15" s="32" t="n">
        <v>24.38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29</t>
        </is>
      </c>
      <c r="CG15" s="31">
        <f>IF(CF15&gt;20,10,IF(CF15&gt;=10,5,2))</f>
        <v/>
      </c>
    </row>
    <row r="16">
      <c r="A16" s="31">
        <f>IF(B16=0,"",RANK(B16,$B$2:$B$95,0))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KPL</t>
        </is>
      </c>
      <c r="D16" s="31" t="inlineStr">
        <is>
          <t>Kwality Pharmaceuticals Ltd</t>
        </is>
      </c>
      <c r="E16" s="31" t="inlineStr">
        <is>
          <t>Healthcare</t>
        </is>
      </c>
      <c r="F16" s="31" t="inlineStr">
        <is>
          <t>Pharma - Formulators</t>
        </is>
      </c>
      <c r="G16" s="31" t="inlineStr">
        <is>
          <t>smallcap</t>
        </is>
      </c>
      <c r="H16" s="32" t="n">
        <v>2406.24</v>
      </c>
      <c r="I16" s="32" t="n">
        <v>2319</v>
      </c>
      <c r="J16" s="32" t="n">
        <v>4.49</v>
      </c>
      <c r="K16" s="32" t="n">
        <v>0</v>
      </c>
      <c r="L16" s="31" t="n">
        <v>96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81.65000000000001</v>
      </c>
      <c r="P16" s="32" t="n">
        <v>68.81999999999999</v>
      </c>
      <c r="Q16" s="32" t="n">
        <v>2757.61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18.64</v>
      </c>
      <c r="U16" s="32" t="n">
        <v>258.16</v>
      </c>
      <c r="V16" s="32" t="n">
        <v>201.88</v>
      </c>
      <c r="W16" s="32" t="n">
        <v>46.67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29</t>
        </is>
      </c>
      <c r="CG16" s="31">
        <f>IF(CF16&gt;20,10,IF(CF16&gt;=10,5,2))</f>
        <v/>
      </c>
    </row>
    <row r="17">
      <c r="A17" s="31">
        <f>IF(B17=0,"",RANK(B17,$B$2:$B$95,0))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VENUSREM</t>
        </is>
      </c>
      <c r="D17" s="34" t="inlineStr">
        <is>
          <t>Venus Remedies Ltd</t>
        </is>
      </c>
      <c r="E17" s="31" t="inlineStr">
        <is>
          <t>healthcare</t>
        </is>
      </c>
      <c r="F17" s="31" t="inlineStr">
        <is>
          <t>Pharmaceuticals - I V Fluids</t>
        </is>
      </c>
      <c r="G17" s="31" t="inlineStr">
        <is>
          <t>smallcap</t>
        </is>
      </c>
      <c r="H17" s="32" t="n">
        <v>1886.48</v>
      </c>
      <c r="I17" s="32" t="n">
        <v>1411.3</v>
      </c>
      <c r="J17" s="32" t="n">
        <v>5</v>
      </c>
      <c r="K17" s="32" t="n">
        <v>0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66.56999999999999</v>
      </c>
      <c r="P17" s="32" t="n">
        <v>59.76</v>
      </c>
      <c r="Q17" s="32" t="n">
        <v>1378.14</v>
      </c>
      <c r="R17" s="31" t="inlineStr">
        <is>
          <t>Earnings / Momentum Support</t>
        </is>
      </c>
      <c r="S17" s="31" t="inlineStr">
        <is>
          <t>Nifty Pharma</t>
        </is>
      </c>
      <c r="T17" s="32" t="n">
        <v>18.64</v>
      </c>
      <c r="U17" s="32" t="n">
        <v>248.43</v>
      </c>
      <c r="V17" s="32" t="n">
        <v>193.67</v>
      </c>
      <c r="W17" s="32" t="n">
        <v>43.34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26</t>
        </is>
      </c>
      <c r="CG17" s="31">
        <f>IF(CF17&gt;20,10,IF(CF17&gt;=10,5,2))</f>
        <v/>
      </c>
    </row>
    <row r="18">
      <c r="A18" s="31">
        <f>IF(B18=0,"",RANK(B18,$B$2:$B$95,0))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SAKAR</t>
        </is>
      </c>
      <c r="D18" s="31" t="inlineStr">
        <is>
          <t>Sakar Healthcare Ltd</t>
        </is>
      </c>
      <c r="E18" s="31" t="inlineStr">
        <is>
          <t>Healthcare</t>
        </is>
      </c>
      <c r="F18" s="31" t="inlineStr">
        <is>
          <t>Hospitals</t>
        </is>
      </c>
      <c r="G18" s="31" t="inlineStr">
        <is>
          <t>smallcap</t>
        </is>
      </c>
      <c r="H18" s="32" t="n">
        <v>1856.98</v>
      </c>
      <c r="I18" s="32" t="n">
        <v>834.6</v>
      </c>
      <c r="J18" s="32" t="n">
        <v>-0.13</v>
      </c>
      <c r="K18" s="32" t="n">
        <v>0</v>
      </c>
      <c r="L18" s="31" t="n">
        <v>83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65.97</v>
      </c>
      <c r="P18" s="32" t="n">
        <v>53.93</v>
      </c>
      <c r="Q18" s="32" t="n">
        <v>651.75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18.64</v>
      </c>
      <c r="U18" s="32" t="n">
        <v>166.5</v>
      </c>
      <c r="V18" s="32" t="n">
        <v>124.62</v>
      </c>
      <c r="W18" s="32" t="n">
        <v>26.12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AVALON</t>
        </is>
      </c>
      <c r="D19" s="31" t="inlineStr">
        <is>
          <t>Avalon Technologies Ltd</t>
        </is>
      </c>
      <c r="E19" s="31" t="inlineStr">
        <is>
          <t>consumer discretionary</t>
        </is>
      </c>
      <c r="F19" s="31" t="inlineStr">
        <is>
          <t>Consumer Electronics - EMS</t>
        </is>
      </c>
      <c r="G19" s="31" t="inlineStr">
        <is>
          <t>midcap</t>
        </is>
      </c>
      <c r="H19" s="32" t="n">
        <v>10094.38</v>
      </c>
      <c r="I19" s="32" t="n">
        <v>1511.9</v>
      </c>
      <c r="J19" s="32" t="n">
        <v>4.14</v>
      </c>
      <c r="K19" s="32" t="n">
        <v>0</v>
      </c>
      <c r="L19" s="31" t="n">
        <v>91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83.66</v>
      </c>
      <c r="P19" s="32" t="n">
        <v>58.9</v>
      </c>
      <c r="Q19" s="32" t="n">
        <v>1738.36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-2.57</v>
      </c>
      <c r="U19" s="32" t="n">
        <v>162.91</v>
      </c>
      <c r="V19" s="32" t="n">
        <v>169.83</v>
      </c>
      <c r="W19" s="32" t="n">
        <v>33.56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25</t>
        </is>
      </c>
      <c r="CG19" s="31">
        <f>IF(CF19&gt;20,10,IF(CF19&gt;=10,5,2))</f>
        <v/>
      </c>
    </row>
    <row r="20">
      <c r="A20" s="31">
        <f>IF(B20=0,"",RANK(B20,$B$2:$B$95,0))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HONASA</t>
        </is>
      </c>
      <c r="D20" s="31" t="inlineStr">
        <is>
          <t>Honasa Consumer Ltd</t>
        </is>
      </c>
      <c r="E20" s="31" t="inlineStr">
        <is>
          <t>services</t>
        </is>
      </c>
      <c r="F20" s="31" t="inlineStr">
        <is>
          <t>New age - Platform - E-Retail</t>
        </is>
      </c>
      <c r="G20" s="31" t="inlineStr">
        <is>
          <t>midcap</t>
        </is>
      </c>
      <c r="H20" s="32" t="n">
        <v>13244.18</v>
      </c>
      <c r="I20" s="32" t="n">
        <v>407.05</v>
      </c>
      <c r="J20" s="32" t="n">
        <v>1.04</v>
      </c>
      <c r="K20" s="32" t="n">
        <v>0</v>
      </c>
      <c r="L20" s="31" t="n">
        <v>63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71.56999999999999</v>
      </c>
      <c r="P20" s="32" t="n">
        <v>60.29</v>
      </c>
      <c r="Q20" s="32" t="n">
        <v>409.36</v>
      </c>
      <c r="R20" s="31" t="inlineStr">
        <is>
          <t>Near 52W High Breakout</t>
        </is>
      </c>
      <c r="S20" s="31" t="inlineStr">
        <is>
          <t>Nifty 50</t>
        </is>
      </c>
      <c r="T20" s="32" t="n">
        <v>-2.57</v>
      </c>
      <c r="U20" s="32" t="n">
        <v>61.24</v>
      </c>
      <c r="V20" s="32" t="n">
        <v>65.48999999999999</v>
      </c>
      <c r="W20" s="32" t="n">
        <v>16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DIACABS</t>
        </is>
      </c>
      <c r="D21" s="34" t="inlineStr">
        <is>
          <t>Diamond Power Infrastructure Ltd</t>
        </is>
      </c>
      <c r="E21" s="31" t="inlineStr">
        <is>
          <t>industrials</t>
        </is>
      </c>
      <c r="F21" s="31" t="inlineStr">
        <is>
          <t>Cables - Power</t>
        </is>
      </c>
      <c r="G21" s="31" t="inlineStr">
        <is>
          <t>midcap</t>
        </is>
      </c>
      <c r="H21" s="32" t="n">
        <v>10257.49</v>
      </c>
      <c r="I21" s="32" t="n">
        <v>194.65</v>
      </c>
      <c r="J21" s="32" t="n">
        <v>6.37</v>
      </c>
      <c r="K21" s="32" t="n">
        <v>0</v>
      </c>
      <c r="L21" s="31" t="n">
        <v>97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82.62</v>
      </c>
      <c r="P21" s="32" t="n">
        <v>64.48</v>
      </c>
      <c r="Q21" s="32" t="n">
        <v>284.3</v>
      </c>
      <c r="R21" s="31" t="inlineStr">
        <is>
          <t>Near 52W High Breakout</t>
        </is>
      </c>
      <c r="S21" s="31" t="inlineStr">
        <is>
          <t>Nifty Energy</t>
        </is>
      </c>
      <c r="T21" s="32" t="n">
        <v>8.23</v>
      </c>
      <c r="U21" s="32" t="n">
        <v>117.29</v>
      </c>
      <c r="V21" s="32" t="n">
        <v>100.76</v>
      </c>
      <c r="W21" s="32" t="n">
        <v>48.56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SUNRAKSHAK</t>
        </is>
      </c>
      <c r="D22" s="31" t="inlineStr">
        <is>
          <t>Sunrakshakk Industries India Ltd</t>
        </is>
      </c>
      <c r="E22" s="31" t="inlineStr">
        <is>
          <t>Consumer Cyclical</t>
        </is>
      </c>
      <c r="F22" s="31" t="inlineStr">
        <is>
          <t>Textiles - Processing/Texturising</t>
        </is>
      </c>
      <c r="G22" s="31" t="inlineStr">
        <is>
          <t>smallcap</t>
        </is>
      </c>
      <c r="H22" s="32" t="n">
        <v>1065.7</v>
      </c>
      <c r="I22" s="32" t="n">
        <v>343.7</v>
      </c>
      <c r="J22" s="32" t="n">
        <v>-1.91</v>
      </c>
      <c r="K22" s="32" t="n">
        <v>0</v>
      </c>
      <c r="L22" s="31" t="n">
        <v>57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65.65000000000001</v>
      </c>
      <c r="P22" s="32" t="n">
        <v>44.37</v>
      </c>
      <c r="Q22" s="32" t="n">
        <v>293.22</v>
      </c>
      <c r="R22" s="31" t="inlineStr">
        <is>
          <t>Near 52W High Breakout</t>
        </is>
      </c>
      <c r="S22" s="31" t="inlineStr">
        <is>
          <t>Nifty 50</t>
        </is>
      </c>
      <c r="T22" s="32" t="n">
        <v>-2.57</v>
      </c>
      <c r="U22" s="32" t="n">
        <v>59.39</v>
      </c>
      <c r="V22" s="32" t="n">
        <v>63.59</v>
      </c>
      <c r="W22" s="32" t="n">
        <v>13.87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Negative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KSHINTL</t>
        </is>
      </c>
      <c r="D23" s="31" t="inlineStr">
        <is>
          <t>KSH International Ltd</t>
        </is>
      </c>
      <c r="E23" s="31" t="inlineStr">
        <is>
          <t>Industrials</t>
        </is>
      </c>
      <c r="F23" s="31" t="inlineStr">
        <is>
          <t>Electrical Equipments/HVDC</t>
        </is>
      </c>
      <c r="G23" s="31" t="inlineStr">
        <is>
          <t>midcap</t>
        </is>
      </c>
      <c r="H23" s="32" t="n">
        <v>5520.4</v>
      </c>
      <c r="I23" s="32" t="n">
        <v>814.75</v>
      </c>
      <c r="J23" s="32" t="n">
        <v>0.2</v>
      </c>
      <c r="K23" s="32" t="n">
        <v>0</v>
      </c>
      <c r="L23" s="31" t="n">
        <v>87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80.43000000000001</v>
      </c>
      <c r="P23" s="32" t="n">
        <v>46.22</v>
      </c>
      <c r="Q23" s="32" t="n">
        <v>773.85</v>
      </c>
      <c r="R23" s="31" t="inlineStr">
        <is>
          <t>Near 52W High Breakout</t>
        </is>
      </c>
      <c r="S23" s="31" t="inlineStr">
        <is>
          <t>Nifty 50</t>
        </is>
      </c>
      <c r="T23" s="32" t="n">
        <v>-6.95</v>
      </c>
      <c r="U23" s="32" t="n">
        <v>194.5</v>
      </c>
      <c r="V23" s="32" t="n">
        <v>216.5</v>
      </c>
      <c r="W23" s="32" t="n">
        <v>30.72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IF(B24=0,"",RANK(B24,$B$2:$B$95,0))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DIVGIITTS</t>
        </is>
      </c>
      <c r="D24" s="31" t="inlineStr">
        <is>
          <t>Divgi Torqtransfer Systems Ltd</t>
        </is>
      </c>
      <c r="E24" s="31" t="inlineStr">
        <is>
          <t>auto</t>
        </is>
      </c>
      <c r="F24" s="31" t="inlineStr">
        <is>
          <t>Auto Ancillaries - Transmission</t>
        </is>
      </c>
      <c r="G24" s="31" t="inlineStr">
        <is>
          <t>smallcap</t>
        </is>
      </c>
      <c r="H24" s="32" t="n">
        <v>2414.37</v>
      </c>
      <c r="I24" s="32" t="n">
        <v>789.45</v>
      </c>
      <c r="J24" s="32" t="n">
        <v>-2.1</v>
      </c>
      <c r="K24" s="32" t="n">
        <v>0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74.59</v>
      </c>
      <c r="P24" s="32" t="n">
        <v>49.21</v>
      </c>
      <c r="Q24" s="32" t="n">
        <v>1009.46</v>
      </c>
      <c r="R24" s="31" t="inlineStr">
        <is>
          <t>Near 52W High Breakout</t>
        </is>
      </c>
      <c r="S24" s="31" t="inlineStr">
        <is>
          <t>Nifty Auto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IF(B25=0,"",RANK(B25,$B$2:$B$95,0))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BLISSGVS</t>
        </is>
      </c>
      <c r="D25" s="34" t="inlineStr">
        <is>
          <t>Bliss GVS Pharma Ltd</t>
        </is>
      </c>
      <c r="E25" s="31" t="inlineStr">
        <is>
          <t>healthcare</t>
        </is>
      </c>
      <c r="F25" s="31" t="inlineStr">
        <is>
          <t>Pharma - Formulators</t>
        </is>
      </c>
      <c r="G25" s="31" t="inlineStr">
        <is>
          <t>smallcap</t>
        </is>
      </c>
      <c r="H25" s="32" t="n">
        <v>4596</v>
      </c>
      <c r="I25" s="32" t="n">
        <v>434.45</v>
      </c>
      <c r="J25" s="32" t="n">
        <v>7.95</v>
      </c>
      <c r="K25" s="32" t="n">
        <v>0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82.41</v>
      </c>
      <c r="P25" s="32" t="n">
        <v>75.18000000000001</v>
      </c>
      <c r="Q25" s="32" t="n">
        <v>435.31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18.64</v>
      </c>
      <c r="U25" s="32" t="n">
        <v>261.16</v>
      </c>
      <c r="V25" s="32" t="n">
        <v>204.4</v>
      </c>
      <c r="W25" s="32" t="n">
        <v>52.14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Between 12 to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27</t>
        </is>
      </c>
      <c r="CG25" s="31">
        <f>IF(CF25&gt;20,10,IF(CF25&gt;=10,5,2))</f>
        <v/>
      </c>
    </row>
    <row r="26">
      <c r="A26" s="31">
        <f>IF(B26=0,"",RANK(B26,$B$2:$B$95,0))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CUPID</t>
        </is>
      </c>
      <c r="D26" s="31" t="inlineStr">
        <is>
          <t>Cupid Ltd</t>
        </is>
      </c>
      <c r="E26" s="31" t="inlineStr">
        <is>
          <t>fmcg</t>
        </is>
      </c>
      <c r="F26" s="31" t="inlineStr">
        <is>
          <t>Contraceptives/Protectives</t>
        </is>
      </c>
      <c r="G26" s="31" t="inlineStr">
        <is>
          <t>midcap</t>
        </is>
      </c>
      <c r="H26" s="32" t="n">
        <v>17258.72</v>
      </c>
      <c r="I26" s="32" t="n">
        <v>128.35</v>
      </c>
      <c r="J26" s="32" t="n">
        <v>-0.57</v>
      </c>
      <c r="K26" s="32" t="n">
        <v>0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86.90000000000001</v>
      </c>
      <c r="P26" s="32" t="n">
        <v>71.51000000000001</v>
      </c>
      <c r="Q26" s="32" t="n">
        <v>226.79</v>
      </c>
      <c r="R26" s="31" t="inlineStr">
        <is>
          <t>Near 52W High Breakout</t>
        </is>
      </c>
      <c r="S26" s="31" t="inlineStr">
        <is>
          <t>Nifty FMCG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HESTERBIO</t>
        </is>
      </c>
      <c r="D27" s="34" t="inlineStr">
        <is>
          <t>Hester Biosciences Ltd</t>
        </is>
      </c>
      <c r="E27" s="31" t="inlineStr">
        <is>
          <t>Healthcare</t>
        </is>
      </c>
      <c r="F27" s="31" t="inlineStr">
        <is>
          <t>Pharma - Animal</t>
        </is>
      </c>
      <c r="G27" s="31" t="inlineStr">
        <is>
          <t>smallcap</t>
        </is>
      </c>
      <c r="H27" s="32" t="n">
        <v>1714.47</v>
      </c>
      <c r="I27" s="32" t="n">
        <v>2015.4</v>
      </c>
      <c r="J27" s="32" t="n">
        <v>-0.08</v>
      </c>
      <c r="K27" s="32" t="n">
        <v>0</v>
      </c>
      <c r="L27" s="31" t="n">
        <v>46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69.83</v>
      </c>
      <c r="P27" s="32" t="n">
        <v>63.01</v>
      </c>
      <c r="Q27" s="32" t="n">
        <v>1907.72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18.64</v>
      </c>
      <c r="U27" s="32" t="n">
        <v>20.04</v>
      </c>
      <c r="V27" s="32" t="n">
        <v>1.18</v>
      </c>
      <c r="W27" s="32" t="n">
        <v>10.92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19</t>
        </is>
      </c>
      <c r="CG27" s="31">
        <f>IF(CF27&gt;20,10,IF(CF27&gt;=10,5,2))</f>
        <v/>
      </c>
    </row>
    <row r="28">
      <c r="A28" s="31">
        <f>IF(B28=0,"",RANK(B28,$B$2:$B$95,0))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SKIPPER</t>
        </is>
      </c>
      <c r="D28" s="34" t="inlineStr">
        <is>
          <t>Skipper Ltd</t>
        </is>
      </c>
      <c r="E28" s="31" t="inlineStr">
        <is>
          <t>industrials</t>
        </is>
      </c>
      <c r="F28" s="31" t="inlineStr">
        <is>
          <t>Electrical Equipments/HVDC</t>
        </is>
      </c>
      <c r="G28" s="31" t="inlineStr">
        <is>
          <t>midcap</t>
        </is>
      </c>
      <c r="H28" s="32" t="n">
        <v>6464.53</v>
      </c>
      <c r="I28" s="32" t="n">
        <v>572.4</v>
      </c>
      <c r="J28" s="32" t="n">
        <v>4.58</v>
      </c>
      <c r="K28" s="32" t="n">
        <v>0</v>
      </c>
      <c r="L28" s="31" t="n">
        <v>26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63.02</v>
      </c>
      <c r="P28" s="32" t="n">
        <v>35.87</v>
      </c>
      <c r="Q28" s="32" t="n">
        <v>437.57</v>
      </c>
      <c r="R28" s="31" t="inlineStr">
        <is>
          <t>Near 52W High Breakout</t>
        </is>
      </c>
      <c r="S28" s="31" t="inlineStr">
        <is>
          <t>Nifty 50</t>
        </is>
      </c>
      <c r="T28" s="32" t="n">
        <v>-2.57</v>
      </c>
      <c r="U28" s="32" t="n">
        <v>2.92</v>
      </c>
      <c r="V28" s="32" t="n">
        <v>5.63</v>
      </c>
      <c r="W28" s="32" t="n">
        <v>6.14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32</t>
        </is>
      </c>
      <c r="CG28" s="31">
        <f>IF(CF28&gt;20,10,IF(CF28&gt;=10,5,2))</f>
        <v/>
      </c>
    </row>
    <row r="29">
      <c r="A29" s="31">
        <f>IF(B29=0,"",RANK(B29,$B$2:$B$95,0))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SKYGOLD</t>
        </is>
      </c>
      <c r="D29" s="31" t="inlineStr">
        <is>
          <t>Sky Gold &amp; Diamonds Ltd</t>
        </is>
      </c>
      <c r="E29" s="31" t="inlineStr">
        <is>
          <t>consumer discretionary</t>
        </is>
      </c>
      <c r="F29" s="31" t="inlineStr">
        <is>
          <t>Diamond, Gems &amp; Jewellery</t>
        </is>
      </c>
      <c r="G29" s="31" t="inlineStr">
        <is>
          <t>midcap</t>
        </is>
      </c>
      <c r="H29" s="32" t="n">
        <v>8668.290000000001</v>
      </c>
      <c r="I29" s="32" t="n">
        <v>559.7</v>
      </c>
      <c r="J29" s="32" t="n">
        <v>7.22</v>
      </c>
      <c r="K29" s="32" t="n">
        <v>0</v>
      </c>
      <c r="L29" s="31" t="n">
        <v>92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80.38</v>
      </c>
      <c r="P29" s="32" t="n">
        <v>63.34</v>
      </c>
      <c r="Q29" s="32" t="n">
        <v>595.58</v>
      </c>
      <c r="R29" s="31" t="inlineStr">
        <is>
          <t>Near 52W High Breakout</t>
        </is>
      </c>
      <c r="S29" s="31" t="inlineStr">
        <is>
          <t>Nifty 50</t>
        </is>
      </c>
      <c r="T29" s="32" t="n">
        <v>-2.57</v>
      </c>
      <c r="U29" s="32" t="n">
        <v>155.3</v>
      </c>
      <c r="V29" s="32" t="n">
        <v>162.03</v>
      </c>
      <c r="W29" s="32" t="n">
        <v>35.89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31</t>
        </is>
      </c>
      <c r="CG29" s="31">
        <f>IF(CF29&gt;20,10,IF(CF29&gt;=10,5,2))</f>
        <v/>
      </c>
    </row>
    <row r="30">
      <c r="A30" s="31">
        <f>IF(B30=0,"",RANK(B30,$B$2:$B$95,0))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MINDACORP</t>
        </is>
      </c>
      <c r="D30" s="31" t="inlineStr">
        <is>
          <t>Minda Corporation Ltd</t>
        </is>
      </c>
      <c r="E30" s="31" t="inlineStr">
        <is>
          <t>auto</t>
        </is>
      </c>
      <c r="F30" s="31" t="inlineStr">
        <is>
          <t>Auto Ancillaries - Diversified</t>
        </is>
      </c>
      <c r="G30" s="31" t="inlineStr">
        <is>
          <t>midcap</t>
        </is>
      </c>
      <c r="H30" s="32" t="n">
        <v>15058.42</v>
      </c>
      <c r="I30" s="32" t="n">
        <v>629.85</v>
      </c>
      <c r="J30" s="32" t="n">
        <v>1.79</v>
      </c>
      <c r="K30" s="32" t="n">
        <v>0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72.98999999999999</v>
      </c>
      <c r="P30" s="32" t="n">
        <v>39.21</v>
      </c>
      <c r="Q30" s="32" t="n">
        <v>613.37</v>
      </c>
      <c r="R30" s="31" t="inlineStr">
        <is>
          <t>Near 52W High Breakout</t>
        </is>
      </c>
      <c r="S30" s="31" t="inlineStr">
        <is>
          <t>Nifty Auto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27</t>
        </is>
      </c>
      <c r="CG30" s="31">
        <f>IF(CF30&gt;20,10,IF(CF30&gt;=10,5,2))</f>
        <v/>
      </c>
    </row>
    <row r="31">
      <c r="A31" s="31">
        <f>IF(B31=0,"",RANK(B31,$B$2:$B$95,0))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HFCL</t>
        </is>
      </c>
      <c r="D31" s="31" t="inlineStr">
        <is>
          <t>HFCL Ltd</t>
        </is>
      </c>
      <c r="E31" s="31" t="inlineStr">
        <is>
          <t>telecom</t>
        </is>
      </c>
      <c r="F31" s="31" t="inlineStr">
        <is>
          <t>Telecom Services</t>
        </is>
      </c>
      <c r="G31" s="31" t="inlineStr">
        <is>
          <t>largecap</t>
        </is>
      </c>
      <c r="H31" s="32" t="n">
        <v>29072.26</v>
      </c>
      <c r="I31" s="32" t="n">
        <v>189.94</v>
      </c>
      <c r="J31" s="32" t="n">
        <v>4.2</v>
      </c>
      <c r="K31" s="32" t="n">
        <v>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73.84</v>
      </c>
      <c r="P31" s="32" t="n">
        <v>64.58</v>
      </c>
      <c r="Q31" s="32" t="n">
        <v>165.07</v>
      </c>
      <c r="R31" s="31" t="inlineStr">
        <is>
          <t>Near 52W High Breakout</t>
        </is>
      </c>
      <c r="S31" s="31" t="inlineStr">
        <is>
          <t>Nifty Infra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Oligopoly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27</t>
        </is>
      </c>
      <c r="CG31" s="31">
        <f>IF(CF31&gt;20,10,IF(CF31&gt;=10,5,2))</f>
        <v/>
      </c>
    </row>
    <row r="32">
      <c r="A32" s="31">
        <f>IF(B32=0,"",RANK(B32,$B$2:$B$95,0))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RRKABEL</t>
        </is>
      </c>
      <c r="D32" s="34" t="inlineStr">
        <is>
          <t>R R Kabel Ltd</t>
        </is>
      </c>
      <c r="E32" s="31" t="inlineStr">
        <is>
          <t>industrials</t>
        </is>
      </c>
      <c r="F32" s="31" t="inlineStr">
        <is>
          <t>Cables - Power</t>
        </is>
      </c>
      <c r="G32" s="31" t="inlineStr">
        <is>
          <t>largecap</t>
        </is>
      </c>
      <c r="H32" s="32" t="n">
        <v>22890.29</v>
      </c>
      <c r="I32" s="32" t="n">
        <v>2023.8</v>
      </c>
      <c r="J32" s="32" t="n">
        <v>-0.2</v>
      </c>
      <c r="K32" s="32" t="n">
        <v>0</v>
      </c>
      <c r="L32" s="31" t="n">
        <v>94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79.14</v>
      </c>
      <c r="P32" s="32" t="n">
        <v>67.95999999999999</v>
      </c>
      <c r="Q32" s="32" t="n">
        <v>2329.86</v>
      </c>
      <c r="R32" s="31" t="inlineStr">
        <is>
          <t>Near 52W High Breakout</t>
        </is>
      </c>
      <c r="S32" s="31" t="inlineStr">
        <is>
          <t>Nifty Energy</t>
        </is>
      </c>
      <c r="T32" s="32" t="n">
        <v>8.23</v>
      </c>
      <c r="U32" s="32" t="n">
        <v>108.41</v>
      </c>
      <c r="V32" s="32" t="n">
        <v>92.56</v>
      </c>
      <c r="W32" s="32" t="n">
        <v>41.41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24</t>
        </is>
      </c>
      <c r="CG32" s="31">
        <f>IF(CF32&gt;20,10,IF(CF32&gt;=10,5,2))</f>
        <v/>
      </c>
    </row>
    <row r="33">
      <c r="A33" s="31">
        <f>IF(B33=0,"",RANK(B33,$B$2:$B$95,0))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NETWEB</t>
        </is>
      </c>
      <c r="D33" s="31" t="inlineStr">
        <is>
          <t>Netweb Technologies India Ltd</t>
        </is>
      </c>
      <c r="E33" s="31" t="inlineStr">
        <is>
          <t>i.t</t>
        </is>
      </c>
      <c r="F33" s="31" t="inlineStr">
        <is>
          <t>Data Centre</t>
        </is>
      </c>
      <c r="G33" s="31" t="inlineStr">
        <is>
          <t>largecap</t>
        </is>
      </c>
      <c r="H33" s="32" t="n">
        <v>27233.59</v>
      </c>
      <c r="I33" s="32" t="n">
        <v>4782.8</v>
      </c>
      <c r="J33" s="32" t="n">
        <v>3.52</v>
      </c>
      <c r="K33" s="32" t="n">
        <v>0</v>
      </c>
      <c r="L33" s="31" t="n">
        <v>85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68.19</v>
      </c>
      <c r="P33" s="32" t="n">
        <v>38.65</v>
      </c>
      <c r="Q33" s="32" t="n">
        <v>4071.54</v>
      </c>
      <c r="R33" s="31" t="inlineStr">
        <is>
          <t>Near 52W High Breakout</t>
        </is>
      </c>
      <c r="S33" s="31" t="inlineStr">
        <is>
          <t>Nifty IT</t>
        </is>
      </c>
      <c r="T33" s="32" t="n">
        <v>-13.45</v>
      </c>
      <c r="U33" s="32" t="n">
        <v>133.52</v>
      </c>
      <c r="V33" s="32" t="n">
        <v>169.81</v>
      </c>
      <c r="W33" s="32" t="n">
        <v>27.98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IF(B34=0,"",RANK(B34,$B$2:$B$95,0))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KINGFA</t>
        </is>
      </c>
      <c r="D34" s="31" t="inlineStr">
        <is>
          <t>Kingfa Science &amp; Technology (India) Ltd</t>
        </is>
      </c>
      <c r="E34" s="31" t="inlineStr">
        <is>
          <t>plastic products</t>
        </is>
      </c>
      <c r="F34" s="31" t="inlineStr">
        <is>
          <t>Plastics - Plastic &amp; Plastic Products</t>
        </is>
      </c>
      <c r="G34" s="31" t="inlineStr">
        <is>
          <t>midcap</t>
        </is>
      </c>
      <c r="H34" s="32" t="n">
        <v>7236.44</v>
      </c>
      <c r="I34" s="32" t="n">
        <v>5340</v>
      </c>
      <c r="J34" s="32" t="n">
        <v>0.83</v>
      </c>
      <c r="K34" s="32" t="n">
        <v>0</v>
      </c>
      <c r="L34" s="31" t="n">
        <v>37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67.94</v>
      </c>
      <c r="P34" s="32" t="n">
        <v>32.8</v>
      </c>
      <c r="Q34" s="32" t="n">
        <v>4630.25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-2.57</v>
      </c>
      <c r="U34" s="32" t="n">
        <v>29.9</v>
      </c>
      <c r="V34" s="32" t="n">
        <v>33.33</v>
      </c>
      <c r="W34" s="32" t="n">
        <v>8.970000000000001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20</t>
        </is>
      </c>
      <c r="CG34" s="31">
        <f>IF(CF34&gt;20,10,IF(CF34&gt;=10,5,2))</f>
        <v/>
      </c>
    </row>
    <row r="35">
      <c r="A35" s="31">
        <f>IF(B35=0,"",RANK(B35,$B$2:$B$95,0))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GLAND</t>
        </is>
      </c>
      <c r="D35" s="31" t="inlineStr">
        <is>
          <t>Gland Pharma Ltd</t>
        </is>
      </c>
      <c r="E35" s="31" t="inlineStr">
        <is>
          <t>healthcare</t>
        </is>
      </c>
      <c r="F35" s="31" t="inlineStr">
        <is>
          <t>Pharma - API &amp; CRAMS</t>
        </is>
      </c>
      <c r="G35" s="31" t="inlineStr">
        <is>
          <t>largecap</t>
        </is>
      </c>
      <c r="H35" s="32" t="n">
        <v>37515.04</v>
      </c>
      <c r="I35" s="32" t="n">
        <v>2277</v>
      </c>
      <c r="J35" s="32" t="n">
        <v>-0.67</v>
      </c>
      <c r="K35" s="32" t="n">
        <v>0</v>
      </c>
      <c r="L35" s="31" t="n">
        <v>53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71.68000000000001</v>
      </c>
      <c r="P35" s="32" t="n">
        <v>61.26</v>
      </c>
      <c r="Q35" s="32" t="n">
        <v>2428.77</v>
      </c>
      <c r="R35" s="31" t="inlineStr">
        <is>
          <t>Earnings / Momentum Support</t>
        </is>
      </c>
      <c r="S35" s="31" t="inlineStr">
        <is>
          <t>Nifty Pharma</t>
        </is>
      </c>
      <c r="T35" s="32" t="n">
        <v>18.64</v>
      </c>
      <c r="U35" s="32" t="n">
        <v>45.16</v>
      </c>
      <c r="V35" s="32" t="n">
        <v>22.35</v>
      </c>
      <c r="W35" s="32" t="n">
        <v>12.94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23</t>
        </is>
      </c>
      <c r="CG35" s="31">
        <f>IF(CF35&gt;20,10,IF(CF35&gt;=10,5,2))</f>
        <v/>
      </c>
    </row>
    <row r="36">
      <c r="A36" s="31">
        <f>IF(B36=0,"",RANK(B36,$B$2:$B$95,0))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SHILPAMED</t>
        </is>
      </c>
      <c r="D36" s="31" t="inlineStr">
        <is>
          <t>Shilpa Medicare Ltd</t>
        </is>
      </c>
      <c r="E36" s="31" t="inlineStr">
        <is>
          <t>healthcare</t>
        </is>
      </c>
      <c r="F36" s="31" t="inlineStr">
        <is>
          <t>Pharma - API &amp; CRAMS</t>
        </is>
      </c>
      <c r="G36" s="31" t="inlineStr">
        <is>
          <t>midcap</t>
        </is>
      </c>
      <c r="H36" s="32" t="n">
        <v>10118.43</v>
      </c>
      <c r="I36" s="32" t="n">
        <v>517.35</v>
      </c>
      <c r="J36" s="32" t="n">
        <v>3.63</v>
      </c>
      <c r="K36" s="32" t="n">
        <v>0</v>
      </c>
      <c r="L36" s="31" t="n">
        <v>89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88.62</v>
      </c>
      <c r="P36" s="32" t="n">
        <v>74.75</v>
      </c>
      <c r="Q36" s="32" t="n">
        <v>665.78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18.64</v>
      </c>
      <c r="U36" s="32" t="n">
        <v>92.97</v>
      </c>
      <c r="V36" s="32" t="n">
        <v>62.64</v>
      </c>
      <c r="W36" s="32" t="n">
        <v>32.18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MARKSANS</t>
        </is>
      </c>
      <c r="D37" s="31" t="inlineStr">
        <is>
          <t>Marksans Pharma Ltd</t>
        </is>
      </c>
      <c r="E37" s="31" t="inlineStr">
        <is>
          <t>healthcare</t>
        </is>
      </c>
      <c r="F37" s="31" t="inlineStr">
        <is>
          <t>Pharma - Formulators</t>
        </is>
      </c>
      <c r="G37" s="31" t="inlineStr">
        <is>
          <t>midcap</t>
        </is>
      </c>
      <c r="H37" s="32" t="n">
        <v>10929.86</v>
      </c>
      <c r="I37" s="32" t="n">
        <v>241.19</v>
      </c>
      <c r="J37" s="32" t="n">
        <v>1.05</v>
      </c>
      <c r="K37" s="32" t="n">
        <v>0</v>
      </c>
      <c r="L37" s="31" t="n">
        <v>81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76.67</v>
      </c>
      <c r="P37" s="32" t="n">
        <v>56.87</v>
      </c>
      <c r="Q37" s="32" t="n">
        <v>248.68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18.64</v>
      </c>
      <c r="U37" s="32" t="n">
        <v>78.78</v>
      </c>
      <c r="V37" s="32" t="n">
        <v>50.69</v>
      </c>
      <c r="W37" s="32" t="n">
        <v>24.41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FREDUN</t>
        </is>
      </c>
      <c r="D38" s="34" t="inlineStr">
        <is>
          <t>Fredun Pharmaceuticals Ltd</t>
        </is>
      </c>
      <c r="E38" s="31" t="inlineStr">
        <is>
          <t>Healthcare</t>
        </is>
      </c>
      <c r="F38" s="31" t="inlineStr">
        <is>
          <t>Pharma - Formulators</t>
        </is>
      </c>
      <c r="G38" s="31" t="inlineStr">
        <is>
          <t>smallcap</t>
        </is>
      </c>
      <c r="H38" s="32" t="n">
        <v>1309.65</v>
      </c>
      <c r="I38" s="32" t="n">
        <v>2375.7</v>
      </c>
      <c r="J38" s="32" t="n">
        <v>-0.86</v>
      </c>
      <c r="K38" s="32" t="n">
        <v>0</v>
      </c>
      <c r="L38" s="31" t="n">
        <v>97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80.28</v>
      </c>
      <c r="P38" s="32" t="n">
        <v>63.28</v>
      </c>
      <c r="Q38" s="32" t="n">
        <v>1134.5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18.64</v>
      </c>
      <c r="U38" s="32" t="n">
        <v>252.32</v>
      </c>
      <c r="V38" s="32" t="n">
        <v>196.95</v>
      </c>
      <c r="W38" s="32" t="n">
        <v>48.29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19</t>
        </is>
      </c>
      <c r="CG38" s="31">
        <f>IF(CF38&gt;20,10,IF(CF38&gt;=10,5,2))</f>
        <v/>
      </c>
    </row>
    <row r="39">
      <c r="A39" s="31">
        <f>IF(B39=0,"",RANK(B39,$B$2:$B$95,0))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SANSERA</t>
        </is>
      </c>
      <c r="D39" s="31" t="inlineStr">
        <is>
          <t>Sansera Engineering Ltd</t>
        </is>
      </c>
      <c r="E39" s="31" t="inlineStr">
        <is>
          <t>auto</t>
        </is>
      </c>
      <c r="F39" s="31" t="inlineStr">
        <is>
          <t>Auto Ancillaries - Diversified</t>
        </is>
      </c>
      <c r="G39" s="31" t="inlineStr">
        <is>
          <t>midcap</t>
        </is>
      </c>
      <c r="H39" s="32" t="n">
        <v>18408.52</v>
      </c>
      <c r="I39" s="32" t="n">
        <v>2953.3</v>
      </c>
      <c r="J39" s="32" t="n">
        <v>5.24</v>
      </c>
      <c r="K39" s="32" t="n">
        <v>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82.16</v>
      </c>
      <c r="P39" s="32" t="n">
        <v>59.59</v>
      </c>
      <c r="Q39" s="32" t="n">
        <v>3148.82</v>
      </c>
      <c r="R39" s="31" t="inlineStr">
        <is>
          <t>Near 52W High Breakout</t>
        </is>
      </c>
      <c r="S39" s="31" t="inlineStr">
        <is>
          <t>Nifty Auto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MOTHERSON</t>
        </is>
      </c>
      <c r="D40" s="34" t="inlineStr">
        <is>
          <t>Samvardhana Motherson International Ltd</t>
        </is>
      </c>
      <c r="E40" s="31" t="inlineStr">
        <is>
          <t>auto</t>
        </is>
      </c>
      <c r="F40" s="31" t="inlineStr">
        <is>
          <t>Auto Ancillaries - Diversified</t>
        </is>
      </c>
      <c r="G40" s="31" t="inlineStr">
        <is>
          <t>largecap</t>
        </is>
      </c>
      <c r="H40" s="32" t="n">
        <v>152923.32</v>
      </c>
      <c r="I40" s="32" t="n">
        <v>144.89</v>
      </c>
      <c r="J40" s="32" t="n">
        <v>2.2</v>
      </c>
      <c r="K40" s="32" t="n">
        <v>0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74.81999999999999</v>
      </c>
      <c r="P40" s="32" t="n">
        <v>39.65</v>
      </c>
      <c r="Q40" s="32" t="n">
        <v>141</v>
      </c>
      <c r="R40" s="31" t="inlineStr">
        <is>
          <t>Near 52W High Breakout</t>
        </is>
      </c>
      <c r="S40" s="31" t="inlineStr">
        <is>
          <t>Nifty Auto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CRAFTSMAN</t>
        </is>
      </c>
      <c r="D41" s="34" t="inlineStr">
        <is>
          <t>Craftsman Automation Ltd</t>
        </is>
      </c>
      <c r="E41" s="31" t="inlineStr">
        <is>
          <t>auto</t>
        </is>
      </c>
      <c r="F41" s="31" t="inlineStr">
        <is>
          <t>Auto &amp; Auto Ancl - CV</t>
        </is>
      </c>
      <c r="G41" s="31" t="inlineStr">
        <is>
          <t>largecap</t>
        </is>
      </c>
      <c r="H41" s="32" t="n">
        <v>21419.93</v>
      </c>
      <c r="I41" s="32" t="n">
        <v>8979</v>
      </c>
      <c r="J41" s="32" t="n">
        <v>2.37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70.26000000000001</v>
      </c>
      <c r="P41" s="32" t="n">
        <v>63.38</v>
      </c>
      <c r="Q41" s="32" t="n">
        <v>8717.07</v>
      </c>
      <c r="R41" s="31" t="inlineStr">
        <is>
          <t>Near 52W High Breakout</t>
        </is>
      </c>
      <c r="S41" s="31" t="inlineStr">
        <is>
          <t>Nifty Auto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Between 0.7 to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SEAMECLTD</t>
        </is>
      </c>
      <c r="D42" s="34" t="inlineStr">
        <is>
          <t>SEAMEC Ltd</t>
        </is>
      </c>
      <c r="E42" s="31" t="inlineStr">
        <is>
          <t>miscellaneous</t>
        </is>
      </c>
      <c r="F42" s="31" t="inlineStr">
        <is>
          <t>Shipping</t>
        </is>
      </c>
      <c r="G42" s="31" t="inlineStr">
        <is>
          <t>smallcap</t>
        </is>
      </c>
      <c r="H42" s="32" t="n">
        <v>4178.09</v>
      </c>
      <c r="I42" s="32" t="n">
        <v>1643.3</v>
      </c>
      <c r="J42" s="32" t="n">
        <v>1.16</v>
      </c>
      <c r="K42" s="32" t="n">
        <v>0</v>
      </c>
      <c r="L42" s="31" t="n">
        <v>64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67.62</v>
      </c>
      <c r="P42" s="32" t="n">
        <v>23.16</v>
      </c>
      <c r="Q42" s="32" t="n">
        <v>1316.39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-2.57</v>
      </c>
      <c r="U42" s="32" t="n">
        <v>89.23999999999999</v>
      </c>
      <c r="V42" s="32" t="n">
        <v>94.22</v>
      </c>
      <c r="W42" s="32" t="n">
        <v>16.18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Less than 12%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25</t>
        </is>
      </c>
      <c r="CG42" s="31">
        <f>IF(CF42&gt;20,10,IF(CF42&gt;=10,5,2))</f>
        <v/>
      </c>
    </row>
    <row r="43">
      <c r="A43" s="31">
        <f>IF(B43=0,"",RANK(B43,$B$2:$B$95,0))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SANDHAR</t>
        </is>
      </c>
      <c r="D43" s="34" t="inlineStr">
        <is>
          <t>Sandhar Technologies Limited</t>
        </is>
      </c>
      <c r="E43" s="31" t="inlineStr">
        <is>
          <t>Consumer Cyclical</t>
        </is>
      </c>
      <c r="F43" s="31" t="inlineStr">
        <is>
          <t>Auto Ancillaries - 2&amp;3 Wheelers</t>
        </is>
      </c>
      <c r="G43" s="31" t="inlineStr">
        <is>
          <t>smallcap</t>
        </is>
      </c>
      <c r="H43" s="32" t="n">
        <v>4196.2</v>
      </c>
      <c r="I43" s="32" t="n">
        <v>697.15</v>
      </c>
      <c r="J43" s="32" t="n">
        <v>3.05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56.47</v>
      </c>
      <c r="P43" s="32" t="n">
        <v>36.88</v>
      </c>
      <c r="Q43" s="32" t="n">
        <v>539.41</v>
      </c>
      <c r="R43" s="31" t="inlineStr">
        <is>
          <t>Earnings / Momentum Support</t>
        </is>
      </c>
      <c r="S43" s="31" t="inlineStr">
        <is>
          <t>Nifty Auto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B2C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24</t>
        </is>
      </c>
      <c r="CG43" s="31">
        <f>IF(CF43&gt;20,10,IF(CF43&gt;=10,5,2))</f>
        <v/>
      </c>
    </row>
    <row r="44">
      <c r="A44" s="31">
        <f>IF(B44=0,"",RANK(B44,$B$2:$B$95,0))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KRISHANA</t>
        </is>
      </c>
      <c r="D44" s="31" t="inlineStr">
        <is>
          <t>Krishana Phoschem Ltd</t>
        </is>
      </c>
      <c r="E44" s="31" t="inlineStr">
        <is>
          <t>chemicals</t>
        </is>
      </c>
      <c r="F44" s="31" t="inlineStr">
        <is>
          <t>Fertilisers</t>
        </is>
      </c>
      <c r="G44" s="31" t="inlineStr">
        <is>
          <t>smallcap</t>
        </is>
      </c>
      <c r="H44" s="32" t="n">
        <v>4156.63</v>
      </c>
      <c r="I44" s="32" t="n">
        <v>686.45</v>
      </c>
      <c r="J44" s="32" t="n">
        <v>0.99</v>
      </c>
      <c r="K44" s="32" t="n">
        <v>0</v>
      </c>
      <c r="L44" s="31" t="n">
        <v>77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80.7</v>
      </c>
      <c r="P44" s="32" t="n">
        <v>47.44</v>
      </c>
      <c r="Q44" s="32" t="n">
        <v>155.4</v>
      </c>
      <c r="R44" s="31" t="inlineStr">
        <is>
          <t>Near 52W High Breakout</t>
        </is>
      </c>
      <c r="S44" s="31" t="inlineStr">
        <is>
          <t>Nifty 50</t>
        </is>
      </c>
      <c r="T44" s="32" t="n">
        <v>-2.57</v>
      </c>
      <c r="U44" s="32" t="n">
        <v>63.49</v>
      </c>
      <c r="V44" s="32" t="n">
        <v>67.8</v>
      </c>
      <c r="W44" s="32" t="n">
        <v>22.18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More than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24</t>
        </is>
      </c>
      <c r="CG44" s="31">
        <f>IF(CF44&gt;20,10,IF(CF44&gt;=10,5,2))</f>
        <v/>
      </c>
    </row>
    <row r="45">
      <c r="A45" s="31">
        <f>IF(B45=0,"",RANK(B45,$B$2:$B$95,0))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PRECWIRE</t>
        </is>
      </c>
      <c r="D45" s="31" t="inlineStr">
        <is>
          <t>Precision Wires India Ltd</t>
        </is>
      </c>
      <c r="E45" s="31" t="inlineStr">
        <is>
          <t>metals &amp; mining</t>
        </is>
      </c>
      <c r="F45" s="31" t="inlineStr">
        <is>
          <t>Copper Wires</t>
        </is>
      </c>
      <c r="G45" s="31" t="inlineStr">
        <is>
          <t>midcap</t>
        </is>
      </c>
      <c r="H45" s="32" t="n">
        <v>7832.41</v>
      </c>
      <c r="I45" s="32" t="n">
        <v>428.45</v>
      </c>
      <c r="J45" s="32" t="n">
        <v>-1.7</v>
      </c>
      <c r="K45" s="32" t="n">
        <v>0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61.55</v>
      </c>
      <c r="P45" s="32" t="n">
        <v>42.76</v>
      </c>
      <c r="Q45" s="32" t="n">
        <v>334.2</v>
      </c>
      <c r="R45" s="31" t="inlineStr">
        <is>
          <t>Near 52W High Breakout</t>
        </is>
      </c>
      <c r="S45" s="31" t="inlineStr">
        <is>
          <t>Nifty Metal</t>
        </is>
      </c>
      <c r="T45" s="32" t="inlineStr"/>
      <c r="U45" s="32" t="inlineStr"/>
      <c r="V45" s="32" t="inlineStr"/>
      <c r="W45" s="32" t="inlineStr"/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Cyclical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Volatile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IF(B46=0,"",RANK(B46,$B$2:$B$95,0))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YASHO</t>
        </is>
      </c>
      <c r="D46" s="31" t="inlineStr">
        <is>
          <t>Yasho Industries Ltd</t>
        </is>
      </c>
      <c r="E46" s="31" t="inlineStr">
        <is>
          <t>chemicals</t>
        </is>
      </c>
      <c r="F46" s="31" t="inlineStr">
        <is>
          <t>Speciality Chemicals</t>
        </is>
      </c>
      <c r="G46" s="31" t="inlineStr">
        <is>
          <t>smallcap</t>
        </is>
      </c>
      <c r="H46" s="32" t="n">
        <v>2613.98</v>
      </c>
      <c r="I46" s="32" t="n">
        <v>2168</v>
      </c>
      <c r="J46" s="32" t="n">
        <v>-1.01</v>
      </c>
      <c r="K46" s="32" t="n">
        <v>0</v>
      </c>
      <c r="L46" s="31" t="n">
        <v>97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92.06</v>
      </c>
      <c r="P46" s="32" t="n">
        <v>69.45999999999999</v>
      </c>
      <c r="Q46" s="32" t="n">
        <v>3198.06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-2.57</v>
      </c>
      <c r="U46" s="32" t="n">
        <v>152.06</v>
      </c>
      <c r="V46" s="32" t="n">
        <v>158.7</v>
      </c>
      <c r="W46" s="32" t="n">
        <v>49.29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More than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21</t>
        </is>
      </c>
      <c r="CG46" s="31">
        <f>IF(CF46&gt;20,10,IF(CF46&gt;=10,5,2))</f>
        <v/>
      </c>
    </row>
    <row r="47">
      <c r="A47" s="31">
        <f>IF(B47=0,"",RANK(B47,$B$2:$B$95,0))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MTARTECH</t>
        </is>
      </c>
      <c r="D47" s="34" t="inlineStr">
        <is>
          <t>MTAR Technologies Ltd</t>
        </is>
      </c>
      <c r="E47" s="31" t="inlineStr">
        <is>
          <t>aerospace &amp; defence</t>
        </is>
      </c>
      <c r="F47" s="31" t="inlineStr">
        <is>
          <t>Aerospace &amp; Defence - Equipments</t>
        </is>
      </c>
      <c r="G47" s="31" t="inlineStr">
        <is>
          <t>largecap</t>
        </is>
      </c>
      <c r="H47" s="32" t="n">
        <v>22196.12</v>
      </c>
      <c r="I47" s="32" t="n">
        <v>7216</v>
      </c>
      <c r="J47" s="32" t="n">
        <v>2.07</v>
      </c>
      <c r="K47" s="32" t="n">
        <v>0</v>
      </c>
      <c r="L47" s="31" t="n">
        <v>94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60.09</v>
      </c>
      <c r="P47" s="32" t="n">
        <v>35.92</v>
      </c>
      <c r="Q47" s="32" t="n">
        <v>5935.14</v>
      </c>
      <c r="R47" s="31" t="inlineStr">
        <is>
          <t>Earnings / Momentum Support</t>
        </is>
      </c>
      <c r="S47" s="31" t="inlineStr">
        <is>
          <t>Nifty 50</t>
        </is>
      </c>
      <c r="T47" s="32" t="n">
        <v>-2.57</v>
      </c>
      <c r="U47" s="32" t="n">
        <v>367.87</v>
      </c>
      <c r="V47" s="32" t="n">
        <v>380.19</v>
      </c>
      <c r="W47" s="32" t="n">
        <v>41.74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21</t>
        </is>
      </c>
      <c r="CG47" s="31">
        <f>IF(CF47&gt;20,10,IF(CF47&gt;=10,5,2))</f>
        <v/>
      </c>
    </row>
    <row r="48">
      <c r="A48" s="31">
        <f>IF(B48=0,"",RANK(B48,$B$2:$B$95,0))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VIYASH</t>
        </is>
      </c>
      <c r="D48" s="34" t="inlineStr">
        <is>
          <t>Viyash Scientific Ltd</t>
        </is>
      </c>
      <c r="E48" s="31" t="inlineStr">
        <is>
          <t>Healthcare</t>
        </is>
      </c>
      <c r="F48" s="31" t="inlineStr">
        <is>
          <t>Pharma - Animal</t>
        </is>
      </c>
      <c r="G48" s="31" t="inlineStr">
        <is>
          <t>midcap</t>
        </is>
      </c>
      <c r="H48" s="32" t="n">
        <v>10919.7</v>
      </c>
      <c r="I48" s="32" t="n">
        <v>249.95</v>
      </c>
      <c r="J48" s="32" t="n">
        <v>-0.18</v>
      </c>
      <c r="K48" s="32" t="n">
        <v>0</v>
      </c>
      <c r="L48" s="31" t="n">
        <v>47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57.63</v>
      </c>
      <c r="P48" s="32" t="n">
        <v>47.93</v>
      </c>
      <c r="Q48" s="32" t="n">
        <v>224.82</v>
      </c>
      <c r="R48" s="31" t="inlineStr">
        <is>
          <t>Earnings / Momentum Support</t>
        </is>
      </c>
      <c r="S48" s="31" t="inlineStr">
        <is>
          <t>Nifty Pharma</t>
        </is>
      </c>
      <c r="T48" s="32" t="n">
        <v>18.64</v>
      </c>
      <c r="U48" s="32" t="n">
        <v>51.18</v>
      </c>
      <c r="V48" s="32" t="n">
        <v>27.42</v>
      </c>
      <c r="W48" s="32" t="n">
        <v>11.23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GVPIL</t>
        </is>
      </c>
      <c r="D49" s="34" t="inlineStr">
        <is>
          <t>GE Power India Ltd</t>
        </is>
      </c>
      <c r="E49" s="31" t="inlineStr">
        <is>
          <t>Industrials</t>
        </is>
      </c>
      <c r="F49" s="31" t="inlineStr">
        <is>
          <t>Infra - General</t>
        </is>
      </c>
      <c r="G49" s="31" t="inlineStr">
        <is>
          <t>midcap</t>
        </is>
      </c>
      <c r="H49" s="32" t="n">
        <v>5774.5</v>
      </c>
      <c r="I49" s="32" t="n">
        <v>858.95</v>
      </c>
      <c r="J49" s="32" t="n">
        <v>4.51</v>
      </c>
      <c r="K49" s="32" t="n">
        <v>0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48.78</v>
      </c>
      <c r="P49" s="32" t="n">
        <v>53.31</v>
      </c>
      <c r="Q49" s="32" t="n">
        <v>779.9400000000001</v>
      </c>
      <c r="R49" s="31" t="inlineStr">
        <is>
          <t>Earnings / Momentum Support</t>
        </is>
      </c>
      <c r="S49" s="31" t="inlineStr">
        <is>
          <t>Nifty Infra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Duopoly That Cooperate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Shallow Cyclical (2 to 3 Years Growth)</t>
        </is>
      </c>
      <c r="AG49" s="31">
        <f>IF(AF49="Structural (10 Years Consistency)",10,IF(AF49="Shallow Cyclical (2 to 3 years growth)",5,0))</f>
        <v/>
      </c>
      <c r="AH49" s="31" t="inlineStr">
        <is>
          <t>Yes due to Product Mix change or Operating Leverage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Fully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only for next 1 to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MODINSU</t>
        </is>
      </c>
      <c r="D50" s="34" t="inlineStr">
        <is>
          <t>Modern Insulators Ltd</t>
        </is>
      </c>
      <c r="E50" s="31" t="inlineStr">
        <is>
          <t>Technology</t>
        </is>
      </c>
      <c r="F50" s="31" t="inlineStr">
        <is>
          <t>Capital Goods - Electric General</t>
        </is>
      </c>
      <c r="G50" s="31" t="inlineStr">
        <is>
          <t>smallcap</t>
        </is>
      </c>
      <c r="H50" s="32" t="n">
        <v>1921.35</v>
      </c>
      <c r="I50" s="32" t="n">
        <v>407.55</v>
      </c>
      <c r="J50" s="32" t="n">
        <v>-5</v>
      </c>
      <c r="K50" s="32" t="n">
        <v>0</v>
      </c>
      <c r="L50" s="31" t="n">
        <v>91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57.86</v>
      </c>
      <c r="P50" s="32" t="n">
        <v>46.81</v>
      </c>
      <c r="Q50" s="32" t="n">
        <v>382.34</v>
      </c>
      <c r="R50" s="31" t="inlineStr">
        <is>
          <t>Earnings / Momentum Support</t>
        </is>
      </c>
      <c r="S50" s="31" t="inlineStr">
        <is>
          <t>Nifty 50</t>
        </is>
      </c>
      <c r="T50" s="32" t="n">
        <v>-2.57</v>
      </c>
      <c r="U50" s="32" t="n">
        <v>276.78</v>
      </c>
      <c r="V50" s="32" t="n">
        <v>286.7</v>
      </c>
      <c r="W50" s="32" t="n">
        <v>34.92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21</t>
        </is>
      </c>
      <c r="CG50" s="31">
        <f>IF(CF50&gt;20,10,IF(CF50&gt;=10,5,2))</f>
        <v/>
      </c>
    </row>
    <row r="51">
      <c r="A51" s="31">
        <f>IF(B51=0,"",RANK(B51,$B$2:$B$95,0))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VALIANT</t>
        </is>
      </c>
      <c r="D51" s="31" t="inlineStr">
        <is>
          <t>Valiant Communications Ltd</t>
        </is>
      </c>
      <c r="E51" s="31" t="inlineStr">
        <is>
          <t>Technology</t>
        </is>
      </c>
      <c r="F51" s="31" t="inlineStr">
        <is>
          <t>Telecom Services</t>
        </is>
      </c>
      <c r="G51" s="31" t="inlineStr">
        <is>
          <t>smallcap</t>
        </is>
      </c>
      <c r="H51" s="32" t="n">
        <v>1441.63</v>
      </c>
      <c r="I51" s="32" t="n">
        <v>1233</v>
      </c>
      <c r="J51" s="32" t="n">
        <v>-2.5</v>
      </c>
      <c r="K51" s="32" t="n">
        <v>0</v>
      </c>
      <c r="L51" s="31" t="n">
        <v>53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55.45</v>
      </c>
      <c r="P51" s="32" t="n">
        <v>24.67</v>
      </c>
      <c r="Q51" s="32" t="n">
        <v>796.65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-2.57</v>
      </c>
      <c r="U51" s="32" t="n">
        <v>80.04000000000001</v>
      </c>
      <c r="V51" s="32" t="n">
        <v>84.78</v>
      </c>
      <c r="W51" s="32" t="n">
        <v>12.89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IF(B52=0,"",RANK(B52,$B$2:$B$95,0))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SIGMAADV</t>
        </is>
      </c>
      <c r="D52" s="34" t="inlineStr">
        <is>
          <t>Sigma Advanced System Ltd</t>
        </is>
      </c>
      <c r="E52" s="31" t="inlineStr">
        <is>
          <t>aerospace &amp; defence</t>
        </is>
      </c>
      <c r="F52" s="31" t="inlineStr">
        <is>
          <t>Aerospace &amp; Defence - Equipments</t>
        </is>
      </c>
      <c r="G52" s="31" t="inlineStr">
        <is>
          <t>midcap</t>
        </is>
      </c>
      <c r="H52" s="32" t="n">
        <v>7333.33</v>
      </c>
      <c r="I52" s="32" t="n">
        <v>416.1</v>
      </c>
      <c r="J52" s="32" t="n">
        <v>-2.42</v>
      </c>
      <c r="K52" s="32" t="n">
        <v>0</v>
      </c>
      <c r="L52" s="31" t="n">
        <v>99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72.83</v>
      </c>
      <c r="P52" s="32" t="n">
        <v>66.84</v>
      </c>
      <c r="Q52" s="32" t="n">
        <v>511.67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-2.57</v>
      </c>
      <c r="U52" s="32" t="n">
        <v>400.6</v>
      </c>
      <c r="V52" s="32" t="n">
        <v>413.79</v>
      </c>
      <c r="W52" s="32" t="n">
        <v>62.13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30</t>
        </is>
      </c>
      <c r="CG52" s="31">
        <f>IF(CF52&gt;20,10,IF(CF52&gt;=10,5,2))</f>
        <v/>
      </c>
    </row>
    <row r="53">
      <c r="A53" s="31">
        <f>IF(B53=0,"",RANK(B53,$B$2:$B$95,0))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WHEELS</t>
        </is>
      </c>
      <c r="D53" s="34" t="inlineStr">
        <is>
          <t>Wheels India Ltd</t>
        </is>
      </c>
      <c r="E53" s="31" t="inlineStr">
        <is>
          <t>auto</t>
        </is>
      </c>
      <c r="F53" s="31" t="inlineStr">
        <is>
          <t>Auto Ancillaries - Wheels</t>
        </is>
      </c>
      <c r="G53" s="31" t="inlineStr">
        <is>
          <t>smallcap</t>
        </is>
      </c>
      <c r="H53" s="32" t="n">
        <v>3708.69</v>
      </c>
      <c r="I53" s="32" t="n">
        <v>1517.9</v>
      </c>
      <c r="J53" s="32" t="n">
        <v>-2.49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59.41</v>
      </c>
      <c r="P53" s="32" t="n">
        <v>57.78</v>
      </c>
      <c r="Q53" s="32" t="n">
        <v>1277</v>
      </c>
      <c r="R53" s="31" t="inlineStr">
        <is>
          <t>Earnings / Momentum Support</t>
        </is>
      </c>
      <c r="S53" s="31" t="inlineStr">
        <is>
          <t>Nifty Auto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23</t>
        </is>
      </c>
      <c r="CG53" s="31">
        <f>IF(CF53&gt;20,10,IF(CF53&gt;=10,5,2))</f>
        <v/>
      </c>
    </row>
    <row r="54">
      <c r="A54" s="31">
        <f>IF(B54=0,"",RANK(B54,$B$2:$B$95,0))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SKMEGGPROD</t>
        </is>
      </c>
      <c r="D54" s="34" t="inlineStr">
        <is>
          <t>SKM Egg Products Export (India) Ltd</t>
        </is>
      </c>
      <c r="E54" s="31" t="inlineStr">
        <is>
          <t>Consumer Defensive</t>
        </is>
      </c>
      <c r="F54" s="31" t="inlineStr">
        <is>
          <t>FMCG - Animal/Polutry</t>
        </is>
      </c>
      <c r="G54" s="31" t="inlineStr">
        <is>
          <t>smallcap</t>
        </is>
      </c>
      <c r="H54" s="32" t="n">
        <v>1225.77</v>
      </c>
      <c r="I54" s="32" t="n">
        <v>232.77</v>
      </c>
      <c r="J54" s="32" t="n">
        <v>12.9</v>
      </c>
      <c r="K54" s="32" t="n">
        <v>0</v>
      </c>
      <c r="L54" s="31" t="n">
        <v>72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55.21</v>
      </c>
      <c r="P54" s="32" t="n">
        <v>49.91</v>
      </c>
      <c r="Q54" s="32" t="n">
        <v>227.23</v>
      </c>
      <c r="R54" s="31" t="inlineStr">
        <is>
          <t>Earnings / Momentum Support</t>
        </is>
      </c>
      <c r="S54" s="31" t="inlineStr">
        <is>
          <t>Nifty 50</t>
        </is>
      </c>
      <c r="T54" s="32" t="n">
        <v>-2.57</v>
      </c>
      <c r="U54" s="32" t="n">
        <v>54.06</v>
      </c>
      <c r="V54" s="32" t="n">
        <v>58.11</v>
      </c>
      <c r="W54" s="32" t="n">
        <v>19.58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30</t>
        </is>
      </c>
      <c r="CG54" s="31">
        <f>IF(CF54&gt;20,10,IF(CF54&gt;=10,5,2))</f>
        <v/>
      </c>
    </row>
    <row r="55">
      <c r="A55" s="31">
        <f>IF(B55=0,"",RANK(B55,$B$2:$B$95,0))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NGLFINE</t>
        </is>
      </c>
      <c r="D55" s="34" t="inlineStr">
        <is>
          <t>NGL Fine Chem Ltd</t>
        </is>
      </c>
      <c r="E55" s="31" t="inlineStr">
        <is>
          <t>Healthcare</t>
        </is>
      </c>
      <c r="F55" s="31" t="inlineStr">
        <is>
          <t>Pharma - Animal</t>
        </is>
      </c>
      <c r="G55" s="31" t="inlineStr">
        <is>
          <t>smallcap</t>
        </is>
      </c>
      <c r="H55" s="32" t="n">
        <v>1639.96</v>
      </c>
      <c r="I55" s="32" t="n">
        <v>2654.5</v>
      </c>
      <c r="J55" s="32" t="n">
        <v>-3.12</v>
      </c>
      <c r="K55" s="32" t="n">
        <v>0</v>
      </c>
      <c r="L55" s="31" t="n">
        <v>75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60.02</v>
      </c>
      <c r="P55" s="32" t="n">
        <v>69.19</v>
      </c>
      <c r="Q55" s="32" t="n">
        <v>2433.74</v>
      </c>
      <c r="R55" s="31" t="inlineStr">
        <is>
          <t>Volume Spike / Accumulation</t>
        </is>
      </c>
      <c r="S55" s="31" t="inlineStr">
        <is>
          <t>Nifty Pharma</t>
        </is>
      </c>
      <c r="T55" s="32" t="n">
        <v>18.64</v>
      </c>
      <c r="U55" s="32" t="n">
        <v>115.69</v>
      </c>
      <c r="V55" s="32" t="n">
        <v>81.79000000000001</v>
      </c>
      <c r="W55" s="32" t="n">
        <v>21.67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THANGAMAYL</t>
        </is>
      </c>
      <c r="D56" s="34" t="inlineStr">
        <is>
          <t>Thangamayil Jewellery Ltd</t>
        </is>
      </c>
      <c r="E56" s="31" t="inlineStr">
        <is>
          <t>Consumer Cyclical</t>
        </is>
      </c>
      <c r="F56" s="31" t="inlineStr">
        <is>
          <t>Diamond, Gems &amp; Jewellery</t>
        </is>
      </c>
      <c r="G56" s="31" t="inlineStr">
        <is>
          <t>midcap</t>
        </is>
      </c>
      <c r="H56" s="32" t="n">
        <v>14268.82</v>
      </c>
      <c r="I56" s="32" t="n">
        <v>4590.7</v>
      </c>
      <c r="J56" s="32" t="n">
        <v>7.16</v>
      </c>
      <c r="K56" s="32" t="n">
        <v>0</v>
      </c>
      <c r="L56" s="31" t="n">
        <v>87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56.74</v>
      </c>
      <c r="P56" s="32" t="n">
        <v>46.92</v>
      </c>
      <c r="Q56" s="32" t="n">
        <v>5007.38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-2.57</v>
      </c>
      <c r="U56" s="32" t="n">
        <v>158.66</v>
      </c>
      <c r="V56" s="32" t="n">
        <v>165.48</v>
      </c>
      <c r="W56" s="32" t="n">
        <v>30.92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29</t>
        </is>
      </c>
      <c r="CG56" s="31">
        <f>IF(CF56&gt;20,10,IF(CF56&gt;=10,5,2))</f>
        <v/>
      </c>
    </row>
    <row r="57">
      <c r="A57" s="31">
        <f>IF(B57=0,"",RANK(B57,$B$2:$B$95,0))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INDNIPPON</t>
        </is>
      </c>
      <c r="D57" s="34" t="inlineStr">
        <is>
          <t>India Nippon Electricals Ltd</t>
        </is>
      </c>
      <c r="E57" s="31" t="inlineStr">
        <is>
          <t>Consumer Cyclical</t>
        </is>
      </c>
      <c r="F57" s="31" t="inlineStr">
        <is>
          <t>Auto Ancillaries - Engine Parts</t>
        </is>
      </c>
      <c r="G57" s="31" t="inlineStr">
        <is>
          <t>smallcap</t>
        </is>
      </c>
      <c r="H57" s="32" t="n">
        <v>2026.2</v>
      </c>
      <c r="I57" s="32" t="n">
        <v>895.7</v>
      </c>
      <c r="J57" s="32" t="n">
        <v>0.41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63.2</v>
      </c>
      <c r="P57" s="32" t="n">
        <v>42.38</v>
      </c>
      <c r="Q57" s="32" t="n">
        <v>960.64</v>
      </c>
      <c r="R57" s="31" t="inlineStr">
        <is>
          <t>Earnings / Momentum Support</t>
        </is>
      </c>
      <c r="S57" s="31" t="inlineStr">
        <is>
          <t>Nifty Auto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23</t>
        </is>
      </c>
      <c r="CG57" s="31">
        <f>IF(CF57&gt;20,10,IF(CF57&gt;=10,5,2))</f>
        <v/>
      </c>
    </row>
    <row r="58">
      <c r="A58" s="31">
        <f>IF(B58=0,"",RANK(B58,$B$2:$B$95,0))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IBULLSLTD</t>
        </is>
      </c>
      <c r="D58" s="34" t="inlineStr">
        <is>
          <t>Indiabulls Limited</t>
        </is>
      </c>
      <c r="E58" s="31" t="inlineStr">
        <is>
          <t>Real Estate</t>
        </is>
      </c>
      <c r="F58" s="31" t="inlineStr">
        <is>
          <t>Diversified</t>
        </is>
      </c>
      <c r="G58" s="31" t="inlineStr">
        <is>
          <t>midcap</t>
        </is>
      </c>
      <c r="H58" s="32" t="n">
        <v>5387.92</v>
      </c>
      <c r="I58" s="32" t="n">
        <v>23.18</v>
      </c>
      <c r="J58" s="32" t="n">
        <v>4.98</v>
      </c>
      <c r="K58" s="32" t="n">
        <v>0</v>
      </c>
      <c r="L58" s="31" t="n">
        <v>85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57.88</v>
      </c>
      <c r="P58" s="32" t="n">
        <v>44.48</v>
      </c>
      <c r="Q58" s="32" t="n">
        <v>20.85</v>
      </c>
      <c r="R58" s="31" t="inlineStr">
        <is>
          <t>Earnings / Momentum Support</t>
        </is>
      </c>
      <c r="S58" s="31" t="inlineStr">
        <is>
          <t>Nifty Realty</t>
        </is>
      </c>
      <c r="T58" s="32" t="n">
        <v>-4.49</v>
      </c>
      <c r="U58" s="32" t="n">
        <v>66.34</v>
      </c>
      <c r="V58" s="32" t="n">
        <v>74.16</v>
      </c>
      <c r="W58" s="32" t="n">
        <v>27.62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23</t>
        </is>
      </c>
      <c r="CG58" s="31">
        <f>IF(CF58&gt;20,10,IF(CF58&gt;=10,5,2))</f>
        <v/>
      </c>
    </row>
    <row r="59">
      <c r="A59" s="31">
        <f>IF(B59=0,"",RANK(B59,$B$2:$B$95,0))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MAYURUNIQ</t>
        </is>
      </c>
      <c r="D59" s="34" t="inlineStr">
        <is>
          <t>Mayur Uniquoters Ltd</t>
        </is>
      </c>
      <c r="E59" s="31" t="inlineStr">
        <is>
          <t>Consumer Cyclical</t>
        </is>
      </c>
      <c r="F59" s="31" t="inlineStr">
        <is>
          <t>Plastics - Plastic &amp; Plastic Products</t>
        </is>
      </c>
      <c r="G59" s="31" t="inlineStr">
        <is>
          <t>smallcap</t>
        </is>
      </c>
      <c r="H59" s="32" t="n">
        <v>3238.31</v>
      </c>
      <c r="I59" s="32" t="n">
        <v>745.25</v>
      </c>
      <c r="J59" s="32" t="n">
        <v>1.43</v>
      </c>
      <c r="K59" s="32" t="n">
        <v>0</v>
      </c>
      <c r="L59" s="31" t="n">
        <v>42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59.88</v>
      </c>
      <c r="P59" s="32" t="n">
        <v>59.66</v>
      </c>
      <c r="Q59" s="32" t="n">
        <v>678.61</v>
      </c>
      <c r="R59" s="31" t="inlineStr">
        <is>
          <t>Earnings / Momentum Support</t>
        </is>
      </c>
      <c r="S59" s="31" t="inlineStr">
        <is>
          <t>Nifty 50</t>
        </is>
      </c>
      <c r="T59" s="32" t="n">
        <v>-2.57</v>
      </c>
      <c r="U59" s="32" t="n">
        <v>43.04</v>
      </c>
      <c r="V59" s="32" t="n">
        <v>46.81</v>
      </c>
      <c r="W59" s="32" t="n">
        <v>10.06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19</t>
        </is>
      </c>
      <c r="CG59" s="31">
        <f>IF(CF59&gt;20,10,IF(CF59&gt;=10,5,2))</f>
        <v/>
      </c>
    </row>
    <row r="60">
      <c r="A60" s="31">
        <f>IF(B60=0,"",RANK(B60,$B$2:$B$95,0))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KERNEX</t>
        </is>
      </c>
      <c r="D60" s="34" t="inlineStr">
        <is>
          <t>Kernex Microsystems (India) Ltd</t>
        </is>
      </c>
      <c r="E60" s="31" t="inlineStr">
        <is>
          <t>Technology</t>
        </is>
      </c>
      <c r="F60" s="31" t="inlineStr">
        <is>
          <t>Railways - Kavach/Springs</t>
        </is>
      </c>
      <c r="G60" s="31" t="inlineStr">
        <is>
          <t>smallcap</t>
        </is>
      </c>
      <c r="H60" s="32" t="n">
        <v>3032.33</v>
      </c>
      <c r="I60" s="32" t="n">
        <v>1804.7</v>
      </c>
      <c r="J60" s="32" t="n">
        <v>-1.74</v>
      </c>
      <c r="K60" s="32" t="n">
        <v>0</v>
      </c>
      <c r="L60" s="31" t="n">
        <v>72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52.17</v>
      </c>
      <c r="P60" s="32" t="n">
        <v>59.6</v>
      </c>
      <c r="Q60" s="32" t="n">
        <v>1710.99</v>
      </c>
      <c r="R60" s="31" t="inlineStr">
        <is>
          <t>Volume Spike / Accumulation</t>
        </is>
      </c>
      <c r="S60" s="31" t="inlineStr">
        <is>
          <t>Nifty IT</t>
        </is>
      </c>
      <c r="T60" s="32" t="n">
        <v>-13.45</v>
      </c>
      <c r="U60" s="32" t="n">
        <v>72.15000000000001</v>
      </c>
      <c r="V60" s="32" t="n">
        <v>98.91</v>
      </c>
      <c r="W60" s="32" t="n">
        <v>20.17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25</t>
        </is>
      </c>
      <c r="CG60" s="31">
        <f>IF(CF60&gt;20,10,IF(CF60&gt;=10,5,2))</f>
        <v/>
      </c>
    </row>
    <row r="61">
      <c r="A61" s="31">
        <f>IF(B61=0,"",RANK(B61,$B$2:$B$95,0))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POWERINDIA</t>
        </is>
      </c>
      <c r="D61" s="34" t="inlineStr">
        <is>
          <t>Hitachi Energy India Ltd</t>
        </is>
      </c>
      <c r="E61" s="31" t="inlineStr">
        <is>
          <t>Industrials</t>
        </is>
      </c>
      <c r="F61" s="31" t="inlineStr">
        <is>
          <t>Electrical Equipments/HVDC</t>
        </is>
      </c>
      <c r="G61" s="31" t="inlineStr">
        <is>
          <t>largecap</t>
        </is>
      </c>
      <c r="H61" s="32" t="n">
        <v>156471.28</v>
      </c>
      <c r="I61" s="32" t="n">
        <v>35105</v>
      </c>
      <c r="J61" s="32" t="n">
        <v>-3.5</v>
      </c>
      <c r="K61" s="32" t="n">
        <v>0</v>
      </c>
      <c r="L61" s="31" t="n">
        <v>48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56.62</v>
      </c>
      <c r="P61" s="32" t="n">
        <v>39.99</v>
      </c>
      <c r="Q61" s="32" t="n">
        <v>30320.83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-2.57</v>
      </c>
      <c r="U61" s="32" t="n">
        <v>68.59999999999999</v>
      </c>
      <c r="V61" s="32" t="n">
        <v>73.04000000000001</v>
      </c>
      <c r="W61" s="32" t="n">
        <v>11.33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APOLLO</t>
        </is>
      </c>
      <c r="D62" s="34" t="inlineStr">
        <is>
          <t>Apollo Micro Systems Ltd</t>
        </is>
      </c>
      <c r="E62" s="31" t="inlineStr">
        <is>
          <t>Industrials</t>
        </is>
      </c>
      <c r="F62" s="31" t="inlineStr">
        <is>
          <t>Aerospace &amp; Defence - Equipments</t>
        </is>
      </c>
      <c r="G62" s="31" t="inlineStr">
        <is>
          <t>midcap</t>
        </is>
      </c>
      <c r="H62" s="32" t="n">
        <v>15613.68</v>
      </c>
      <c r="I62" s="32" t="n">
        <v>437</v>
      </c>
      <c r="J62" s="32" t="n">
        <v>8.130000000000001</v>
      </c>
      <c r="K62" s="32" t="n">
        <v>0</v>
      </c>
      <c r="L62" s="31" t="n">
        <v>58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57.16</v>
      </c>
      <c r="P62" s="32" t="n">
        <v>44.96</v>
      </c>
      <c r="Q62" s="32" t="n">
        <v>336.03</v>
      </c>
      <c r="R62" s="31" t="inlineStr">
        <is>
          <t>Earnings / Momentum Support</t>
        </is>
      </c>
      <c r="S62" s="31" t="inlineStr">
        <is>
          <t>Nifty 50</t>
        </is>
      </c>
      <c r="T62" s="32" t="n">
        <v>-2.57</v>
      </c>
      <c r="U62" s="32" t="n">
        <v>64.59999999999999</v>
      </c>
      <c r="V62" s="32" t="n">
        <v>68.93000000000001</v>
      </c>
      <c r="W62" s="32" t="n">
        <v>14.33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B2C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Fully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Yes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30</t>
        </is>
      </c>
      <c r="CG62" s="31">
        <f>IF(CF62&gt;20,10,IF(CF62&gt;=10,5,2))</f>
        <v/>
      </c>
    </row>
    <row r="63">
      <c r="A63" s="31">
        <f>IF(B63=0,"",RANK(B63,$B$2:$B$95,0))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SPARC</t>
        </is>
      </c>
      <c r="D63" s="34" t="inlineStr">
        <is>
          <t>Sun Pharma Advanced Research Company Ltd</t>
        </is>
      </c>
      <c r="E63" s="31" t="inlineStr">
        <is>
          <t>Healthcare</t>
        </is>
      </c>
      <c r="F63" s="31" t="inlineStr">
        <is>
          <t>Pharma - Others</t>
        </is>
      </c>
      <c r="G63" s="31" t="inlineStr">
        <is>
          <t>midcap</t>
        </is>
      </c>
      <c r="H63" s="32" t="n">
        <v>6628.03</v>
      </c>
      <c r="I63" s="32" t="n">
        <v>204.24</v>
      </c>
      <c r="J63" s="32" t="n">
        <v>4.01</v>
      </c>
      <c r="K63" s="32" t="n">
        <v>0</v>
      </c>
      <c r="L63" s="31" t="n">
        <v>33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52.74</v>
      </c>
      <c r="P63" s="32" t="n">
        <v>57.89</v>
      </c>
      <c r="Q63" s="32" t="n">
        <v>193.25</v>
      </c>
      <c r="R63" s="31" t="inlineStr">
        <is>
          <t>Earnings / Momentum Support</t>
        </is>
      </c>
      <c r="S63" s="31" t="inlineStr">
        <is>
          <t>Nifty Pharma</t>
        </is>
      </c>
      <c r="T63" s="32" t="n">
        <v>18.64</v>
      </c>
      <c r="U63" s="32" t="n">
        <v>36.63</v>
      </c>
      <c r="V63" s="32" t="n">
        <v>15.16</v>
      </c>
      <c r="W63" s="32" t="n">
        <v>8.15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19</t>
        </is>
      </c>
      <c r="CG63" s="31">
        <f>IF(CF63&gt;20,10,IF(CF63&gt;=10,5,2))</f>
        <v/>
      </c>
    </row>
    <row r="64">
      <c r="A64" s="31">
        <f>IF(B64=0,"",RANK(B64,$B$2:$B$95,0))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PREMIERENE</t>
        </is>
      </c>
      <c r="D64" s="34" t="inlineStr">
        <is>
          <t>Premier Energies Ltd</t>
        </is>
      </c>
      <c r="E64" s="31" t="inlineStr">
        <is>
          <t>Technology</t>
        </is>
      </c>
      <c r="F64" s="31" t="inlineStr">
        <is>
          <t>Capital Goods - Solar</t>
        </is>
      </c>
      <c r="G64" s="31" t="inlineStr">
        <is>
          <t>largecap</t>
        </is>
      </c>
      <c r="H64" s="32" t="n">
        <v>48772.55</v>
      </c>
      <c r="I64" s="32" t="n">
        <v>1074.4</v>
      </c>
      <c r="J64" s="32" t="n">
        <v>2.06</v>
      </c>
      <c r="K64" s="32" t="n">
        <v>0</v>
      </c>
      <c r="L64" s="31" t="n">
        <v>14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54.26</v>
      </c>
      <c r="P64" s="32" t="n">
        <v>14.6</v>
      </c>
      <c r="Q64" s="32" t="n">
        <v>905.75</v>
      </c>
      <c r="R64" s="31" t="inlineStr">
        <is>
          <t>Earnings / Momentum Support</t>
        </is>
      </c>
      <c r="S64" s="31" t="inlineStr">
        <is>
          <t>Nifty 50</t>
        </is>
      </c>
      <c r="T64" s="32" t="n">
        <v>-2.57</v>
      </c>
      <c r="U64" s="32" t="n">
        <v>3.24</v>
      </c>
      <c r="V64" s="32" t="n">
        <v>5.96</v>
      </c>
      <c r="W64" s="32" t="n">
        <v>3.07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PTCIL</t>
        </is>
      </c>
      <c r="D65" s="31" t="inlineStr">
        <is>
          <t>PTC Industries Ltd</t>
        </is>
      </c>
      <c r="E65" s="31" t="inlineStr">
        <is>
          <t>industrials</t>
        </is>
      </c>
      <c r="F65" s="31" t="inlineStr">
        <is>
          <t>Castings - Steel/Alloy</t>
        </is>
      </c>
      <c r="G65" s="31" t="inlineStr">
        <is>
          <t>largecap</t>
        </is>
      </c>
      <c r="H65" s="32" t="n">
        <v>29055.56</v>
      </c>
      <c r="I65" s="32" t="n">
        <v>19380</v>
      </c>
      <c r="J65" s="32" t="n">
        <v>4.82</v>
      </c>
      <c r="K65" s="32" t="n">
        <v>0</v>
      </c>
      <c r="L65" s="31" t="n">
        <v>54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64.73999999999999</v>
      </c>
      <c r="P65" s="32" t="n">
        <v>22.37</v>
      </c>
      <c r="Q65" s="32" t="n">
        <v>15803.43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-2.57</v>
      </c>
      <c r="U65" s="32" t="n">
        <v>42.57</v>
      </c>
      <c r="V65" s="32" t="n">
        <v>46.32</v>
      </c>
      <c r="W65" s="32" t="n">
        <v>12.97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26</t>
        </is>
      </c>
      <c r="CG65" s="31">
        <f>IF(CF65&gt;20,10,IF(CF65&gt;=10,5,2))</f>
        <v/>
      </c>
    </row>
    <row r="66">
      <c r="A66" s="31">
        <f>IF(B66=0,"",RANK(B66,$B$2:$B$95,0))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STLTECH</t>
        </is>
      </c>
      <c r="D66" s="31" t="inlineStr">
        <is>
          <t>Sterlite Technologies Ltd</t>
        </is>
      </c>
      <c r="E66" s="31" t="inlineStr">
        <is>
          <t>industrials</t>
        </is>
      </c>
      <c r="F66" s="31" t="inlineStr">
        <is>
          <t>Cables - Telecom</t>
        </is>
      </c>
      <c r="G66" s="31" t="inlineStr">
        <is>
          <t>largecap</t>
        </is>
      </c>
      <c r="H66" s="32" t="n">
        <v>28853.15</v>
      </c>
      <c r="I66" s="32" t="n">
        <v>591.05</v>
      </c>
      <c r="J66" s="32" t="n">
        <v>4.99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68.87</v>
      </c>
      <c r="P66" s="32" t="n">
        <v>78.89</v>
      </c>
      <c r="Q66" s="32" t="n">
        <v>461.69</v>
      </c>
      <c r="R66" s="31" t="inlineStr">
        <is>
          <t>Earnings / Momentum Support</t>
        </is>
      </c>
      <c r="S66" s="31" t="inlineStr">
        <is>
          <t>Nifty Infra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AEROFLEX</t>
        </is>
      </c>
      <c r="D67" s="34" t="inlineStr">
        <is>
          <t>Aeroflex Industries Ltd</t>
        </is>
      </c>
      <c r="E67" s="31" t="inlineStr">
        <is>
          <t>metals &amp; mining</t>
        </is>
      </c>
      <c r="F67" s="31" t="inlineStr">
        <is>
          <t>Stainless Steel</t>
        </is>
      </c>
      <c r="G67" s="31" t="inlineStr">
        <is>
          <t>midcap</t>
        </is>
      </c>
      <c r="H67" s="32" t="n">
        <v>5550.61</v>
      </c>
      <c r="I67" s="32" t="n">
        <v>419.45</v>
      </c>
      <c r="J67" s="32" t="n">
        <v>8.01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66.5</v>
      </c>
      <c r="P67" s="32" t="n">
        <v>64.08</v>
      </c>
      <c r="Q67" s="32" t="n">
        <v>360.02</v>
      </c>
      <c r="R67" s="31" t="inlineStr">
        <is>
          <t>Earnings / Momentum Support</t>
        </is>
      </c>
      <c r="S67" s="31" t="inlineStr">
        <is>
          <t>Nifty Metal</t>
        </is>
      </c>
      <c r="T67" s="32" t="inlineStr"/>
      <c r="U67" s="32" t="inlineStr"/>
      <c r="V67" s="32" t="inlineStr"/>
      <c r="W67" s="32" t="inlineStr"/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BAJAJCON</t>
        </is>
      </c>
      <c r="D68" s="34" t="inlineStr">
        <is>
          <t>Bajaj Consumer Care Ltd</t>
        </is>
      </c>
      <c r="E68" s="31" t="inlineStr">
        <is>
          <t>Consumer Defensive</t>
        </is>
      </c>
      <c r="F68" s="31" t="inlineStr">
        <is>
          <t>FMCG - Personal Care</t>
        </is>
      </c>
      <c r="G68" s="31" t="inlineStr">
        <is>
          <t>midcap</t>
        </is>
      </c>
      <c r="H68" s="32" t="n">
        <v>7466.8</v>
      </c>
      <c r="I68" s="32" t="n">
        <v>571.65</v>
      </c>
      <c r="J68" s="32" t="n">
        <v>2.25</v>
      </c>
      <c r="K68" s="32" t="n">
        <v>0</v>
      </c>
      <c r="L68" s="31" t="n">
        <v>64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49.42</v>
      </c>
      <c r="P68" s="32" t="n">
        <v>46.63</v>
      </c>
      <c r="Q68" s="32" t="n">
        <v>515.6900000000001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-2.57</v>
      </c>
      <c r="U68" s="32" t="n">
        <v>114.98</v>
      </c>
      <c r="V68" s="32" t="n">
        <v>120.64</v>
      </c>
      <c r="W68" s="32" t="n">
        <v>16.21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Below 45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No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25</t>
        </is>
      </c>
      <c r="CG68" s="31">
        <f>IF(CF68&gt;20,10,IF(CF68&gt;=10,5,2))</f>
        <v/>
      </c>
    </row>
    <row r="69">
      <c r="A69" s="31">
        <f>IF(B69=0,"",RANK(B69,$B$2:$B$95,0))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SASKEN</t>
        </is>
      </c>
      <c r="D69" s="34" t="inlineStr">
        <is>
          <t>Sasken Technologies Ltd</t>
        </is>
      </c>
      <c r="E69" s="31" t="inlineStr">
        <is>
          <t>Technology</t>
        </is>
      </c>
      <c r="F69" s="31" t="inlineStr">
        <is>
          <t>IT - Software</t>
        </is>
      </c>
      <c r="G69" s="31" t="inlineStr">
        <is>
          <t>smallcap</t>
        </is>
      </c>
      <c r="H69" s="32" t="n">
        <v>3551.36</v>
      </c>
      <c r="I69" s="32" t="n">
        <v>2338.5</v>
      </c>
      <c r="J69" s="32" t="n">
        <v>3.01</v>
      </c>
      <c r="K69" s="32" t="n">
        <v>0</v>
      </c>
      <c r="L69" s="31" t="n">
        <v>34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53.65</v>
      </c>
      <c r="P69" s="32" t="n">
        <v>47.38</v>
      </c>
      <c r="Q69" s="32" t="n">
        <v>1880.86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-2.57</v>
      </c>
      <c r="U69" s="32" t="n">
        <v>32.6</v>
      </c>
      <c r="V69" s="32" t="n">
        <v>36.09</v>
      </c>
      <c r="W69" s="32" t="n">
        <v>8.32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No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23</t>
        </is>
      </c>
      <c r="CG69" s="31">
        <f>IF(CF69&gt;20,10,IF(CF69&gt;=10,5,2))</f>
        <v/>
      </c>
    </row>
    <row r="70">
      <c r="A70" s="31">
        <f>IF(B70=0,"",RANK(B70,$B$2:$B$95,0))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JNKINDIA</t>
        </is>
      </c>
      <c r="D70" s="34" t="inlineStr">
        <is>
          <t>JNK India Ltd</t>
        </is>
      </c>
      <c r="E70" s="31" t="inlineStr">
        <is>
          <t>Industrials</t>
        </is>
      </c>
      <c r="F70" s="31" t="inlineStr">
        <is>
          <t>Capital Goods - Engineering Heavy</t>
        </is>
      </c>
      <c r="G70" s="31" t="inlineStr">
        <is>
          <t>smallcap</t>
        </is>
      </c>
      <c r="H70" s="32" t="n">
        <v>2022.17</v>
      </c>
      <c r="I70" s="32" t="n">
        <v>361.4</v>
      </c>
      <c r="J70" s="32" t="n">
        <v>1.32</v>
      </c>
      <c r="K70" s="32" t="n">
        <v>0</v>
      </c>
      <c r="L70" s="31" t="n">
        <v>58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58.58</v>
      </c>
      <c r="P70" s="32" t="n">
        <v>46.36</v>
      </c>
      <c r="Q70" s="32" t="n">
        <v>354.54</v>
      </c>
      <c r="R70" s="31" t="inlineStr">
        <is>
          <t>Earnings / Momentum Support</t>
        </is>
      </c>
      <c r="S70" s="31" t="inlineStr">
        <is>
          <t>Nifty 50</t>
        </is>
      </c>
      <c r="T70" s="32" t="n">
        <v>-2.57</v>
      </c>
      <c r="U70" s="32" t="n">
        <v>50.79</v>
      </c>
      <c r="V70" s="32" t="n">
        <v>54.76</v>
      </c>
      <c r="W70" s="32" t="n">
        <v>14.33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22</t>
        </is>
      </c>
      <c r="CG70" s="31">
        <f>IF(CF70&gt;20,10,IF(CF70&gt;=10,5,2))</f>
        <v/>
      </c>
    </row>
    <row r="71">
      <c r="A71" s="31">
        <f>IF(B71=0,"",RANK(B71,$B$2:$B$95,0))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CPPLUS</t>
        </is>
      </c>
      <c r="D71" s="34" t="inlineStr">
        <is>
          <t>Aditya Infotech Ltd</t>
        </is>
      </c>
      <c r="E71" s="31" t="inlineStr">
        <is>
          <t>Industrials</t>
        </is>
      </c>
      <c r="F71" s="31" t="inlineStr">
        <is>
          <t>CCTV Camera</t>
        </is>
      </c>
      <c r="G71" s="31" t="inlineStr">
        <is>
          <t>largecap</t>
        </is>
      </c>
      <c r="H71" s="32" t="n">
        <v>37873.61</v>
      </c>
      <c r="I71" s="32" t="n">
        <v>3213.7</v>
      </c>
      <c r="J71" s="32" t="n">
        <v>2.81</v>
      </c>
      <c r="K71" s="32" t="n">
        <v>0</v>
      </c>
      <c r="L71" s="31" t="n">
        <v>89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66.28</v>
      </c>
      <c r="P71" s="32" t="n">
        <v>67.28</v>
      </c>
      <c r="Q71" s="32" t="n">
        <v>2786.98</v>
      </c>
      <c r="R71" s="31" t="inlineStr">
        <is>
          <t>Earnings / Momentum Support</t>
        </is>
      </c>
      <c r="S71" s="31" t="inlineStr">
        <is>
          <t>Nifty 50</t>
        </is>
      </c>
      <c r="T71" s="32" t="n">
        <v>-2.57</v>
      </c>
      <c r="U71" s="32" t="n">
        <v>155.08</v>
      </c>
      <c r="V71" s="32" t="n">
        <v>161.79</v>
      </c>
      <c r="W71" s="32" t="n">
        <v>32.17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20</t>
        </is>
      </c>
      <c r="CG71" s="31">
        <f>IF(CF71&gt;20,10,IF(CF71&gt;=10,5,2))</f>
        <v/>
      </c>
    </row>
    <row r="72">
      <c r="A72" s="31">
        <f>IF(B72=0,"",RANK(B72,$B$2:$B$95,0))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GOCLCORP</t>
        </is>
      </c>
      <c r="D72" s="34" t="inlineStr">
        <is>
          <t>GOCL Corporation Ltd</t>
        </is>
      </c>
      <c r="E72" s="31" t="inlineStr">
        <is>
          <t>Basic Materials</t>
        </is>
      </c>
      <c r="F72" s="31" t="inlineStr">
        <is>
          <t>Lubricants</t>
        </is>
      </c>
      <c r="G72" s="31" t="inlineStr">
        <is>
          <t>smallcap</t>
        </is>
      </c>
      <c r="H72" s="32" t="n">
        <v>1986.87</v>
      </c>
      <c r="I72" s="32" t="n">
        <v>400.8</v>
      </c>
      <c r="J72" s="32" t="n">
        <v>2.65</v>
      </c>
      <c r="K72" s="32" t="n">
        <v>0</v>
      </c>
      <c r="L72" s="31" t="n">
        <v>27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57.36</v>
      </c>
      <c r="P72" s="32" t="n">
        <v>44.23</v>
      </c>
      <c r="Q72" s="32" t="n">
        <v>331.58</v>
      </c>
      <c r="R72" s="31" t="inlineStr">
        <is>
          <t>Earnings / Momentum Support</t>
        </is>
      </c>
      <c r="S72" s="31" t="inlineStr">
        <is>
          <t>Nifty 50</t>
        </is>
      </c>
      <c r="T72" s="32" t="n">
        <v>-2.57</v>
      </c>
      <c r="U72" s="32" t="n">
        <v>0.25</v>
      </c>
      <c r="V72" s="32" t="n">
        <v>2.89</v>
      </c>
      <c r="W72" s="32" t="n">
        <v>6.32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19</t>
        </is>
      </c>
      <c r="CG72" s="31">
        <f>IF(CF72&gt;20,10,IF(CF72&gt;=10,5,2))</f>
        <v/>
      </c>
    </row>
    <row r="73">
      <c r="A73" s="31">
        <f>IF(B73=0,"",RANK(B73,$B$2:$B$95,0))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BHAGYANGR</t>
        </is>
      </c>
      <c r="D73" s="34" t="inlineStr">
        <is>
          <t>Bhagyanagar India Ltd</t>
        </is>
      </c>
      <c r="E73" s="31" t="inlineStr">
        <is>
          <t>Basic Materials</t>
        </is>
      </c>
      <c r="F73" s="31" t="inlineStr">
        <is>
          <t>Recycling</t>
        </is>
      </c>
      <c r="G73" s="31" t="inlineStr">
        <is>
          <t>smallcap</t>
        </is>
      </c>
      <c r="H73" s="32" t="n">
        <v>1034.08</v>
      </c>
      <c r="I73" s="32" t="n">
        <v>323.2</v>
      </c>
      <c r="J73" s="32" t="n">
        <v>4.99</v>
      </c>
      <c r="K73" s="32" t="n">
        <v>0</v>
      </c>
      <c r="L73" s="31" t="n">
        <v>95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65.41</v>
      </c>
      <c r="P73" s="32" t="n">
        <v>67.76000000000001</v>
      </c>
      <c r="Q73" s="32" t="n">
        <v>283.34</v>
      </c>
      <c r="R73" s="31" t="inlineStr">
        <is>
          <t>Volume Spike / Accumulation</t>
        </is>
      </c>
      <c r="S73" s="31" t="inlineStr">
        <is>
          <t>Nifty 50</t>
        </is>
      </c>
      <c r="T73" s="32" t="n">
        <v>-2.57</v>
      </c>
      <c r="U73" s="32" t="n">
        <v>322.26</v>
      </c>
      <c r="V73" s="32" t="n">
        <v>333.38</v>
      </c>
      <c r="W73" s="32" t="n">
        <v>44.26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COCKERILL</t>
        </is>
      </c>
      <c r="D74" s="34" t="inlineStr">
        <is>
          <t>John Cockerill India Ltd</t>
        </is>
      </c>
      <c r="E74" s="31" t="inlineStr">
        <is>
          <t>Industrials</t>
        </is>
      </c>
      <c r="F74" s="31" t="inlineStr">
        <is>
          <t>Capital Goods - Engineering Heavy</t>
        </is>
      </c>
      <c r="G74" s="31" t="inlineStr">
        <is>
          <t>smallcap</t>
        </is>
      </c>
      <c r="H74" s="32" t="n">
        <v>3749.97</v>
      </c>
      <c r="I74" s="32" t="n">
        <v>7594.4</v>
      </c>
      <c r="J74" s="32" t="n">
        <v>0.5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53.18</v>
      </c>
      <c r="P74" s="32" t="n">
        <v>70.33</v>
      </c>
      <c r="Q74" s="32" t="n">
        <v>6951.25</v>
      </c>
      <c r="R74" s="31" t="inlineStr">
        <is>
          <t>Earnings / Momentum Support</t>
        </is>
      </c>
      <c r="S74" s="31" t="inlineStr">
        <is>
          <t>Nifty Metal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ROBU</t>
        </is>
      </c>
      <c r="D75" s="34" t="inlineStr">
        <is>
          <t>Macfos Ltd</t>
        </is>
      </c>
      <c r="E75" s="31" t="inlineStr">
        <is>
          <t>Technology</t>
        </is>
      </c>
      <c r="F75" s="31" t="inlineStr">
        <is>
          <t>E-Commerce - Platform - Utility</t>
        </is>
      </c>
      <c r="G75" s="31" t="inlineStr">
        <is>
          <t>smallcap</t>
        </is>
      </c>
      <c r="H75" s="32" t="n">
        <v>1212.98</v>
      </c>
      <c r="I75" s="32" t="n">
        <v>1171</v>
      </c>
      <c r="J75" s="32" t="n">
        <v>1.83</v>
      </c>
      <c r="K75" s="32" t="n">
        <v>0</v>
      </c>
      <c r="L75" s="31" t="n">
        <v>50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55.33</v>
      </c>
      <c r="P75" s="32" t="n">
        <v>60.29</v>
      </c>
      <c r="Q75" s="32" t="n">
        <v>878.04</v>
      </c>
      <c r="R75" s="31" t="inlineStr">
        <is>
          <t>Earnings / Momentum Support</t>
        </is>
      </c>
      <c r="S75" s="31" t="inlineStr">
        <is>
          <t>Nifty 50</t>
        </is>
      </c>
      <c r="T75" s="32" t="n">
        <v>-2.57</v>
      </c>
      <c r="U75" s="32" t="n">
        <v>69.37</v>
      </c>
      <c r="V75" s="32" t="n">
        <v>73.83</v>
      </c>
      <c r="W75" s="32" t="n">
        <v>11.78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Between 12 to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23</t>
        </is>
      </c>
      <c r="CG75" s="31">
        <f>IF(CF75&gt;20,10,IF(CF75&gt;=10,5,2))</f>
        <v/>
      </c>
    </row>
    <row r="76">
      <c r="A76" s="31">
        <f>IF(B76=0,"",RANK(B76,$B$2:$B$95,0))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CEMPRO</t>
        </is>
      </c>
      <c r="D76" s="34" t="inlineStr">
        <is>
          <t>Cemindia Projects Ltd</t>
        </is>
      </c>
      <c r="E76" s="31" t="inlineStr">
        <is>
          <t>Industrials</t>
        </is>
      </c>
      <c r="F76" s="31" t="inlineStr">
        <is>
          <t>Infra - Construction &amp; Contracting</t>
        </is>
      </c>
      <c r="G76" s="31" t="inlineStr">
        <is>
          <t>midcap</t>
        </is>
      </c>
      <c r="H76" s="32" t="n">
        <v>17895.11</v>
      </c>
      <c r="I76" s="32" t="n">
        <v>1041.7</v>
      </c>
      <c r="J76" s="32" t="n">
        <v>-2.99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58.99</v>
      </c>
      <c r="P76" s="32" t="n">
        <v>52.51</v>
      </c>
      <c r="Q76" s="32" t="n">
        <v>1231.96</v>
      </c>
      <c r="R76" s="31" t="inlineStr">
        <is>
          <t>Earnings / Momentum Support</t>
        </is>
      </c>
      <c r="S76" s="31" t="inlineStr">
        <is>
          <t>Nifty Infra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24</t>
        </is>
      </c>
      <c r="CG76" s="31">
        <f>IF(CF76&gt;20,10,IF(CF76&gt;=10,5,2))</f>
        <v/>
      </c>
    </row>
    <row r="77">
      <c r="A77" s="31">
        <f>IF(B77=0,"",RANK(B77,$B$2:$B$95,0))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SEKURITIND</t>
        </is>
      </c>
      <c r="D77" s="34" t="inlineStr">
        <is>
          <t>Saint-Gobain Sekurit India Ltd</t>
        </is>
      </c>
      <c r="E77" s="31" t="inlineStr">
        <is>
          <t>Consumer Cyclical</t>
        </is>
      </c>
      <c r="F77" s="31" t="inlineStr">
        <is>
          <t>Glass &amp; Glass Products</t>
        </is>
      </c>
      <c r="G77" s="31" t="inlineStr">
        <is>
          <t>smallcap</t>
        </is>
      </c>
      <c r="H77" s="32" t="n">
        <v>1087.35</v>
      </c>
      <c r="I77" s="32" t="n">
        <v>119.35</v>
      </c>
      <c r="J77" s="32" t="n">
        <v>1.4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53.47</v>
      </c>
      <c r="P77" s="32" t="n">
        <v>37.03</v>
      </c>
      <c r="Q77" s="32" t="n">
        <v>105.84</v>
      </c>
      <c r="R77" s="31" t="inlineStr">
        <is>
          <t>Earnings / Momentum Support</t>
        </is>
      </c>
      <c r="S77" s="31" t="inlineStr">
        <is>
          <t>Nifty Auto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SUPRIYA</t>
        </is>
      </c>
      <c r="D78" s="34" t="inlineStr">
        <is>
          <t>Supriya Lifescience Ltd</t>
        </is>
      </c>
      <c r="E78" s="31" t="inlineStr">
        <is>
          <t>Healthcare</t>
        </is>
      </c>
      <c r="F78" s="31" t="inlineStr">
        <is>
          <t>Pharma - API &amp; CRAMS</t>
        </is>
      </c>
      <c r="G78" s="31" t="inlineStr">
        <is>
          <t>midcap</t>
        </is>
      </c>
      <c r="H78" s="32" t="n">
        <v>7382.28</v>
      </c>
      <c r="I78" s="32" t="n">
        <v>917.25</v>
      </c>
      <c r="J78" s="32" t="n">
        <v>-12.85</v>
      </c>
      <c r="K78" s="32" t="n">
        <v>0</v>
      </c>
      <c r="L78" s="31" t="n">
        <v>20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50.6</v>
      </c>
      <c r="P78" s="32" t="n">
        <v>46.81</v>
      </c>
      <c r="Q78" s="32" t="n">
        <v>718.63</v>
      </c>
      <c r="R78" s="31" t="inlineStr">
        <is>
          <t>Earnings / Momentum Support</t>
        </is>
      </c>
      <c r="S78" s="31" t="inlineStr">
        <is>
          <t>Nifty Pharma</t>
        </is>
      </c>
      <c r="T78" s="32" t="n">
        <v>18.64</v>
      </c>
      <c r="U78" s="32" t="n">
        <v>17.89</v>
      </c>
      <c r="V78" s="32" t="n">
        <v>-0.63</v>
      </c>
      <c r="W78" s="32" t="n">
        <v>4.61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25</t>
        </is>
      </c>
      <c r="CG78" s="31">
        <f>IF(CF78&gt;20,10,IF(CF78&gt;=10,5,2))</f>
        <v/>
      </c>
    </row>
    <row r="79">
      <c r="A79" s="31">
        <f>IF(B79=0,"",RANK(B79,$B$2:$B$95,0))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ACUTAAS</t>
        </is>
      </c>
      <c r="D79" s="34" t="inlineStr">
        <is>
          <t>Acutaas Chemicals Ltd</t>
        </is>
      </c>
      <c r="E79" s="31" t="inlineStr">
        <is>
          <t>Basic Materials</t>
        </is>
      </c>
      <c r="F79" s="31" t="inlineStr">
        <is>
          <t>Pharma - API &amp; CRAMS</t>
        </is>
      </c>
      <c r="G79" s="31" t="inlineStr">
        <is>
          <t>largecap</t>
        </is>
      </c>
      <c r="H79" s="32" t="n">
        <v>24869.17</v>
      </c>
      <c r="I79" s="32" t="n">
        <v>3037.6</v>
      </c>
      <c r="J79" s="32" t="n">
        <v>0.62</v>
      </c>
      <c r="K79" s="32" t="n">
        <v>0</v>
      </c>
      <c r="L79" s="31" t="n">
        <v>73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58.24</v>
      </c>
      <c r="P79" s="32" t="n">
        <v>62.85</v>
      </c>
      <c r="Q79" s="32" t="n">
        <v>2826.7</v>
      </c>
      <c r="R79" s="31" t="inlineStr">
        <is>
          <t>Earnings / Momentum Support</t>
        </is>
      </c>
      <c r="S79" s="31" t="inlineStr">
        <is>
          <t>Nifty 50</t>
        </is>
      </c>
      <c r="T79" s="32" t="n">
        <v>-2.57</v>
      </c>
      <c r="U79" s="32" t="n">
        <v>125.7</v>
      </c>
      <c r="V79" s="32" t="n">
        <v>131.65</v>
      </c>
      <c r="W79" s="32" t="n">
        <v>20.22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27</t>
        </is>
      </c>
      <c r="CG79" s="31">
        <f>IF(CF79&gt;20,10,IF(CF79&gt;=10,5,2))</f>
        <v/>
      </c>
    </row>
    <row r="80">
      <c r="A80" s="31">
        <f>IF(B80=0,"",RANK(B80,$B$2:$B$95,0))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VMARCIND</t>
        </is>
      </c>
      <c r="D80" s="33" t="inlineStr">
        <is>
          <t>V-Marc India Ltd</t>
        </is>
      </c>
      <c r="E80" s="31" t="inlineStr">
        <is>
          <t>unknown</t>
        </is>
      </c>
      <c r="F80" s="31" t="inlineStr">
        <is>
          <t>Cables - Power</t>
        </is>
      </c>
      <c r="G80" s="31" t="inlineStr">
        <is>
          <t>smallcap</t>
        </is>
      </c>
      <c r="H80" s="32" t="n">
        <v>3508.4</v>
      </c>
      <c r="I80" s="32" t="n">
        <v>1436.65</v>
      </c>
      <c r="J80" s="32" t="n">
        <v>2.26</v>
      </c>
      <c r="K80" s="32" t="n">
        <v>0</v>
      </c>
      <c r="L80" s="31" t="n">
        <v>1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39.12</v>
      </c>
      <c r="P80" s="32" t="n">
        <v>41.03</v>
      </c>
      <c r="Q80" s="32" t="n">
        <v>1142.41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-2.57</v>
      </c>
      <c r="U80" s="32" t="n">
        <v>-18.77</v>
      </c>
      <c r="V80" s="32" t="n">
        <v>-16.63</v>
      </c>
      <c r="W80" s="32" t="n">
        <v>-4.52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Below 45</t>
        </is>
      </c>
      <c r="BA80" s="31">
        <f>IF(AZ80="Between 50 to 75",10,IF(AZ80="Above 75",0,0))</f>
        <v/>
      </c>
      <c r="BB80" s="31" t="inlineStr">
        <is>
          <t>Stage 4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No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25</t>
        </is>
      </c>
      <c r="CG80" s="31">
        <f>IF(CF80&gt;20,10,IF(CF80&gt;=10,5,2))</f>
        <v/>
      </c>
    </row>
    <row r="81">
      <c r="A81" s="31">
        <f>IF(B81=0,"",RANK(B81,$B$2:$B$95,0))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SIS</t>
        </is>
      </c>
      <c r="D81" s="34" t="inlineStr">
        <is>
          <t>SIS Ltd</t>
        </is>
      </c>
      <c r="E81" s="31" t="inlineStr">
        <is>
          <t>Industrials</t>
        </is>
      </c>
      <c r="F81" s="31" t="inlineStr">
        <is>
          <t>Facility Management</t>
        </is>
      </c>
      <c r="G81" s="31" t="inlineStr">
        <is>
          <t>midcap</t>
        </is>
      </c>
      <c r="H81" s="32" t="n">
        <v>5828.43</v>
      </c>
      <c r="I81" s="32" t="n">
        <v>412.5</v>
      </c>
      <c r="J81" s="32" t="n">
        <v>1.2</v>
      </c>
      <c r="K81" s="32" t="n">
        <v>0</v>
      </c>
      <c r="L81" s="31" t="n">
        <v>22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58.56</v>
      </c>
      <c r="P81" s="32" t="n">
        <v>54.08</v>
      </c>
      <c r="Q81" s="32" t="n">
        <v>358.99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-2.57</v>
      </c>
      <c r="U81" s="32" t="n">
        <v>15.27</v>
      </c>
      <c r="V81" s="32" t="n">
        <v>18.31</v>
      </c>
      <c r="W81" s="32" t="n">
        <v>4.97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V2RETAIL</t>
        </is>
      </c>
      <c r="D82" s="34" t="inlineStr">
        <is>
          <t>V2 Retail Ltd</t>
        </is>
      </c>
      <c r="E82" s="31" t="inlineStr">
        <is>
          <t>Consumer Cyclical</t>
        </is>
      </c>
      <c r="F82" s="31" t="inlineStr">
        <is>
          <t>Textiles - Readymade Apparel</t>
        </is>
      </c>
      <c r="G82" s="31" t="inlineStr">
        <is>
          <t>midcap</t>
        </is>
      </c>
      <c r="H82" s="32" t="n">
        <v>8762.969999999999</v>
      </c>
      <c r="I82" s="32" t="n">
        <v>240.32</v>
      </c>
      <c r="J82" s="32" t="n">
        <v>-1.63</v>
      </c>
      <c r="K82" s="32" t="n">
        <v>0</v>
      </c>
      <c r="L82" s="31" t="n">
        <v>23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51.61</v>
      </c>
      <c r="P82" s="32" t="n">
        <v>34.97</v>
      </c>
      <c r="Q82" s="32" t="n">
        <v>192.62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-2.57</v>
      </c>
      <c r="U82" s="32" t="n">
        <v>27.88</v>
      </c>
      <c r="V82" s="32" t="n">
        <v>31.24</v>
      </c>
      <c r="W82" s="32" t="n">
        <v>5.35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1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ANTELOPUS</t>
        </is>
      </c>
      <c r="D83" s="34" t="inlineStr">
        <is>
          <t>Antelopus Selan Energy Ltd</t>
        </is>
      </c>
      <c r="E83" s="31" t="inlineStr">
        <is>
          <t>Energy</t>
        </is>
      </c>
      <c r="F83" s="31" t="inlineStr">
        <is>
          <t>Oil Drilling &amp; Exploration</t>
        </is>
      </c>
      <c r="G83" s="31" t="inlineStr">
        <is>
          <t>smallcap</t>
        </is>
      </c>
      <c r="H83" s="32" t="n">
        <v>3003.57</v>
      </c>
      <c r="I83" s="32" t="n">
        <v>854.2</v>
      </c>
      <c r="J83" s="32" t="n">
        <v>5</v>
      </c>
      <c r="K83" s="32" t="n">
        <v>0</v>
      </c>
      <c r="L83" s="31" t="n">
        <v>51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56.67</v>
      </c>
      <c r="P83" s="32" t="n">
        <v>45.71</v>
      </c>
      <c r="Q83" s="32" t="n">
        <v>630.46</v>
      </c>
      <c r="R83" s="31" t="inlineStr">
        <is>
          <t>Earnings / Momentum Support</t>
        </is>
      </c>
      <c r="S83" s="31" t="inlineStr">
        <is>
          <t>Nifty Energy</t>
        </is>
      </c>
      <c r="T83" s="32" t="n">
        <v>8.23</v>
      </c>
      <c r="U83" s="32" t="n">
        <v>27.78</v>
      </c>
      <c r="V83" s="32" t="n">
        <v>18.06</v>
      </c>
      <c r="W83" s="32" t="n">
        <v>12.1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IF(B84=0,"",RANK(B84,$B$2:$B$95,0))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JAYBARMARU</t>
        </is>
      </c>
      <c r="D84" s="34" t="inlineStr">
        <is>
          <t>Jay Bharat Maruti Ltd</t>
        </is>
      </c>
      <c r="E84" s="31" t="inlineStr">
        <is>
          <t>Consumer Cyclical</t>
        </is>
      </c>
      <c r="F84" s="31" t="inlineStr">
        <is>
          <t>Auto Ancillaries - Diversified</t>
        </is>
      </c>
      <c r="G84" s="31" t="inlineStr">
        <is>
          <t>smallcap</t>
        </is>
      </c>
      <c r="H84" s="32" t="n">
        <v>1365.47</v>
      </c>
      <c r="I84" s="32" t="n">
        <v>126.14</v>
      </c>
      <c r="J84" s="32" t="n">
        <v>9.99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49.83</v>
      </c>
      <c r="P84" s="32" t="n">
        <v>46.63</v>
      </c>
      <c r="Q84" s="32" t="n">
        <v>134.51</v>
      </c>
      <c r="R84" s="31" t="inlineStr">
        <is>
          <t>Earnings / Momentum Support</t>
        </is>
      </c>
      <c r="S84" s="31" t="inlineStr">
        <is>
          <t>Nifty Auto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Below 45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No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24</t>
        </is>
      </c>
      <c r="CG84" s="31">
        <f>IF(CF84&gt;20,10,IF(CF84&gt;=10,5,2))</f>
        <v/>
      </c>
    </row>
    <row r="85">
      <c r="A85" s="31">
        <f>IF(B85=0,"",RANK(B85,$B$2:$B$95,0))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VEDL</t>
        </is>
      </c>
      <c r="D85" s="34" t="inlineStr">
        <is>
          <t>Vedanta Ltd</t>
        </is>
      </c>
      <c r="E85" s="31" t="inlineStr">
        <is>
          <t>Basic Materials</t>
        </is>
      </c>
      <c r="F85" s="31" t="inlineStr">
        <is>
          <t>Mining/Minerals</t>
        </is>
      </c>
      <c r="G85" s="31" t="inlineStr">
        <is>
          <t>largecap</t>
        </is>
      </c>
      <c r="H85" s="32" t="n">
        <v>130430.99</v>
      </c>
      <c r="I85" s="32" t="n">
        <v>333.55</v>
      </c>
      <c r="J85" s="32" t="n">
        <v>-1.07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33.22</v>
      </c>
      <c r="P85" s="32" t="n">
        <v>36.81</v>
      </c>
      <c r="Q85" s="32" t="n">
        <v>231.96</v>
      </c>
      <c r="R85" s="31" t="inlineStr">
        <is>
          <t>Earnings / Momentum Support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Below 45</t>
        </is>
      </c>
      <c r="BA85" s="31">
        <f>IF(AZ85="Between 50 to 75",10,IF(AZ85="Above 75",0,0))</f>
        <v/>
      </c>
      <c r="BB85" s="31" t="inlineStr">
        <is>
          <t>Stage 4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IF(B86=0,"",RANK(B86,$B$2:$B$95,0))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PGHL</t>
        </is>
      </c>
      <c r="D86" s="34" t="inlineStr">
        <is>
          <t>Procter &amp; Gamble Health Ltd</t>
        </is>
      </c>
      <c r="E86" s="31" t="inlineStr">
        <is>
          <t>Healthcare</t>
        </is>
      </c>
      <c r="F86" s="31" t="inlineStr">
        <is>
          <t>Pharma - MNC bulk Drugs</t>
        </is>
      </c>
      <c r="G86" s="31" t="inlineStr">
        <is>
          <t>midcap</t>
        </is>
      </c>
      <c r="H86" s="32" t="n">
        <v>10010.26</v>
      </c>
      <c r="I86" s="32" t="n">
        <v>6030.5</v>
      </c>
      <c r="J86" s="32" t="n">
        <v>-0.54</v>
      </c>
      <c r="K86" s="32" t="n">
        <v>0</v>
      </c>
      <c r="L86" s="31" t="n">
        <v>4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48.31</v>
      </c>
      <c r="P86" s="32" t="n">
        <v>61.01</v>
      </c>
      <c r="Q86" s="32" t="n">
        <v>5794.91</v>
      </c>
      <c r="R86" s="31" t="inlineStr">
        <is>
          <t>Earnings / Momentum Support</t>
        </is>
      </c>
      <c r="S86" s="31" t="inlineStr">
        <is>
          <t>Nifty Pharma</t>
        </is>
      </c>
      <c r="T86" s="32" t="n">
        <v>18.64</v>
      </c>
      <c r="U86" s="32" t="n">
        <v>-8.720000000000001</v>
      </c>
      <c r="V86" s="32" t="n">
        <v>-23.06</v>
      </c>
      <c r="W86" s="32" t="n">
        <v>-0.41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Below 45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IF(B87=0,"",RANK(B87,$B$2:$B$95,0))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LLOYDSME</t>
        </is>
      </c>
      <c r="D87" s="31" t="inlineStr">
        <is>
          <t>Lloyds Metals &amp; Energy Ltd</t>
        </is>
      </c>
      <c r="E87" s="31" t="inlineStr">
        <is>
          <t>Basic Materials</t>
        </is>
      </c>
      <c r="F87" s="31" t="inlineStr">
        <is>
          <t>Mining/Minerals - Iron Ore</t>
        </is>
      </c>
      <c r="G87" s="31" t="inlineStr">
        <is>
          <t>largecap</t>
        </is>
      </c>
      <c r="H87" s="32" t="n">
        <v>102522.56</v>
      </c>
      <c r="I87" s="32" t="n">
        <v>1821.7</v>
      </c>
      <c r="J87" s="32" t="n">
        <v>0.23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61.38</v>
      </c>
      <c r="P87" s="32" t="n">
        <v>40.53</v>
      </c>
      <c r="Q87" s="32" t="n">
        <v>1743.71</v>
      </c>
      <c r="R87" s="31" t="inlineStr">
        <is>
          <t>Earnings / Momentum Support</t>
        </is>
      </c>
      <c r="S87" s="31" t="inlineStr">
        <is>
          <t>Nifty Metal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IF(B88=0,"",RANK(B88,$B$2:$B$95,0))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RAIN</t>
        </is>
      </c>
      <c r="D88" s="34" t="inlineStr">
        <is>
          <t>Rain Industries Ltd</t>
        </is>
      </c>
      <c r="E88" s="31" t="inlineStr">
        <is>
          <t>Basic Materials</t>
        </is>
      </c>
      <c r="F88" s="31" t="inlineStr">
        <is>
          <t>Cement</t>
        </is>
      </c>
      <c r="G88" s="31" t="inlineStr">
        <is>
          <t>midcap</t>
        </is>
      </c>
      <c r="H88" s="32" t="n">
        <v>6656.28</v>
      </c>
      <c r="I88" s="32" t="n">
        <v>197.9</v>
      </c>
      <c r="J88" s="32" t="n">
        <v>3.78</v>
      </c>
      <c r="K88" s="32" t="n">
        <v>0</v>
      </c>
      <c r="L88" s="31" t="n">
        <v>61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63.3</v>
      </c>
      <c r="P88" s="32" t="n">
        <v>50.34</v>
      </c>
      <c r="Q88" s="32" t="n">
        <v>171.22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-2.57</v>
      </c>
      <c r="U88" s="32" t="n">
        <v>38.45</v>
      </c>
      <c r="V88" s="32" t="n">
        <v>42.1</v>
      </c>
      <c r="W88" s="32" t="n">
        <v>15.19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Between 50% to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IF(B89=0,"",RANK(B89,$B$2:$B$95,0))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GVT&amp;D</t>
        </is>
      </c>
      <c r="D89" s="34" t="inlineStr">
        <is>
          <t>GE Vernova T&amp;D India Ltd</t>
        </is>
      </c>
      <c r="E89" s="31" t="inlineStr">
        <is>
          <t>Industrials</t>
        </is>
      </c>
      <c r="F89" s="31" t="inlineStr">
        <is>
          <t>Electrical Equipments/HVDC</t>
        </is>
      </c>
      <c r="G89" s="31" t="inlineStr">
        <is>
          <t>largecap</t>
        </is>
      </c>
      <c r="H89" s="32" t="n">
        <v>122415.85</v>
      </c>
      <c r="I89" s="32" t="n">
        <v>4781</v>
      </c>
      <c r="J89" s="32" t="n">
        <v>0.55</v>
      </c>
      <c r="K89" s="32" t="n">
        <v>0</v>
      </c>
      <c r="L89" s="31" t="n">
        <v>26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46.88</v>
      </c>
      <c r="P89" s="32" t="n">
        <v>35.34</v>
      </c>
      <c r="Q89" s="32" t="n">
        <v>4184.36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-2.57</v>
      </c>
      <c r="U89" s="32" t="n">
        <v>46.21</v>
      </c>
      <c r="V89" s="32" t="n">
        <v>50.06</v>
      </c>
      <c r="W89" s="32" t="n">
        <v>6.09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Below 45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No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22</t>
        </is>
      </c>
      <c r="CG89" s="31">
        <f>IF(CF89&gt;20,10,IF(CF89&gt;=10,5,2))</f>
        <v/>
      </c>
    </row>
    <row r="90">
      <c r="A90" s="31">
        <f>IF(B90=0,"",RANK(B90,$B$2:$B$95,0))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NSLNISP</t>
        </is>
      </c>
      <c r="D90" s="34" t="inlineStr">
        <is>
          <t>NMDC Steel Ltd</t>
        </is>
      </c>
      <c r="E90" s="31" t="inlineStr">
        <is>
          <t>Basic Materials</t>
        </is>
      </c>
      <c r="F90" s="31" t="inlineStr">
        <is>
          <t>Steel</t>
        </is>
      </c>
      <c r="G90" s="31" t="inlineStr">
        <is>
          <t>midcap</t>
        </is>
      </c>
      <c r="H90" s="32" t="n">
        <v>15400.33</v>
      </c>
      <c r="I90" s="32" t="n">
        <v>52.55</v>
      </c>
      <c r="J90" s="32" t="n">
        <v>4.06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42.78</v>
      </c>
      <c r="P90" s="32" t="n">
        <v>26.17</v>
      </c>
      <c r="Q90" s="32" t="n">
        <v>40.1</v>
      </c>
      <c r="R90" s="31" t="inlineStr">
        <is>
          <t>Volume Spike / Accumulation</t>
        </is>
      </c>
      <c r="S90" s="31" t="inlineStr">
        <is>
          <t>Nifty Metal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Below 45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No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25</t>
        </is>
      </c>
      <c r="CG90" s="31">
        <f>IF(CF90&gt;20,10,IF(CF90&gt;=10,5,2))</f>
        <v/>
      </c>
    </row>
    <row r="91">
      <c r="A91" s="31">
        <f>IF(B91=0,"",RANK(B91,$B$2:$B$95,0))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ONIXSOLAR</t>
        </is>
      </c>
      <c r="D91" s="34" t="inlineStr">
        <is>
          <t>Onix Solar Energy Ltd</t>
        </is>
      </c>
      <c r="E91" s="31" t="inlineStr">
        <is>
          <t>Technology</t>
        </is>
      </c>
      <c r="F91" s="31" t="inlineStr">
        <is>
          <t>Trading</t>
        </is>
      </c>
      <c r="G91" s="31" t="inlineStr">
        <is>
          <t>smallcap</t>
        </is>
      </c>
      <c r="H91" s="32" t="n">
        <v>2670.34</v>
      </c>
      <c r="I91" s="32" t="n">
        <v>724.3</v>
      </c>
      <c r="J91" s="32" t="n">
        <v/>
      </c>
      <c r="K91" s="32" t="n">
        <v>0</v>
      </c>
      <c r="L91" s="31" t="n">
        <v>11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28.09</v>
      </c>
      <c r="P91" s="32" t="n">
        <v>16.45</v>
      </c>
      <c r="Q91" s="32" t="n">
        <v>571</v>
      </c>
      <c r="R91" s="31" t="inlineStr">
        <is>
          <t>Earnings / Momentum Support</t>
        </is>
      </c>
      <c r="S91" s="31" t="inlineStr">
        <is>
          <t>Nifty 50</t>
        </is>
      </c>
      <c r="T91" s="32" t="n">
        <v>-2.57</v>
      </c>
      <c r="U91" s="32" t="n">
        <v>-19.94</v>
      </c>
      <c r="V91" s="32" t="n">
        <v>-17.83</v>
      </c>
      <c r="W91" s="32" t="n">
        <v>1.7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No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IF(B92=0,"",RANK(B92,$B$2:$B$95,0))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ASHAPURMIN</t>
        </is>
      </c>
      <c r="D92" s="34" t="inlineStr">
        <is>
          <t>Ashapura Minechem Ltd</t>
        </is>
      </c>
      <c r="E92" s="31" t="inlineStr">
        <is>
          <t>Basic Materials</t>
        </is>
      </c>
      <c r="F92" s="31" t="inlineStr">
        <is>
          <t>Mining/Minerals</t>
        </is>
      </c>
      <c r="G92" s="31" t="inlineStr">
        <is>
          <t>midcap</t>
        </is>
      </c>
      <c r="H92" s="32" t="n">
        <v>6939.97</v>
      </c>
      <c r="I92" s="32" t="n">
        <v>726.5</v>
      </c>
      <c r="J92" s="32" t="n">
        <v>1.42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44.25</v>
      </c>
      <c r="P92" s="32" t="n">
        <v>19.25</v>
      </c>
      <c r="Q92" s="32" t="n">
        <v>548.9</v>
      </c>
      <c r="R92" s="31" t="inlineStr">
        <is>
          <t>Earnings / Momentum Support</t>
        </is>
      </c>
      <c r="S92" s="31" t="inlineStr">
        <is>
          <t>Nifty Metal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Below 45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19</t>
        </is>
      </c>
      <c r="CG92" s="31">
        <f>IF(CF92&gt;20,10,IF(CF92&gt;=10,5,2))</f>
        <v/>
      </c>
    </row>
    <row r="93">
      <c r="A93" s="31">
        <f>IF(B93=0,"",RANK(B93,$B$2:$B$95,0))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NITTAGELA</t>
        </is>
      </c>
      <c r="D93" s="34" t="inlineStr">
        <is>
          <t>Nitta Gelatin India Ltd</t>
        </is>
      </c>
      <c r="E93" s="31" t="inlineStr">
        <is>
          <t>unknown</t>
        </is>
      </c>
      <c r="F93" s="31" t="inlineStr">
        <is>
          <t>Chemicals - Organic</t>
        </is>
      </c>
      <c r="G93" s="31" t="inlineStr">
        <is>
          <t>smallcap</t>
        </is>
      </c>
      <c r="H93" s="32" t="n">
        <v>1489.71</v>
      </c>
      <c r="I93" s="32" t="n">
        <v>1640.8</v>
      </c>
      <c r="J93" s="32" t="n">
        <v>-0.63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IF(B94=0,"",RANK(B94,$B$2:$B$95,0))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OBSCP</t>
        </is>
      </c>
      <c r="D94" s="31" t="inlineStr">
        <is>
          <t>OBSC Perfection Ltd</t>
        </is>
      </c>
      <c r="E94" s="31" t="inlineStr">
        <is>
          <t>unknown</t>
        </is>
      </c>
      <c r="F94" s="31" t="inlineStr">
        <is>
          <t>Auto Ancillaries - Diversified</t>
        </is>
      </c>
      <c r="G94" s="31" t="inlineStr">
        <is>
          <t>smallcap</t>
        </is>
      </c>
      <c r="H94" s="32" t="n">
        <v>1246.92</v>
      </c>
      <c r="I94" s="32" t="n">
        <v>482.45</v>
      </c>
      <c r="J94" s="32" t="n">
        <v>-0.14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5">
      <c r="A95" s="31">
        <f>IF(B95=0,"",RANK(B95,$B$2:$B$95,0))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4" t="inlineStr">
        <is>
          <t>VERANDA</t>
        </is>
      </c>
      <c r="D95" s="34" t="inlineStr">
        <is>
          <t>Veranda Learning Solutions Ltd</t>
        </is>
      </c>
      <c r="E95" s="31" t="inlineStr">
        <is>
          <t>services</t>
        </is>
      </c>
      <c r="F95" s="31" t="inlineStr">
        <is>
          <t>Computer Education</t>
        </is>
      </c>
      <c r="G95" s="31" t="inlineStr">
        <is>
          <t>smallcap</t>
        </is>
      </c>
      <c r="H95" s="32" t="n">
        <v>2256.7</v>
      </c>
      <c r="I95" s="32" t="n">
        <v>234.29</v>
      </c>
      <c r="J95" s="32" t="n">
        <v>1.13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9">
      <c r="A99" s="25" t="inlineStr">
        <is>
          <t>❌ REMOVED SCAN MATCH STOCKS (THIS WEEK)</t>
        </is>
      </c>
    </row>
    <row r="100">
      <c r="A100" s="35" t="inlineStr">
        <is>
          <t>Symbol</t>
        </is>
      </c>
      <c r="B100" s="35" t="inlineStr">
        <is>
          <t>Company Name</t>
        </is>
      </c>
      <c r="C100" s="35" t="inlineStr">
        <is>
          <t>Sector</t>
        </is>
      </c>
      <c r="D100" s="35" t="inlineStr">
        <is>
          <t>Date of Removal</t>
        </is>
      </c>
    </row>
    <row r="101">
      <c r="A101" s="36" t="inlineStr">
        <is>
          <t>AARTIPHARM</t>
        </is>
      </c>
      <c r="B101" s="37" t="inlineStr">
        <is>
          <t>Aarti Pharmalabs Limited</t>
        </is>
      </c>
      <c r="C101" s="37" t="inlineStr">
        <is>
          <t>Healthcare</t>
        </is>
      </c>
      <c r="D101" s="38" t="inlineStr">
        <is>
          <t>2026-08-19</t>
        </is>
      </c>
    </row>
    <row r="102">
      <c r="A102" s="36" t="inlineStr">
        <is>
          <t>AEGISLOG</t>
        </is>
      </c>
      <c r="B102" s="37" t="inlineStr">
        <is>
          <t>AEGISLOG</t>
        </is>
      </c>
      <c r="C102" s="37" t="inlineStr">
        <is>
          <t>unknown</t>
        </is>
      </c>
      <c r="D102" s="38" t="inlineStr">
        <is>
          <t>2026-08-20</t>
        </is>
      </c>
    </row>
    <row r="103">
      <c r="A103" s="36" t="inlineStr">
        <is>
          <t>AFCOM</t>
        </is>
      </c>
      <c r="B103" s="37" t="inlineStr">
        <is>
          <t>AFCOM</t>
        </is>
      </c>
      <c r="C103" s="37" t="inlineStr">
        <is>
          <t>unknown</t>
        </is>
      </c>
      <c r="D103" s="38" t="inlineStr">
        <is>
          <t>2026-08-20</t>
        </is>
      </c>
    </row>
    <row r="104">
      <c r="A104" s="36" t="inlineStr">
        <is>
          <t>AKUMS</t>
        </is>
      </c>
      <c r="B104" s="37" t="inlineStr">
        <is>
          <t>AKUMS</t>
        </is>
      </c>
      <c r="C104" s="37" t="inlineStr">
        <is>
          <t>Healthcare</t>
        </is>
      </c>
      <c r="D104" s="38" t="inlineStr">
        <is>
          <t>2026-08-19</t>
        </is>
      </c>
    </row>
    <row r="105">
      <c r="A105" s="36" t="inlineStr">
        <is>
          <t>ARVSMART</t>
        </is>
      </c>
      <c r="B105" s="37" t="inlineStr">
        <is>
          <t>Arvind SmartSpaces Limited</t>
        </is>
      </c>
      <c r="C105" s="37" t="inlineStr">
        <is>
          <t>Real Estate</t>
        </is>
      </c>
      <c r="D105" s="38" t="inlineStr">
        <is>
          <t>2026-08-20</t>
        </is>
      </c>
    </row>
    <row r="106">
      <c r="A106" s="36" t="inlineStr">
        <is>
          <t>ASIANENE</t>
        </is>
      </c>
      <c r="B106" s="37" t="inlineStr">
        <is>
          <t>Asian Energy Services Limited</t>
        </is>
      </c>
      <c r="C106" s="37" t="inlineStr">
        <is>
          <t>Energy</t>
        </is>
      </c>
      <c r="D106" s="38" t="inlineStr">
        <is>
          <t>2026-08-20</t>
        </is>
      </c>
    </row>
    <row r="107">
      <c r="A107" s="36" t="inlineStr">
        <is>
          <t>ASKAUTOLTD</t>
        </is>
      </c>
      <c r="B107" s="37" t="inlineStr">
        <is>
          <t>ASKAUTOLTD</t>
        </is>
      </c>
      <c r="C107" s="37" t="inlineStr">
        <is>
          <t>Consumer Cyclical</t>
        </is>
      </c>
      <c r="D107" s="38" t="inlineStr">
        <is>
          <t>2026-08-18</t>
        </is>
      </c>
    </row>
    <row r="108">
      <c r="A108" s="36" t="inlineStr">
        <is>
          <t>AVADHSUGAR</t>
        </is>
      </c>
      <c r="B108" s="37" t="inlineStr">
        <is>
          <t>Avadh Sugar &amp; Energy Limited</t>
        </is>
      </c>
      <c r="C108" s="37" t="inlineStr">
        <is>
          <t>Consumer Defensive</t>
        </is>
      </c>
      <c r="D108" s="38" t="inlineStr">
        <is>
          <t>2026-08-19</t>
        </is>
      </c>
    </row>
    <row r="109">
      <c r="A109" s="36" t="inlineStr">
        <is>
          <t>AVTNPL</t>
        </is>
      </c>
      <c r="B109" s="37" t="inlineStr">
        <is>
          <t>AVT Natural Products Limited</t>
        </is>
      </c>
      <c r="C109" s="37" t="inlineStr">
        <is>
          <t>Basic Materials</t>
        </is>
      </c>
      <c r="D109" s="38" t="inlineStr">
        <is>
          <t>2026-08-20</t>
        </is>
      </c>
    </row>
    <row r="110">
      <c r="A110" s="36" t="inlineStr">
        <is>
          <t>AXISOL</t>
        </is>
      </c>
      <c r="B110" s="37" t="inlineStr">
        <is>
          <t>AXISOL</t>
        </is>
      </c>
      <c r="C110" s="37" t="inlineStr">
        <is>
          <t>unknown</t>
        </is>
      </c>
      <c r="D110" s="38" t="inlineStr">
        <is>
          <t>2026-08-20</t>
        </is>
      </c>
    </row>
    <row r="111">
      <c r="A111" s="36" t="inlineStr">
        <is>
          <t>BHEL</t>
        </is>
      </c>
      <c r="B111" s="37" t="inlineStr">
        <is>
          <t>BHEL</t>
        </is>
      </c>
      <c r="C111" s="37" t="inlineStr">
        <is>
          <t>unknown</t>
        </is>
      </c>
      <c r="D111" s="38" t="inlineStr">
        <is>
          <t>2026-08-19</t>
        </is>
      </c>
    </row>
    <row r="112">
      <c r="A112" s="36" t="inlineStr">
        <is>
          <t>BIL</t>
        </is>
      </c>
      <c r="B112" s="37" t="inlineStr">
        <is>
          <t>Bhartiya International Ltd.</t>
        </is>
      </c>
      <c r="C112" s="37" t="inlineStr">
        <is>
          <t>Consumer Cyclical</t>
        </is>
      </c>
      <c r="D112" s="38" t="inlineStr">
        <is>
          <t>2026-08-18</t>
        </is>
      </c>
    </row>
    <row r="113">
      <c r="A113" s="36" t="inlineStr">
        <is>
          <t>BOSCH-HCIL</t>
        </is>
      </c>
      <c r="B113" s="37" t="inlineStr">
        <is>
          <t>Bosch Home Comfort India Limited</t>
        </is>
      </c>
      <c r="C113" s="37" t="inlineStr">
        <is>
          <t>Consumer Cyclical</t>
        </is>
      </c>
      <c r="D113" s="38" t="inlineStr">
        <is>
          <t>2026-08-20</t>
        </is>
      </c>
    </row>
    <row r="114">
      <c r="A114" s="36" t="inlineStr">
        <is>
          <t>CHENNPETRO</t>
        </is>
      </c>
      <c r="B114" s="37" t="inlineStr">
        <is>
          <t>Chennai Petroleum Corporation Limited</t>
        </is>
      </c>
      <c r="C114" s="37" t="inlineStr">
        <is>
          <t>Energy</t>
        </is>
      </c>
      <c r="D114" s="38" t="inlineStr">
        <is>
          <t>2026-08-20</t>
        </is>
      </c>
    </row>
    <row r="115">
      <c r="A115" s="36" t="inlineStr">
        <is>
          <t>COMSYN</t>
        </is>
      </c>
      <c r="B115" s="37" t="inlineStr">
        <is>
          <t>Commercial Syn Bags Limited</t>
        </is>
      </c>
      <c r="C115" s="37" t="inlineStr">
        <is>
          <t>Consumer Cyclical</t>
        </is>
      </c>
      <c r="D115" s="38" t="inlineStr">
        <is>
          <t>2026-08-20</t>
        </is>
      </c>
    </row>
    <row r="116">
      <c r="A116" s="36" t="inlineStr">
        <is>
          <t>DEEPINDS</t>
        </is>
      </c>
      <c r="B116" s="37" t="inlineStr">
        <is>
          <t>DEEPINDS</t>
        </is>
      </c>
      <c r="C116" s="37" t="inlineStr">
        <is>
          <t>unknown</t>
        </is>
      </c>
      <c r="D116" s="38" t="inlineStr">
        <is>
          <t>2026-08-19</t>
        </is>
      </c>
    </row>
    <row r="117">
      <c r="A117" s="36" t="inlineStr">
        <is>
          <t>DIFFNKG</t>
        </is>
      </c>
      <c r="B117" s="37" t="inlineStr">
        <is>
          <t>DIFFNKG</t>
        </is>
      </c>
      <c r="C117" s="37" t="inlineStr">
        <is>
          <t>unknown</t>
        </is>
      </c>
      <c r="D117" s="38" t="inlineStr">
        <is>
          <t>2026-08-20</t>
        </is>
      </c>
    </row>
    <row r="118">
      <c r="A118" s="36" t="inlineStr">
        <is>
          <t>DOLPHIN</t>
        </is>
      </c>
      <c r="B118" s="37" t="inlineStr">
        <is>
          <t>Dolphin Offshore Enterprises (India) Limited</t>
        </is>
      </c>
      <c r="C118" s="37" t="inlineStr">
        <is>
          <t>Energy</t>
        </is>
      </c>
      <c r="D118" s="38" t="inlineStr">
        <is>
          <t>2026-08-20</t>
        </is>
      </c>
    </row>
    <row r="119">
      <c r="A119" s="36" t="inlineStr">
        <is>
          <t>DPABHUSHAN</t>
        </is>
      </c>
      <c r="B119" s="37" t="inlineStr">
        <is>
          <t>D. P. Abhushan Limited</t>
        </is>
      </c>
      <c r="C119" s="37" t="inlineStr">
        <is>
          <t>Consumer Cyclical</t>
        </is>
      </c>
      <c r="D119" s="38" t="inlineStr">
        <is>
          <t>2026-08-20</t>
        </is>
      </c>
    </row>
    <row r="120">
      <c r="A120" s="36" t="inlineStr">
        <is>
          <t>E2E</t>
        </is>
      </c>
      <c r="B120" s="37" t="inlineStr">
        <is>
          <t>E2E Networks Limited</t>
        </is>
      </c>
      <c r="C120" s="37" t="inlineStr">
        <is>
          <t>Technology</t>
        </is>
      </c>
      <c r="D120" s="38" t="inlineStr">
        <is>
          <t>2026-08-18</t>
        </is>
      </c>
    </row>
    <row r="121">
      <c r="A121" s="36" t="inlineStr">
        <is>
          <t>ELANTAS</t>
        </is>
      </c>
      <c r="B121" s="37" t="inlineStr">
        <is>
          <t>ELANTAS</t>
        </is>
      </c>
      <c r="C121" s="37" t="inlineStr">
        <is>
          <t>unknown</t>
        </is>
      </c>
      <c r="D121" s="38" t="inlineStr">
        <is>
          <t>2026-08-18</t>
        </is>
      </c>
    </row>
    <row r="122">
      <c r="A122" s="36" t="inlineStr">
        <is>
          <t>EMIL</t>
        </is>
      </c>
      <c r="B122" s="37" t="inlineStr">
        <is>
          <t>Electronics Mart India Limited</t>
        </is>
      </c>
      <c r="C122" s="37" t="inlineStr">
        <is>
          <t>Consumer Cyclical</t>
        </is>
      </c>
      <c r="D122" s="38" t="inlineStr">
        <is>
          <t>2026-08-20</t>
        </is>
      </c>
    </row>
    <row r="123">
      <c r="A123" s="36" t="inlineStr">
        <is>
          <t>ENTERO</t>
        </is>
      </c>
      <c r="B123" s="37" t="inlineStr">
        <is>
          <t>Entero Healthcare Solutions Limited</t>
        </is>
      </c>
      <c r="C123" s="37" t="inlineStr">
        <is>
          <t>Healthcare</t>
        </is>
      </c>
      <c r="D123" s="38" t="inlineStr">
        <is>
          <t>2026-08-20</t>
        </is>
      </c>
    </row>
    <row r="124">
      <c r="A124" s="36" t="inlineStr">
        <is>
          <t>ETHOSLTD</t>
        </is>
      </c>
      <c r="B124" s="37" t="inlineStr">
        <is>
          <t>Ethos Limited</t>
        </is>
      </c>
      <c r="C124" s="37" t="inlineStr">
        <is>
          <t>Consumer Cyclical</t>
        </is>
      </c>
      <c r="D124" s="38" t="inlineStr">
        <is>
          <t>2026-08-20</t>
        </is>
      </c>
    </row>
    <row r="125">
      <c r="A125" s="36" t="inlineStr">
        <is>
          <t>FINCABLES</t>
        </is>
      </c>
      <c r="B125" s="37" t="inlineStr">
        <is>
          <t>Finolex Cables Limited</t>
        </is>
      </c>
      <c r="C125" s="37" t="inlineStr">
        <is>
          <t>Industrials</t>
        </is>
      </c>
      <c r="D125" s="38" t="inlineStr">
        <is>
          <t>2026-08-20</t>
        </is>
      </c>
    </row>
    <row r="126">
      <c r="A126" s="36" t="inlineStr">
        <is>
          <t>GALAXYSURF</t>
        </is>
      </c>
      <c r="B126" s="37" t="inlineStr">
        <is>
          <t>Galaxy Surfactants Limited</t>
        </is>
      </c>
      <c r="C126" s="37" t="inlineStr">
        <is>
          <t>Basic Materials</t>
        </is>
      </c>
      <c r="D126" s="38" t="inlineStr">
        <is>
          <t>2026-08-20</t>
        </is>
      </c>
    </row>
    <row r="127">
      <c r="A127" s="36" t="inlineStr">
        <is>
          <t>GAYAPROJ</t>
        </is>
      </c>
      <c r="B127" s="37" t="inlineStr">
        <is>
          <t>GAYAPROJ</t>
        </is>
      </c>
      <c r="C127" s="37" t="inlineStr">
        <is>
          <t>unknown</t>
        </is>
      </c>
      <c r="D127" s="38" t="inlineStr">
        <is>
          <t>2026-08-20</t>
        </is>
      </c>
    </row>
    <row r="128">
      <c r="A128" s="36" t="inlineStr">
        <is>
          <t>GHCLTEXTIL</t>
        </is>
      </c>
      <c r="B128" s="37" t="inlineStr">
        <is>
          <t>GHCL Textiles Limited</t>
        </is>
      </c>
      <c r="C128" s="37" t="inlineStr">
        <is>
          <t>Consumer Cyclical</t>
        </is>
      </c>
      <c r="D128" s="38" t="inlineStr">
        <is>
          <t>2026-08-19</t>
        </is>
      </c>
    </row>
    <row r="129">
      <c r="A129" s="36" t="inlineStr">
        <is>
          <t>GLAXO</t>
        </is>
      </c>
      <c r="B129" s="37" t="inlineStr">
        <is>
          <t>GlaxoSmithKline Pharmaceuticals Limited</t>
        </is>
      </c>
      <c r="C129" s="37" t="inlineStr">
        <is>
          <t>Healthcare</t>
        </is>
      </c>
      <c r="D129" s="38" t="inlineStr">
        <is>
          <t>2026-08-20</t>
        </is>
      </c>
    </row>
    <row r="130">
      <c r="A130" s="36" t="inlineStr">
        <is>
          <t>GNFC</t>
        </is>
      </c>
      <c r="B130" s="37" t="inlineStr">
        <is>
          <t>Gujarat Narmada Valley Fertilizers &amp; Chemicals Limited</t>
        </is>
      </c>
      <c r="C130" s="37" t="inlineStr">
        <is>
          <t>Basic Materials</t>
        </is>
      </c>
      <c r="D130" s="38" t="inlineStr">
        <is>
          <t>2026-08-20</t>
        </is>
      </c>
    </row>
    <row r="131">
      <c r="A131" s="36" t="inlineStr">
        <is>
          <t>GOLDIAM</t>
        </is>
      </c>
      <c r="B131" s="37" t="inlineStr">
        <is>
          <t>GOLDIAM</t>
        </is>
      </c>
      <c r="C131" s="37" t="inlineStr">
        <is>
          <t>unknown</t>
        </is>
      </c>
      <c r="D131" s="38" t="inlineStr">
        <is>
          <t>2026-08-20</t>
        </is>
      </c>
    </row>
    <row r="132">
      <c r="A132" s="36" t="inlineStr">
        <is>
          <t>HAPPYFORGE</t>
        </is>
      </c>
      <c r="B132" s="37" t="inlineStr">
        <is>
          <t>HAPPYFORGE</t>
        </is>
      </c>
      <c r="C132" s="37" t="inlineStr">
        <is>
          <t>Industrials</t>
        </is>
      </c>
      <c r="D132" s="38" t="inlineStr">
        <is>
          <t>2026-08-19</t>
        </is>
      </c>
    </row>
    <row r="133">
      <c r="A133" s="36" t="inlineStr">
        <is>
          <t>HNDFDS</t>
        </is>
      </c>
      <c r="B133" s="37" t="inlineStr">
        <is>
          <t>Hindustan Foods Limited</t>
        </is>
      </c>
      <c r="C133" s="37" t="inlineStr">
        <is>
          <t>Industrials</t>
        </is>
      </c>
      <c r="D133" s="38" t="inlineStr">
        <is>
          <t>2026-08-20</t>
        </is>
      </c>
    </row>
    <row r="134">
      <c r="A134" s="36" t="inlineStr">
        <is>
          <t>ICIL</t>
        </is>
      </c>
      <c r="B134" s="37" t="inlineStr">
        <is>
          <t>Indo Count Industries Limited</t>
        </is>
      </c>
      <c r="C134" s="37" t="inlineStr">
        <is>
          <t>Consumer Cyclical</t>
        </is>
      </c>
      <c r="D134" s="38" t="inlineStr">
        <is>
          <t>2026-08-20</t>
        </is>
      </c>
    </row>
    <row r="135">
      <c r="A135" s="36" t="inlineStr">
        <is>
          <t>INDOTECH</t>
        </is>
      </c>
      <c r="B135" s="37" t="inlineStr">
        <is>
          <t>Indo Tech Transformers Limited</t>
        </is>
      </c>
      <c r="C135" s="37" t="inlineStr">
        <is>
          <t>Industrials</t>
        </is>
      </c>
      <c r="D135" s="38" t="inlineStr">
        <is>
          <t>2026-08-20</t>
        </is>
      </c>
    </row>
    <row r="136">
      <c r="A136" s="36" t="inlineStr">
        <is>
          <t>INDSWFTLAB</t>
        </is>
      </c>
      <c r="B136" s="37" t="inlineStr">
        <is>
          <t>Ind-Swift Laboratories Limited</t>
        </is>
      </c>
      <c r="C136" s="37" t="inlineStr">
        <is>
          <t>Healthcare</t>
        </is>
      </c>
      <c r="D136" s="38" t="inlineStr">
        <is>
          <t>2026-08-20</t>
        </is>
      </c>
    </row>
    <row r="137">
      <c r="A137" s="36" t="inlineStr">
        <is>
          <t>INOVSYNTH</t>
        </is>
      </c>
      <c r="B137" s="37" t="inlineStr">
        <is>
          <t>INOVSYNTH</t>
        </is>
      </c>
      <c r="C137" s="37" t="inlineStr">
        <is>
          <t>unknown</t>
        </is>
      </c>
      <c r="D137" s="38" t="inlineStr">
        <is>
          <t>2026-08-18</t>
        </is>
      </c>
    </row>
    <row r="138">
      <c r="A138" s="36" t="inlineStr">
        <is>
          <t>IPCALAB</t>
        </is>
      </c>
      <c r="B138" s="37" t="inlineStr">
        <is>
          <t>Ipca Laboratories Limited</t>
        </is>
      </c>
      <c r="C138" s="37" t="inlineStr">
        <is>
          <t>Healthcare</t>
        </is>
      </c>
      <c r="D138" s="38" t="inlineStr">
        <is>
          <t>2026-08-20</t>
        </is>
      </c>
    </row>
    <row r="139">
      <c r="A139" s="36" t="inlineStr">
        <is>
          <t>IRISDOREME</t>
        </is>
      </c>
      <c r="B139" s="37" t="inlineStr">
        <is>
          <t>Iris Clothings Limited</t>
        </is>
      </c>
      <c r="C139" s="37" t="inlineStr">
        <is>
          <t>Consumer Cyclical</t>
        </is>
      </c>
      <c r="D139" s="38" t="inlineStr">
        <is>
          <t>2026-08-20</t>
        </is>
      </c>
    </row>
    <row r="140">
      <c r="A140" s="36" t="inlineStr">
        <is>
          <t>JGCHEM</t>
        </is>
      </c>
      <c r="B140" s="37" t="inlineStr">
        <is>
          <t>JGCHEM</t>
        </is>
      </c>
      <c r="C140" s="37" t="inlineStr">
        <is>
          <t>unknown</t>
        </is>
      </c>
      <c r="D140" s="38" t="inlineStr">
        <is>
          <t>2026-08-20</t>
        </is>
      </c>
    </row>
    <row r="141">
      <c r="A141" s="36" t="inlineStr">
        <is>
          <t>KABRAEXTRU</t>
        </is>
      </c>
      <c r="B141" s="37" t="inlineStr">
        <is>
          <t>Kabra Extrusiontechnik Limited</t>
        </is>
      </c>
      <c r="C141" s="37" t="inlineStr">
        <is>
          <t>Industrials</t>
        </is>
      </c>
      <c r="D141" s="38" t="inlineStr">
        <is>
          <t>2026-08-20</t>
        </is>
      </c>
    </row>
    <row r="142">
      <c r="A142" s="36" t="inlineStr">
        <is>
          <t>KDDL</t>
        </is>
      </c>
      <c r="B142" s="37" t="inlineStr">
        <is>
          <t>KDDL Limited</t>
        </is>
      </c>
      <c r="C142" s="37" t="inlineStr">
        <is>
          <t>Consumer Cyclical</t>
        </is>
      </c>
      <c r="D142" s="38" t="inlineStr">
        <is>
          <t>2026-08-19</t>
        </is>
      </c>
    </row>
    <row r="143">
      <c r="A143" s="36" t="inlineStr">
        <is>
          <t>KENNAMET</t>
        </is>
      </c>
      <c r="B143" s="37" t="inlineStr">
        <is>
          <t>Kennametal India Limited</t>
        </is>
      </c>
      <c r="C143" s="37" t="inlineStr">
        <is>
          <t>Industrials</t>
        </is>
      </c>
      <c r="D143" s="38" t="inlineStr">
        <is>
          <t>2026-08-20</t>
        </is>
      </c>
    </row>
    <row r="144">
      <c r="A144" s="36" t="inlineStr">
        <is>
          <t>KHAZANCHI</t>
        </is>
      </c>
      <c r="B144" s="37" t="inlineStr">
        <is>
          <t>KHAZANCHI</t>
        </is>
      </c>
      <c r="C144" s="37" t="inlineStr">
        <is>
          <t>unknown</t>
        </is>
      </c>
      <c r="D144" s="38" t="inlineStr">
        <is>
          <t>2026-08-20</t>
        </is>
      </c>
    </row>
    <row r="145">
      <c r="A145" s="36" t="inlineStr">
        <is>
          <t>KMEW</t>
        </is>
      </c>
      <c r="B145" s="37" t="inlineStr">
        <is>
          <t>Knowledge Marine &amp; Engineering Works Limited</t>
        </is>
      </c>
      <c r="C145" s="37" t="inlineStr">
        <is>
          <t>Industrials</t>
        </is>
      </c>
      <c r="D145" s="38" t="inlineStr">
        <is>
          <t>2026-08-20</t>
        </is>
      </c>
    </row>
    <row r="146">
      <c r="A146" s="36" t="inlineStr">
        <is>
          <t>KOLTEPATIL</t>
        </is>
      </c>
      <c r="B146" s="37" t="inlineStr">
        <is>
          <t>Kolte-Patil Developers Limited</t>
        </is>
      </c>
      <c r="C146" s="37" t="inlineStr">
        <is>
          <t>Real Estate</t>
        </is>
      </c>
      <c r="D146" s="38" t="inlineStr">
        <is>
          <t>2026-08-19</t>
        </is>
      </c>
    </row>
    <row r="147">
      <c r="A147" s="36" t="inlineStr">
        <is>
          <t>KRN</t>
        </is>
      </c>
      <c r="B147" s="37" t="inlineStr">
        <is>
          <t>KRN</t>
        </is>
      </c>
      <c r="C147" s="37" t="inlineStr">
        <is>
          <t>Technology</t>
        </is>
      </c>
      <c r="D147" s="38" t="inlineStr">
        <is>
          <t>2026-08-20</t>
        </is>
      </c>
    </row>
    <row r="148">
      <c r="A148" s="36" t="inlineStr">
        <is>
          <t>LAURUSLABS</t>
        </is>
      </c>
      <c r="B148" s="37" t="inlineStr">
        <is>
          <t>Laurus Labs Limited</t>
        </is>
      </c>
      <c r="C148" s="37" t="inlineStr">
        <is>
          <t>Healthcare</t>
        </is>
      </c>
      <c r="D148" s="38" t="inlineStr">
        <is>
          <t>2026-08-20</t>
        </is>
      </c>
    </row>
    <row r="149">
      <c r="A149" s="36" t="inlineStr">
        <is>
          <t>LENSKART</t>
        </is>
      </c>
      <c r="B149" s="37" t="inlineStr">
        <is>
          <t>LENSKART</t>
        </is>
      </c>
      <c r="C149" s="37" t="inlineStr">
        <is>
          <t>unknown</t>
        </is>
      </c>
      <c r="D149" s="38" t="inlineStr">
        <is>
          <t>2026-08-19</t>
        </is>
      </c>
    </row>
    <row r="150">
      <c r="A150" s="36" t="inlineStr">
        <is>
          <t>LUMAXTECH</t>
        </is>
      </c>
      <c r="B150" s="37" t="inlineStr">
        <is>
          <t>Lumax Auto Technologies Limited</t>
        </is>
      </c>
      <c r="C150" s="37" t="inlineStr">
        <is>
          <t>Consumer Cyclical</t>
        </is>
      </c>
      <c r="D150" s="38" t="inlineStr">
        <is>
          <t>2026-08-20</t>
        </is>
      </c>
    </row>
    <row r="151">
      <c r="A151" s="36" t="inlineStr">
        <is>
          <t>MACPOWER</t>
        </is>
      </c>
      <c r="B151" s="37" t="inlineStr">
        <is>
          <t>Macpower CNC Machines Limited</t>
        </is>
      </c>
      <c r="C151" s="37" t="inlineStr">
        <is>
          <t>Industrials</t>
        </is>
      </c>
      <c r="D151" s="38" t="inlineStr">
        <is>
          <t>2026-08-20</t>
        </is>
      </c>
    </row>
    <row r="152">
      <c r="A152" s="36" t="inlineStr">
        <is>
          <t>MANINDS</t>
        </is>
      </c>
      <c r="B152" s="37" t="inlineStr">
        <is>
          <t>Man Industries (India) Limited</t>
        </is>
      </c>
      <c r="C152" s="37" t="inlineStr">
        <is>
          <t>Basic Materials</t>
        </is>
      </c>
      <c r="D152" s="38" t="inlineStr">
        <is>
          <t>2026-08-20</t>
        </is>
      </c>
    </row>
    <row r="153">
      <c r="A153" s="36" t="inlineStr">
        <is>
          <t>MANORAMA</t>
        </is>
      </c>
      <c r="B153" s="37" t="inlineStr">
        <is>
          <t>Manorama Industries Limited</t>
        </is>
      </c>
      <c r="C153" s="37" t="inlineStr">
        <is>
          <t>Consumer Defensive</t>
        </is>
      </c>
      <c r="D153" s="38" t="inlineStr">
        <is>
          <t>2026-08-20</t>
        </is>
      </c>
    </row>
    <row r="154">
      <c r="A154" s="36" t="inlineStr">
        <is>
          <t>MARINE</t>
        </is>
      </c>
      <c r="B154" s="37" t="inlineStr">
        <is>
          <t>Marine Electricals (India) Limited</t>
        </is>
      </c>
      <c r="C154" s="37" t="inlineStr">
        <is>
          <t>Industrials</t>
        </is>
      </c>
      <c r="D154" s="38" t="inlineStr">
        <is>
          <t>2026-08-20</t>
        </is>
      </c>
    </row>
    <row r="155">
      <c r="A155" s="36" t="inlineStr">
        <is>
          <t>MENONBE</t>
        </is>
      </c>
      <c r="B155" s="37" t="inlineStr">
        <is>
          <t>Menon Bearings Limited</t>
        </is>
      </c>
      <c r="C155" s="37" t="inlineStr">
        <is>
          <t>Consumer Cyclical</t>
        </is>
      </c>
      <c r="D155" s="38" t="inlineStr">
        <is>
          <t>2026-08-20</t>
        </is>
      </c>
    </row>
    <row r="156">
      <c r="A156" s="36" t="inlineStr">
        <is>
          <t>MMFL</t>
        </is>
      </c>
      <c r="B156" s="37" t="inlineStr">
        <is>
          <t>M M Forgings Limited</t>
        </is>
      </c>
      <c r="C156" s="37" t="inlineStr">
        <is>
          <t>Industrials</t>
        </is>
      </c>
      <c r="D156" s="38" t="inlineStr">
        <is>
          <t>2026-08-20</t>
        </is>
      </c>
    </row>
    <row r="157">
      <c r="A157" s="36" t="inlineStr">
        <is>
          <t>MMP</t>
        </is>
      </c>
      <c r="B157" s="37" t="inlineStr">
        <is>
          <t>MMP Industries Limited</t>
        </is>
      </c>
      <c r="C157" s="37" t="inlineStr">
        <is>
          <t>Basic Materials</t>
        </is>
      </c>
      <c r="D157" s="38" t="inlineStr">
        <is>
          <t>2026-08-20</t>
        </is>
      </c>
    </row>
    <row r="158">
      <c r="A158" s="36" t="inlineStr">
        <is>
          <t>MONOLITH</t>
        </is>
      </c>
      <c r="B158" s="37" t="inlineStr">
        <is>
          <t>MONOLITH</t>
        </is>
      </c>
      <c r="C158" s="37" t="inlineStr">
        <is>
          <t>unknown</t>
        </is>
      </c>
      <c r="D158" s="38" t="inlineStr">
        <is>
          <t>2026-08-20</t>
        </is>
      </c>
    </row>
    <row r="159">
      <c r="A159" s="36" t="inlineStr">
        <is>
          <t>MOREPENLAB</t>
        </is>
      </c>
      <c r="B159" s="37" t="inlineStr">
        <is>
          <t>Morepen Laboratories Limited</t>
        </is>
      </c>
      <c r="C159" s="37" t="inlineStr">
        <is>
          <t>Healthcare</t>
        </is>
      </c>
      <c r="D159" s="38" t="inlineStr">
        <is>
          <t>2026-08-20</t>
        </is>
      </c>
    </row>
    <row r="160">
      <c r="A160" s="36" t="inlineStr">
        <is>
          <t>MPSLTD</t>
        </is>
      </c>
      <c r="B160" s="37" t="inlineStr">
        <is>
          <t>MPS Limited</t>
        </is>
      </c>
      <c r="C160" s="37" t="inlineStr">
        <is>
          <t>Communication Services</t>
        </is>
      </c>
      <c r="D160" s="38" t="inlineStr">
        <is>
          <t>2026-08-20</t>
        </is>
      </c>
    </row>
    <row r="161">
      <c r="A161" s="36" t="inlineStr">
        <is>
          <t>MUNJALAU</t>
        </is>
      </c>
      <c r="B161" s="37" t="inlineStr">
        <is>
          <t>MUNJALAU</t>
        </is>
      </c>
      <c r="C161" s="37" t="inlineStr">
        <is>
          <t>unknown</t>
        </is>
      </c>
      <c r="D161" s="38" t="inlineStr">
        <is>
          <t>2026-08-19</t>
        </is>
      </c>
    </row>
    <row r="162">
      <c r="A162" s="36" t="inlineStr">
        <is>
          <t>NEULANDLAB</t>
        </is>
      </c>
      <c r="B162" s="37" t="inlineStr">
        <is>
          <t>Neuland Laboratories Limited</t>
        </is>
      </c>
      <c r="C162" s="37" t="inlineStr">
        <is>
          <t>Healthcare</t>
        </is>
      </c>
      <c r="D162" s="38" t="inlineStr">
        <is>
          <t>2026-08-20</t>
        </is>
      </c>
    </row>
    <row r="163">
      <c r="A163" s="36" t="inlineStr">
        <is>
          <t>PARAS</t>
        </is>
      </c>
      <c r="B163" s="37" t="inlineStr">
        <is>
          <t>Paras Defence and Space Technologies Limited</t>
        </is>
      </c>
      <c r="C163" s="37" t="inlineStr">
        <is>
          <t>Industrials</t>
        </is>
      </c>
      <c r="D163" s="38" t="inlineStr">
        <is>
          <t>2026-08-20</t>
        </is>
      </c>
    </row>
    <row r="164">
      <c r="A164" s="36" t="inlineStr">
        <is>
          <t>PAYTM</t>
        </is>
      </c>
      <c r="B164" s="37" t="inlineStr">
        <is>
          <t>One97 Communications Limited</t>
        </is>
      </c>
      <c r="C164" s="37" t="inlineStr">
        <is>
          <t>Technology</t>
        </is>
      </c>
      <c r="D164" s="38" t="inlineStr">
        <is>
          <t>2026-08-20</t>
        </is>
      </c>
    </row>
    <row r="165">
      <c r="A165" s="36" t="inlineStr">
        <is>
          <t>PGIL</t>
        </is>
      </c>
      <c r="B165" s="37" t="inlineStr">
        <is>
          <t>Pearl Global Industries Limited</t>
        </is>
      </c>
      <c r="C165" s="37" t="inlineStr">
        <is>
          <t>Consumer Cyclical</t>
        </is>
      </c>
      <c r="D165" s="38" t="inlineStr">
        <is>
          <t>2026-08-20</t>
        </is>
      </c>
    </row>
    <row r="166">
      <c r="A166" s="36" t="inlineStr">
        <is>
          <t>PITTIENG</t>
        </is>
      </c>
      <c r="B166" s="37" t="inlineStr">
        <is>
          <t>Pitti Engineering Limited</t>
        </is>
      </c>
      <c r="C166" s="37" t="inlineStr">
        <is>
          <t>Industrials</t>
        </is>
      </c>
      <c r="D166" s="38" t="inlineStr">
        <is>
          <t>2026-08-18</t>
        </is>
      </c>
    </row>
    <row r="167">
      <c r="A167" s="36" t="inlineStr">
        <is>
          <t>PIXTRANS</t>
        </is>
      </c>
      <c r="B167" s="37" t="inlineStr">
        <is>
          <t>PIXTRANS</t>
        </is>
      </c>
      <c r="C167" s="37" t="inlineStr">
        <is>
          <t>unknown</t>
        </is>
      </c>
      <c r="D167" s="38" t="inlineStr">
        <is>
          <t>2026-08-18</t>
        </is>
      </c>
    </row>
    <row r="168">
      <c r="A168" s="36" t="inlineStr">
        <is>
          <t>PRICOLLTD</t>
        </is>
      </c>
      <c r="B168" s="37" t="inlineStr">
        <is>
          <t>PRICOLLTD</t>
        </is>
      </c>
      <c r="C168" s="37" t="inlineStr">
        <is>
          <t>Consumer Cyclical</t>
        </is>
      </c>
      <c r="D168" s="38" t="inlineStr">
        <is>
          <t>2026-08-20</t>
        </is>
      </c>
    </row>
    <row r="169">
      <c r="A169" s="36" t="inlineStr">
        <is>
          <t>PVP</t>
        </is>
      </c>
      <c r="B169" s="37" t="inlineStr">
        <is>
          <t>PVP Ventures Limited</t>
        </is>
      </c>
      <c r="C169" s="37" t="inlineStr">
        <is>
          <t>Industrials</t>
        </is>
      </c>
      <c r="D169" s="38" t="inlineStr">
        <is>
          <t>2026-08-20</t>
        </is>
      </c>
    </row>
    <row r="170">
      <c r="A170" s="36" t="inlineStr">
        <is>
          <t>RAMRAT</t>
        </is>
      </c>
      <c r="B170" s="37" t="inlineStr">
        <is>
          <t>Ram Ratna Wires Limited</t>
        </is>
      </c>
      <c r="C170" s="37" t="inlineStr">
        <is>
          <t>Industrials</t>
        </is>
      </c>
      <c r="D170" s="38" t="inlineStr">
        <is>
          <t>2026-08-19</t>
        </is>
      </c>
    </row>
    <row r="171">
      <c r="A171" s="36" t="inlineStr">
        <is>
          <t>RATNAVEER</t>
        </is>
      </c>
      <c r="B171" s="37" t="inlineStr">
        <is>
          <t>Ratnaveer Precision Engineering Limited</t>
        </is>
      </c>
      <c r="C171" s="37" t="inlineStr">
        <is>
          <t>Basic Materials</t>
        </is>
      </c>
      <c r="D171" s="38" t="inlineStr">
        <is>
          <t>2026-08-20</t>
        </is>
      </c>
    </row>
    <row r="172">
      <c r="A172" s="36" t="inlineStr">
        <is>
          <t>RBA</t>
        </is>
      </c>
      <c r="B172" s="37" t="inlineStr">
        <is>
          <t>Restaurant Brands Asia Limited</t>
        </is>
      </c>
      <c r="C172" s="37" t="inlineStr">
        <is>
          <t>Consumer Cyclical</t>
        </is>
      </c>
      <c r="D172" s="38" t="inlineStr">
        <is>
          <t>2026-08-19</t>
        </is>
      </c>
    </row>
    <row r="173">
      <c r="A173" s="36" t="inlineStr">
        <is>
          <t>RISHABH</t>
        </is>
      </c>
      <c r="B173" s="37" t="inlineStr">
        <is>
          <t>Rishabh Instruments Limited</t>
        </is>
      </c>
      <c r="C173" s="37" t="inlineStr">
        <is>
          <t>Technology</t>
        </is>
      </c>
      <c r="D173" s="38" t="inlineStr">
        <is>
          <t>2026-08-20</t>
        </is>
      </c>
    </row>
    <row r="174">
      <c r="A174" s="36" t="inlineStr">
        <is>
          <t>RPEL</t>
        </is>
      </c>
      <c r="B174" s="37" t="inlineStr">
        <is>
          <t>Raghav Productivity Enhancers Limited</t>
        </is>
      </c>
      <c r="C174" s="37" t="inlineStr">
        <is>
          <t>Basic Materials</t>
        </is>
      </c>
      <c r="D174" s="38" t="inlineStr">
        <is>
          <t>2026-08-20</t>
        </is>
      </c>
    </row>
    <row r="175">
      <c r="A175" s="36" t="inlineStr">
        <is>
          <t>RUBICON</t>
        </is>
      </c>
      <c r="B175" s="37" t="inlineStr">
        <is>
          <t>RUBICON</t>
        </is>
      </c>
      <c r="C175" s="37" t="inlineStr">
        <is>
          <t>unknown</t>
        </is>
      </c>
      <c r="D175" s="38" t="inlineStr">
        <is>
          <t>2026-08-18</t>
        </is>
      </c>
    </row>
    <row r="176">
      <c r="A176" s="36" t="inlineStr">
        <is>
          <t>SHANTIGOLD</t>
        </is>
      </c>
      <c r="B176" s="37" t="inlineStr">
        <is>
          <t>SHANTIGOLD</t>
        </is>
      </c>
      <c r="C176" s="37" t="inlineStr">
        <is>
          <t>Consumer Cyclical</t>
        </is>
      </c>
      <c r="D176" s="38" t="inlineStr">
        <is>
          <t>2026-08-18</t>
        </is>
      </c>
    </row>
    <row r="177">
      <c r="A177" s="36" t="inlineStr">
        <is>
          <t>SILVERTUC</t>
        </is>
      </c>
      <c r="B177" s="37" t="inlineStr">
        <is>
          <t>SILVERTUC</t>
        </is>
      </c>
      <c r="C177" s="37" t="inlineStr">
        <is>
          <t>unknown</t>
        </is>
      </c>
      <c r="D177" s="38" t="inlineStr">
        <is>
          <t>2026-08-19</t>
        </is>
      </c>
    </row>
    <row r="178">
      <c r="A178" s="36" t="inlineStr">
        <is>
          <t>SJS</t>
        </is>
      </c>
      <c r="B178" s="37" t="inlineStr">
        <is>
          <t>S.J.S. Enterprises Limited</t>
        </is>
      </c>
      <c r="C178" s="37" t="inlineStr">
        <is>
          <t>Consumer Cyclical</t>
        </is>
      </c>
      <c r="D178" s="38" t="inlineStr">
        <is>
          <t>2026-08-20</t>
        </is>
      </c>
    </row>
    <row r="179">
      <c r="A179" s="36" t="inlineStr">
        <is>
          <t>SOTL</t>
        </is>
      </c>
      <c r="B179" s="37" t="inlineStr">
        <is>
          <t>Savita Oil Technologies Limited</t>
        </is>
      </c>
      <c r="C179" s="37" t="inlineStr">
        <is>
          <t>Basic Materials</t>
        </is>
      </c>
      <c r="D179" s="38" t="inlineStr">
        <is>
          <t>2026-08-20</t>
        </is>
      </c>
    </row>
    <row r="180">
      <c r="A180" s="36" t="inlineStr">
        <is>
          <t>STYLEBAAZA</t>
        </is>
      </c>
      <c r="B180" s="37" t="inlineStr">
        <is>
          <t>Baazar Style Retail Limited</t>
        </is>
      </c>
      <c r="C180" s="37" t="inlineStr">
        <is>
          <t>Consumer Cyclical</t>
        </is>
      </c>
      <c r="D180" s="38" t="inlineStr">
        <is>
          <t>2026-08-20</t>
        </is>
      </c>
    </row>
    <row r="181">
      <c r="A181" s="36" t="inlineStr">
        <is>
          <t>TCPLPACK</t>
        </is>
      </c>
      <c r="B181" s="37" t="inlineStr">
        <is>
          <t>TCPL Packaging Limited</t>
        </is>
      </c>
      <c r="C181" s="37" t="inlineStr">
        <is>
          <t>Consumer Cyclical</t>
        </is>
      </c>
      <c r="D181" s="38" t="inlineStr">
        <is>
          <t>2026-08-20</t>
        </is>
      </c>
    </row>
    <row r="182">
      <c r="A182" s="36" t="inlineStr">
        <is>
          <t>TDPOWERSYS</t>
        </is>
      </c>
      <c r="B182" s="37" t="inlineStr">
        <is>
          <t>TD Power Systems Limited</t>
        </is>
      </c>
      <c r="C182" s="37" t="inlineStr">
        <is>
          <t>Industrials</t>
        </is>
      </c>
      <c r="D182" s="38" t="inlineStr">
        <is>
          <t>2026-08-20</t>
        </is>
      </c>
    </row>
    <row r="183">
      <c r="A183" s="36" t="inlineStr">
        <is>
          <t>THELEELA</t>
        </is>
      </c>
      <c r="B183" s="37" t="inlineStr">
        <is>
          <t>Leela Palaces Hotels &amp; Resorts Limited</t>
        </is>
      </c>
      <c r="C183" s="37" t="inlineStr">
        <is>
          <t>Consumer Cyclical</t>
        </is>
      </c>
      <c r="D183" s="38" t="inlineStr">
        <is>
          <t>2026-08-20</t>
        </is>
      </c>
    </row>
    <row r="184">
      <c r="A184" s="36" t="inlineStr">
        <is>
          <t>TIIL</t>
        </is>
      </c>
      <c r="B184" s="37" t="inlineStr">
        <is>
          <t>Technocraft Industries (India) Limited</t>
        </is>
      </c>
      <c r="C184" s="37" t="inlineStr">
        <is>
          <t>Industrials</t>
        </is>
      </c>
      <c r="D184" s="38" t="inlineStr">
        <is>
          <t>2026-08-19</t>
        </is>
      </c>
    </row>
    <row r="185">
      <c r="A185" s="36" t="inlineStr">
        <is>
          <t>TNPETRO</t>
        </is>
      </c>
      <c r="B185" s="37" t="inlineStr">
        <is>
          <t>Tamilnadu Petroproducts Limited</t>
        </is>
      </c>
      <c r="C185" s="37" t="inlineStr">
        <is>
          <t>Basic Materials</t>
        </is>
      </c>
      <c r="D185" s="38" t="inlineStr">
        <is>
          <t>2026-08-20</t>
        </is>
      </c>
    </row>
    <row r="186">
      <c r="A186" s="36" t="inlineStr">
        <is>
          <t>TRAVELFOOD</t>
        </is>
      </c>
      <c r="B186" s="37" t="inlineStr">
        <is>
          <t>TRAVELFOOD</t>
        </is>
      </c>
      <c r="C186" s="37" t="inlineStr">
        <is>
          <t>unknown</t>
        </is>
      </c>
      <c r="D186" s="38" t="inlineStr">
        <is>
          <t>2026-08-19</t>
        </is>
      </c>
    </row>
    <row r="187">
      <c r="A187" s="36" t="inlineStr">
        <is>
          <t>TVSSRICHAK</t>
        </is>
      </c>
      <c r="B187" s="37" t="inlineStr">
        <is>
          <t>TVS Srichakra Limited</t>
        </is>
      </c>
      <c r="C187" s="37" t="inlineStr">
        <is>
          <t>Consumer Cyclical</t>
        </is>
      </c>
      <c r="D187" s="38" t="inlineStr">
        <is>
          <t>2026-08-20</t>
        </is>
      </c>
    </row>
    <row r="188">
      <c r="A188" s="36" t="inlineStr">
        <is>
          <t>UFLEX</t>
        </is>
      </c>
      <c r="B188" s="37" t="inlineStr">
        <is>
          <t>Uflex Limited</t>
        </is>
      </c>
      <c r="C188" s="37" t="inlineStr">
        <is>
          <t>Consumer Cyclical</t>
        </is>
      </c>
      <c r="D188" s="38" t="inlineStr">
        <is>
          <t>2026-08-20</t>
        </is>
      </c>
    </row>
    <row r="189">
      <c r="A189" s="36" t="inlineStr">
        <is>
          <t>UTTAMSUGAR</t>
        </is>
      </c>
      <c r="B189" s="37" t="inlineStr">
        <is>
          <t>Uttam Sugar Mills Limited</t>
        </is>
      </c>
      <c r="C189" s="37" t="inlineStr">
        <is>
          <t>Consumer Defensive</t>
        </is>
      </c>
      <c r="D189" s="38" t="inlineStr">
        <is>
          <t>2026-08-20</t>
        </is>
      </c>
    </row>
    <row r="190">
      <c r="A190" s="36" t="inlineStr">
        <is>
          <t>VENKEYS</t>
        </is>
      </c>
      <c r="B190" s="37" t="inlineStr">
        <is>
          <t>VENKEYS</t>
        </is>
      </c>
      <c r="C190" s="37" t="inlineStr">
        <is>
          <t>unknown</t>
        </is>
      </c>
      <c r="D190" s="38" t="inlineStr">
        <is>
          <t>2026-08-19</t>
        </is>
      </c>
    </row>
    <row r="191">
      <c r="A191" s="36" t="inlineStr">
        <is>
          <t>VRLLOG</t>
        </is>
      </c>
      <c r="B191" s="37" t="inlineStr">
        <is>
          <t>VRL Logistics Limited</t>
        </is>
      </c>
      <c r="C191" s="37" t="inlineStr">
        <is>
          <t>Industrials</t>
        </is>
      </c>
      <c r="D191" s="38" t="inlineStr">
        <is>
          <t>2026-08-20</t>
        </is>
      </c>
    </row>
    <row r="192">
      <c r="A192" s="36" t="inlineStr">
        <is>
          <t>WELSPUNLIV</t>
        </is>
      </c>
      <c r="B192" s="37" t="inlineStr">
        <is>
          <t>Welspun Living Limited</t>
        </is>
      </c>
      <c r="C192" s="37" t="inlineStr">
        <is>
          <t>Consumer Cyclical</t>
        </is>
      </c>
      <c r="D192" s="38" t="inlineStr">
        <is>
          <t>2026-08-20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IF(B2=0,"",RANK(B2,$B$2:$B$7,0))</f>
        <v/>
      </c>
      <c r="B2" s="32">
        <f>SUM(N2,Y2,AA2,AC2,AE2,AG2,AI2,AK2,AM2,AO2,AQ2,AS2,AU2,AW2,AY2,BA2,BC2,BE2,BG2,BI2,BK2,BM2,BO2,BQ2,BS2,BU2,BW2,BY2,CA2,CC2)</f>
        <v/>
      </c>
      <c r="C2" s="34" t="inlineStr">
        <is>
          <t>PAISALO</t>
        </is>
      </c>
      <c r="D2" s="34" t="inlineStr">
        <is>
          <t>Paisalo Digital Ltd</t>
        </is>
      </c>
      <c r="E2" s="31" t="inlineStr">
        <is>
          <t>Financial Services</t>
        </is>
      </c>
      <c r="F2" s="31" t="inlineStr">
        <is>
          <t>Finance - Capital Markets - Brokers</t>
        </is>
      </c>
      <c r="G2" s="31" t="inlineStr">
        <is>
          <t>smallcap</t>
        </is>
      </c>
      <c r="H2" s="32" t="n">
        <v>4792.27</v>
      </c>
      <c r="I2" s="32" t="n">
        <v>52.69</v>
      </c>
      <c r="J2" s="32" t="n">
        <v>-0.32</v>
      </c>
      <c r="K2" s="32" t="n">
        <v>0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73.78</v>
      </c>
      <c r="P2" s="32" t="n">
        <v>62.09</v>
      </c>
      <c r="Q2" s="32" t="n">
        <v>57.64</v>
      </c>
      <c r="R2" s="31" t="inlineStr">
        <is>
          <t>Near 52W High Breakout</t>
        </is>
      </c>
      <c r="S2" s="31" t="inlineStr">
        <is>
          <t>Nifty Bank</t>
        </is>
      </c>
      <c r="T2" s="32" t="n">
        <v>4.25</v>
      </c>
      <c r="U2" s="32" t="n">
        <v>131.3</v>
      </c>
      <c r="V2" s="32" t="n">
        <v>121.86</v>
      </c>
      <c r="W2" s="32" t="n">
        <v>27.55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23</t>
        </is>
      </c>
      <c r="CC2" s="31">
        <f>IF(CB2&gt;20,10,IF(CB2&gt;=10,5,2))</f>
        <v/>
      </c>
    </row>
    <row r="3">
      <c r="A3" s="31">
        <f>IF(B3=0,"",RANK(B3,$B$2:$B$7,0))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SGFIN</t>
        </is>
      </c>
      <c r="D3" s="34" t="inlineStr">
        <is>
          <t>SG Finserve Ltd</t>
        </is>
      </c>
      <c r="E3" s="31" t="inlineStr">
        <is>
          <t>financials</t>
        </is>
      </c>
      <c r="F3" s="31" t="inlineStr">
        <is>
          <t>Finance &amp; Investments - MSME Lending</t>
        </is>
      </c>
      <c r="G3" s="31" t="inlineStr">
        <is>
          <t>smallcap</t>
        </is>
      </c>
      <c r="H3" s="32" t="n">
        <v>3746.79</v>
      </c>
      <c r="I3" s="32" t="n">
        <v>568.6</v>
      </c>
      <c r="J3" s="32" t="n">
        <v>1.55</v>
      </c>
      <c r="K3" s="32" t="n">
        <v>0</v>
      </c>
      <c r="L3" s="31" t="n">
        <v>65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65.06</v>
      </c>
      <c r="P3" s="32" t="n">
        <v>52.85</v>
      </c>
      <c r="Q3" s="32" t="n">
        <v>517.66</v>
      </c>
      <c r="R3" s="31" t="inlineStr">
        <is>
          <t>Near 52W High Breakout</t>
        </is>
      </c>
      <c r="S3" s="31" t="inlineStr">
        <is>
          <t>Nifty Bank</t>
        </is>
      </c>
      <c r="T3" s="32" t="n">
        <v>4.25</v>
      </c>
      <c r="U3" s="32" t="n">
        <v>79.16</v>
      </c>
      <c r="V3" s="32" t="n">
        <v>71.84999999999999</v>
      </c>
      <c r="W3" s="32" t="n">
        <v>16.77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IF(B4=0,"",RANK(B4,$B$2:$B$7,0))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SATIN</t>
        </is>
      </c>
      <c r="D4" s="34" t="inlineStr">
        <is>
          <t>Satin Creditcare Network Ltd</t>
        </is>
      </c>
      <c r="E4" s="31" t="inlineStr">
        <is>
          <t>Financial Services</t>
        </is>
      </c>
      <c r="F4" s="31" t="inlineStr">
        <is>
          <t>Finance &amp; Investments - Microfinance</t>
        </is>
      </c>
      <c r="G4" s="31" t="inlineStr">
        <is>
          <t>smallcap</t>
        </is>
      </c>
      <c r="H4" s="32" t="n">
        <v>2553.2</v>
      </c>
      <c r="I4" s="32" t="n">
        <v>231.12</v>
      </c>
      <c r="J4" s="32" t="n">
        <v>4.34</v>
      </c>
      <c r="K4" s="32" t="n">
        <v>0</v>
      </c>
      <c r="L4" s="31" t="n">
        <v>51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56.04</v>
      </c>
      <c r="P4" s="32" t="n">
        <v>63.81</v>
      </c>
      <c r="Q4" s="32" t="n">
        <v>212.15</v>
      </c>
      <c r="R4" s="31" t="inlineStr">
        <is>
          <t>Earnings / Momentum Support</t>
        </is>
      </c>
      <c r="S4" s="31" t="inlineStr">
        <is>
          <t>Nifty Bank</t>
        </is>
      </c>
      <c r="T4" s="32" t="n">
        <v>4.25</v>
      </c>
      <c r="U4" s="32" t="n">
        <v>61.22</v>
      </c>
      <c r="V4" s="32" t="n">
        <v>54.64</v>
      </c>
      <c r="W4" s="32" t="n">
        <v>12.3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23</t>
        </is>
      </c>
      <c r="CC4" s="31">
        <f>IF(CB4&gt;20,10,IF(CB4&gt;=10,5,2))</f>
        <v/>
      </c>
    </row>
    <row r="5">
      <c r="A5" s="31">
        <f>IF(B5=0,"",RANK(B5,$B$2:$B$7,0))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DHANBANK</t>
        </is>
      </c>
      <c r="D5" s="34" t="inlineStr">
        <is>
          <t>Dhanlaxmi Bank Ltd</t>
        </is>
      </c>
      <c r="E5" s="31" t="inlineStr">
        <is>
          <t>Financial Services</t>
        </is>
      </c>
      <c r="F5" s="31" t="inlineStr">
        <is>
          <t>Banks - Private</t>
        </is>
      </c>
      <c r="G5" s="31" t="inlineStr">
        <is>
          <t>smallcap</t>
        </is>
      </c>
      <c r="H5" s="32" t="n">
        <v>1330.92</v>
      </c>
      <c r="I5" s="32" t="n">
        <v>33.72</v>
      </c>
      <c r="J5" s="32" t="n">
        <v>0.6</v>
      </c>
      <c r="K5" s="32" t="n">
        <v>0</v>
      </c>
      <c r="L5" s="31" t="n">
        <v>19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56.59</v>
      </c>
      <c r="P5" s="32" t="n">
        <v>37.99</v>
      </c>
      <c r="Q5" s="32" t="n">
        <v>26.59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4.25</v>
      </c>
      <c r="U5" s="32" t="n">
        <v>19.89</v>
      </c>
      <c r="V5" s="32" t="n">
        <v>15</v>
      </c>
      <c r="W5" s="32" t="n">
        <v>4.39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24</t>
        </is>
      </c>
      <c r="CC5" s="31">
        <f>IF(CB5&gt;20,10,IF(CB5&gt;=10,5,2))</f>
        <v/>
      </c>
    </row>
    <row r="6">
      <c r="A6" s="31">
        <f>IF(B6=0,"",RANK(B6,$B$2:$B$7,0))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CGCL</t>
        </is>
      </c>
      <c r="D6" s="34" t="inlineStr">
        <is>
          <t>Capri Global Capital Ltd</t>
        </is>
      </c>
      <c r="E6" s="31" t="inlineStr">
        <is>
          <t>Financial Services</t>
        </is>
      </c>
      <c r="F6" s="31" t="inlineStr">
        <is>
          <t>Finance &amp; Investments - Gold Loan</t>
        </is>
      </c>
      <c r="G6" s="31" t="inlineStr">
        <is>
          <t>midcap</t>
        </is>
      </c>
      <c r="H6" s="32" t="n">
        <v>19124.73</v>
      </c>
      <c r="I6" s="32" t="n">
        <v>198.77</v>
      </c>
      <c r="J6" s="32" t="n">
        <v>0.37</v>
      </c>
      <c r="K6" s="32" t="n">
        <v>0</v>
      </c>
      <c r="L6" s="31" t="n">
        <v>32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58.31</v>
      </c>
      <c r="P6" s="32" t="n">
        <v>37.41</v>
      </c>
      <c r="Q6" s="32" t="n">
        <v>207.78</v>
      </c>
      <c r="R6" s="31" t="inlineStr">
        <is>
          <t>Earnings / Momentum Support</t>
        </is>
      </c>
      <c r="S6" s="31" t="inlineStr">
        <is>
          <t>Nifty Bank</t>
        </is>
      </c>
      <c r="T6" s="32" t="n">
        <v>4.25</v>
      </c>
      <c r="U6" s="32" t="n">
        <v>19.89</v>
      </c>
      <c r="V6" s="32" t="n">
        <v>15</v>
      </c>
      <c r="W6" s="32" t="n">
        <v>7.73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21</t>
        </is>
      </c>
      <c r="CC6" s="31">
        <f>IF(CB6&gt;20,10,IF(CB6&gt;=10,5,2))</f>
        <v/>
      </c>
    </row>
    <row r="7">
      <c r="A7" s="31">
        <f>IF(B7=0,"",RANK(B7,$B$2:$B$7,0))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ANGELONE</t>
        </is>
      </c>
      <c r="D7" s="34" t="inlineStr">
        <is>
          <t>Angel One Ltd</t>
        </is>
      </c>
      <c r="E7" s="31" t="inlineStr">
        <is>
          <t>Financial Services</t>
        </is>
      </c>
      <c r="F7" s="31" t="inlineStr">
        <is>
          <t>Finance - Capital Markets - Brokers</t>
        </is>
      </c>
      <c r="G7" s="31" t="inlineStr">
        <is>
          <t>largecap</t>
        </is>
      </c>
      <c r="H7" s="32" t="n">
        <v>31249.64</v>
      </c>
      <c r="I7" s="32" t="n">
        <v>342.65</v>
      </c>
      <c r="J7" s="32" t="n">
        <v>2.1</v>
      </c>
      <c r="K7" s="32" t="n">
        <v>0</v>
      </c>
      <c r="L7" s="31" t="n">
        <v>12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46.86</v>
      </c>
      <c r="P7" s="32" t="n">
        <v>18.31</v>
      </c>
      <c r="Q7" s="32" t="n">
        <v>281.12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4.25</v>
      </c>
      <c r="U7" s="32" t="n">
        <v>17.16</v>
      </c>
      <c r="V7" s="32" t="n">
        <v>12.38</v>
      </c>
      <c r="W7" s="32" t="n">
        <v>1.77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0 to 20</t>
        </is>
      </c>
      <c r="BM7" s="31">
        <f>IF(BL7="Above 40",20,IF(BL7="20 to 40",10,IF(BL7="0 to 20",-5,0)))</f>
        <v/>
      </c>
      <c r="BN7" s="31" t="inlineStr">
        <is>
          <t>Below 45</t>
        </is>
      </c>
      <c r="BO7" s="31">
        <f>IF(BN7="Between 50 to 75",10,IF(BN7="Above 75",0,0))</f>
        <v/>
      </c>
      <c r="BP7" s="31" t="inlineStr">
        <is>
          <t>Stage 4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20</t>
        </is>
      </c>
      <c r="CC7" s="31">
        <f>IF(CB7&gt;20,10,IF(CB7&gt;=10,5,2))</f>
        <v/>
      </c>
    </row>
    <row r="11">
      <c r="A11" s="25" t="inlineStr">
        <is>
          <t>❌ REMOVED SCAN MATCH STOCKS (THIS WEEK)</t>
        </is>
      </c>
    </row>
    <row r="12">
      <c r="A12" s="35" t="inlineStr">
        <is>
          <t>Symbol</t>
        </is>
      </c>
      <c r="B12" s="35" t="inlineStr">
        <is>
          <t>Company Name</t>
        </is>
      </c>
      <c r="C12" s="35" t="inlineStr">
        <is>
          <t>Sector</t>
        </is>
      </c>
      <c r="D12" s="35" t="inlineStr">
        <is>
          <t>Date of Removal</t>
        </is>
      </c>
    </row>
    <row r="13">
      <c r="A13" s="36" t="inlineStr">
        <is>
          <t>OFSS</t>
        </is>
      </c>
      <c r="B13" s="37" t="inlineStr">
        <is>
          <t>Oracle Financial Services Software Limited</t>
        </is>
      </c>
      <c r="C13" s="37" t="inlineStr">
        <is>
          <t>Technology</t>
        </is>
      </c>
      <c r="D13" s="38" t="inlineStr">
        <is>
          <t>2026-08-20</t>
        </is>
      </c>
    </row>
    <row r="14">
      <c r="A14" s="36" t="inlineStr">
        <is>
          <t>TFCILTD</t>
        </is>
      </c>
      <c r="B14" s="37" t="inlineStr">
        <is>
          <t>Tourism Finance Corporation of India Limited</t>
        </is>
      </c>
      <c r="C14" s="37" t="inlineStr">
        <is>
          <t>Financial Services</t>
        </is>
      </c>
      <c r="D14" s="38" t="inlineStr">
        <is>
          <t>2026-08-20</t>
        </is>
      </c>
    </row>
    <row r="15">
      <c r="A15" s="36" t="inlineStr">
        <is>
          <t>UJJIVANSFB</t>
        </is>
      </c>
      <c r="B15" s="37" t="inlineStr">
        <is>
          <t>Ujjivan Small Finance Bank Limited</t>
        </is>
      </c>
      <c r="C15" s="37" t="inlineStr">
        <is>
          <t>Financial Services</t>
        </is>
      </c>
      <c r="D15" s="38" t="inlineStr">
        <is>
          <t>2026-08-20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2026-08-20T10:52:31Z</dcterms:created>
  <dcterms:modified xmlns:dcterms="http://purl.org/dc/terms/" xmlns:xsi="http://www.w3.org/2001/XMLSchema-instance" xsi:type="dcterms:W3CDTF">2026-08-20T10:53:28Z</dcterms:modified>
</cp:coreProperties>
</file>