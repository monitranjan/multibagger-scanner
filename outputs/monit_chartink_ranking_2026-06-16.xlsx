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Universe'!$A$1:$J$409</definedName>
    <definedName name="_xlnm._FilterDatabase" localSheetId="3" hidden="1">'Confluence Overlap'!$A$1:$K$90</definedName>
    <definedName name="_xlnm._FilterDatabase" localSheetId="4" hidden="1">'Monit Non Financial'!$A$1:$CE$343</definedName>
    <definedName name="_xlnm._FilterDatabase" localSheetId="5" hidden="1">'Monit Banks NBFC'!$A$1:$CA$67</definedName>
    <definedName name="_xlnm._FilterDatabase" localSheetId="6" hidden="1">'Scanner Non Financial'!$A$1:$CJ$19</definedName>
    <definedName name="_xlnm._FilterDatabase" localSheetId="7" hidden="1">'Scanner Banks NBFC'!$A$1:$CF$5</definedName>
    <definedName name="_xlnm._FilterDatabase" localSheetId="8" hidden="1">'Scan Match Non Financial'!$A$1:$CG$94</definedName>
    <definedName name="_xlnm._FilterDatabase" localSheetId="9" hidden="1">'Scan Match Banks NBFC'!$A$1:$CC$8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Tuesday, 16 June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6" customWidth="1" min="2" max="2"/>
    <col width="25" customWidth="1" min="3" max="3"/>
    <col width="41" customWidth="1" min="4" max="4"/>
    <col width="22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21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438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58</v>
      </c>
      <c r="G6" s="19" t="n">
        <v>13247.43</v>
      </c>
      <c r="H6" s="18" t="inlineStr">
        <is>
          <t>Potential Leader</t>
        </is>
      </c>
      <c r="J6" s="18" t="inlineStr">
        <is>
          <t>building materials</t>
        </is>
      </c>
      <c r="K6" s="16" t="n">
        <v>50</v>
      </c>
      <c r="L6" s="16" t="n">
        <v>32</v>
      </c>
      <c r="M6" s="20" t="inlineStr">
        <is>
          <t>56.2%</t>
        </is>
      </c>
    </row>
    <row r="7">
      <c r="A7" s="16" t="n">
        <v>2</v>
      </c>
      <c r="B7" s="17" t="n">
        <v>426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56</v>
      </c>
      <c r="G7" s="19" t="n">
        <v>4649.95</v>
      </c>
      <c r="H7" s="18" t="inlineStr">
        <is>
          <t>Potential Leader</t>
        </is>
      </c>
      <c r="J7" s="18" t="inlineStr">
        <is>
          <t>chemicals</t>
        </is>
      </c>
      <c r="K7" s="16" t="n">
        <v>92</v>
      </c>
      <c r="L7" s="16" t="n">
        <v>59</v>
      </c>
      <c r="M7" s="20" t="inlineStr">
        <is>
          <t>55.9%</t>
        </is>
      </c>
    </row>
    <row r="8">
      <c r="A8" s="16" t="n">
        <v>3</v>
      </c>
      <c r="B8" s="17" t="n">
        <v>426</v>
      </c>
      <c r="C8" s="17" t="inlineStr">
        <is>
          <t>DEEDEV</t>
        </is>
      </c>
      <c r="D8" s="18" t="inlineStr">
        <is>
          <t>DEE Development Engineers Ltd</t>
        </is>
      </c>
      <c r="E8" s="18" t="inlineStr">
        <is>
          <t>metals &amp; mining</t>
        </is>
      </c>
      <c r="F8" s="16" t="n">
        <v>56</v>
      </c>
      <c r="G8" s="19" t="n">
        <v>4775.71</v>
      </c>
      <c r="H8" s="18" t="inlineStr">
        <is>
          <t>Potential Leader</t>
        </is>
      </c>
      <c r="J8" s="18" t="inlineStr">
        <is>
          <t>bank</t>
        </is>
      </c>
      <c r="K8" s="16" t="n">
        <v>85</v>
      </c>
      <c r="L8" s="16" t="n">
        <v>57</v>
      </c>
      <c r="M8" s="20" t="inlineStr">
        <is>
          <t>49.1%</t>
        </is>
      </c>
    </row>
    <row r="9">
      <c r="A9" s="16" t="n">
        <v>4</v>
      </c>
      <c r="B9" s="17" t="n">
        <v>420</v>
      </c>
      <c r="C9" s="17" t="inlineStr">
        <is>
          <t>ARVIND</t>
        </is>
      </c>
      <c r="D9" s="18" t="inlineStr">
        <is>
          <t>Arvind Limited</t>
        </is>
      </c>
      <c r="E9" s="18" t="inlineStr">
        <is>
          <t>textiles</t>
        </is>
      </c>
      <c r="F9" s="16" t="n">
        <v>55</v>
      </c>
      <c r="G9" s="19" t="n">
        <v>13071.66</v>
      </c>
      <c r="H9" s="18" t="inlineStr">
        <is>
          <t>Potential Leader</t>
        </is>
      </c>
      <c r="J9" s="18" t="inlineStr">
        <is>
          <t>financials</t>
        </is>
      </c>
      <c r="K9" s="16" t="n">
        <v>124</v>
      </c>
      <c r="L9" s="16" t="n">
        <v>95</v>
      </c>
      <c r="M9" s="20" t="inlineStr">
        <is>
          <t>30.5%</t>
        </is>
      </c>
    </row>
    <row r="10">
      <c r="A10" s="16" t="n">
        <v>5</v>
      </c>
      <c r="B10" s="17" t="n">
        <v>420</v>
      </c>
      <c r="C10" s="17" t="inlineStr">
        <is>
          <t>NITINSPIN</t>
        </is>
      </c>
      <c r="D10" s="18" t="inlineStr">
        <is>
          <t>Nitin Spinners Limited</t>
        </is>
      </c>
      <c r="E10" s="18" t="inlineStr">
        <is>
          <t>textiles</t>
        </is>
      </c>
      <c r="F10" s="16" t="n">
        <v>55</v>
      </c>
      <c r="G10" s="19" t="n">
        <v>3080.29</v>
      </c>
      <c r="H10" s="18" t="inlineStr">
        <is>
          <t>Potential Leader</t>
        </is>
      </c>
      <c r="J10" s="18" t="inlineStr">
        <is>
          <t>realty</t>
        </is>
      </c>
      <c r="K10" s="16" t="n">
        <v>71</v>
      </c>
      <c r="L10" s="16" t="n">
        <v>59</v>
      </c>
      <c r="M10" s="20" t="inlineStr">
        <is>
          <t>20.3%</t>
        </is>
      </c>
    </row>
    <row r="11">
      <c r="A11" s="16" t="n">
        <v>6</v>
      </c>
      <c r="B11" s="17" t="n">
        <v>420</v>
      </c>
      <c r="C11" s="17" t="inlineStr">
        <is>
          <t>WELCORP</t>
        </is>
      </c>
      <c r="D11" s="18" t="inlineStr">
        <is>
          <t>Welspun Corp Limited</t>
        </is>
      </c>
      <c r="E11" s="18" t="inlineStr">
        <is>
          <t>industrials</t>
        </is>
      </c>
      <c r="F11" s="16" t="n">
        <v>55</v>
      </c>
      <c r="G11" s="19" t="n">
        <v>36395.2</v>
      </c>
      <c r="H11" s="18" t="inlineStr">
        <is>
          <t>Potential Leader</t>
        </is>
      </c>
      <c r="J11" s="18" t="inlineStr">
        <is>
          <t>auto</t>
        </is>
      </c>
      <c r="K11" s="16" t="n">
        <v>129</v>
      </c>
      <c r="L11" s="16" t="n">
        <v>120</v>
      </c>
      <c r="M11" s="20" t="inlineStr">
        <is>
          <t>7.5%</t>
        </is>
      </c>
    </row>
    <row r="12">
      <c r="A12" s="16" t="n">
        <v>7</v>
      </c>
      <c r="B12" s="17" t="n">
        <v>414</v>
      </c>
      <c r="C12" s="17" t="inlineStr">
        <is>
          <t>BAJAJCON</t>
        </is>
      </c>
      <c r="D12" s="18" t="inlineStr">
        <is>
          <t>Bajaj Consumer Care Ltd</t>
        </is>
      </c>
      <c r="E12" s="18" t="inlineStr">
        <is>
          <t>fmcg</t>
        </is>
      </c>
      <c r="F12" s="16" t="n">
        <v>54</v>
      </c>
      <c r="G12" s="19" t="n">
        <v>7737.83</v>
      </c>
      <c r="H12" s="18" t="inlineStr">
        <is>
          <t>Potential Leader</t>
        </is>
      </c>
      <c r="J12" s="18" t="inlineStr">
        <is>
          <t>services</t>
        </is>
      </c>
      <c r="K12" s="16" t="n">
        <v>49</v>
      </c>
      <c r="L12" s="16" t="n">
        <v>47</v>
      </c>
      <c r="M12" s="20" t="inlineStr">
        <is>
          <t>4.3%</t>
        </is>
      </c>
    </row>
    <row r="13">
      <c r="A13" s="16" t="n">
        <v>8</v>
      </c>
      <c r="B13" s="17" t="n">
        <v>414</v>
      </c>
      <c r="C13" s="17" t="inlineStr">
        <is>
          <t>STLTECH</t>
        </is>
      </c>
      <c r="D13" s="18" t="inlineStr">
        <is>
          <t>Sterlite Technologies Limited</t>
        </is>
      </c>
      <c r="E13" s="18" t="inlineStr">
        <is>
          <t>industrials</t>
        </is>
      </c>
      <c r="F13" s="16" t="n">
        <v>54</v>
      </c>
      <c r="G13" s="19" t="n">
        <v>29717.51</v>
      </c>
      <c r="H13" s="18" t="inlineStr">
        <is>
          <t>Potential Leader</t>
        </is>
      </c>
      <c r="J13" s="18" t="inlineStr">
        <is>
          <t>telecom-service</t>
        </is>
      </c>
      <c r="K13" s="16" t="n">
        <v>10</v>
      </c>
      <c r="L13" s="16" t="n">
        <v>10</v>
      </c>
      <c r="M13" s="20" t="inlineStr">
        <is>
          <t>0.0%</t>
        </is>
      </c>
    </row>
    <row r="14">
      <c r="A14" s="16" t="n">
        <v>9</v>
      </c>
      <c r="B14" s="17" t="n">
        <v>414</v>
      </c>
      <c r="C14" s="17" t="inlineStr">
        <is>
          <t>STYLAMIND</t>
        </is>
      </c>
      <c r="D14" s="18" t="inlineStr">
        <is>
          <t>Stylam Industries Ltd</t>
        </is>
      </c>
      <c r="E14" s="18" t="inlineStr">
        <is>
          <t>building materials</t>
        </is>
      </c>
      <c r="F14" s="16" t="n">
        <v>54</v>
      </c>
      <c r="G14" s="19" t="n">
        <v>5520.32</v>
      </c>
      <c r="H14" s="18" t="inlineStr">
        <is>
          <t>Potential Leader</t>
        </is>
      </c>
      <c r="J14" s="18" t="inlineStr">
        <is>
          <t>industrials</t>
        </is>
      </c>
      <c r="K14" s="16" t="n">
        <v>231</v>
      </c>
      <c r="L14" s="16" t="n">
        <v>231</v>
      </c>
      <c r="M14" s="20" t="inlineStr">
        <is>
          <t>0.0%</t>
        </is>
      </c>
    </row>
    <row r="15">
      <c r="A15" s="16" t="n">
        <v>10</v>
      </c>
      <c r="B15" s="17" t="n">
        <v>402</v>
      </c>
      <c r="C15" s="17" t="inlineStr">
        <is>
          <t>ADANIGREEN</t>
        </is>
      </c>
      <c r="D15" s="18" t="inlineStr">
        <is>
          <t>Adani Green Energy Ltd</t>
        </is>
      </c>
      <c r="E15" s="18" t="inlineStr">
        <is>
          <t>power &amp; utilities</t>
        </is>
      </c>
      <c r="F15" s="16" t="n">
        <v>52</v>
      </c>
      <c r="G15" s="19" t="n">
        <v>244210.34</v>
      </c>
      <c r="H15" s="18" t="inlineStr">
        <is>
          <t>Potential Leader</t>
        </is>
      </c>
      <c r="J15" s="18" t="inlineStr">
        <is>
          <t>fmcg</t>
        </is>
      </c>
      <c r="K15" s="16" t="n">
        <v>80</v>
      </c>
      <c r="L15" s="16" t="n">
        <v>82</v>
      </c>
      <c r="M15" s="21" t="inlineStr">
        <is>
          <t>-2.4%</t>
        </is>
      </c>
    </row>
    <row r="16">
      <c r="A16" s="16" t="n">
        <v>11</v>
      </c>
      <c r="B16" s="17" t="n">
        <v>402</v>
      </c>
      <c r="C16" s="17" t="inlineStr">
        <is>
          <t>APCOTEXIND</t>
        </is>
      </c>
      <c r="D16" s="18" t="inlineStr">
        <is>
          <t>Apcotex Industries Limited</t>
        </is>
      </c>
      <c r="E16" s="18" t="inlineStr">
        <is>
          <t>chemicals</t>
        </is>
      </c>
      <c r="F16" s="16" t="n">
        <v>52</v>
      </c>
      <c r="G16" s="19" t="n">
        <v>2686.35</v>
      </c>
      <c r="H16" s="18" t="inlineStr">
        <is>
          <t>Potential Leader</t>
        </is>
      </c>
      <c r="J16" s="18" t="inlineStr">
        <is>
          <t>consumer discretionary</t>
        </is>
      </c>
      <c r="K16" s="16" t="n">
        <v>103</v>
      </c>
      <c r="L16" s="16" t="n">
        <v>107</v>
      </c>
      <c r="M16" s="21" t="inlineStr">
        <is>
          <t>-3.7%</t>
        </is>
      </c>
    </row>
    <row r="17">
      <c r="A17" s="16" t="n">
        <v>12</v>
      </c>
      <c r="B17" s="17" t="n">
        <v>402</v>
      </c>
      <c r="C17" s="17" t="inlineStr">
        <is>
          <t>SHILPAMED</t>
        </is>
      </c>
      <c r="D17" s="18" t="inlineStr">
        <is>
          <t>Shilpa Medicare Limited</t>
        </is>
      </c>
      <c r="E17" s="18" t="inlineStr">
        <is>
          <t>healthcare</t>
        </is>
      </c>
      <c r="F17" s="16" t="n">
        <v>52</v>
      </c>
      <c r="G17" s="19" t="n">
        <v>10419.62</v>
      </c>
      <c r="H17" s="18" t="inlineStr">
        <is>
          <t>Potential Leader</t>
        </is>
      </c>
      <c r="J17" s="18" t="inlineStr">
        <is>
          <t>i.t</t>
        </is>
      </c>
      <c r="K17" s="16" t="n">
        <v>60</v>
      </c>
      <c r="L17" s="16" t="n">
        <v>64</v>
      </c>
      <c r="M17" s="21" t="inlineStr">
        <is>
          <t>-6.2%</t>
        </is>
      </c>
    </row>
    <row r="18">
      <c r="A18" s="16" t="n">
        <v>13</v>
      </c>
      <c r="B18" s="17" t="n">
        <v>390</v>
      </c>
      <c r="C18" s="17" t="inlineStr">
        <is>
          <t>BBOX</t>
        </is>
      </c>
      <c r="D18" s="18" t="inlineStr">
        <is>
          <t>Black Box Ltd</t>
        </is>
      </c>
      <c r="E18" s="18" t="inlineStr">
        <is>
          <t>i.t</t>
        </is>
      </c>
      <c r="F18" s="16" t="n">
        <v>50</v>
      </c>
      <c r="G18" s="19" t="n">
        <v>17957.19</v>
      </c>
      <c r="H18" s="18" t="inlineStr">
        <is>
          <t>Potential Leader</t>
        </is>
      </c>
      <c r="J18" s="18" t="inlineStr">
        <is>
          <t>miscellaneous</t>
        </is>
      </c>
      <c r="K18" s="16" t="n">
        <v>51</v>
      </c>
      <c r="L18" s="16" t="n">
        <v>57</v>
      </c>
      <c r="M18" s="21" t="inlineStr">
        <is>
          <t>-10.5%</t>
        </is>
      </c>
    </row>
    <row r="19">
      <c r="A19" s="16" t="n">
        <v>14</v>
      </c>
      <c r="B19" s="17" t="n">
        <v>390</v>
      </c>
      <c r="C19" s="17" t="inlineStr">
        <is>
          <t>GVPIL</t>
        </is>
      </c>
      <c r="D19" s="18" t="inlineStr">
        <is>
          <t>GE Power India Ltd</t>
        </is>
      </c>
      <c r="E19" s="18" t="inlineStr">
        <is>
          <t>realty</t>
        </is>
      </c>
      <c r="F19" s="16" t="n">
        <v>50</v>
      </c>
      <c r="G19" s="19" t="n">
        <v>6561.4</v>
      </c>
      <c r="H19" s="18" t="inlineStr">
        <is>
          <t>Potential Leader</t>
        </is>
      </c>
      <c r="J19" s="18" t="inlineStr">
        <is>
          <t>healthcare</t>
        </is>
      </c>
      <c r="K19" s="16" t="n">
        <v>203</v>
      </c>
      <c r="L19" s="16" t="n">
        <v>228</v>
      </c>
      <c r="M19" s="21" t="inlineStr">
        <is>
          <t>-11.0%</t>
        </is>
      </c>
    </row>
    <row r="20">
      <c r="A20" s="16" t="n">
        <v>15</v>
      </c>
      <c r="B20" s="17" t="n">
        <v>378</v>
      </c>
      <c r="C20" s="17" t="inlineStr">
        <is>
          <t>NINSYS</t>
        </is>
      </c>
      <c r="D20" s="18" t="inlineStr">
        <is>
          <t>NINtec Systems Ltd</t>
        </is>
      </c>
      <c r="E20" s="18" t="inlineStr">
        <is>
          <t>i.t</t>
        </is>
      </c>
      <c r="F20" s="16" t="n">
        <v>48</v>
      </c>
      <c r="G20" s="19" t="n">
        <v>1308.21</v>
      </c>
      <c r="H20" s="18" t="inlineStr">
        <is>
          <t>Potential Leader</t>
        </is>
      </c>
      <c r="J20" s="18" t="inlineStr">
        <is>
          <t>metals &amp; mining</t>
        </is>
      </c>
      <c r="K20" s="16" t="n">
        <v>64</v>
      </c>
      <c r="L20" s="16" t="n">
        <v>73</v>
      </c>
      <c r="M20" s="21" t="inlineStr">
        <is>
          <t>-12.3%</t>
        </is>
      </c>
    </row>
    <row r="21">
      <c r="A21" s="16" t="n">
        <v>16</v>
      </c>
      <c r="B21" s="17" t="n">
        <v>378</v>
      </c>
      <c r="C21" s="17" t="inlineStr">
        <is>
          <t>POLYCAB</t>
        </is>
      </c>
      <c r="D21" s="18" t="inlineStr">
        <is>
          <t>Polycab India Ltd</t>
        </is>
      </c>
      <c r="E21" s="18" t="inlineStr">
        <is>
          <t>industrials</t>
        </is>
      </c>
      <c r="F21" s="16" t="n">
        <v>48</v>
      </c>
      <c r="G21" s="19" t="n">
        <v>143866.07</v>
      </c>
      <c r="H21" s="18" t="inlineStr">
        <is>
          <t>Potential Leader</t>
        </is>
      </c>
    </row>
    <row r="22">
      <c r="A22" s="16" t="n">
        <v>17</v>
      </c>
      <c r="B22" s="17" t="n">
        <v>372</v>
      </c>
      <c r="C22" s="17" t="inlineStr">
        <is>
          <t>NRBBEARING</t>
        </is>
      </c>
      <c r="D22" s="18" t="inlineStr">
        <is>
          <t>Nrb Bearing Limited</t>
        </is>
      </c>
      <c r="E22" s="18" t="inlineStr">
        <is>
          <t>industrials</t>
        </is>
      </c>
      <c r="F22" s="16" t="n">
        <v>47</v>
      </c>
      <c r="G22" s="19" t="n">
        <v>4168.16</v>
      </c>
      <c r="H22" s="18" t="inlineStr">
        <is>
          <t>Potential Leader</t>
        </is>
      </c>
    </row>
    <row r="23">
      <c r="A23" s="16" t="n">
        <v>18</v>
      </c>
      <c r="B23" s="17" t="n">
        <v>372</v>
      </c>
      <c r="C23" s="17" t="inlineStr">
        <is>
          <t>SIGMAADV</t>
        </is>
      </c>
      <c r="D23" s="18" t="inlineStr">
        <is>
          <t>Sigma Advanced System Ltd</t>
        </is>
      </c>
      <c r="E23" s="18" t="inlineStr">
        <is>
          <t>aerospace &amp; defence</t>
        </is>
      </c>
      <c r="F23" s="16" t="n">
        <v>47</v>
      </c>
      <c r="G23" s="19" t="n">
        <v>8145.8</v>
      </c>
      <c r="H23" s="18" t="inlineStr">
        <is>
          <t>Potential Leader</t>
        </is>
      </c>
    </row>
    <row r="24">
      <c r="A24" s="16" t="n">
        <v>19</v>
      </c>
      <c r="B24" s="17" t="n">
        <v>372</v>
      </c>
      <c r="C24" s="17" t="inlineStr">
        <is>
          <t>TALBROAUTO</t>
        </is>
      </c>
      <c r="D24" s="18" t="inlineStr">
        <is>
          <t>Talbros Automotive Components Limited</t>
        </is>
      </c>
      <c r="E24" s="18" t="inlineStr">
        <is>
          <t>auto</t>
        </is>
      </c>
      <c r="F24" s="16" t="n">
        <v>47</v>
      </c>
      <c r="G24" s="19" t="n">
        <v>2251.84</v>
      </c>
      <c r="H24" s="18" t="inlineStr">
        <is>
          <t>Potential Leader</t>
        </is>
      </c>
    </row>
    <row r="25">
      <c r="A25" s="16" t="n">
        <v>20</v>
      </c>
      <c r="B25" s="17" t="n">
        <v>354</v>
      </c>
      <c r="C25" s="17" t="inlineStr">
        <is>
          <t>SIS</t>
        </is>
      </c>
      <c r="D25" s="18" t="inlineStr">
        <is>
          <t>Security &amp; Intelligence Services India</t>
        </is>
      </c>
      <c r="E25" s="18" t="inlineStr">
        <is>
          <t>miscellaneous</t>
        </is>
      </c>
      <c r="F25" s="16" t="n">
        <v>44</v>
      </c>
      <c r="G25" s="19" t="n">
        <v>6042.92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PANACEABIO</t>
        </is>
      </c>
      <c r="B30" s="18" t="inlineStr">
        <is>
          <t>Panacea Biotec Limited</t>
        </is>
      </c>
      <c r="C30" s="18" t="inlineStr">
        <is>
          <t>healthcare</t>
        </is>
      </c>
      <c r="D30" s="16" t="n">
        <v>10</v>
      </c>
      <c r="E30" s="16" t="n">
        <v>1</v>
      </c>
      <c r="F30" s="19" t="n">
        <v>3312.44</v>
      </c>
      <c r="J30" s="17" t="inlineStr">
        <is>
          <t>SATIN</t>
        </is>
      </c>
      <c r="K30" s="18" t="inlineStr">
        <is>
          <t>financials</t>
        </is>
      </c>
      <c r="L30" s="19" t="n">
        <v>297</v>
      </c>
      <c r="M30" s="19" t="n">
        <v>2564.14</v>
      </c>
      <c r="N30" s="16" t="n">
        <v>29</v>
      </c>
    </row>
    <row r="31">
      <c r="A31" s="17" t="inlineStr">
        <is>
          <t>BHAGERIA</t>
        </is>
      </c>
      <c r="B31" s="18" t="inlineStr">
        <is>
          <t>Bhageria Industries Limited</t>
        </is>
      </c>
      <c r="C31" s="18" t="inlineStr">
        <is>
          <t>chemicals</t>
        </is>
      </c>
      <c r="D31" s="16" t="n">
        <v>10</v>
      </c>
      <c r="E31" s="16" t="n">
        <v>0</v>
      </c>
      <c r="F31" s="19" t="n">
        <v>950.5700000000001</v>
      </c>
      <c r="J31" s="17" t="inlineStr">
        <is>
          <t>KTKBANK</t>
        </is>
      </c>
      <c r="K31" s="18" t="inlineStr">
        <is>
          <t>bank</t>
        </is>
      </c>
      <c r="L31" s="19" t="n">
        <v>295</v>
      </c>
      <c r="M31" s="19" t="n">
        <v>10311.89</v>
      </c>
      <c r="N31" s="16" t="n">
        <v>17</v>
      </c>
    </row>
    <row r="32">
      <c r="A32" s="17" t="inlineStr">
        <is>
          <t>MSTCLTD</t>
        </is>
      </c>
      <c r="B32" s="18" t="inlineStr">
        <is>
          <t>MSTC Ltd</t>
        </is>
      </c>
      <c r="C32" s="18" t="inlineStr">
        <is>
          <t>i.t</t>
        </is>
      </c>
      <c r="D32" s="16" t="n">
        <v>10</v>
      </c>
      <c r="E32" s="16" t="n">
        <v>1</v>
      </c>
      <c r="F32" s="19" t="n">
        <v>4433.44</v>
      </c>
      <c r="J32" s="17" t="inlineStr">
        <is>
          <t>IBULLSLTD</t>
        </is>
      </c>
      <c r="K32" s="18" t="inlineStr">
        <is>
          <t>miscellaneous</t>
        </is>
      </c>
      <c r="L32" s="19" t="n">
        <v>290</v>
      </c>
      <c r="M32" s="19" t="n">
        <v>5527.38</v>
      </c>
      <c r="N32" s="16" t="n">
        <v>26</v>
      </c>
    </row>
    <row r="33">
      <c r="A33" s="17" t="inlineStr">
        <is>
          <t>HITECHCORP</t>
        </is>
      </c>
      <c r="B33" s="18" t="inlineStr">
        <is>
          <t>Hitech Corporation</t>
        </is>
      </c>
      <c r="C33" s="18" t="inlineStr">
        <is>
          <t>industrials</t>
        </is>
      </c>
      <c r="D33" s="16" t="n">
        <v>10</v>
      </c>
      <c r="E33" s="16" t="n">
        <v>1</v>
      </c>
      <c r="F33" s="19" t="n">
        <v>530.9</v>
      </c>
      <c r="J33" s="17" t="inlineStr">
        <is>
          <t>MBAPL</t>
        </is>
      </c>
      <c r="K33" s="18" t="inlineStr">
        <is>
          <t>chemicals</t>
        </is>
      </c>
      <c r="L33" s="19" t="n">
        <v>288</v>
      </c>
      <c r="M33" s="19" t="n">
        <v>4965.38</v>
      </c>
      <c r="N33" s="16" t="n">
        <v>10</v>
      </c>
    </row>
    <row r="34">
      <c r="A34" s="17" t="inlineStr">
        <is>
          <t>MGEL</t>
        </is>
      </c>
      <c r="B34" s="18" t="inlineStr">
        <is>
          <t>Mangalam Global Enterprise Ltd</t>
        </is>
      </c>
      <c r="C34" s="18" t="inlineStr">
        <is>
          <t>services</t>
        </is>
      </c>
      <c r="D34" s="16" t="n">
        <v>10</v>
      </c>
      <c r="E34" s="16" t="n">
        <v>2</v>
      </c>
      <c r="F34" s="19" t="n">
        <v>541.79</v>
      </c>
      <c r="J34" s="17" t="inlineStr">
        <is>
          <t>BAJAJCON</t>
        </is>
      </c>
      <c r="K34" s="18" t="inlineStr">
        <is>
          <t>fmcg</t>
        </is>
      </c>
      <c r="L34" s="19" t="n">
        <v>287</v>
      </c>
      <c r="M34" s="19" t="n">
        <v>7737.83</v>
      </c>
      <c r="N34" s="16" t="n">
        <v>30</v>
      </c>
    </row>
    <row r="35">
      <c r="A35" s="17" t="inlineStr">
        <is>
          <t>KPRMILL</t>
        </is>
      </c>
      <c r="B35" s="18" t="inlineStr">
        <is>
          <t>K.p.r. Mill Limited</t>
        </is>
      </c>
      <c r="C35" s="18" t="inlineStr">
        <is>
          <t>consumer discretionary</t>
        </is>
      </c>
      <c r="D35" s="16" t="n">
        <v>10</v>
      </c>
      <c r="E35" s="16" t="n">
        <v>2</v>
      </c>
      <c r="F35" s="19" t="n">
        <v>36076.76</v>
      </c>
      <c r="J35" s="17" t="inlineStr">
        <is>
          <t>RBLBANK</t>
        </is>
      </c>
      <c r="K35" s="18" t="inlineStr">
        <is>
          <t>bank</t>
        </is>
      </c>
      <c r="L35" s="19" t="n">
        <v>285</v>
      </c>
      <c r="M35" s="19" t="n">
        <v>23033.92</v>
      </c>
      <c r="N35" s="16" t="n">
        <v>23</v>
      </c>
    </row>
    <row r="36">
      <c r="A36" s="17" t="inlineStr">
        <is>
          <t>SSWL</t>
        </is>
      </c>
      <c r="B36" s="18" t="inlineStr">
        <is>
          <t>Steel Strips Wheels Limited</t>
        </is>
      </c>
      <c r="C36" s="18" t="inlineStr">
        <is>
          <t>auto</t>
        </is>
      </c>
      <c r="D36" s="16" t="n">
        <v>9</v>
      </c>
      <c r="E36" s="16" t="n">
        <v>1</v>
      </c>
      <c r="F36" s="19" t="n">
        <v>3691.23</v>
      </c>
      <c r="J36" s="17" t="inlineStr">
        <is>
          <t>TMB</t>
        </is>
      </c>
      <c r="K36" s="18" t="inlineStr">
        <is>
          <t>bank</t>
        </is>
      </c>
      <c r="L36" s="19" t="n">
        <v>285</v>
      </c>
      <c r="M36" s="19" t="n">
        <v>12259.57</v>
      </c>
      <c r="N36" s="16" t="n">
        <v>14</v>
      </c>
    </row>
    <row r="37">
      <c r="A37" s="17" t="inlineStr">
        <is>
          <t>GREENPLY</t>
        </is>
      </c>
      <c r="B37" s="18" t="inlineStr">
        <is>
          <t>Greenply Industries Limited</t>
        </is>
      </c>
      <c r="C37" s="18" t="inlineStr">
        <is>
          <t>building materials</t>
        </is>
      </c>
      <c r="D37" s="16" t="n">
        <v>9</v>
      </c>
      <c r="E37" s="16" t="n">
        <v>1</v>
      </c>
      <c r="F37" s="19" t="n">
        <v>3669.62</v>
      </c>
      <c r="J37" s="17" t="inlineStr">
        <is>
          <t>FEDFINA</t>
        </is>
      </c>
      <c r="K37" s="18" t="inlineStr">
        <is>
          <t>financials</t>
        </is>
      </c>
      <c r="L37" s="19" t="n">
        <v>285</v>
      </c>
      <c r="M37" s="19" t="n">
        <v>6069.25</v>
      </c>
      <c r="N37" s="16" t="n">
        <v>22</v>
      </c>
    </row>
    <row r="38">
      <c r="A38" s="17" t="inlineStr">
        <is>
          <t>TINNARUBR</t>
        </is>
      </c>
      <c r="B38" s="18" t="inlineStr">
        <is>
          <t>Tinna Rubber &amp; Infrastructure Ltd</t>
        </is>
      </c>
      <c r="C38" s="18" t="inlineStr">
        <is>
          <t>fmcg</t>
        </is>
      </c>
      <c r="D38" s="16" t="n">
        <v>8</v>
      </c>
      <c r="E38" s="16" t="n">
        <v>1</v>
      </c>
      <c r="F38" s="19" t="n">
        <v>1559.89</v>
      </c>
      <c r="J38" s="17" t="inlineStr">
        <is>
          <t>NORTHARC</t>
        </is>
      </c>
      <c r="K38" s="18" t="inlineStr">
        <is>
          <t>financials</t>
        </is>
      </c>
      <c r="L38" s="19" t="n">
        <v>285</v>
      </c>
      <c r="M38" s="19" t="n">
        <v>4764.75</v>
      </c>
      <c r="N38" s="16" t="n">
        <v>22</v>
      </c>
    </row>
    <row r="39">
      <c r="A39" s="17" t="inlineStr">
        <is>
          <t>HMVL</t>
        </is>
      </c>
      <c r="B39" s="18" t="inlineStr">
        <is>
          <t>Hindustan Media Ventures Limited</t>
        </is>
      </c>
      <c r="C39" s="18" t="inlineStr">
        <is>
          <t>media</t>
        </is>
      </c>
      <c r="D39" s="16" t="n">
        <v>8</v>
      </c>
      <c r="E39" s="16" t="n">
        <v>0</v>
      </c>
      <c r="F39" s="19" t="n">
        <v>607.05</v>
      </c>
      <c r="J39" s="17" t="inlineStr">
        <is>
          <t>STYLAMIND</t>
        </is>
      </c>
      <c r="K39" s="18" t="inlineStr">
        <is>
          <t>building materials</t>
        </is>
      </c>
      <c r="L39" s="19" t="n">
        <v>283</v>
      </c>
      <c r="M39" s="19" t="n">
        <v>5520.32</v>
      </c>
      <c r="N39" s="16" t="n">
        <v>30</v>
      </c>
    </row>
    <row r="40">
      <c r="A40" s="17" t="inlineStr">
        <is>
          <t>RAMCOSYS</t>
        </is>
      </c>
      <c r="B40" s="18" t="inlineStr">
        <is>
          <t>Ramco Systems Limited</t>
        </is>
      </c>
      <c r="C40" s="18" t="inlineStr">
        <is>
          <t>i.t</t>
        </is>
      </c>
      <c r="D40" s="16" t="n">
        <v>8</v>
      </c>
      <c r="E40" s="16" t="n">
        <v>0</v>
      </c>
      <c r="F40" s="19" t="n">
        <v>2050.73</v>
      </c>
      <c r="J40" s="17" t="inlineStr">
        <is>
          <t>BLISSGVS</t>
        </is>
      </c>
      <c r="K40" s="18" t="inlineStr">
        <is>
          <t>healthcare</t>
        </is>
      </c>
      <c r="L40" s="19" t="n">
        <v>282</v>
      </c>
      <c r="M40" s="19" t="n">
        <v>4649.95</v>
      </c>
      <c r="N40" s="16" t="n">
        <v>30</v>
      </c>
    </row>
    <row r="41">
      <c r="A41" s="17" t="inlineStr">
        <is>
          <t>STEL</t>
        </is>
      </c>
      <c r="B41" s="18" t="inlineStr">
        <is>
          <t>Stel Holdings Limited</t>
        </is>
      </c>
      <c r="C41" s="18" t="inlineStr">
        <is>
          <t>financials</t>
        </is>
      </c>
      <c r="D41" s="16" t="n">
        <v>7</v>
      </c>
      <c r="E41" s="16" t="n">
        <v>0</v>
      </c>
      <c r="F41" s="19" t="n">
        <v>1137.96</v>
      </c>
      <c r="J41" s="17" t="inlineStr">
        <is>
          <t>VENUSREM</t>
        </is>
      </c>
      <c r="K41" s="18" t="inlineStr">
        <is>
          <t>healthcare</t>
        </is>
      </c>
      <c r="L41" s="19" t="n">
        <v>282</v>
      </c>
      <c r="M41" s="19" t="n">
        <v>2517</v>
      </c>
      <c r="N41" s="16" t="n">
        <v>25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109.82</v>
      </c>
      <c r="D47" s="28" t="n">
        <v>260</v>
      </c>
      <c r="E47" s="17" t="inlineStr">
        <is>
          <t>STLTECH</t>
        </is>
      </c>
      <c r="F47" s="18" t="inlineStr">
        <is>
          <t>Sterlite Technologies Limited</t>
        </is>
      </c>
      <c r="G47" s="18" t="inlineStr">
        <is>
          <t>industrials</t>
        </is>
      </c>
      <c r="H47" s="19" t="n">
        <v>29717.51</v>
      </c>
    </row>
    <row r="48">
      <c r="A48" s="16" t="n">
        <v>2</v>
      </c>
      <c r="B48" s="27" t="n">
        <v>99</v>
      </c>
      <c r="C48" s="28" t="n">
        <v>88.90000000000001</v>
      </c>
      <c r="D48" s="28" t="n">
        <v>265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8145.8</v>
      </c>
    </row>
    <row r="49">
      <c r="A49" s="16" t="n">
        <v>3</v>
      </c>
      <c r="B49" s="27" t="n">
        <v>99</v>
      </c>
      <c r="C49" s="28" t="n">
        <v>88.55</v>
      </c>
      <c r="D49" s="28" t="n">
        <v>277</v>
      </c>
      <c r="E49" s="17" t="inlineStr">
        <is>
          <t>CUPID</t>
        </is>
      </c>
      <c r="F49" s="18" t="inlineStr">
        <is>
          <t>Cupid Limited</t>
        </is>
      </c>
      <c r="G49" s="18" t="inlineStr">
        <is>
          <t>fmcg</t>
        </is>
      </c>
      <c r="H49" s="19" t="n">
        <v>22164.04</v>
      </c>
    </row>
    <row r="50">
      <c r="A50" s="16" t="n">
        <v>4</v>
      </c>
      <c r="B50" s="27" t="n">
        <v>98</v>
      </c>
      <c r="C50" s="28" t="n">
        <v>68.20999999999999</v>
      </c>
      <c r="D50" s="28" t="n">
        <v>270</v>
      </c>
      <c r="E50" s="17" t="inlineStr">
        <is>
          <t>BHAGYANGR</t>
        </is>
      </c>
      <c r="F50" s="18" t="inlineStr">
        <is>
          <t>Bhagyanagar India</t>
        </is>
      </c>
      <c r="G50" s="18" t="inlineStr">
        <is>
          <t>power &amp; utilities</t>
        </is>
      </c>
      <c r="H50" s="19" t="n">
        <v>1043.36</v>
      </c>
    </row>
    <row r="51">
      <c r="A51" s="16" t="n">
        <v>5</v>
      </c>
      <c r="B51" s="27" t="n">
        <v>98</v>
      </c>
      <c r="C51" s="28" t="n">
        <v>67.77</v>
      </c>
      <c r="D51" s="28" t="n">
        <v>280</v>
      </c>
      <c r="E51" s="17" t="inlineStr">
        <is>
          <t>VMARCIND</t>
        </is>
      </c>
      <c r="F51" s="18" t="inlineStr">
        <is>
          <t>VMARCIND</t>
        </is>
      </c>
      <c r="G51" s="18" t="inlineStr">
        <is>
          <t>unknown</t>
        </is>
      </c>
      <c r="H51" s="19" t="n">
        <v>441.28</v>
      </c>
    </row>
    <row r="52">
      <c r="A52" s="16" t="n">
        <v>6</v>
      </c>
      <c r="B52" s="27" t="n">
        <v>98</v>
      </c>
      <c r="C52" s="28" t="n">
        <v>66.67</v>
      </c>
      <c r="D52" s="28" t="n">
        <v>223</v>
      </c>
      <c r="E52" s="17" t="inlineStr">
        <is>
          <t>DEEDEV</t>
        </is>
      </c>
      <c r="F52" s="18" t="inlineStr">
        <is>
          <t>DEE Development Engineers Ltd</t>
        </is>
      </c>
      <c r="G52" s="18" t="inlineStr">
        <is>
          <t>metals &amp; mining</t>
        </is>
      </c>
      <c r="H52" s="19" t="n">
        <v>4775.71</v>
      </c>
    </row>
    <row r="53">
      <c r="A53" s="16" t="n">
        <v>7</v>
      </c>
      <c r="B53" s="27" t="n">
        <v>98</v>
      </c>
      <c r="C53" s="28" t="n">
        <v>64.45999999999999</v>
      </c>
      <c r="D53" s="28" t="n">
        <v>250</v>
      </c>
      <c r="E53" s="17" t="inlineStr">
        <is>
          <t>MTARTECH</t>
        </is>
      </c>
      <c r="F53" s="18" t="inlineStr">
        <is>
          <t>MTAR Technologies Ltd</t>
        </is>
      </c>
      <c r="G53" s="18" t="inlineStr">
        <is>
          <t>aerospace &amp; defence</t>
        </is>
      </c>
      <c r="H53" s="19" t="n">
        <v>22589.84</v>
      </c>
    </row>
    <row r="54">
      <c r="A54" s="16" t="n">
        <v>8</v>
      </c>
      <c r="B54" s="27" t="n">
        <v>98</v>
      </c>
      <c r="C54" s="28" t="n">
        <v>64.45999999999999</v>
      </c>
      <c r="D54" s="28" t="n">
        <v>272</v>
      </c>
      <c r="E54" s="17" t="inlineStr">
        <is>
          <t>GVPIL</t>
        </is>
      </c>
      <c r="F54" s="18" t="inlineStr">
        <is>
          <t>GE Power India Ltd</t>
        </is>
      </c>
      <c r="G54" s="18" t="inlineStr">
        <is>
          <t>realty</t>
        </is>
      </c>
      <c r="H54" s="19" t="n">
        <v>6561.4</v>
      </c>
    </row>
    <row r="55">
      <c r="A55" s="16" t="n">
        <v>9</v>
      </c>
      <c r="B55" s="27" t="n">
        <v>97</v>
      </c>
      <c r="C55" s="28" t="n">
        <v>64.16</v>
      </c>
      <c r="D55" s="28" t="n">
        <v>282</v>
      </c>
      <c r="E55" s="17" t="inlineStr">
        <is>
          <t>VENUSREM</t>
        </is>
      </c>
      <c r="F55" s="18" t="inlineStr">
        <is>
          <t>Venus Remedies Limited</t>
        </is>
      </c>
      <c r="G55" s="18" t="inlineStr">
        <is>
          <t>healthcare</t>
        </is>
      </c>
      <c r="H55" s="19" t="n">
        <v>2517</v>
      </c>
    </row>
    <row r="56">
      <c r="A56" s="16" t="n">
        <v>10</v>
      </c>
      <c r="B56" s="27" t="n">
        <v>97</v>
      </c>
      <c r="C56" s="28" t="n">
        <v>63.93</v>
      </c>
      <c r="D56" s="28" t="n">
        <v>255</v>
      </c>
      <c r="E56" s="17" t="inlineStr">
        <is>
          <t>HFCL</t>
        </is>
      </c>
      <c r="F56" s="18" t="inlineStr">
        <is>
          <t>HFCL Ltd</t>
        </is>
      </c>
      <c r="G56" s="18" t="inlineStr">
        <is>
          <t>telecom</t>
        </is>
      </c>
      <c r="H56" s="19" t="n">
        <v>27619.72</v>
      </c>
    </row>
    <row r="57">
      <c r="A57" s="16" t="n">
        <v>11</v>
      </c>
      <c r="B57" s="27" t="n">
        <v>97</v>
      </c>
      <c r="C57" s="28" t="n">
        <v>59.79</v>
      </c>
      <c r="D57" s="28" t="n">
        <v>287</v>
      </c>
      <c r="E57" s="17" t="inlineStr">
        <is>
          <t>MODINSU</t>
        </is>
      </c>
      <c r="F57" s="18" t="inlineStr">
        <is>
          <t>Modern Insulators Limited</t>
        </is>
      </c>
      <c r="G57" s="18" t="inlineStr">
        <is>
          <t>Technology</t>
        </is>
      </c>
      <c r="H57" s="19" t="n">
        <v>2145.05</v>
      </c>
    </row>
    <row r="58">
      <c r="A58" s="16" t="n">
        <v>12</v>
      </c>
      <c r="B58" s="27" t="n">
        <v>96</v>
      </c>
      <c r="C58" s="28" t="n">
        <v>57.41</v>
      </c>
      <c r="D58" s="28" t="n">
        <v>248</v>
      </c>
      <c r="E58" s="17" t="inlineStr">
        <is>
          <t>UFBL</t>
        </is>
      </c>
      <c r="F58" s="18" t="inlineStr">
        <is>
          <t>United Foodbrands Ltd</t>
        </is>
      </c>
      <c r="G58" s="18" t="inlineStr">
        <is>
          <t>consumer discretionary</t>
        </is>
      </c>
      <c r="H58" s="19" t="n">
        <v>2403.62</v>
      </c>
    </row>
    <row r="59">
      <c r="A59" s="16" t="n">
        <v>13</v>
      </c>
      <c r="B59" s="27" t="n">
        <v>96</v>
      </c>
      <c r="C59" s="28" t="n">
        <v>55.6</v>
      </c>
      <c r="D59" s="28" t="n">
        <v>0</v>
      </c>
      <c r="E59" s="17" t="inlineStr">
        <is>
          <t>IZMO</t>
        </is>
      </c>
      <c r="F59" s="18" t="inlineStr">
        <is>
          <t>IZMO Limited</t>
        </is>
      </c>
      <c r="G59" s="18" t="inlineStr">
        <is>
          <t>Technology</t>
        </is>
      </c>
      <c r="H59" s="19" t="n">
        <v>1620.37</v>
      </c>
    </row>
    <row r="60">
      <c r="A60" s="16" t="n">
        <v>14</v>
      </c>
      <c r="B60" s="27" t="n">
        <v>96</v>
      </c>
      <c r="C60" s="28" t="n">
        <v>55.14</v>
      </c>
      <c r="D60" s="28" t="n">
        <v>282</v>
      </c>
      <c r="E60" s="17" t="inlineStr">
        <is>
          <t>BLISSGVS</t>
        </is>
      </c>
      <c r="F60" s="18" t="inlineStr">
        <is>
          <t>Bliss Gvs Pharma Limited</t>
        </is>
      </c>
      <c r="G60" s="18" t="inlineStr">
        <is>
          <t>healthcare</t>
        </is>
      </c>
      <c r="H60" s="19" t="n">
        <v>4649.95</v>
      </c>
    </row>
    <row r="61">
      <c r="A61" s="16" t="n">
        <v>15</v>
      </c>
      <c r="B61" s="27" t="n">
        <v>96</v>
      </c>
      <c r="C61" s="28" t="n">
        <v>53.61</v>
      </c>
      <c r="D61" s="28" t="n">
        <v>257</v>
      </c>
      <c r="E61" s="17" t="inlineStr">
        <is>
          <t>APOLLO</t>
        </is>
      </c>
      <c r="F61" s="18" t="inlineStr">
        <is>
          <t>Apollo Micro Systems Ltd</t>
        </is>
      </c>
      <c r="G61" s="18" t="inlineStr">
        <is>
          <t>aerospace &amp; defence</t>
        </is>
      </c>
      <c r="H61" s="19" t="n">
        <v>15065.24</v>
      </c>
    </row>
    <row r="62">
      <c r="A62" s="16" t="n">
        <v>16</v>
      </c>
      <c r="B62" s="27" t="n">
        <v>96</v>
      </c>
      <c r="C62" s="28" t="n">
        <v>49.46</v>
      </c>
      <c r="D62" s="28" t="n">
        <v>270</v>
      </c>
      <c r="E62" s="17" t="inlineStr">
        <is>
          <t>NINSYS</t>
        </is>
      </c>
      <c r="F62" s="18" t="inlineStr">
        <is>
          <t>NINtec Systems Ltd</t>
        </is>
      </c>
      <c r="G62" s="18" t="inlineStr">
        <is>
          <t>i.t</t>
        </is>
      </c>
      <c r="H62" s="19" t="n">
        <v>1308.21</v>
      </c>
    </row>
    <row r="63">
      <c r="A63" s="16" t="n">
        <v>17</v>
      </c>
      <c r="B63" s="27" t="n">
        <v>95</v>
      </c>
      <c r="C63" s="28" t="n">
        <v>49.29</v>
      </c>
      <c r="D63" s="28" t="n">
        <v>250</v>
      </c>
      <c r="E63" s="17" t="inlineStr">
        <is>
          <t>COCKERILL</t>
        </is>
      </c>
      <c r="F63" s="18" t="inlineStr">
        <is>
          <t>John Cockerill India Ltd</t>
        </is>
      </c>
      <c r="G63" s="18" t="inlineStr">
        <is>
          <t>Industrials</t>
        </is>
      </c>
      <c r="H63" s="19" t="n">
        <v>4590.46</v>
      </c>
    </row>
    <row r="64">
      <c r="A64" s="16" t="n">
        <v>18</v>
      </c>
      <c r="B64" s="27" t="n">
        <v>95</v>
      </c>
      <c r="C64" s="28" t="n">
        <v>48.82</v>
      </c>
      <c r="D64" s="28" t="n">
        <v>263</v>
      </c>
      <c r="E64" s="17" t="inlineStr">
        <is>
          <t>MODISONLTD</t>
        </is>
      </c>
      <c r="F64" s="18" t="inlineStr">
        <is>
          <t>Modison Ltd</t>
        </is>
      </c>
      <c r="G64" s="18" t="inlineStr">
        <is>
          <t>industrials</t>
        </is>
      </c>
      <c r="H64" s="19" t="n">
        <v>973.01</v>
      </c>
    </row>
    <row r="65">
      <c r="A65" s="16" t="n">
        <v>19</v>
      </c>
      <c r="B65" s="27" t="n">
        <v>95</v>
      </c>
      <c r="C65" s="28" t="n">
        <v>47.17</v>
      </c>
      <c r="D65" s="28" t="n">
        <v>290</v>
      </c>
      <c r="E65" s="17" t="inlineStr">
        <is>
          <t>IBULLSLTD</t>
        </is>
      </c>
      <c r="F65" s="18" t="inlineStr">
        <is>
          <t>Indiabulls Limited</t>
        </is>
      </c>
      <c r="G65" s="18" t="inlineStr">
        <is>
          <t>miscellaneous</t>
        </is>
      </c>
      <c r="H65" s="19" t="n">
        <v>5527.38</v>
      </c>
    </row>
    <row r="66">
      <c r="A66" s="16" t="n">
        <v>20</v>
      </c>
      <c r="B66" s="27" t="n">
        <v>95</v>
      </c>
      <c r="C66" s="28" t="n">
        <v>44.51</v>
      </c>
      <c r="D66" s="28" t="n">
        <v>287</v>
      </c>
      <c r="E66" s="17" t="inlineStr">
        <is>
          <t>BAJAJCON</t>
        </is>
      </c>
      <c r="F66" s="18" t="inlineStr">
        <is>
          <t>Bajaj Consumer Care Ltd</t>
        </is>
      </c>
      <c r="G66" s="18" t="inlineStr">
        <is>
          <t>fmcg</t>
        </is>
      </c>
      <c r="H66" s="19" t="n">
        <v>7737.83</v>
      </c>
    </row>
    <row r="67">
      <c r="A67" s="16" t="n">
        <v>21</v>
      </c>
      <c r="B67" s="29" t="n">
        <v>94</v>
      </c>
      <c r="C67" s="28" t="n">
        <v>43.86</v>
      </c>
      <c r="D67" s="28" t="n">
        <v>250</v>
      </c>
      <c r="E67" s="17" t="inlineStr">
        <is>
          <t>AEROFLEX</t>
        </is>
      </c>
      <c r="F67" s="18" t="inlineStr">
        <is>
          <t>Aeroflex Industries Ltd</t>
        </is>
      </c>
      <c r="G67" s="18" t="inlineStr">
        <is>
          <t>metals &amp; mining</t>
        </is>
      </c>
      <c r="H67" s="19" t="n">
        <v>6325.41</v>
      </c>
    </row>
    <row r="68">
      <c r="A68" s="16" t="n">
        <v>22</v>
      </c>
      <c r="B68" s="29" t="n">
        <v>94</v>
      </c>
      <c r="C68" s="28" t="n">
        <v>42.74</v>
      </c>
      <c r="D68" s="28" t="n">
        <v>258</v>
      </c>
      <c r="E68" s="17" t="inlineStr">
        <is>
          <t>HITECHCORP</t>
        </is>
      </c>
      <c r="F68" s="18" t="inlineStr">
        <is>
          <t>Hitech Corporation</t>
        </is>
      </c>
      <c r="G68" s="18" t="inlineStr">
        <is>
          <t>industrials</t>
        </is>
      </c>
      <c r="H68" s="19" t="n">
        <v>530.9</v>
      </c>
    </row>
    <row r="69">
      <c r="A69" s="16" t="n">
        <v>23</v>
      </c>
      <c r="B69" s="29" t="n">
        <v>94</v>
      </c>
      <c r="C69" s="28" t="n">
        <v>41.93</v>
      </c>
      <c r="D69" s="28" t="n">
        <v>280</v>
      </c>
      <c r="E69" s="17" t="inlineStr">
        <is>
          <t>GAYAPROJ</t>
        </is>
      </c>
      <c r="F69" s="18" t="inlineStr">
        <is>
          <t>Gayatri Projects Limited</t>
        </is>
      </c>
      <c r="G69" s="18" t="inlineStr">
        <is>
          <t>realty</t>
        </is>
      </c>
      <c r="H69" s="19" t="n">
        <v>679.78</v>
      </c>
    </row>
    <row r="70">
      <c r="A70" s="16" t="n">
        <v>24</v>
      </c>
      <c r="B70" s="29" t="n">
        <v>94</v>
      </c>
      <c r="C70" s="28" t="n">
        <v>41.77</v>
      </c>
      <c r="D70" s="28" t="n">
        <v>220</v>
      </c>
      <c r="E70" s="17" t="inlineStr">
        <is>
          <t>BBOX</t>
        </is>
      </c>
      <c r="F70" s="18" t="inlineStr">
        <is>
          <t>Black Box Ltd</t>
        </is>
      </c>
      <c r="G70" s="18" t="inlineStr">
        <is>
          <t>i.t</t>
        </is>
      </c>
      <c r="H70" s="19" t="n">
        <v>17957.19</v>
      </c>
    </row>
    <row r="71">
      <c r="A71" s="16" t="n">
        <v>25</v>
      </c>
      <c r="B71" s="29" t="n">
        <v>93</v>
      </c>
      <c r="C71" s="28" t="n">
        <v>41.4</v>
      </c>
      <c r="D71" s="28" t="n">
        <v>255</v>
      </c>
      <c r="E71" s="17" t="inlineStr">
        <is>
          <t>JAYBARMARU</t>
        </is>
      </c>
      <c r="F71" s="18" t="inlineStr">
        <is>
          <t>Jay Bharat Maruti Limited</t>
        </is>
      </c>
      <c r="G71" s="18" t="inlineStr">
        <is>
          <t>auto</t>
        </is>
      </c>
      <c r="H71" s="19" t="n">
        <v>1722.47</v>
      </c>
    </row>
    <row r="72">
      <c r="A72" s="16" t="n">
        <v>26</v>
      </c>
      <c r="B72" s="29" t="n">
        <v>93</v>
      </c>
      <c r="C72" s="28" t="n">
        <v>41.39</v>
      </c>
      <c r="D72" s="28" t="n">
        <v>260</v>
      </c>
      <c r="E72" s="17" t="inlineStr">
        <is>
          <t>KERNEX</t>
        </is>
      </c>
      <c r="F72" s="18" t="inlineStr">
        <is>
          <t>Kernex Microsystems (india) Limited</t>
        </is>
      </c>
      <c r="G72" s="18" t="inlineStr">
        <is>
          <t>consumer discretionary</t>
        </is>
      </c>
      <c r="H72" s="19" t="n">
        <v>3422.99</v>
      </c>
    </row>
    <row r="73">
      <c r="A73" s="16" t="n">
        <v>27</v>
      </c>
      <c r="B73" s="29" t="n">
        <v>93</v>
      </c>
      <c r="C73" s="28" t="n">
        <v>41.12</v>
      </c>
      <c r="D73" s="28" t="n">
        <v>268</v>
      </c>
      <c r="E73" s="17" t="inlineStr">
        <is>
          <t>IDEAFORGE</t>
        </is>
      </c>
      <c r="F73" s="18" t="inlineStr">
        <is>
          <t>Ideaforge Technology Ltd</t>
        </is>
      </c>
      <c r="G73" s="18" t="inlineStr">
        <is>
          <t>aerospace &amp; defence</t>
        </is>
      </c>
      <c r="H73" s="19" t="n">
        <v>3742.72</v>
      </c>
    </row>
    <row r="74">
      <c r="A74" s="16" t="n">
        <v>28</v>
      </c>
      <c r="B74" s="29" t="n">
        <v>93</v>
      </c>
      <c r="C74" s="28" t="n">
        <v>40.59</v>
      </c>
      <c r="D74" s="28" t="n">
        <v>280</v>
      </c>
      <c r="E74" s="17" t="inlineStr">
        <is>
          <t>RPTECH</t>
        </is>
      </c>
      <c r="F74" s="18" t="inlineStr">
        <is>
          <t>Rashi Peripherals Ltd</t>
        </is>
      </c>
      <c r="G74" s="18" t="inlineStr">
        <is>
          <t>services</t>
        </is>
      </c>
      <c r="H74" s="19" t="n">
        <v>3698.62</v>
      </c>
    </row>
    <row r="75">
      <c r="A75" s="16" t="n">
        <v>29</v>
      </c>
      <c r="B75" s="29" t="n">
        <v>93</v>
      </c>
      <c r="C75" s="28" t="n">
        <v>39.8</v>
      </c>
      <c r="D75" s="28" t="n">
        <v>260</v>
      </c>
      <c r="E75" s="17" t="inlineStr">
        <is>
          <t>CEMPRO</t>
        </is>
      </c>
      <c r="F75" s="18" t="inlineStr">
        <is>
          <t>Cemindia Projects Ltd</t>
        </is>
      </c>
      <c r="G75" s="18" t="inlineStr">
        <is>
          <t>realty</t>
        </is>
      </c>
      <c r="H75" s="19" t="n">
        <v>20245.17</v>
      </c>
    </row>
    <row r="76">
      <c r="A76" s="16" t="n">
        <v>30</v>
      </c>
      <c r="B76" s="29" t="n">
        <v>92</v>
      </c>
      <c r="C76" s="28" t="n">
        <v>39.42</v>
      </c>
      <c r="D76" s="28" t="n">
        <v>280</v>
      </c>
      <c r="E76" s="17" t="inlineStr">
        <is>
          <t>THANGAMAYL</t>
        </is>
      </c>
      <c r="F76" s="18" t="inlineStr">
        <is>
          <t>Thangamayil Jewellery Limited</t>
        </is>
      </c>
      <c r="G76" s="18" t="inlineStr">
        <is>
          <t>consumer discretionary</t>
        </is>
      </c>
      <c r="H76" s="19" t="n">
        <v>17099.77</v>
      </c>
    </row>
    <row r="77">
      <c r="A77" s="16" t="n">
        <v>31</v>
      </c>
      <c r="B77" s="29" t="n">
        <v>92</v>
      </c>
      <c r="C77" s="28" t="n">
        <v>38.12</v>
      </c>
      <c r="D77" s="28" t="n">
        <v>265</v>
      </c>
      <c r="E77" s="17" t="inlineStr">
        <is>
          <t>SYRMA</t>
        </is>
      </c>
      <c r="F77" s="18" t="inlineStr">
        <is>
          <t>Syrma SGS Technology Ltd</t>
        </is>
      </c>
      <c r="G77" s="18" t="inlineStr">
        <is>
          <t>consumer discretionary</t>
        </is>
      </c>
      <c r="H77" s="19" t="n">
        <v>25089.17</v>
      </c>
    </row>
    <row r="78">
      <c r="A78" s="16" t="n">
        <v>32</v>
      </c>
      <c r="B78" s="29" t="n">
        <v>92</v>
      </c>
      <c r="C78" s="28" t="n">
        <v>37.48</v>
      </c>
      <c r="D78" s="28" t="n">
        <v>247</v>
      </c>
      <c r="E78" s="17" t="inlineStr">
        <is>
          <t>ONEGLOBAL</t>
        </is>
      </c>
      <c r="F78" s="18" t="inlineStr">
        <is>
          <t>One Global Service Provider Limited</t>
        </is>
      </c>
      <c r="G78" s="18" t="inlineStr">
        <is>
          <t>Healthcare</t>
        </is>
      </c>
      <c r="H78" s="19" t="n">
        <v>1359.51</v>
      </c>
    </row>
    <row r="79">
      <c r="A79" s="16" t="n">
        <v>33</v>
      </c>
      <c r="B79" s="29" t="n">
        <v>92</v>
      </c>
      <c r="C79" s="28" t="n">
        <v>37.04</v>
      </c>
      <c r="D79" s="28" t="n">
        <v>262</v>
      </c>
      <c r="E79" s="17" t="inlineStr">
        <is>
          <t>SPARC</t>
        </is>
      </c>
      <c r="F79" s="18" t="inlineStr">
        <is>
          <t>Sun Pharma Advanced Research Company Limited</t>
        </is>
      </c>
      <c r="G79" s="18" t="inlineStr">
        <is>
          <t>healthcare</t>
        </is>
      </c>
      <c r="H79" s="19" t="n">
        <v>7432.52</v>
      </c>
    </row>
    <row r="80">
      <c r="A80" s="16" t="n">
        <v>34</v>
      </c>
      <c r="B80" s="29" t="n">
        <v>91</v>
      </c>
      <c r="C80" s="28" t="n">
        <v>36.74</v>
      </c>
      <c r="D80" s="28" t="n">
        <v>280</v>
      </c>
      <c r="E80" s="17" t="inlineStr">
        <is>
          <t>NETWEB</t>
        </is>
      </c>
      <c r="F80" s="18" t="inlineStr">
        <is>
          <t>Netweb Technologies India Ltd</t>
        </is>
      </c>
      <c r="G80" s="18" t="inlineStr">
        <is>
          <t>i.t</t>
        </is>
      </c>
      <c r="H80" s="19" t="n">
        <v>26262.75</v>
      </c>
    </row>
    <row r="81">
      <c r="A81" s="16" t="n">
        <v>35</v>
      </c>
      <c r="B81" s="29" t="n">
        <v>91</v>
      </c>
      <c r="C81" s="28" t="n">
        <v>36.08</v>
      </c>
      <c r="D81" s="28" t="n">
        <v>265</v>
      </c>
      <c r="E81" s="17" t="inlineStr">
        <is>
          <t>AVALON</t>
        </is>
      </c>
      <c r="F81" s="18" t="inlineStr">
        <is>
          <t>Avalon Technologies Ltd</t>
        </is>
      </c>
      <c r="G81" s="18" t="inlineStr">
        <is>
          <t>consumer discretionary</t>
        </is>
      </c>
      <c r="H81" s="19" t="n">
        <v>11750.84</v>
      </c>
    </row>
    <row r="82">
      <c r="A82" s="16" t="n">
        <v>36</v>
      </c>
      <c r="B82" s="29" t="n">
        <v>91</v>
      </c>
      <c r="C82" s="28" t="n">
        <v>35.83</v>
      </c>
      <c r="D82" s="28" t="n">
        <v>250</v>
      </c>
      <c r="E82" s="17" t="inlineStr">
        <is>
          <t>JNKINDIA</t>
        </is>
      </c>
      <c r="F82" s="18" t="inlineStr">
        <is>
          <t>JNK India Ltd</t>
        </is>
      </c>
      <c r="G82" s="18" t="inlineStr">
        <is>
          <t>realty</t>
        </is>
      </c>
      <c r="H82" s="19" t="n">
        <v>2774.75</v>
      </c>
    </row>
    <row r="83">
      <c r="A83" s="16" t="n">
        <v>37</v>
      </c>
      <c r="B83" s="29" t="n">
        <v>91</v>
      </c>
      <c r="C83" s="28" t="n">
        <v>35.58</v>
      </c>
      <c r="D83" s="28" t="n">
        <v>272</v>
      </c>
      <c r="E83" s="17" t="inlineStr">
        <is>
          <t>SENORES</t>
        </is>
      </c>
      <c r="F83" s="18" t="inlineStr">
        <is>
          <t>Senores Pharmaceuticals Ltd</t>
        </is>
      </c>
      <c r="G83" s="18" t="inlineStr">
        <is>
          <t>healthcare</t>
        </is>
      </c>
      <c r="H83" s="19" t="n">
        <v>5909.6</v>
      </c>
    </row>
    <row r="84">
      <c r="A84" s="16" t="n">
        <v>38</v>
      </c>
      <c r="B84" s="29" t="n">
        <v>90</v>
      </c>
      <c r="C84" s="28" t="n">
        <v>35.34</v>
      </c>
      <c r="D84" s="28" t="n">
        <v>255</v>
      </c>
      <c r="E84" s="17" t="inlineStr">
        <is>
          <t>RPEL</t>
        </is>
      </c>
      <c r="F84" s="18" t="inlineStr">
        <is>
          <t>Raghav Productivity Enhancers Ltd</t>
        </is>
      </c>
      <c r="G84" s="18" t="inlineStr">
        <is>
          <t>building materials</t>
        </is>
      </c>
      <c r="H84" s="19" t="n">
        <v>5508.98</v>
      </c>
    </row>
    <row r="85">
      <c r="A85" s="16" t="n">
        <v>39</v>
      </c>
      <c r="B85" s="29" t="n">
        <v>90</v>
      </c>
      <c r="C85" s="28" t="n">
        <v>35.14</v>
      </c>
      <c r="D85" s="28" t="n">
        <v>250</v>
      </c>
      <c r="E85" s="17" t="inlineStr">
        <is>
          <t>FCL</t>
        </is>
      </c>
      <c r="F85" s="18" t="inlineStr">
        <is>
          <t>Fineotex Chemical Limited</t>
        </is>
      </c>
      <c r="G85" s="18" t="inlineStr">
        <is>
          <t>chemicals</t>
        </is>
      </c>
      <c r="H85" s="19" t="n">
        <v>4832.68</v>
      </c>
    </row>
    <row r="86">
      <c r="A86" s="16" t="n">
        <v>40</v>
      </c>
      <c r="B86" s="29" t="n">
        <v>90</v>
      </c>
      <c r="C86" s="28" t="n">
        <v>35.08</v>
      </c>
      <c r="D86" s="28" t="n">
        <v>257</v>
      </c>
      <c r="E86" s="17" t="inlineStr">
        <is>
          <t>ORCHPHARMA</t>
        </is>
      </c>
      <c r="F86" s="18" t="inlineStr">
        <is>
          <t>Orchid Pharma Ltd</t>
        </is>
      </c>
      <c r="G86" s="18" t="inlineStr">
        <is>
          <t>healthcare</t>
        </is>
      </c>
      <c r="H86" s="19" t="n">
        <v>4873.35</v>
      </c>
    </row>
    <row r="87">
      <c r="A87" s="16" t="n">
        <v>41</v>
      </c>
      <c r="B87" s="29" t="n">
        <v>90</v>
      </c>
      <c r="C87" s="28" t="n">
        <v>35.08</v>
      </c>
      <c r="D87" s="28" t="n">
        <v>272</v>
      </c>
      <c r="E87" s="17" t="inlineStr">
        <is>
          <t>NGLFINE</t>
        </is>
      </c>
      <c r="F87" s="18" t="inlineStr">
        <is>
          <t>NGL Fine Chem Ltd</t>
        </is>
      </c>
      <c r="G87" s="18" t="inlineStr">
        <is>
          <t>healthcare</t>
        </is>
      </c>
      <c r="H87" s="19" t="n">
        <v>1920.93</v>
      </c>
    </row>
    <row r="88">
      <c r="A88" s="16" t="n">
        <v>42</v>
      </c>
      <c r="B88" s="29" t="n">
        <v>90</v>
      </c>
      <c r="C88" s="28" t="n">
        <v>34.86</v>
      </c>
      <c r="D88" s="28" t="n">
        <v>265</v>
      </c>
      <c r="E88" s="17" t="inlineStr">
        <is>
          <t>RATEGAIN</t>
        </is>
      </c>
      <c r="F88" s="18" t="inlineStr">
        <is>
          <t>Rategain Travel Technologies Ltd</t>
        </is>
      </c>
      <c r="G88" s="18" t="inlineStr">
        <is>
          <t>i.t</t>
        </is>
      </c>
      <c r="H88" s="19" t="n">
        <v>9743.33</v>
      </c>
    </row>
    <row r="89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ORBTEXP</t>
        </is>
      </c>
      <c r="B2" s="31" t="inlineStr">
        <is>
          <t>Orbit Exports Limited</t>
        </is>
      </c>
      <c r="C2" s="31" t="inlineStr">
        <is>
          <t>textiles</t>
        </is>
      </c>
      <c r="D2" s="31" t="inlineStr">
        <is>
          <t>textiles - processing</t>
        </is>
      </c>
      <c r="E2" s="31" t="inlineStr">
        <is>
          <t>smallcap</t>
        </is>
      </c>
      <c r="F2" s="31" t="n">
        <v>506.5</v>
      </c>
      <c r="G2" s="31" t="n">
        <v>229.16</v>
      </c>
      <c r="H2" s="31" t="n">
        <v>19.95</v>
      </c>
      <c r="I2" s="31" t="n">
        <v>313547</v>
      </c>
      <c r="J2" s="31" t="inlineStr">
        <is>
          <t>512626</t>
        </is>
      </c>
    </row>
    <row r="3">
      <c r="A3" s="31" t="inlineStr">
        <is>
          <t>RPTECH</t>
        </is>
      </c>
      <c r="B3" s="31" t="inlineStr">
        <is>
          <t>Rashi Peripherals Ltd</t>
        </is>
      </c>
      <c r="C3" s="31" t="inlineStr">
        <is>
          <t>services</t>
        </is>
      </c>
      <c r="D3" s="31" t="inlineStr">
        <is>
          <t>trading</t>
        </is>
      </c>
      <c r="E3" s="31" t="inlineStr">
        <is>
          <t>smallcap</t>
        </is>
      </c>
      <c r="F3" s="31" t="n">
        <v>3698.62</v>
      </c>
      <c r="G3" s="31" t="n">
        <v>662.6</v>
      </c>
      <c r="H3" s="31" t="n">
        <v>18.06</v>
      </c>
      <c r="I3" s="31" t="n">
        <v>17060651</v>
      </c>
      <c r="J3" s="31" t="n"/>
    </row>
    <row r="4">
      <c r="A4" s="31" t="inlineStr">
        <is>
          <t>XPROINDIA</t>
        </is>
      </c>
      <c r="B4" s="31" t="inlineStr">
        <is>
          <t>Xpro India Limited</t>
        </is>
      </c>
      <c r="C4" s="31" t="inlineStr">
        <is>
          <t>industrials</t>
        </is>
      </c>
      <c r="D4" s="31" t="inlineStr">
        <is>
          <t>packaging</t>
        </is>
      </c>
      <c r="E4" s="31" t="inlineStr">
        <is>
          <t>smallcap</t>
        </is>
      </c>
      <c r="F4" s="31" t="n">
        <v>2839.92</v>
      </c>
      <c r="G4" s="31" t="n">
        <v>1393.8</v>
      </c>
      <c r="H4" s="31" t="n">
        <v>15.19</v>
      </c>
      <c r="I4" s="31" t="n">
        <v>974366</v>
      </c>
      <c r="J4" s="31" t="inlineStr">
        <is>
          <t>590013</t>
        </is>
      </c>
    </row>
    <row r="5">
      <c r="A5" s="31" t="inlineStr">
        <is>
          <t>MSTCLTD</t>
        </is>
      </c>
      <c r="B5" s="31" t="inlineStr">
        <is>
          <t>MSTC Ltd</t>
        </is>
      </c>
      <c r="C5" s="31" t="inlineStr">
        <is>
          <t>i.t</t>
        </is>
      </c>
      <c r="D5" s="31" t="inlineStr">
        <is>
          <t>trading</t>
        </is>
      </c>
      <c r="E5" s="31" t="inlineStr">
        <is>
          <t>smallcap</t>
        </is>
      </c>
      <c r="F5" s="31" t="n">
        <v>4433.44</v>
      </c>
      <c r="G5" s="31" t="n">
        <v>708.8</v>
      </c>
      <c r="H5" s="31" t="n">
        <v>12.55</v>
      </c>
      <c r="I5" s="31" t="n">
        <v>14270587</v>
      </c>
      <c r="J5" s="31" t="inlineStr">
        <is>
          <t>542597</t>
        </is>
      </c>
    </row>
    <row r="6">
      <c r="A6" s="31" t="inlineStr">
        <is>
          <t>LLOYDSENGG</t>
        </is>
      </c>
      <c r="B6" s="31" t="inlineStr">
        <is>
          <t>Lloyds Engineering Works Ltd</t>
        </is>
      </c>
      <c r="C6" s="31" t="inlineStr">
        <is>
          <t>industrials</t>
        </is>
      </c>
      <c r="D6" s="31" t="inlineStr">
        <is>
          <t>engineering</t>
        </is>
      </c>
      <c r="E6" s="31" t="inlineStr">
        <is>
          <t>midcap</t>
        </is>
      </c>
      <c r="F6" s="31" t="n">
        <v>10560.39</v>
      </c>
      <c r="G6" s="31" t="n">
        <v>79.94</v>
      </c>
      <c r="H6" s="31" t="n">
        <v>12.04</v>
      </c>
      <c r="I6" s="31" t="n">
        <v>100068323</v>
      </c>
      <c r="J6" s="31" t="inlineStr">
        <is>
          <t>539992</t>
        </is>
      </c>
    </row>
    <row r="7">
      <c r="A7" s="31" t="inlineStr">
        <is>
          <t>FACT</t>
        </is>
      </c>
      <c r="B7" s="31" t="inlineStr">
        <is>
          <t>Fertilizers And Chemicals Travancore Limited</t>
        </is>
      </c>
      <c r="C7" s="31" t="inlineStr">
        <is>
          <t>chemicals</t>
        </is>
      </c>
      <c r="D7" s="31" t="inlineStr">
        <is>
          <t>fertilizers</t>
        </is>
      </c>
      <c r="E7" s="31" t="inlineStr">
        <is>
          <t>largecap</t>
        </is>
      </c>
      <c r="F7" s="31" t="n">
        <v>58627.96</v>
      </c>
      <c r="G7" s="31" t="n">
        <v>997.8</v>
      </c>
      <c r="H7" s="31" t="n">
        <v>10.13</v>
      </c>
      <c r="I7" s="31" t="n">
        <v>13126383</v>
      </c>
      <c r="J7" s="31" t="inlineStr">
        <is>
          <t>590024</t>
        </is>
      </c>
    </row>
    <row r="8">
      <c r="A8" s="31" t="inlineStr">
        <is>
          <t>ORCHPHARMA</t>
        </is>
      </c>
      <c r="B8" s="31" t="inlineStr">
        <is>
          <t>Orchid Pharma Ltd</t>
        </is>
      </c>
      <c r="C8" s="31" t="inlineStr">
        <is>
          <t>healthcare</t>
        </is>
      </c>
      <c r="D8" s="31" t="inlineStr">
        <is>
          <t>pharmaceuticals - indian - bulk drugs &amp; formln</t>
        </is>
      </c>
      <c r="E8" s="31" t="inlineStr">
        <is>
          <t>smallcap</t>
        </is>
      </c>
      <c r="F8" s="31" t="n">
        <v>4873.35</v>
      </c>
      <c r="G8" s="31" t="n">
        <v>1048.15</v>
      </c>
      <c r="H8" s="31" t="n">
        <v>9.09</v>
      </c>
      <c r="I8" s="31" t="n">
        <v>777149</v>
      </c>
      <c r="J8" s="31" t="inlineStr">
        <is>
          <t>524372</t>
        </is>
      </c>
    </row>
    <row r="9">
      <c r="A9" s="31" t="inlineStr">
        <is>
          <t>SIMPLEXINF</t>
        </is>
      </c>
      <c r="B9" s="31" t="inlineStr">
        <is>
          <t>Simplex Infrastructures Limited</t>
        </is>
      </c>
      <c r="C9" s="31" t="inlineStr">
        <is>
          <t>realty</t>
        </is>
      </c>
      <c r="D9" s="31" t="inlineStr">
        <is>
          <t>construction</t>
        </is>
      </c>
      <c r="E9" s="31" t="inlineStr">
        <is>
          <t>smallcap</t>
        </is>
      </c>
      <c r="F9" s="31" t="n">
        <v>2035.52</v>
      </c>
      <c r="G9" s="31" t="n">
        <v>277.9</v>
      </c>
      <c r="H9" s="31" t="n">
        <v>7.99</v>
      </c>
      <c r="I9" s="31" t="n">
        <v>560734</v>
      </c>
      <c r="J9" s="31" t="inlineStr">
        <is>
          <t>523838</t>
        </is>
      </c>
    </row>
    <row r="10">
      <c r="A10" s="31" t="inlineStr">
        <is>
          <t>PREMEXPLN</t>
        </is>
      </c>
      <c r="B10" s="31" t="inlineStr">
        <is>
          <t>Premier Explosives Limited</t>
        </is>
      </c>
      <c r="C10" s="31" t="inlineStr">
        <is>
          <t>aerospace &amp; defence</t>
        </is>
      </c>
      <c r="D10" s="31" t="inlineStr">
        <is>
          <t>chemicals</t>
        </is>
      </c>
      <c r="E10" s="31" t="inlineStr">
        <is>
          <t>smallcap</t>
        </is>
      </c>
      <c r="F10" s="31" t="n">
        <v>3673.5</v>
      </c>
      <c r="G10" s="31" t="n">
        <v>737.8</v>
      </c>
      <c r="H10" s="31" t="n">
        <v>7.98</v>
      </c>
      <c r="I10" s="31" t="n">
        <v>3134401</v>
      </c>
      <c r="J10" s="31" t="inlineStr">
        <is>
          <t>526247</t>
        </is>
      </c>
    </row>
    <row r="11">
      <c r="A11" s="31" t="inlineStr">
        <is>
          <t>MMTC</t>
        </is>
      </c>
      <c r="B11" s="31" t="inlineStr">
        <is>
          <t>Mmtc Limited</t>
        </is>
      </c>
      <c r="C11" s="31" t="inlineStr">
        <is>
          <t>services</t>
        </is>
      </c>
      <c r="D11" s="31" t="inlineStr">
        <is>
          <t>trading</t>
        </is>
      </c>
      <c r="E11" s="31" t="inlineStr">
        <is>
          <t>midcap</t>
        </is>
      </c>
      <c r="F11" s="31" t="n">
        <v>10528.5</v>
      </c>
      <c r="G11" s="31" t="n">
        <v>75.73999999999999</v>
      </c>
      <c r="H11" s="31" t="n">
        <v>7.91</v>
      </c>
      <c r="I11" s="31" t="n">
        <v>114146838</v>
      </c>
      <c r="J11" s="31" t="inlineStr">
        <is>
          <t>513377</t>
        </is>
      </c>
    </row>
    <row r="12">
      <c r="A12" s="31" t="inlineStr">
        <is>
          <t>WABAG</t>
        </is>
      </c>
      <c r="B12" s="31" t="inlineStr">
        <is>
          <t>Va Tech Wabag Limited</t>
        </is>
      </c>
      <c r="C12" s="31" t="inlineStr">
        <is>
          <t>realty</t>
        </is>
      </c>
      <c r="D12" s="31" t="inlineStr">
        <is>
          <t>engineering - turnkey services</t>
        </is>
      </c>
      <c r="E12" s="31" t="inlineStr">
        <is>
          <t>midcap</t>
        </is>
      </c>
      <c r="F12" s="31" t="n">
        <v>10150.86</v>
      </c>
      <c r="G12" s="31" t="n">
        <v>1754.3</v>
      </c>
      <c r="H12" s="31" t="n">
        <v>7.69</v>
      </c>
      <c r="I12" s="31" t="n">
        <v>2871543</v>
      </c>
      <c r="J12" s="31" t="inlineStr">
        <is>
          <t>533269</t>
        </is>
      </c>
    </row>
    <row r="13">
      <c r="A13" s="31" t="inlineStr">
        <is>
          <t>RIIL</t>
        </is>
      </c>
      <c r="B13" s="31" t="inlineStr">
        <is>
          <t>Reliance Industrial Infrastructure Limited</t>
        </is>
      </c>
      <c r="C13" s="31" t="inlineStr">
        <is>
          <t>transportation</t>
        </is>
      </c>
      <c r="D13" s="31" t="inlineStr">
        <is>
          <t>miscellaneous</t>
        </is>
      </c>
      <c r="E13" s="31" t="inlineStr">
        <is>
          <t>smallcap</t>
        </is>
      </c>
      <c r="F13" s="31" t="n">
        <v>1200.15</v>
      </c>
      <c r="G13" s="31" t="n">
        <v>852.2</v>
      </c>
      <c r="H13" s="31" t="n">
        <v>7.22</v>
      </c>
      <c r="I13" s="31" t="n">
        <v>1653879</v>
      </c>
      <c r="J13" s="31" t="inlineStr">
        <is>
          <t>523445</t>
        </is>
      </c>
    </row>
    <row r="14">
      <c r="A14" s="31" t="inlineStr">
        <is>
          <t>ASHIANA</t>
        </is>
      </c>
      <c r="B14" s="31" t="inlineStr">
        <is>
          <t>Ashiana Housing Limited</t>
        </is>
      </c>
      <c r="C14" s="31" t="inlineStr">
        <is>
          <t>realty</t>
        </is>
      </c>
      <c r="D14" s="31" t="inlineStr">
        <is>
          <t>construction</t>
        </is>
      </c>
      <c r="E14" s="31" t="inlineStr">
        <is>
          <t>smallcap</t>
        </is>
      </c>
      <c r="F14" s="31" t="n">
        <v>3660.11</v>
      </c>
      <c r="G14" s="31" t="n">
        <v>389.1</v>
      </c>
      <c r="H14" s="31" t="n">
        <v>6.87</v>
      </c>
      <c r="I14" s="31" t="n">
        <v>259051</v>
      </c>
      <c r="J14" s="31" t="inlineStr">
        <is>
          <t>523716</t>
        </is>
      </c>
    </row>
    <row r="15">
      <c r="A15" s="31" t="inlineStr">
        <is>
          <t>VARROC</t>
        </is>
      </c>
      <c r="B15" s="31" t="inlineStr">
        <is>
          <t>Varroc Engineering Ltd</t>
        </is>
      </c>
      <c r="C15" s="31" t="inlineStr">
        <is>
          <t>auto</t>
        </is>
      </c>
      <c r="D15" s="31" t="inlineStr">
        <is>
          <t>auto ancillaries</t>
        </is>
      </c>
      <c r="E15" s="31" t="inlineStr">
        <is>
          <t>midcap</t>
        </is>
      </c>
      <c r="F15" s="31" t="n">
        <v>8907.450000000001</v>
      </c>
      <c r="G15" s="31" t="n">
        <v>623</v>
      </c>
      <c r="H15" s="31" t="n">
        <v>6.86</v>
      </c>
      <c r="I15" s="31" t="n">
        <v>514632</v>
      </c>
      <c r="J15" s="31" t="inlineStr">
        <is>
          <t>541578</t>
        </is>
      </c>
    </row>
    <row r="16">
      <c r="A16" s="31" t="inlineStr">
        <is>
          <t>ADFFOODS</t>
        </is>
      </c>
      <c r="B16" s="31" t="inlineStr">
        <is>
          <t>Adf Foods Limited</t>
        </is>
      </c>
      <c r="C16" s="31" t="inlineStr">
        <is>
          <t>fmcg</t>
        </is>
      </c>
      <c r="D16" s="31" t="inlineStr">
        <is>
          <t>food - processing - indian</t>
        </is>
      </c>
      <c r="E16" s="31" t="inlineStr">
        <is>
          <t>smallcap</t>
        </is>
      </c>
      <c r="F16" s="31" t="n">
        <v>3102.55</v>
      </c>
      <c r="G16" s="31" t="n">
        <v>301.25</v>
      </c>
      <c r="H16" s="31" t="n">
        <v>6.67</v>
      </c>
      <c r="I16" s="31" t="n">
        <v>542649</v>
      </c>
      <c r="J16" s="31" t="inlineStr">
        <is>
          <t>519183</t>
        </is>
      </c>
    </row>
    <row r="17">
      <c r="A17" s="31" t="inlineStr">
        <is>
          <t>ESAFSFB</t>
        </is>
      </c>
      <c r="B17" s="31" t="inlineStr">
        <is>
          <t>ESAF Small Finance Bank Ltd</t>
        </is>
      </c>
      <c r="C17" s="31" t="inlineStr">
        <is>
          <t>bank</t>
        </is>
      </c>
      <c r="D17" s="31" t="inlineStr">
        <is>
          <t>banks - private sector</t>
        </is>
      </c>
      <c r="E17" s="31" t="inlineStr">
        <is>
          <t>smallcap</t>
        </is>
      </c>
      <c r="F17" s="31" t="n">
        <v>1500.58</v>
      </c>
      <c r="G17" s="31" t="n">
        <v>31.02</v>
      </c>
      <c r="H17" s="31" t="n">
        <v>6.6</v>
      </c>
      <c r="I17" s="31" t="n">
        <v>18555762</v>
      </c>
      <c r="J17" s="31" t="inlineStr">
        <is>
          <t>544020</t>
        </is>
      </c>
    </row>
    <row r="18">
      <c r="A18" s="31" t="inlineStr">
        <is>
          <t>MARINE</t>
        </is>
      </c>
      <c r="B18" s="31" t="inlineStr">
        <is>
          <t>Marine Electricals (India) Ltd</t>
        </is>
      </c>
      <c r="C18" s="31" t="inlineStr">
        <is>
          <t>industrials</t>
        </is>
      </c>
      <c r="D18" s="31" t="inlineStr">
        <is>
          <t>electric equipment</t>
        </is>
      </c>
      <c r="E18" s="31" t="inlineStr">
        <is>
          <t>smallcap</t>
        </is>
      </c>
      <c r="F18" s="31" t="n">
        <v>605.11</v>
      </c>
      <c r="G18" s="31" t="n">
        <v>261.55</v>
      </c>
      <c r="H18" s="31" t="n">
        <v>6.04</v>
      </c>
      <c r="I18" s="31" t="n">
        <v>1820380</v>
      </c>
      <c r="J18" s="31" t="inlineStr">
        <is>
          <t>535119</t>
        </is>
      </c>
    </row>
    <row r="19">
      <c r="A19" s="31" t="inlineStr">
        <is>
          <t>GODAVARIB</t>
        </is>
      </c>
      <c r="B19" s="31" t="inlineStr">
        <is>
          <t>Godavari Biorefineries Ltd</t>
        </is>
      </c>
      <c r="C19" s="31" t="inlineStr">
        <is>
          <t>fmcg</t>
        </is>
      </c>
      <c r="D19" s="31" t="inlineStr">
        <is>
          <t>sugar</t>
        </is>
      </c>
      <c r="E19" s="31" t="inlineStr">
        <is>
          <t>smallcap</t>
        </is>
      </c>
      <c r="F19" s="31" t="n">
        <v>1455.44</v>
      </c>
      <c r="G19" s="31" t="n">
        <v>301.3</v>
      </c>
      <c r="H19" s="31" t="n">
        <v>5.94</v>
      </c>
      <c r="I19" s="31" t="n">
        <v>1110921</v>
      </c>
      <c r="J19" s="31" t="inlineStr">
        <is>
          <t>544279</t>
        </is>
      </c>
    </row>
    <row r="20">
      <c r="A20" s="31" t="inlineStr">
        <is>
          <t>NETWEB</t>
        </is>
      </c>
      <c r="B20" s="31" t="inlineStr">
        <is>
          <t>Netweb Technologies India Ltd</t>
        </is>
      </c>
      <c r="C20" s="31" t="inlineStr">
        <is>
          <t>i.t</t>
        </is>
      </c>
      <c r="D20" s="31" t="inlineStr">
        <is>
          <t>computers - hardware</t>
        </is>
      </c>
      <c r="E20" s="31" t="inlineStr">
        <is>
          <t>largecap</t>
        </is>
      </c>
      <c r="F20" s="31" t="n">
        <v>26262.75</v>
      </c>
      <c r="G20" s="31" t="n">
        <v>4884.4</v>
      </c>
      <c r="H20" s="31" t="n">
        <v>5.9</v>
      </c>
      <c r="I20" s="31" t="n">
        <v>3126893</v>
      </c>
      <c r="J20" s="31" t="inlineStr">
        <is>
          <t>543945</t>
        </is>
      </c>
    </row>
    <row r="21">
      <c r="A21" s="31" t="inlineStr">
        <is>
          <t>MUTHOOTMF</t>
        </is>
      </c>
      <c r="B21" s="31" t="inlineStr">
        <is>
          <t>Muthoot Microfin Ltd</t>
        </is>
      </c>
      <c r="C21" s="31" t="inlineStr">
        <is>
          <t>financials</t>
        </is>
      </c>
      <c r="D21" s="31" t="inlineStr">
        <is>
          <t>finance &amp; investments</t>
        </is>
      </c>
      <c r="E21" s="31" t="inlineStr">
        <is>
          <t>smallcap</t>
        </is>
      </c>
      <c r="F21" s="31" t="n">
        <v>3328.18</v>
      </c>
      <c r="G21" s="31" t="n">
        <v>206.29</v>
      </c>
      <c r="H21" s="31" t="n">
        <v>5.68</v>
      </c>
      <c r="I21" s="31" t="n">
        <v>1298058</v>
      </c>
      <c r="J21" s="31" t="inlineStr">
        <is>
          <t>544055</t>
        </is>
      </c>
    </row>
    <row r="22">
      <c r="A22" s="31" t="inlineStr">
        <is>
          <t>MENONBE</t>
        </is>
      </c>
      <c r="B22" s="31" t="inlineStr">
        <is>
          <t>Menon Bearings Limited</t>
        </is>
      </c>
      <c r="C22" s="31" t="inlineStr">
        <is>
          <t>auto</t>
        </is>
      </c>
      <c r="D22" s="31" t="inlineStr">
        <is>
          <t>auto ancillaries</t>
        </is>
      </c>
      <c r="E22" s="31" t="inlineStr">
        <is>
          <t>smallcap</t>
        </is>
      </c>
      <c r="F22" s="31" t="n">
        <v>941.02</v>
      </c>
      <c r="G22" s="31" t="n">
        <v>177.33</v>
      </c>
      <c r="H22" s="31" t="n">
        <v>5.6</v>
      </c>
      <c r="I22" s="31" t="n">
        <v>445879</v>
      </c>
      <c r="J22" s="31" t="inlineStr">
        <is>
          <t>523828</t>
        </is>
      </c>
    </row>
    <row r="23">
      <c r="A23" s="31" t="inlineStr">
        <is>
          <t>RML</t>
        </is>
      </c>
      <c r="B23" s="31" t="inlineStr">
        <is>
          <t>Rane (madras) Limited</t>
        </is>
      </c>
      <c r="C23" s="31" t="inlineStr">
        <is>
          <t>auto</t>
        </is>
      </c>
      <c r="D23" s="31" t="inlineStr">
        <is>
          <t>auto ancillaries</t>
        </is>
      </c>
      <c r="E23" s="31" t="inlineStr">
        <is>
          <t>smallcap</t>
        </is>
      </c>
      <c r="F23" s="31" t="n">
        <v>2566.8</v>
      </c>
      <c r="G23" s="31" t="n">
        <v>979.55</v>
      </c>
      <c r="H23" s="31" t="n">
        <v>5.47</v>
      </c>
      <c r="I23" s="31" t="n">
        <v>175588</v>
      </c>
      <c r="J23" s="31" t="inlineStr">
        <is>
          <t>532661</t>
        </is>
      </c>
    </row>
    <row r="24">
      <c r="A24" s="31" t="inlineStr">
        <is>
          <t>JAYBARMARU</t>
        </is>
      </c>
      <c r="B24" s="31" t="inlineStr">
        <is>
          <t>Jay Bharat Maruti Limited</t>
        </is>
      </c>
      <c r="C24" s="31" t="inlineStr">
        <is>
          <t>auto</t>
        </is>
      </c>
      <c r="D24" s="31" t="inlineStr">
        <is>
          <t>auto ancillaries</t>
        </is>
      </c>
      <c r="E24" s="31" t="inlineStr">
        <is>
          <t>smallcap</t>
        </is>
      </c>
      <c r="F24" s="31" t="n">
        <v>1722.47</v>
      </c>
      <c r="G24" s="31" t="n">
        <v>167.68</v>
      </c>
      <c r="H24" s="31" t="n">
        <v>5.38</v>
      </c>
      <c r="I24" s="31" t="n">
        <v>5101072</v>
      </c>
      <c r="J24" s="31" t="inlineStr">
        <is>
          <t>520066</t>
        </is>
      </c>
    </row>
    <row r="25">
      <c r="A25" s="31" t="inlineStr">
        <is>
          <t>EDELWEISS</t>
        </is>
      </c>
      <c r="B25" s="31" t="inlineStr">
        <is>
          <t>Edelweiss Financial Services Limited</t>
        </is>
      </c>
      <c r="C25" s="31" t="inlineStr">
        <is>
          <t>financials</t>
        </is>
      </c>
      <c r="D25" s="31" t="inlineStr">
        <is>
          <t>finance &amp; investments</t>
        </is>
      </c>
      <c r="E25" s="31" t="inlineStr">
        <is>
          <t>midcap</t>
        </is>
      </c>
      <c r="F25" s="31" t="n">
        <v>10839.68</v>
      </c>
      <c r="G25" s="31" t="n">
        <v>120.55</v>
      </c>
      <c r="H25" s="31" t="n">
        <v>5.27</v>
      </c>
      <c r="I25" s="31" t="n">
        <v>11705853</v>
      </c>
      <c r="J25" s="31" t="inlineStr">
        <is>
          <t>532922</t>
        </is>
      </c>
    </row>
    <row r="26">
      <c r="A26" s="31" t="inlineStr">
        <is>
          <t>GNFC</t>
        </is>
      </c>
      <c r="B26" s="31" t="inlineStr">
        <is>
          <t>Gujarat Narmada Valley Fertilizers And Chemicals Limited</t>
        </is>
      </c>
      <c r="C26" s="31" t="inlineStr">
        <is>
          <t>chemicals</t>
        </is>
      </c>
      <c r="D26" s="31" t="inlineStr">
        <is>
          <t>chemicals</t>
        </is>
      </c>
      <c r="E26" s="31" t="inlineStr">
        <is>
          <t>midcap</t>
        </is>
      </c>
      <c r="F26" s="31" t="n">
        <v>7493.24</v>
      </c>
      <c r="G26" s="31" t="n">
        <v>536.05</v>
      </c>
      <c r="H26" s="31" t="n">
        <v>5.12</v>
      </c>
      <c r="I26" s="31" t="n">
        <v>1572111</v>
      </c>
      <c r="J26" s="31" t="inlineStr">
        <is>
          <t>500670</t>
        </is>
      </c>
    </row>
    <row r="27">
      <c r="A27" s="31" t="inlineStr">
        <is>
          <t>IDEAFORGE</t>
        </is>
      </c>
      <c r="B27" s="31" t="inlineStr">
        <is>
          <t>Ideaforge Technology Ltd</t>
        </is>
      </c>
      <c r="C27" s="31" t="inlineStr">
        <is>
          <t>aerospace &amp; defence</t>
        </is>
      </c>
      <c r="D27" s="31" t="inlineStr">
        <is>
          <t>engineering</t>
        </is>
      </c>
      <c r="E27" s="31" t="inlineStr">
        <is>
          <t>smallcap</t>
        </is>
      </c>
      <c r="F27" s="31" t="n">
        <v>3742.72</v>
      </c>
      <c r="G27" s="31" t="n">
        <v>908.05</v>
      </c>
      <c r="H27" s="31" t="n">
        <v>5</v>
      </c>
      <c r="I27" s="31" t="n">
        <v>249709</v>
      </c>
      <c r="J27" s="31" t="inlineStr">
        <is>
          <t>543932</t>
        </is>
      </c>
    </row>
    <row r="28">
      <c r="A28" s="31" t="inlineStr">
        <is>
          <t>DEEDEV</t>
        </is>
      </c>
      <c r="B28" s="31" t="inlineStr">
        <is>
          <t>DEE Development Engineers Ltd</t>
        </is>
      </c>
      <c r="C28" s="31" t="inlineStr">
        <is>
          <t>metals &amp; mining</t>
        </is>
      </c>
      <c r="D28" s="31" t="inlineStr">
        <is>
          <t>steel - medium / small</t>
        </is>
      </c>
      <c r="E28" s="31" t="inlineStr">
        <is>
          <t>smallcap</t>
        </is>
      </c>
      <c r="F28" s="31" t="n">
        <v>4775.71</v>
      </c>
      <c r="G28" s="31" t="n">
        <v>723.95</v>
      </c>
      <c r="H28" s="31" t="n">
        <v>5</v>
      </c>
      <c r="I28" s="31" t="n">
        <v>209829</v>
      </c>
      <c r="J28" s="31" t="n"/>
    </row>
    <row r="29">
      <c r="A29" s="31" t="inlineStr">
        <is>
          <t>GVPIL</t>
        </is>
      </c>
      <c r="B29" s="31" t="inlineStr">
        <is>
          <t>GE Power India Ltd</t>
        </is>
      </c>
      <c r="C29" s="31" t="inlineStr">
        <is>
          <t>realty</t>
        </is>
      </c>
      <c r="D29" s="31" t="inlineStr">
        <is>
          <t>engineering - turnkey services</t>
        </is>
      </c>
      <c r="E29" s="31" t="inlineStr">
        <is>
          <t>midcap</t>
        </is>
      </c>
      <c r="F29" s="31" t="n">
        <v>6561.4</v>
      </c>
      <c r="G29" s="31" t="n">
        <v>1024.8</v>
      </c>
      <c r="H29" s="31" t="n">
        <v>5</v>
      </c>
      <c r="I29" s="31" t="n">
        <v>382750</v>
      </c>
      <c r="J29" s="31" t="inlineStr">
        <is>
          <t>532309</t>
        </is>
      </c>
    </row>
    <row r="30">
      <c r="A30" s="31" t="inlineStr">
        <is>
          <t>BHAGYANGR</t>
        </is>
      </c>
      <c r="B30" s="31" t="inlineStr">
        <is>
          <t>Bhagyanagar India</t>
        </is>
      </c>
      <c r="C30" s="31" t="inlineStr">
        <is>
          <t>power &amp; utilities</t>
        </is>
      </c>
      <c r="D30" s="31" t="inlineStr">
        <is>
          <t>power generation and supply</t>
        </is>
      </c>
      <c r="E30" s="31" t="inlineStr">
        <is>
          <t>smallcap</t>
        </is>
      </c>
      <c r="F30" s="31" t="n">
        <v>1043.36</v>
      </c>
      <c r="G30" s="31" t="n">
        <v>342.4</v>
      </c>
      <c r="H30" s="31" t="n">
        <v>5</v>
      </c>
      <c r="I30" s="31" t="n">
        <v>179815</v>
      </c>
      <c r="J30" s="31" t="inlineStr">
        <is>
          <t>512296</t>
        </is>
      </c>
    </row>
    <row r="31">
      <c r="A31" s="31" t="inlineStr">
        <is>
          <t>GAYAPROJ</t>
        </is>
      </c>
      <c r="B31" s="31" t="inlineStr">
        <is>
          <t>Gayatri Projects Limited</t>
        </is>
      </c>
      <c r="C31" s="31" t="inlineStr">
        <is>
          <t>realty</t>
        </is>
      </c>
      <c r="D31" s="31" t="inlineStr">
        <is>
          <t>construction</t>
        </is>
      </c>
      <c r="E31" s="31" t="inlineStr">
        <is>
          <t>smallcap</t>
        </is>
      </c>
      <c r="F31" s="31" t="n">
        <v>679.78</v>
      </c>
      <c r="G31" s="31" t="n">
        <v>24.09</v>
      </c>
      <c r="H31" s="31" t="n">
        <v>4.97</v>
      </c>
      <c r="I31" s="31" t="n">
        <v>562646</v>
      </c>
      <c r="J31" s="31" t="inlineStr">
        <is>
          <t>532767</t>
        </is>
      </c>
    </row>
    <row r="32">
      <c r="A32" s="31" t="inlineStr">
        <is>
          <t>NCLIND</t>
        </is>
      </c>
      <c r="B32" s="31" t="inlineStr">
        <is>
          <t>Ncl Industries Limited</t>
        </is>
      </c>
      <c r="C32" s="31" t="inlineStr">
        <is>
          <t>building materials</t>
        </is>
      </c>
      <c r="D32" s="31" t="inlineStr">
        <is>
          <t>cement - south india</t>
        </is>
      </c>
      <c r="E32" s="31" t="inlineStr">
        <is>
          <t>smallcap</t>
        </is>
      </c>
      <c r="F32" s="31" t="n">
        <v>844.13</v>
      </c>
      <c r="G32" s="31" t="n">
        <v>195.83</v>
      </c>
      <c r="H32" s="31" t="n">
        <v>4.94</v>
      </c>
      <c r="I32" s="31" t="n">
        <v>284510</v>
      </c>
      <c r="J32" s="31" t="inlineStr">
        <is>
          <t>502168</t>
        </is>
      </c>
    </row>
    <row r="33">
      <c r="A33" s="31" t="inlineStr">
        <is>
          <t>SOTL</t>
        </is>
      </c>
      <c r="B33" s="31" t="inlineStr">
        <is>
          <t>Savita Oil Technologies Limited</t>
        </is>
      </c>
      <c r="C33" s="31" t="inlineStr">
        <is>
          <t>energy</t>
        </is>
      </c>
      <c r="D33" s="31" t="inlineStr">
        <is>
          <t>petrochemicals</t>
        </is>
      </c>
      <c r="E33" s="31" t="inlineStr">
        <is>
          <t>smallcap</t>
        </is>
      </c>
      <c r="F33" s="31" t="n">
        <v>3959.71</v>
      </c>
      <c r="G33" s="31" t="n">
        <v>605.75</v>
      </c>
      <c r="H33" s="31" t="n">
        <v>4.88</v>
      </c>
      <c r="I33" s="31" t="n">
        <v>634073</v>
      </c>
      <c r="J33" s="31" t="inlineStr">
        <is>
          <t>524667</t>
        </is>
      </c>
    </row>
    <row r="34">
      <c r="A34" s="31" t="inlineStr">
        <is>
          <t>MTARTECH</t>
        </is>
      </c>
      <c r="B34" s="31" t="inlineStr">
        <is>
          <t>MTAR Technologies Ltd</t>
        </is>
      </c>
      <c r="C34" s="31" t="inlineStr">
        <is>
          <t>aerospace &amp; defence</t>
        </is>
      </c>
      <c r="D34" s="31" t="inlineStr">
        <is>
          <t>engineering</t>
        </is>
      </c>
      <c r="E34" s="31" t="inlineStr">
        <is>
          <t>largecap</t>
        </is>
      </c>
      <c r="F34" s="31" t="n">
        <v>22589.84</v>
      </c>
      <c r="G34" s="31" t="n">
        <v>7698.5</v>
      </c>
      <c r="H34" s="31" t="n">
        <v>4.83</v>
      </c>
      <c r="I34" s="31" t="n">
        <v>3188367</v>
      </c>
      <c r="J34" s="31" t="inlineStr">
        <is>
          <t>543270</t>
        </is>
      </c>
    </row>
    <row r="35">
      <c r="A35" s="31" t="inlineStr">
        <is>
          <t>PRECWIRE</t>
        </is>
      </c>
      <c r="B35" s="31" t="inlineStr">
        <is>
          <t>Precision Wires India Limited</t>
        </is>
      </c>
      <c r="C35" s="31" t="inlineStr">
        <is>
          <t>metals &amp; mining</t>
        </is>
      </c>
      <c r="D35" s="31" t="inlineStr">
        <is>
          <t>mining / minerals / metals</t>
        </is>
      </c>
      <c r="E35" s="31" t="inlineStr">
        <is>
          <t>midcap</t>
        </is>
      </c>
      <c r="F35" s="31" t="n">
        <v>7381.79</v>
      </c>
      <c r="G35" s="31" t="n">
        <v>423.25</v>
      </c>
      <c r="H35" s="31" t="n">
        <v>4.82</v>
      </c>
      <c r="I35" s="31" t="n">
        <v>632200</v>
      </c>
      <c r="J35" s="31" t="inlineStr">
        <is>
          <t>523539</t>
        </is>
      </c>
    </row>
    <row r="36">
      <c r="A36" s="31" t="inlineStr">
        <is>
          <t>KPIL</t>
        </is>
      </c>
      <c r="B36" s="31" t="inlineStr">
        <is>
          <t>Kalpataru Projects International Ltd</t>
        </is>
      </c>
      <c r="C36" s="31" t="inlineStr">
        <is>
          <t>realty</t>
        </is>
      </c>
      <c r="D36" s="31" t="inlineStr">
        <is>
          <t>transmisson line towers / equipment</t>
        </is>
      </c>
      <c r="E36" s="31" t="inlineStr">
        <is>
          <t>largecap</t>
        </is>
      </c>
      <c r="F36" s="31" t="n">
        <v>22267.03</v>
      </c>
      <c r="G36" s="31" t="n">
        <v>1365.7</v>
      </c>
      <c r="H36" s="31" t="n">
        <v>4.74</v>
      </c>
      <c r="I36" s="31" t="n">
        <v>2428065</v>
      </c>
      <c r="J36" s="31" t="inlineStr">
        <is>
          <t>522287</t>
        </is>
      </c>
    </row>
    <row r="37">
      <c r="A37" s="31" t="inlineStr">
        <is>
          <t>HFCL</t>
        </is>
      </c>
      <c r="B37" s="31" t="inlineStr">
        <is>
          <t>HFCL Ltd</t>
        </is>
      </c>
      <c r="C37" s="31" t="inlineStr">
        <is>
          <t>telecom</t>
        </is>
      </c>
      <c r="D37" s="31" t="inlineStr">
        <is>
          <t>cables - telephone</t>
        </is>
      </c>
      <c r="E37" s="31" t="inlineStr">
        <is>
          <t>largecap</t>
        </is>
      </c>
      <c r="F37" s="31" t="n">
        <v>27619.72</v>
      </c>
      <c r="G37" s="31" t="n">
        <v>188.98</v>
      </c>
      <c r="H37" s="31" t="n">
        <v>4.73</v>
      </c>
      <c r="I37" s="31" t="n">
        <v>34029890</v>
      </c>
      <c r="J37" s="31" t="inlineStr">
        <is>
          <t>500183</t>
        </is>
      </c>
    </row>
    <row r="38">
      <c r="A38" s="31" t="inlineStr">
        <is>
          <t>MAXESTATES</t>
        </is>
      </c>
      <c r="B38" s="31" t="inlineStr">
        <is>
          <t>Max Estates Ltd</t>
        </is>
      </c>
      <c r="C38" s="31" t="inlineStr">
        <is>
          <t>realty</t>
        </is>
      </c>
      <c r="D38" s="31" t="inlineStr">
        <is>
          <t>construction</t>
        </is>
      </c>
      <c r="E38" s="31" t="inlineStr">
        <is>
          <t>midcap</t>
        </is>
      </c>
      <c r="F38" s="31" t="n">
        <v>7132.76</v>
      </c>
      <c r="G38" s="31" t="n">
        <v>456.65</v>
      </c>
      <c r="H38" s="31" t="n">
        <v>4.64</v>
      </c>
      <c r="I38" s="31" t="n">
        <v>102491</v>
      </c>
      <c r="J38" s="31" t="inlineStr">
        <is>
          <t>544008</t>
        </is>
      </c>
    </row>
    <row r="39">
      <c r="A39" s="31" t="inlineStr">
        <is>
          <t>FCL</t>
        </is>
      </c>
      <c r="B39" s="31" t="inlineStr">
        <is>
          <t>Fineotex Chemical Limited</t>
        </is>
      </c>
      <c r="C39" s="31" t="inlineStr">
        <is>
          <t>chemicals</t>
        </is>
      </c>
      <c r="D39" s="31" t="inlineStr">
        <is>
          <t>chemicals</t>
        </is>
      </c>
      <c r="E39" s="31" t="inlineStr">
        <is>
          <t>smallcap</t>
        </is>
      </c>
      <c r="F39" s="31" t="n">
        <v>4832.68</v>
      </c>
      <c r="G39" s="31" t="n">
        <v>43.3</v>
      </c>
      <c r="H39" s="31" t="n">
        <v>4.34</v>
      </c>
      <c r="I39" s="31" t="n">
        <v>19755871</v>
      </c>
      <c r="J39" s="31" t="inlineStr">
        <is>
          <t>533333</t>
        </is>
      </c>
    </row>
    <row r="40">
      <c r="A40" s="31" t="inlineStr">
        <is>
          <t>RANEHOLDIN</t>
        </is>
      </c>
      <c r="B40" s="31" t="inlineStr">
        <is>
          <t>Rane Holdings Limited</t>
        </is>
      </c>
      <c r="C40" s="31" t="inlineStr">
        <is>
          <t>financials</t>
        </is>
      </c>
      <c r="D40" s="31" t="inlineStr">
        <is>
          <t>finance &amp; investments</t>
        </is>
      </c>
      <c r="E40" s="31" t="inlineStr">
        <is>
          <t>smallcap</t>
        </is>
      </c>
      <c r="F40" s="31" t="n">
        <v>2095.55</v>
      </c>
      <c r="G40" s="31" t="n">
        <v>1531.2</v>
      </c>
      <c r="H40" s="31" t="n">
        <v>4.33</v>
      </c>
      <c r="I40" s="31" t="n">
        <v>30895</v>
      </c>
      <c r="J40" s="31" t="inlineStr">
        <is>
          <t>505800</t>
        </is>
      </c>
    </row>
    <row r="41">
      <c r="A41" s="31" t="inlineStr">
        <is>
          <t>TBZ</t>
        </is>
      </c>
      <c r="B41" s="31" t="inlineStr">
        <is>
          <t>Tribhovandas Bhimji Zaveri Limited</t>
        </is>
      </c>
      <c r="C41" s="31" t="inlineStr">
        <is>
          <t>consumer discretionary</t>
        </is>
      </c>
      <c r="D41" s="31" t="inlineStr">
        <is>
          <t>diamond cutting / jewellery</t>
        </is>
      </c>
      <c r="E41" s="31" t="inlineStr">
        <is>
          <t>smallcap</t>
        </is>
      </c>
      <c r="F41" s="31" t="n">
        <v>1252.93</v>
      </c>
      <c r="G41" s="31" t="n">
        <v>195.85</v>
      </c>
      <c r="H41" s="31" t="n">
        <v>4.31</v>
      </c>
      <c r="I41" s="31" t="n">
        <v>1532823</v>
      </c>
      <c r="J41" s="31" t="inlineStr">
        <is>
          <t>534369</t>
        </is>
      </c>
    </row>
    <row r="42">
      <c r="A42" s="31" t="inlineStr">
        <is>
          <t>SUZLON</t>
        </is>
      </c>
      <c r="B42" s="31" t="inlineStr">
        <is>
          <t>Suzlon Energy Limited</t>
        </is>
      </c>
      <c r="C42" s="31" t="inlineStr">
        <is>
          <t>industrials</t>
        </is>
      </c>
      <c r="D42" s="31" t="inlineStr">
        <is>
          <t>electric equipment</t>
        </is>
      </c>
      <c r="E42" s="31" t="inlineStr">
        <is>
          <t>largecap</t>
        </is>
      </c>
      <c r="F42" s="31" t="n">
        <v>76212.49000000001</v>
      </c>
      <c r="G42" s="31" t="n">
        <v>57.92</v>
      </c>
      <c r="H42" s="31" t="n">
        <v>4.23</v>
      </c>
      <c r="I42" s="31" t="n">
        <v>292441954</v>
      </c>
      <c r="J42" s="31" t="inlineStr">
        <is>
          <t>532667</t>
        </is>
      </c>
    </row>
    <row r="43">
      <c r="A43" s="31" t="inlineStr">
        <is>
          <t>RAMCOSYS</t>
        </is>
      </c>
      <c r="B43" s="31" t="inlineStr">
        <is>
          <t>Ramco Systems Limited</t>
        </is>
      </c>
      <c r="C43" s="31" t="inlineStr">
        <is>
          <t>i.t</t>
        </is>
      </c>
      <c r="D43" s="31" t="inlineStr">
        <is>
          <t>computers - software - medium / small</t>
        </is>
      </c>
      <c r="E43" s="31" t="inlineStr">
        <is>
          <t>smallcap</t>
        </is>
      </c>
      <c r="F43" s="31" t="n">
        <v>2050.73</v>
      </c>
      <c r="G43" s="31" t="n">
        <v>570.95</v>
      </c>
      <c r="H43" s="31" t="n">
        <v>4.16</v>
      </c>
      <c r="I43" s="31" t="n">
        <v>406565</v>
      </c>
      <c r="J43" s="31" t="inlineStr">
        <is>
          <t>532370</t>
        </is>
      </c>
    </row>
    <row r="44">
      <c r="A44" s="31" t="inlineStr">
        <is>
          <t>PARACABLES</t>
        </is>
      </c>
      <c r="B44" s="31" t="inlineStr">
        <is>
          <t>Paramount Communications Limited</t>
        </is>
      </c>
      <c r="C44" s="31" t="inlineStr">
        <is>
          <t>industrials</t>
        </is>
      </c>
      <c r="D44" s="31" t="inlineStr">
        <is>
          <t>cables - power</t>
        </is>
      </c>
      <c r="E44" s="31" t="inlineStr">
        <is>
          <t>smallcap</t>
        </is>
      </c>
      <c r="F44" s="31" t="n">
        <v>1955.48</v>
      </c>
      <c r="G44" s="31" t="n">
        <v>66.73</v>
      </c>
      <c r="H44" s="31" t="n">
        <v>4.15</v>
      </c>
      <c r="I44" s="31" t="n">
        <v>2922201</v>
      </c>
      <c r="J44" s="31" t="inlineStr">
        <is>
          <t>530555</t>
        </is>
      </c>
    </row>
    <row r="45">
      <c r="A45" s="31" t="inlineStr">
        <is>
          <t>AVL</t>
        </is>
      </c>
      <c r="B45" s="31" t="inlineStr">
        <is>
          <t>Aditya Vision Ltd</t>
        </is>
      </c>
      <c r="C45" s="31" t="inlineStr">
        <is>
          <t>consumer discretionary</t>
        </is>
      </c>
      <c r="D45" s="31" t="inlineStr">
        <is>
          <t>trading</t>
        </is>
      </c>
      <c r="E45" s="31" t="inlineStr">
        <is>
          <t>midcap</t>
        </is>
      </c>
      <c r="F45" s="31" t="n">
        <v>7327.29</v>
      </c>
      <c r="G45" s="31" t="n">
        <v>590.9</v>
      </c>
      <c r="H45" s="31" t="n">
        <v>4.14</v>
      </c>
      <c r="I45" s="31" t="n">
        <v>621174</v>
      </c>
      <c r="J45" s="31" t="inlineStr">
        <is>
          <t>540205</t>
        </is>
      </c>
    </row>
    <row r="46">
      <c r="A46" s="31" t="inlineStr">
        <is>
          <t>SPARC</t>
        </is>
      </c>
      <c r="B46" s="31" t="inlineStr">
        <is>
          <t>Sun Pharma Advanced Research Company Limited</t>
        </is>
      </c>
      <c r="C46" s="31" t="inlineStr">
        <is>
          <t>healthcare</t>
        </is>
      </c>
      <c r="D46" s="31" t="inlineStr">
        <is>
          <t>miscellaneous</t>
        </is>
      </c>
      <c r="E46" s="31" t="inlineStr">
        <is>
          <t>midcap</t>
        </is>
      </c>
      <c r="F46" s="31" t="n">
        <v>7432.52</v>
      </c>
      <c r="G46" s="31" t="n">
        <v>238.41</v>
      </c>
      <c r="H46" s="31" t="n">
        <v>4.1</v>
      </c>
      <c r="I46" s="31" t="n">
        <v>3212926</v>
      </c>
      <c r="J46" s="31" t="inlineStr">
        <is>
          <t>532872</t>
        </is>
      </c>
    </row>
    <row r="47">
      <c r="A47" s="31" t="inlineStr">
        <is>
          <t>HARSHA</t>
        </is>
      </c>
      <c r="B47" s="31" t="inlineStr">
        <is>
          <t>Harsha Engineers International Ltd</t>
        </is>
      </c>
      <c r="C47" s="31" t="inlineStr">
        <is>
          <t>industrials</t>
        </is>
      </c>
      <c r="D47" s="31" t="inlineStr">
        <is>
          <t>engineering</t>
        </is>
      </c>
      <c r="E47" s="31" t="inlineStr">
        <is>
          <t>smallcap</t>
        </is>
      </c>
      <c r="F47" s="31" t="n">
        <v>3822.03</v>
      </c>
      <c r="G47" s="31" t="n">
        <v>436.7</v>
      </c>
      <c r="H47" s="31" t="n">
        <v>4.03</v>
      </c>
      <c r="I47" s="31" t="n">
        <v>464282</v>
      </c>
      <c r="J47" s="31" t="inlineStr">
        <is>
          <t>543600</t>
        </is>
      </c>
    </row>
    <row r="48">
      <c r="A48" s="31" t="inlineStr">
        <is>
          <t>TITAGARH</t>
        </is>
      </c>
      <c r="B48" s="31" t="inlineStr">
        <is>
          <t>Titagarh Rail Systems Ltd</t>
        </is>
      </c>
      <c r="C48" s="31" t="inlineStr">
        <is>
          <t>industrials</t>
        </is>
      </c>
      <c r="D48" s="31" t="inlineStr">
        <is>
          <t>engineering</t>
        </is>
      </c>
      <c r="E48" s="31" t="inlineStr">
        <is>
          <t>midcap</t>
        </is>
      </c>
      <c r="F48" s="31" t="n">
        <v>11585.98</v>
      </c>
      <c r="G48" s="31" t="n">
        <v>894.45</v>
      </c>
      <c r="H48" s="31" t="n">
        <v>3.97</v>
      </c>
      <c r="I48" s="31" t="n">
        <v>1740176</v>
      </c>
      <c r="J48" s="31" t="inlineStr">
        <is>
          <t>532966</t>
        </is>
      </c>
    </row>
    <row r="49">
      <c r="A49" s="31" t="inlineStr">
        <is>
          <t>SHILPAMED</t>
        </is>
      </c>
      <c r="B49" s="31" t="inlineStr">
        <is>
          <t>Shilpa Medicare Limited</t>
        </is>
      </c>
      <c r="C49" s="31" t="inlineStr">
        <is>
          <t>healthcare</t>
        </is>
      </c>
      <c r="D49" s="31" t="inlineStr">
        <is>
          <t>pharmaceuticals - indian - formulations</t>
        </is>
      </c>
      <c r="E49" s="31" t="inlineStr">
        <is>
          <t>midcap</t>
        </is>
      </c>
      <c r="F49" s="31" t="n">
        <v>10419.62</v>
      </c>
      <c r="G49" s="31" t="n">
        <v>552.45</v>
      </c>
      <c r="H49" s="31" t="n">
        <v>3.7</v>
      </c>
      <c r="I49" s="31" t="n">
        <v>1073301</v>
      </c>
      <c r="J49" s="31" t="inlineStr">
        <is>
          <t>530549</t>
        </is>
      </c>
    </row>
    <row r="50">
      <c r="A50" s="31" t="inlineStr">
        <is>
          <t>ZENTEC</t>
        </is>
      </c>
      <c r="B50" s="31" t="inlineStr">
        <is>
          <t>Zen Technologies Limited</t>
        </is>
      </c>
      <c r="C50" s="31" t="inlineStr">
        <is>
          <t>aerospace &amp; defence</t>
        </is>
      </c>
      <c r="D50" s="31" t="inlineStr">
        <is>
          <t>miscellaneous</t>
        </is>
      </c>
      <c r="E50" s="31" t="inlineStr">
        <is>
          <t>midcap</t>
        </is>
      </c>
      <c r="F50" s="31" t="n">
        <v>16153.85</v>
      </c>
      <c r="G50" s="31" t="n">
        <v>1854.7</v>
      </c>
      <c r="H50" s="31" t="n">
        <v>3.67</v>
      </c>
      <c r="I50" s="31" t="n">
        <v>1094995</v>
      </c>
      <c r="J50" s="31" t="inlineStr">
        <is>
          <t>533339</t>
        </is>
      </c>
    </row>
    <row r="51">
      <c r="A51" s="31" t="inlineStr">
        <is>
          <t>GOLDIAM</t>
        </is>
      </c>
      <c r="B51" s="31" t="inlineStr">
        <is>
          <t>Goldiam International Limited</t>
        </is>
      </c>
      <c r="C51" s="31" t="inlineStr">
        <is>
          <t>consumer discretionary</t>
        </is>
      </c>
      <c r="D51" s="31" t="inlineStr">
        <is>
          <t>diamond cutting / jewellery</t>
        </is>
      </c>
      <c r="E51" s="31" t="inlineStr">
        <is>
          <t>midcap</t>
        </is>
      </c>
      <c r="F51" s="31" t="n">
        <v>5295.85</v>
      </c>
      <c r="G51" s="31" t="n">
        <v>485.65</v>
      </c>
      <c r="H51" s="31" t="n">
        <v>3.55</v>
      </c>
      <c r="I51" s="31" t="n">
        <v>1470919</v>
      </c>
      <c r="J51" s="31" t="inlineStr">
        <is>
          <t>526729</t>
        </is>
      </c>
    </row>
    <row r="52">
      <c r="A52" s="31" t="inlineStr">
        <is>
          <t>NAZARA</t>
        </is>
      </c>
      <c r="B52" s="31" t="inlineStr">
        <is>
          <t>Nazara Technologies Ltd</t>
        </is>
      </c>
      <c r="C52" s="31" t="inlineStr">
        <is>
          <t>i.t</t>
        </is>
      </c>
      <c r="D52" s="31" t="inlineStr">
        <is>
          <t>telecommunications - service provider</t>
        </is>
      </c>
      <c r="E52" s="31" t="inlineStr">
        <is>
          <t>midcap</t>
        </is>
      </c>
      <c r="F52" s="31" t="n">
        <v>10778.68</v>
      </c>
      <c r="G52" s="31" t="n">
        <v>301.15</v>
      </c>
      <c r="H52" s="31" t="n">
        <v>3.51</v>
      </c>
      <c r="I52" s="31" t="n">
        <v>5131896</v>
      </c>
      <c r="J52" s="31" t="inlineStr">
        <is>
          <t>543280</t>
        </is>
      </c>
    </row>
    <row r="53">
      <c r="A53" s="31" t="inlineStr">
        <is>
          <t>NRL</t>
        </is>
      </c>
      <c r="B53" s="31" t="inlineStr">
        <is>
          <t>Nupur Recyclers Ltd</t>
        </is>
      </c>
      <c r="C53" s="31" t="inlineStr">
        <is>
          <t>services</t>
        </is>
      </c>
      <c r="D53" s="31" t="inlineStr">
        <is>
          <t>trading</t>
        </is>
      </c>
      <c r="E53" s="31" t="inlineStr">
        <is>
          <t>smallcap</t>
        </is>
      </c>
      <c r="F53" s="31" t="n">
        <v>523.0599999999999</v>
      </c>
      <c r="G53" s="31" t="n">
        <v>78.36</v>
      </c>
      <c r="H53" s="31" t="n">
        <v>3.47</v>
      </c>
      <c r="I53" s="31" t="n">
        <v>145103</v>
      </c>
      <c r="J53" s="31" t="inlineStr">
        <is>
          <t>535413</t>
        </is>
      </c>
    </row>
    <row r="54">
      <c r="A54" s="31" t="inlineStr">
        <is>
          <t>ITDC</t>
        </is>
      </c>
      <c r="B54" s="31" t="inlineStr">
        <is>
          <t>India Tourism Development Corporation Ltd</t>
        </is>
      </c>
      <c r="C54" s="31" t="inlineStr">
        <is>
          <t>services</t>
        </is>
      </c>
      <c r="D54" s="31" t="inlineStr">
        <is>
          <t>hotels</t>
        </is>
      </c>
      <c r="E54" s="31" t="inlineStr">
        <is>
          <t>midcap</t>
        </is>
      </c>
      <c r="F54" s="31" t="n">
        <v>5129.44</v>
      </c>
      <c r="G54" s="31" t="n">
        <v>618.4</v>
      </c>
      <c r="H54" s="31" t="n">
        <v>3.4</v>
      </c>
      <c r="I54" s="31" t="n">
        <v>568950</v>
      </c>
      <c r="J54" s="31" t="inlineStr">
        <is>
          <t>532189</t>
        </is>
      </c>
    </row>
    <row r="55">
      <c r="A55" s="31" t="inlineStr">
        <is>
          <t>MAYURUNIQ</t>
        </is>
      </c>
      <c r="B55" s="31" t="inlineStr">
        <is>
          <t>Mayur Uniquoters Ltd</t>
        </is>
      </c>
      <c r="C55" s="31" t="inlineStr">
        <is>
          <t>consumer discretionary</t>
        </is>
      </c>
      <c r="D55" s="31" t="inlineStr">
        <is>
          <t>leather / leather products</t>
        </is>
      </c>
      <c r="E55" s="31" t="inlineStr">
        <is>
          <t>smallcap</t>
        </is>
      </c>
      <c r="F55" s="31" t="n">
        <v>3463.61</v>
      </c>
      <c r="G55" s="31" t="n">
        <v>823.95</v>
      </c>
      <c r="H55" s="31" t="n">
        <v>3.37</v>
      </c>
      <c r="I55" s="31" t="n">
        <v>226343</v>
      </c>
      <c r="J55" s="31" t="inlineStr">
        <is>
          <t>522249</t>
        </is>
      </c>
    </row>
    <row r="56">
      <c r="A56" s="31" t="inlineStr">
        <is>
          <t>CHAMBLFERT</t>
        </is>
      </c>
      <c r="B56" s="31" t="inlineStr">
        <is>
          <t>Chambal Fertilizers &amp; Chemicals Limited</t>
        </is>
      </c>
      <c r="C56" s="31" t="inlineStr">
        <is>
          <t>chemicals</t>
        </is>
      </c>
      <c r="D56" s="31" t="inlineStr">
        <is>
          <t>fertilizers</t>
        </is>
      </c>
      <c r="E56" s="31" t="inlineStr">
        <is>
          <t>midcap</t>
        </is>
      </c>
      <c r="F56" s="31" t="n">
        <v>18994.93</v>
      </c>
      <c r="G56" s="31" t="n">
        <v>490</v>
      </c>
      <c r="H56" s="31" t="n">
        <v>3.35</v>
      </c>
      <c r="I56" s="31" t="n">
        <v>4196091</v>
      </c>
      <c r="J56" s="31" t="inlineStr">
        <is>
          <t>500085</t>
        </is>
      </c>
    </row>
    <row r="57">
      <c r="A57" s="31" t="inlineStr">
        <is>
          <t>SKMEGGPROD</t>
        </is>
      </c>
      <c r="B57" s="31" t="inlineStr">
        <is>
          <t>Skm Egg Products Export (india) Limited</t>
        </is>
      </c>
      <c r="C57" s="31" t="inlineStr">
        <is>
          <t>fmcg</t>
        </is>
      </c>
      <c r="D57" s="31" t="inlineStr">
        <is>
          <t>food - processing - indian</t>
        </is>
      </c>
      <c r="E57" s="31" t="inlineStr">
        <is>
          <t>smallcap</t>
        </is>
      </c>
      <c r="F57" s="31" t="n">
        <v>1242.41</v>
      </c>
      <c r="G57" s="31" t="n">
        <v>243.81</v>
      </c>
      <c r="H57" s="31" t="n">
        <v>3.34</v>
      </c>
      <c r="I57" s="31" t="n">
        <v>455482</v>
      </c>
      <c r="J57" s="31" t="inlineStr">
        <is>
          <t>532143</t>
        </is>
      </c>
    </row>
    <row r="58">
      <c r="A58" s="31" t="inlineStr">
        <is>
          <t>PRESTIGE</t>
        </is>
      </c>
      <c r="B58" s="31" t="inlineStr">
        <is>
          <t>Prestige Estates Projects Limited</t>
        </is>
      </c>
      <c r="C58" s="31" t="inlineStr">
        <is>
          <t>realty</t>
        </is>
      </c>
      <c r="D58" s="31" t="inlineStr">
        <is>
          <t>construction</t>
        </is>
      </c>
      <c r="E58" s="31" t="inlineStr">
        <is>
          <t>largecap</t>
        </is>
      </c>
      <c r="F58" s="31" t="n">
        <v>63425.03</v>
      </c>
      <c r="G58" s="31" t="n">
        <v>1521.1</v>
      </c>
      <c r="H58" s="31" t="n">
        <v>3.3</v>
      </c>
      <c r="I58" s="31" t="n">
        <v>1398862</v>
      </c>
      <c r="J58" s="31" t="inlineStr">
        <is>
          <t>533274</t>
        </is>
      </c>
    </row>
    <row r="59">
      <c r="A59" s="31" t="inlineStr">
        <is>
          <t>APOLLO</t>
        </is>
      </c>
      <c r="B59" s="31" t="inlineStr">
        <is>
          <t>Apollo Micro Systems Ltd</t>
        </is>
      </c>
      <c r="C59" s="31" t="inlineStr">
        <is>
          <t>aerospace &amp; defence</t>
        </is>
      </c>
      <c r="D59" s="31" t="inlineStr">
        <is>
          <t>electronics - components</t>
        </is>
      </c>
      <c r="E59" s="31" t="inlineStr">
        <is>
          <t>midcap</t>
        </is>
      </c>
      <c r="F59" s="31" t="n">
        <v>15065.24</v>
      </c>
      <c r="G59" s="31" t="n">
        <v>435.45</v>
      </c>
      <c r="H59" s="31" t="n">
        <v>3.27</v>
      </c>
      <c r="I59" s="31" t="n">
        <v>23201520</v>
      </c>
      <c r="J59" s="31" t="inlineStr">
        <is>
          <t>540879</t>
        </is>
      </c>
    </row>
    <row r="60">
      <c r="A60" s="31" t="inlineStr">
        <is>
          <t>TIMKEN</t>
        </is>
      </c>
      <c r="B60" s="31" t="inlineStr">
        <is>
          <t>Timken India Limited</t>
        </is>
      </c>
      <c r="C60" s="31" t="inlineStr">
        <is>
          <t>industrials</t>
        </is>
      </c>
      <c r="D60" s="31" t="inlineStr">
        <is>
          <t>bearings</t>
        </is>
      </c>
      <c r="E60" s="31" t="inlineStr">
        <is>
          <t>largecap</t>
        </is>
      </c>
      <c r="F60" s="31" t="n">
        <v>26481.51</v>
      </c>
      <c r="G60" s="31" t="n">
        <v>3634.3</v>
      </c>
      <c r="H60" s="31" t="n">
        <v>3.23</v>
      </c>
      <c r="I60" s="31" t="n">
        <v>178063</v>
      </c>
      <c r="J60" s="31" t="inlineStr">
        <is>
          <t>522113</t>
        </is>
      </c>
    </row>
    <row r="61">
      <c r="A61" s="31" t="inlineStr">
        <is>
          <t>PYRAMID</t>
        </is>
      </c>
      <c r="B61" s="31" t="inlineStr">
        <is>
          <t>Pyramid Technoplast Ltd</t>
        </is>
      </c>
      <c r="C61" s="31" t="inlineStr">
        <is>
          <t>industrials</t>
        </is>
      </c>
      <c r="D61" s="31" t="inlineStr">
        <is>
          <t>packaging</t>
        </is>
      </c>
      <c r="E61" s="31" t="inlineStr">
        <is>
          <t>smallcap</t>
        </is>
      </c>
      <c r="F61" s="31" t="n">
        <v>618.02</v>
      </c>
      <c r="G61" s="31" t="n">
        <v>173.33</v>
      </c>
      <c r="H61" s="31" t="n">
        <v>3.17</v>
      </c>
      <c r="I61" s="31" t="n">
        <v>38615</v>
      </c>
      <c r="J61" s="31" t="inlineStr">
        <is>
          <t>543969</t>
        </is>
      </c>
    </row>
    <row r="62">
      <c r="A62" s="31" t="inlineStr">
        <is>
          <t>HSCL</t>
        </is>
      </c>
      <c r="B62" s="31" t="inlineStr">
        <is>
          <t>Himadri Speciality Chemical Limited</t>
        </is>
      </c>
      <c r="C62" s="31" t="inlineStr">
        <is>
          <t>chemicals</t>
        </is>
      </c>
      <c r="D62" s="31" t="inlineStr">
        <is>
          <t>chemicals</t>
        </is>
      </c>
      <c r="E62" s="31" t="inlineStr">
        <is>
          <t>largecap</t>
        </is>
      </c>
      <c r="F62" s="31" t="n">
        <v>33748.79</v>
      </c>
      <c r="G62" s="31" t="n">
        <v>689.2</v>
      </c>
      <c r="H62" s="31" t="n">
        <v>3.03</v>
      </c>
      <c r="I62" s="31" t="n">
        <v>12041950</v>
      </c>
      <c r="J62" s="31" t="inlineStr">
        <is>
          <t>500184</t>
        </is>
      </c>
    </row>
    <row r="63">
      <c r="A63" s="31" t="inlineStr">
        <is>
          <t>SASKEN</t>
        </is>
      </c>
      <c r="B63" s="31" t="inlineStr">
        <is>
          <t>Sasken Communication Technologies Limited</t>
        </is>
      </c>
      <c r="C63" s="31" t="inlineStr">
        <is>
          <t>i.t</t>
        </is>
      </c>
      <c r="D63" s="31" t="inlineStr">
        <is>
          <t>computers - software - medium / small</t>
        </is>
      </c>
      <c r="E63" s="31" t="inlineStr">
        <is>
          <t>smallcap</t>
        </is>
      </c>
      <c r="F63" s="31" t="n">
        <v>3225.91</v>
      </c>
      <c r="G63" s="31" t="n">
        <v>2188.4</v>
      </c>
      <c r="H63" s="31" t="n">
        <v>3.02</v>
      </c>
      <c r="I63" s="31" t="n">
        <v>41929</v>
      </c>
      <c r="J63" s="31" t="inlineStr">
        <is>
          <t>532663</t>
        </is>
      </c>
    </row>
    <row r="64">
      <c r="A64" s="31" t="inlineStr">
        <is>
          <t>SCHAEFFLER</t>
        </is>
      </c>
      <c r="B64" s="31" t="inlineStr">
        <is>
          <t>Schaeffler India Ltd</t>
        </is>
      </c>
      <c r="C64" s="31" t="inlineStr">
        <is>
          <t>industrials</t>
        </is>
      </c>
      <c r="D64" s="31" t="inlineStr">
        <is>
          <t>bearings</t>
        </is>
      </c>
      <c r="E64" s="31" t="inlineStr">
        <is>
          <t>largecap</t>
        </is>
      </c>
      <c r="F64" s="31" t="n">
        <v>63165.44</v>
      </c>
      <c r="G64" s="31" t="n">
        <v>4163</v>
      </c>
      <c r="H64" s="31" t="n">
        <v>3.01</v>
      </c>
      <c r="I64" s="31" t="n">
        <v>105447</v>
      </c>
      <c r="J64" s="31" t="inlineStr">
        <is>
          <t>505790</t>
        </is>
      </c>
    </row>
    <row r="65">
      <c r="A65" s="31" t="inlineStr">
        <is>
          <t>INOXINDIA</t>
        </is>
      </c>
      <c r="B65" s="31" t="inlineStr">
        <is>
          <t>Inox India Ltd</t>
        </is>
      </c>
      <c r="C65" s="31" t="inlineStr">
        <is>
          <t>industrials</t>
        </is>
      </c>
      <c r="D65" s="31" t="inlineStr">
        <is>
          <t>packaging</t>
        </is>
      </c>
      <c r="E65" s="31" t="inlineStr">
        <is>
          <t>midcap</t>
        </is>
      </c>
      <c r="F65" s="31" t="n">
        <v>16213.99</v>
      </c>
      <c r="G65" s="31" t="n">
        <v>1839.6</v>
      </c>
      <c r="H65" s="31" t="n">
        <v>2.98</v>
      </c>
      <c r="I65" s="31" t="n">
        <v>566883</v>
      </c>
      <c r="J65" s="31" t="inlineStr">
        <is>
          <t>544046</t>
        </is>
      </c>
    </row>
    <row r="66">
      <c r="A66" s="31" t="inlineStr">
        <is>
          <t>KAJARIACER</t>
        </is>
      </c>
      <c r="B66" s="31" t="inlineStr">
        <is>
          <t>Kajaria Ceramics Limited</t>
        </is>
      </c>
      <c r="C66" s="31" t="inlineStr">
        <is>
          <t>building materials</t>
        </is>
      </c>
      <c r="D66" s="31" t="inlineStr">
        <is>
          <t>ceramics - tiles / sanitaryware</t>
        </is>
      </c>
      <c r="E66" s="31" t="inlineStr">
        <is>
          <t>midcap</t>
        </is>
      </c>
      <c r="F66" s="31" t="n">
        <v>17618.7</v>
      </c>
      <c r="G66" s="31" t="n">
        <v>1139.1</v>
      </c>
      <c r="H66" s="31" t="n">
        <v>2.97</v>
      </c>
      <c r="I66" s="31" t="n">
        <v>337437</v>
      </c>
      <c r="J66" s="31" t="inlineStr">
        <is>
          <t>500233</t>
        </is>
      </c>
    </row>
    <row r="67">
      <c r="A67" s="31" t="inlineStr">
        <is>
          <t>JAMNAAUTO</t>
        </is>
      </c>
      <c r="B67" s="31" t="inlineStr">
        <is>
          <t>Jamna Auto Industries Limited</t>
        </is>
      </c>
      <c r="C67" s="31" t="inlineStr">
        <is>
          <t>auto</t>
        </is>
      </c>
      <c r="D67" s="31" t="inlineStr">
        <is>
          <t>auto ancillaries</t>
        </is>
      </c>
      <c r="E67" s="31" t="inlineStr">
        <is>
          <t>smallcap</t>
        </is>
      </c>
      <c r="F67" s="31" t="n">
        <v>4994.79</v>
      </c>
      <c r="G67" s="31" t="n">
        <v>128.5</v>
      </c>
      <c r="H67" s="31" t="n">
        <v>2.83</v>
      </c>
      <c r="I67" s="31" t="n">
        <v>3788686</v>
      </c>
      <c r="J67" s="31" t="inlineStr">
        <is>
          <t>520051</t>
        </is>
      </c>
    </row>
    <row r="68">
      <c r="A68" s="31" t="inlineStr">
        <is>
          <t>BLISSGVS</t>
        </is>
      </c>
      <c r="B68" s="31" t="inlineStr">
        <is>
          <t>Bliss Gvs Pharma Limited</t>
        </is>
      </c>
      <c r="C68" s="31" t="inlineStr">
        <is>
          <t>healthcare</t>
        </is>
      </c>
      <c r="D68" s="31" t="inlineStr">
        <is>
          <t>pharmaceuticals - indian - formulations</t>
        </is>
      </c>
      <c r="E68" s="31" t="inlineStr">
        <is>
          <t>smallcap</t>
        </is>
      </c>
      <c r="F68" s="31" t="n">
        <v>4649.95</v>
      </c>
      <c r="G68" s="31" t="n">
        <v>451.9</v>
      </c>
      <c r="H68" s="31" t="n">
        <v>2.81</v>
      </c>
      <c r="I68" s="31" t="n">
        <v>1212064</v>
      </c>
      <c r="J68" s="31" t="inlineStr">
        <is>
          <t>506197</t>
        </is>
      </c>
    </row>
    <row r="69">
      <c r="A69" s="31" t="inlineStr">
        <is>
          <t>SIGMAADV</t>
        </is>
      </c>
      <c r="B69" s="31" t="inlineStr">
        <is>
          <t>Sigma Advanced System Ltd</t>
        </is>
      </c>
      <c r="C69" s="31" t="inlineStr">
        <is>
          <t>aerospace &amp; defence</t>
        </is>
      </c>
      <c r="D69" s="31" t="inlineStr">
        <is>
          <t>electronics - components</t>
        </is>
      </c>
      <c r="E69" s="31" t="inlineStr">
        <is>
          <t>midcap</t>
        </is>
      </c>
      <c r="F69" s="31" t="n">
        <v>8145.8</v>
      </c>
      <c r="G69" s="31" t="n">
        <v>475.1</v>
      </c>
      <c r="H69" s="31" t="n">
        <v>2.79</v>
      </c>
      <c r="I69" s="31" t="n">
        <v>249936</v>
      </c>
      <c r="J69" s="31" t="inlineStr">
        <is>
          <t>532408</t>
        </is>
      </c>
    </row>
    <row r="70">
      <c r="A70" s="31" t="inlineStr">
        <is>
          <t>BANDHANBNK</t>
        </is>
      </c>
      <c r="B70" s="31" t="inlineStr">
        <is>
          <t>Bandhan Bank Ltd</t>
        </is>
      </c>
      <c r="C70" s="31" t="inlineStr">
        <is>
          <t>bank</t>
        </is>
      </c>
      <c r="D70" s="31" t="inlineStr">
        <is>
          <t>banks - private sector</t>
        </is>
      </c>
      <c r="E70" s="31" t="inlineStr">
        <is>
          <t>largecap</t>
        </is>
      </c>
      <c r="F70" s="31" t="n">
        <v>33972.18</v>
      </c>
      <c r="G70" s="31" t="n">
        <v>216.74</v>
      </c>
      <c r="H70" s="31" t="n">
        <v>2.78</v>
      </c>
      <c r="I70" s="31" t="n">
        <v>14775474</v>
      </c>
      <c r="J70" s="31" t="inlineStr">
        <is>
          <t>541153</t>
        </is>
      </c>
    </row>
    <row r="71">
      <c r="A71" s="31" t="inlineStr">
        <is>
          <t>MONARCH</t>
        </is>
      </c>
      <c r="B71" s="31" t="inlineStr">
        <is>
          <t>Monarch Networth Capital Ltd</t>
        </is>
      </c>
      <c r="C71" s="31" t="inlineStr">
        <is>
          <t>financials</t>
        </is>
      </c>
      <c r="D71" s="31" t="inlineStr">
        <is>
          <t>finance &amp; investments</t>
        </is>
      </c>
      <c r="E71" s="31" t="inlineStr">
        <is>
          <t>smallcap</t>
        </is>
      </c>
      <c r="F71" s="31" t="n">
        <v>2681.65</v>
      </c>
      <c r="G71" s="31" t="n">
        <v>347.65</v>
      </c>
      <c r="H71" s="31" t="n">
        <v>2.76</v>
      </c>
      <c r="I71" s="31" t="n">
        <v>311986</v>
      </c>
      <c r="J71" s="31" t="inlineStr">
        <is>
          <t>511551</t>
        </is>
      </c>
    </row>
    <row r="72">
      <c r="A72" s="31" t="inlineStr">
        <is>
          <t>TEGA</t>
        </is>
      </c>
      <c r="B72" s="31" t="inlineStr">
        <is>
          <t>Tega Industries Ltd</t>
        </is>
      </c>
      <c r="C72" s="31" t="inlineStr">
        <is>
          <t>industrials</t>
        </is>
      </c>
      <c r="D72" s="31" t="inlineStr">
        <is>
          <t>engineering</t>
        </is>
      </c>
      <c r="E72" s="31" t="inlineStr">
        <is>
          <t>midcap</t>
        </is>
      </c>
      <c r="F72" s="31" t="n">
        <v>13385.5</v>
      </c>
      <c r="G72" s="31" t="n">
        <v>1830.7</v>
      </c>
      <c r="H72" s="31" t="n">
        <v>2.75</v>
      </c>
      <c r="I72" s="31" t="n">
        <v>64397</v>
      </c>
      <c r="J72" s="31" t="inlineStr">
        <is>
          <t>543413</t>
        </is>
      </c>
    </row>
    <row r="73">
      <c r="A73" s="31" t="inlineStr">
        <is>
          <t>GUFICBIO</t>
        </is>
      </c>
      <c r="B73" s="31" t="inlineStr">
        <is>
          <t>Gufic Biosciences Limited</t>
        </is>
      </c>
      <c r="C73" s="31" t="inlineStr">
        <is>
          <t>healthcare</t>
        </is>
      </c>
      <c r="D73" s="31" t="inlineStr">
        <is>
          <t>pharmaceuticals - indian - bulk drugs &amp; formln</t>
        </is>
      </c>
      <c r="E73" s="31" t="inlineStr">
        <is>
          <t>smallcap</t>
        </is>
      </c>
      <c r="F73" s="31" t="n">
        <v>3614.18</v>
      </c>
      <c r="G73" s="31" t="n">
        <v>370</v>
      </c>
      <c r="H73" s="31" t="n">
        <v>2.66</v>
      </c>
      <c r="I73" s="31" t="n">
        <v>118082</v>
      </c>
      <c r="J73" s="31" t="inlineStr">
        <is>
          <t>509079</t>
        </is>
      </c>
    </row>
    <row r="74">
      <c r="A74" s="31" t="inlineStr">
        <is>
          <t>AURUM</t>
        </is>
      </c>
      <c r="B74" s="31" t="inlineStr">
        <is>
          <t>Aurum Proptech Ltd</t>
        </is>
      </c>
      <c r="C74" s="31" t="inlineStr">
        <is>
          <t>i.t</t>
        </is>
      </c>
      <c r="D74" s="31" t="inlineStr">
        <is>
          <t>computers - software - medium / small</t>
        </is>
      </c>
      <c r="E74" s="31" t="inlineStr">
        <is>
          <t>smallcap</t>
        </is>
      </c>
      <c r="F74" s="31" t="n">
        <v>1474.07</v>
      </c>
      <c r="G74" s="31" t="n">
        <v>197.41</v>
      </c>
      <c r="H74" s="31" t="n">
        <v>2.66</v>
      </c>
      <c r="I74" s="31" t="n">
        <v>357276</v>
      </c>
      <c r="J74" s="31" t="inlineStr">
        <is>
          <t>539289</t>
        </is>
      </c>
    </row>
    <row r="75">
      <c r="A75" s="31" t="inlineStr">
        <is>
          <t>STLTECH</t>
        </is>
      </c>
      <c r="B75" s="31" t="inlineStr">
        <is>
          <t>Sterlite Technologies Limited</t>
        </is>
      </c>
      <c r="C75" s="31" t="inlineStr">
        <is>
          <t>industrials</t>
        </is>
      </c>
      <c r="D75" s="31" t="inlineStr">
        <is>
          <t>cables - telephone</t>
        </is>
      </c>
      <c r="E75" s="31" t="inlineStr">
        <is>
          <t>largecap</t>
        </is>
      </c>
      <c r="F75" s="31" t="n">
        <v>29717.51</v>
      </c>
      <c r="G75" s="31" t="n">
        <v>624.7</v>
      </c>
      <c r="H75" s="31" t="n">
        <v>2.61</v>
      </c>
      <c r="I75" s="31" t="n">
        <v>2436324</v>
      </c>
      <c r="J75" s="31" t="inlineStr">
        <is>
          <t>532374</t>
        </is>
      </c>
    </row>
    <row r="76">
      <c r="A76" s="31" t="inlineStr">
        <is>
          <t>GENUSPOWER</t>
        </is>
      </c>
      <c r="B76" s="31" t="inlineStr">
        <is>
          <t>Genus Power Infrastructures Limited</t>
        </is>
      </c>
      <c r="C76" s="31" t="inlineStr">
        <is>
          <t>consumer discretionary</t>
        </is>
      </c>
      <c r="D76" s="31" t="inlineStr">
        <is>
          <t>electronics - components</t>
        </is>
      </c>
      <c r="E76" s="31" t="inlineStr">
        <is>
          <t>midcap</t>
        </is>
      </c>
      <c r="F76" s="31" t="n">
        <v>9756.26</v>
      </c>
      <c r="G76" s="31" t="n">
        <v>328.9</v>
      </c>
      <c r="H76" s="31" t="n">
        <v>2.56</v>
      </c>
      <c r="I76" s="31" t="n">
        <v>1612608</v>
      </c>
      <c r="J76" s="31" t="inlineStr">
        <is>
          <t>530343</t>
        </is>
      </c>
    </row>
    <row r="77">
      <c r="A77" s="31" t="inlineStr">
        <is>
          <t>INGERRAND</t>
        </is>
      </c>
      <c r="B77" s="31" t="inlineStr">
        <is>
          <t>Ingersoll Rand (india) Limited</t>
        </is>
      </c>
      <c r="C77" s="31" t="inlineStr">
        <is>
          <t>industrials</t>
        </is>
      </c>
      <c r="D77" s="31" t="inlineStr">
        <is>
          <t>compressors / drilling equipment</t>
        </is>
      </c>
      <c r="E77" s="31" t="inlineStr">
        <is>
          <t>midcap</t>
        </is>
      </c>
      <c r="F77" s="31" t="n">
        <v>13656.63</v>
      </c>
      <c r="G77" s="31" t="n">
        <v>4436.2</v>
      </c>
      <c r="H77" s="31" t="n">
        <v>2.55</v>
      </c>
      <c r="I77" s="31" t="n">
        <v>28879</v>
      </c>
      <c r="J77" s="31" t="inlineStr">
        <is>
          <t>500210</t>
        </is>
      </c>
    </row>
    <row r="78">
      <c r="A78" s="31" t="inlineStr">
        <is>
          <t>VADILALIND</t>
        </is>
      </c>
      <c r="B78" s="31" t="inlineStr">
        <is>
          <t>Vadilal Industries Limited</t>
        </is>
      </c>
      <c r="C78" s="31" t="inlineStr">
        <is>
          <t>fmcg</t>
        </is>
      </c>
      <c r="D78" s="31" t="inlineStr">
        <is>
          <t>food - processing - indian</t>
        </is>
      </c>
      <c r="E78" s="31" t="inlineStr">
        <is>
          <t>smallcap</t>
        </is>
      </c>
      <c r="F78" s="31" t="n">
        <v>4331.75</v>
      </c>
      <c r="G78" s="31" t="n">
        <v>6178</v>
      </c>
      <c r="H78" s="31" t="n">
        <v>2.51</v>
      </c>
      <c r="I78" s="31" t="n">
        <v>28247</v>
      </c>
      <c r="J78" s="31" t="inlineStr">
        <is>
          <t>519156</t>
        </is>
      </c>
    </row>
    <row r="79">
      <c r="A79" s="31" t="inlineStr">
        <is>
          <t>IGPL</t>
        </is>
      </c>
      <c r="B79" s="31" t="inlineStr">
        <is>
          <t>Ig Petrochemicals Limited</t>
        </is>
      </c>
      <c r="C79" s="31" t="inlineStr">
        <is>
          <t>chemicals</t>
        </is>
      </c>
      <c r="D79" s="31" t="inlineStr">
        <is>
          <t>chemicals</t>
        </is>
      </c>
      <c r="E79" s="31" t="inlineStr">
        <is>
          <t>smallcap</t>
        </is>
      </c>
      <c r="F79" s="31" t="n">
        <v>1343.58</v>
      </c>
      <c r="G79" s="31" t="n">
        <v>447.1</v>
      </c>
      <c r="H79" s="31" t="n">
        <v>2.48</v>
      </c>
      <c r="I79" s="31" t="n">
        <v>24342</v>
      </c>
      <c r="J79" s="31" t="inlineStr">
        <is>
          <t>500199</t>
        </is>
      </c>
    </row>
    <row r="80">
      <c r="A80" s="31" t="inlineStr">
        <is>
          <t>GREENLAM</t>
        </is>
      </c>
      <c r="B80" s="31" t="inlineStr">
        <is>
          <t>Greenlam Industries Limited</t>
        </is>
      </c>
      <c r="C80" s="31" t="inlineStr">
        <is>
          <t>building materials</t>
        </is>
      </c>
      <c r="D80" s="31" t="inlineStr">
        <is>
          <t>miscellaneous</t>
        </is>
      </c>
      <c r="E80" s="31" t="inlineStr">
        <is>
          <t>midcap</t>
        </is>
      </c>
      <c r="F80" s="31" t="n">
        <v>6450.13</v>
      </c>
      <c r="G80" s="31" t="n">
        <v>259.01</v>
      </c>
      <c r="H80" s="31" t="n">
        <v>2.46</v>
      </c>
      <c r="I80" s="31" t="n">
        <v>156827</v>
      </c>
      <c r="J80" s="31" t="inlineStr">
        <is>
          <t>538979</t>
        </is>
      </c>
    </row>
    <row r="81">
      <c r="A81" s="31" t="inlineStr">
        <is>
          <t>LOKESHMACH</t>
        </is>
      </c>
      <c r="B81" s="31" t="inlineStr">
        <is>
          <t>Lokesh Machines Limited</t>
        </is>
      </c>
      <c r="C81" s="31" t="inlineStr">
        <is>
          <t>industrials</t>
        </is>
      </c>
      <c r="D81" s="31" t="inlineStr">
        <is>
          <t>engineering</t>
        </is>
      </c>
      <c r="E81" s="31" t="inlineStr">
        <is>
          <t>smallcap</t>
        </is>
      </c>
      <c r="F81" s="31" t="n">
        <v>572.67</v>
      </c>
      <c r="G81" s="31" t="n">
        <v>275.45</v>
      </c>
      <c r="H81" s="31" t="n">
        <v>2.44</v>
      </c>
      <c r="I81" s="31" t="n">
        <v>28008</v>
      </c>
      <c r="J81" s="31" t="inlineStr">
        <is>
          <t>532740</t>
        </is>
      </c>
    </row>
    <row r="82">
      <c r="A82" s="31" t="inlineStr">
        <is>
          <t>AETHER</t>
        </is>
      </c>
      <c r="B82" s="31" t="inlineStr">
        <is>
          <t>Aether Industries Ltd</t>
        </is>
      </c>
      <c r="C82" s="31" t="inlineStr">
        <is>
          <t>chemicals</t>
        </is>
      </c>
      <c r="D82" s="31" t="inlineStr">
        <is>
          <t>chemicals</t>
        </is>
      </c>
      <c r="E82" s="31" t="inlineStr">
        <is>
          <t>midcap</t>
        </is>
      </c>
      <c r="F82" s="31" t="n">
        <v>15252.87</v>
      </c>
      <c r="G82" s="31" t="n">
        <v>1177.7</v>
      </c>
      <c r="H82" s="31" t="n">
        <v>2.44</v>
      </c>
      <c r="I82" s="31" t="n">
        <v>433202</v>
      </c>
      <c r="J82" s="31" t="inlineStr">
        <is>
          <t>543534</t>
        </is>
      </c>
    </row>
    <row r="83">
      <c r="A83" s="31" t="inlineStr">
        <is>
          <t>BHAGERIA</t>
        </is>
      </c>
      <c r="B83" s="31" t="inlineStr">
        <is>
          <t>Bhageria Industries Limited</t>
        </is>
      </c>
      <c r="C83" s="31" t="inlineStr">
        <is>
          <t>chemicals</t>
        </is>
      </c>
      <c r="D83" s="31" t="inlineStr">
        <is>
          <t>dyes and pigments</t>
        </is>
      </c>
      <c r="E83" s="31" t="inlineStr">
        <is>
          <t>smallcap</t>
        </is>
      </c>
      <c r="F83" s="31" t="n">
        <v>950.5700000000001</v>
      </c>
      <c r="G83" s="31" t="n">
        <v>223.07</v>
      </c>
      <c r="H83" s="31" t="n">
        <v>2.42</v>
      </c>
      <c r="I83" s="31" t="n">
        <v>147811</v>
      </c>
      <c r="J83" s="31" t="inlineStr">
        <is>
          <t>530803</t>
        </is>
      </c>
    </row>
    <row r="84">
      <c r="A84" s="31" t="inlineStr">
        <is>
          <t>RATEGAIN</t>
        </is>
      </c>
      <c r="B84" s="31" t="inlineStr">
        <is>
          <t>Rategain Travel Technologies Ltd</t>
        </is>
      </c>
      <c r="C84" s="31" t="inlineStr">
        <is>
          <t>i.t</t>
        </is>
      </c>
      <c r="D84" s="31" t="inlineStr">
        <is>
          <t>computers - software - medium / small</t>
        </is>
      </c>
      <c r="E84" s="31" t="inlineStr">
        <is>
          <t>midcap</t>
        </is>
      </c>
      <c r="F84" s="31" t="n">
        <v>9743.33</v>
      </c>
      <c r="G84" s="31" t="n">
        <v>844.35</v>
      </c>
      <c r="H84" s="31" t="n">
        <v>2.4</v>
      </c>
      <c r="I84" s="31" t="n">
        <v>624904</v>
      </c>
      <c r="J84" s="31" t="inlineStr">
        <is>
          <t>543417</t>
        </is>
      </c>
    </row>
    <row r="85">
      <c r="A85" s="31" t="inlineStr">
        <is>
          <t>DIFFNKG</t>
        </is>
      </c>
      <c r="B85" s="31" t="inlineStr">
        <is>
          <t>Diffusion Engineers Ltd</t>
        </is>
      </c>
      <c r="C85" s="31" t="inlineStr">
        <is>
          <t>industrials</t>
        </is>
      </c>
      <c r="D85" s="31" t="inlineStr">
        <is>
          <t>electrodes - welding equipment</t>
        </is>
      </c>
      <c r="E85" s="31" t="inlineStr">
        <is>
          <t>smallcap</t>
        </is>
      </c>
      <c r="F85" s="31" t="n">
        <v>1361.75</v>
      </c>
      <c r="G85" s="31" t="n">
        <v>372.6</v>
      </c>
      <c r="H85" s="31" t="n">
        <v>2.4</v>
      </c>
      <c r="I85" s="31" t="n">
        <v>183704</v>
      </c>
      <c r="J85" s="31" t="inlineStr">
        <is>
          <t>544264</t>
        </is>
      </c>
    </row>
    <row r="86">
      <c r="A86" s="31" t="inlineStr">
        <is>
          <t>TINNARUBR</t>
        </is>
      </c>
      <c r="B86" s="31" t="inlineStr">
        <is>
          <t>Tinna Rubber &amp; Infrastructure Ltd</t>
        </is>
      </c>
      <c r="C86" s="31" t="inlineStr">
        <is>
          <t>fmcg</t>
        </is>
      </c>
      <c r="D86" s="31" t="inlineStr">
        <is>
          <t>miscellaneous</t>
        </is>
      </c>
      <c r="E86" s="31" t="inlineStr">
        <is>
          <t>smallcap</t>
        </is>
      </c>
      <c r="F86" s="31" t="n">
        <v>1559.89</v>
      </c>
      <c r="G86" s="31" t="n">
        <v>886.55</v>
      </c>
      <c r="H86" s="31" t="n">
        <v>2.39</v>
      </c>
      <c r="I86" s="31" t="n">
        <v>70242</v>
      </c>
      <c r="J86" s="31" t="inlineStr">
        <is>
          <t>530475</t>
        </is>
      </c>
    </row>
    <row r="87">
      <c r="A87" s="31" t="inlineStr">
        <is>
          <t>CREDITACC</t>
        </is>
      </c>
      <c r="B87" s="31" t="inlineStr">
        <is>
          <t>CreditAccess Grameen Ltd</t>
        </is>
      </c>
      <c r="C87" s="31" t="inlineStr">
        <is>
          <t>financials</t>
        </is>
      </c>
      <c r="D87" s="31" t="inlineStr">
        <is>
          <t>finance &amp; investments</t>
        </is>
      </c>
      <c r="E87" s="31" t="inlineStr">
        <is>
          <t>largecap</t>
        </is>
      </c>
      <c r="F87" s="31" t="n">
        <v>22026.95</v>
      </c>
      <c r="G87" s="31" t="n">
        <v>1407.5</v>
      </c>
      <c r="H87" s="31" t="n">
        <v>2.36</v>
      </c>
      <c r="I87" s="31" t="n">
        <v>275118</v>
      </c>
      <c r="J87" s="31" t="inlineStr">
        <is>
          <t>541770</t>
        </is>
      </c>
    </row>
    <row r="88">
      <c r="A88" s="31" t="inlineStr">
        <is>
          <t>KTKBANK</t>
        </is>
      </c>
      <c r="B88" s="31" t="inlineStr">
        <is>
          <t>The Karnataka Bank Limited</t>
        </is>
      </c>
      <c r="C88" s="31" t="inlineStr">
        <is>
          <t>bank</t>
        </is>
      </c>
      <c r="D88" s="31" t="inlineStr">
        <is>
          <t>banks - private sector</t>
        </is>
      </c>
      <c r="E88" s="31" t="inlineStr">
        <is>
          <t>midcap</t>
        </is>
      </c>
      <c r="F88" s="31" t="n">
        <v>10311.89</v>
      </c>
      <c r="G88" s="31" t="n">
        <v>279.05</v>
      </c>
      <c r="H88" s="31" t="n">
        <v>2.33</v>
      </c>
      <c r="I88" s="31" t="n">
        <v>2273177</v>
      </c>
      <c r="J88" s="31" t="inlineStr">
        <is>
          <t>532652</t>
        </is>
      </c>
    </row>
    <row r="89">
      <c r="A89" s="31" t="inlineStr">
        <is>
          <t>FINEORG</t>
        </is>
      </c>
      <c r="B89" s="31" t="inlineStr">
        <is>
          <t>Fine Organic Industries Ltd</t>
        </is>
      </c>
      <c r="C89" s="31" t="inlineStr">
        <is>
          <t>chemicals</t>
        </is>
      </c>
      <c r="D89" s="31" t="inlineStr">
        <is>
          <t>chemicals</t>
        </is>
      </c>
      <c r="E89" s="31" t="inlineStr">
        <is>
          <t>midcap</t>
        </is>
      </c>
      <c r="F89" s="31" t="n">
        <v>15096.97</v>
      </c>
      <c r="G89" s="31" t="n">
        <v>5037.8</v>
      </c>
      <c r="H89" s="31" t="n">
        <v>2.31</v>
      </c>
      <c r="I89" s="31" t="n">
        <v>21986</v>
      </c>
      <c r="J89" s="31" t="inlineStr">
        <is>
          <t>541557</t>
        </is>
      </c>
    </row>
    <row r="90">
      <c r="A90" s="31" t="inlineStr">
        <is>
          <t>HMVL</t>
        </is>
      </c>
      <c r="B90" s="31" t="inlineStr">
        <is>
          <t>Hindustan Media Ventures Limited</t>
        </is>
      </c>
      <c r="C90" s="31" t="inlineStr">
        <is>
          <t>media</t>
        </is>
      </c>
      <c r="D90" s="31" t="inlineStr">
        <is>
          <t>entertainment / electronic media software</t>
        </is>
      </c>
      <c r="E90" s="31" t="inlineStr">
        <is>
          <t>smallcap</t>
        </is>
      </c>
      <c r="F90" s="31" t="n">
        <v>607.05</v>
      </c>
      <c r="G90" s="31" t="n">
        <v>84.26000000000001</v>
      </c>
      <c r="H90" s="31" t="n">
        <v>2.26</v>
      </c>
      <c r="I90" s="31" t="n">
        <v>131871</v>
      </c>
      <c r="J90" s="31" t="inlineStr">
        <is>
          <t>533217</t>
        </is>
      </c>
    </row>
    <row r="91">
      <c r="A91" s="31" t="inlineStr">
        <is>
          <t>ARVINDFASN</t>
        </is>
      </c>
      <c r="B91" s="31" t="inlineStr">
        <is>
          <t>Arvind Fashions Ltd</t>
        </is>
      </c>
      <c r="C91" s="31" t="inlineStr">
        <is>
          <t>consumer discretionary</t>
        </is>
      </c>
      <c r="D91" s="31" t="inlineStr">
        <is>
          <t>trading</t>
        </is>
      </c>
      <c r="E91" s="31" t="inlineStr">
        <is>
          <t>midcap</t>
        </is>
      </c>
      <c r="F91" s="31" t="n">
        <v>6170.18</v>
      </c>
      <c r="G91" s="31" t="n">
        <v>471.95</v>
      </c>
      <c r="H91" s="31" t="n">
        <v>2.23</v>
      </c>
      <c r="I91" s="31" t="n">
        <v>216654</v>
      </c>
      <c r="J91" s="31" t="inlineStr">
        <is>
          <t>542484</t>
        </is>
      </c>
    </row>
    <row r="92">
      <c r="A92" s="31" t="inlineStr">
        <is>
          <t>BIRLACABLE</t>
        </is>
      </c>
      <c r="B92" s="31" t="inlineStr">
        <is>
          <t>Birla Cable Limited</t>
        </is>
      </c>
      <c r="C92" s="31" t="inlineStr">
        <is>
          <t>industrials</t>
        </is>
      </c>
      <c r="D92" s="31" t="inlineStr">
        <is>
          <t>cables - telephone</t>
        </is>
      </c>
      <c r="E92" s="31" t="inlineStr">
        <is>
          <t>smallcap</t>
        </is>
      </c>
      <c r="F92" s="31" t="n">
        <v>611.49</v>
      </c>
      <c r="G92" s="31" t="n">
        <v>208.35</v>
      </c>
      <c r="H92" s="31" t="n">
        <v>2.22</v>
      </c>
      <c r="I92" s="31" t="n">
        <v>132284</v>
      </c>
      <c r="J92" s="31" t="inlineStr">
        <is>
          <t>500060</t>
        </is>
      </c>
    </row>
    <row r="93">
      <c r="A93" s="31" t="inlineStr">
        <is>
          <t>PAISALO</t>
        </is>
      </c>
      <c r="B93" s="31" t="inlineStr">
        <is>
          <t>Paisalo Digital Ltd</t>
        </is>
      </c>
      <c r="C93" s="31" t="inlineStr">
        <is>
          <t>financials</t>
        </is>
      </c>
      <c r="D93" s="31" t="inlineStr">
        <is>
          <t>finance &amp; investments</t>
        </is>
      </c>
      <c r="E93" s="31" t="inlineStr">
        <is>
          <t>midcap</t>
        </is>
      </c>
      <c r="F93" s="31" t="n">
        <v>5289.78</v>
      </c>
      <c r="G93" s="31" t="n">
        <v>59.41</v>
      </c>
      <c r="H93" s="31" t="n">
        <v>2.15</v>
      </c>
      <c r="I93" s="31" t="n">
        <v>6858615</v>
      </c>
      <c r="J93" s="31" t="inlineStr">
        <is>
          <t>532900</t>
        </is>
      </c>
    </row>
    <row r="94">
      <c r="A94" s="31" t="inlineStr">
        <is>
          <t>PREMIERPOL</t>
        </is>
      </c>
      <c r="B94" s="31" t="inlineStr">
        <is>
          <t>Premier Polyfilm Limited</t>
        </is>
      </c>
      <c r="C94" s="31" t="inlineStr">
        <is>
          <t>plastic products</t>
        </is>
      </c>
      <c r="D94" s="31" t="inlineStr">
        <is>
          <t>plastics products</t>
        </is>
      </c>
      <c r="E94" s="31" t="inlineStr">
        <is>
          <t>smallcap</t>
        </is>
      </c>
      <c r="F94" s="31" t="n">
        <v>586.45</v>
      </c>
      <c r="G94" s="31" t="n">
        <v>57.19</v>
      </c>
      <c r="H94" s="31" t="n">
        <v>2.14</v>
      </c>
      <c r="I94" s="31" t="n">
        <v>232421</v>
      </c>
      <c r="J94" s="31" t="inlineStr">
        <is>
          <t>514354</t>
        </is>
      </c>
    </row>
    <row r="95">
      <c r="A95" s="31" t="inlineStr">
        <is>
          <t>CREST</t>
        </is>
      </c>
      <c r="B95" s="31" t="inlineStr">
        <is>
          <t>Crest Ventures Limited</t>
        </is>
      </c>
      <c r="C95" s="31" t="inlineStr">
        <is>
          <t>financials</t>
        </is>
      </c>
      <c r="D95" s="31" t="inlineStr">
        <is>
          <t>finance &amp; investments</t>
        </is>
      </c>
      <c r="E95" s="31" t="inlineStr">
        <is>
          <t>smallcap</t>
        </is>
      </c>
      <c r="F95" s="31" t="n">
        <v>1089.34</v>
      </c>
      <c r="G95" s="31" t="n">
        <v>391.1</v>
      </c>
      <c r="H95" s="31" t="n">
        <v>2.14</v>
      </c>
      <c r="I95" s="31" t="n">
        <v>36943</v>
      </c>
      <c r="J95" s="31" t="inlineStr">
        <is>
          <t>511413</t>
        </is>
      </c>
    </row>
    <row r="96">
      <c r="A96" s="31" t="inlineStr">
        <is>
          <t>OBEROIRLTY</t>
        </is>
      </c>
      <c r="B96" s="31" t="inlineStr">
        <is>
          <t>Oberoi Realty Limited</t>
        </is>
      </c>
      <c r="C96" s="31" t="inlineStr">
        <is>
          <t>realty</t>
        </is>
      </c>
      <c r="D96" s="31" t="inlineStr">
        <is>
          <t>construction</t>
        </is>
      </c>
      <c r="E96" s="31" t="inlineStr">
        <is>
          <t>largecap</t>
        </is>
      </c>
      <c r="F96" s="31" t="n">
        <v>60699.76</v>
      </c>
      <c r="G96" s="31" t="n">
        <v>1704.8</v>
      </c>
      <c r="H96" s="31" t="n">
        <v>2.12</v>
      </c>
      <c r="I96" s="31" t="n">
        <v>777948</v>
      </c>
      <c r="J96" s="31" t="inlineStr">
        <is>
          <t>533273</t>
        </is>
      </c>
    </row>
    <row r="97">
      <c r="A97" s="31" t="inlineStr">
        <is>
          <t>RELIGARE</t>
        </is>
      </c>
      <c r="B97" s="31" t="inlineStr">
        <is>
          <t>Religare Enterprises Limited</t>
        </is>
      </c>
      <c r="C97" s="31" t="inlineStr">
        <is>
          <t>financials</t>
        </is>
      </c>
      <c r="D97" s="31" t="inlineStr">
        <is>
          <t>finance &amp; investments</t>
        </is>
      </c>
      <c r="E97" s="31" t="inlineStr">
        <is>
          <t>midcap</t>
        </is>
      </c>
      <c r="F97" s="31" t="n">
        <v>8012.34</v>
      </c>
      <c r="G97" s="31" t="n">
        <v>245.77</v>
      </c>
      <c r="H97" s="31" t="n">
        <v>2.11</v>
      </c>
      <c r="I97" s="31" t="n">
        <v>755976</v>
      </c>
      <c r="J97" s="31" t="inlineStr">
        <is>
          <t>532915</t>
        </is>
      </c>
    </row>
    <row r="98">
      <c r="A98" s="31" t="inlineStr">
        <is>
          <t>TIRUPATIFL</t>
        </is>
      </c>
      <c r="B98" s="31" t="inlineStr">
        <is>
          <t>Tirupati Forge Ltd</t>
        </is>
      </c>
      <c r="C98" s="31" t="inlineStr">
        <is>
          <t>industrials</t>
        </is>
      </c>
      <c r="D98" s="31" t="inlineStr">
        <is>
          <t>castings &amp; forgings</t>
        </is>
      </c>
      <c r="E98" s="31" t="inlineStr">
        <is>
          <t>smallcap</t>
        </is>
      </c>
      <c r="F98" s="31" t="n">
        <v>604.35</v>
      </c>
      <c r="G98" s="31" t="n">
        <v>47.75</v>
      </c>
      <c r="H98" s="31" t="n">
        <v>2.07</v>
      </c>
      <c r="I98" s="31" t="n">
        <v>252202</v>
      </c>
      <c r="J98" s="31" t="inlineStr">
        <is>
          <t>535021</t>
        </is>
      </c>
    </row>
    <row r="99">
      <c r="A99" s="31" t="inlineStr">
        <is>
          <t>SBCL</t>
        </is>
      </c>
      <c r="B99" s="31" t="inlineStr">
        <is>
          <t>Shivalik Bimetal Controls Ltd</t>
        </is>
      </c>
      <c r="C99" s="31" t="inlineStr">
        <is>
          <t>metals &amp; mining</t>
        </is>
      </c>
      <c r="D99" s="31" t="inlineStr">
        <is>
          <t>mining / minerals / metals</t>
        </is>
      </c>
      <c r="E99" s="31" t="inlineStr">
        <is>
          <t>smallcap</t>
        </is>
      </c>
      <c r="F99" s="31" t="n">
        <v>4180.62</v>
      </c>
      <c r="G99" s="31" t="n">
        <v>740.6</v>
      </c>
      <c r="H99" s="31" t="n">
        <v>2.05</v>
      </c>
      <c r="I99" s="31" t="n">
        <v>418823</v>
      </c>
      <c r="J99" s="31" t="inlineStr">
        <is>
          <t>513097</t>
        </is>
      </c>
    </row>
    <row r="100">
      <c r="A100" s="31" t="inlineStr">
        <is>
          <t>GEOJITFSL</t>
        </is>
      </c>
      <c r="B100" s="31" t="inlineStr">
        <is>
          <t>Geojit Financial Services Ltd</t>
        </is>
      </c>
      <c r="C100" s="31" t="inlineStr">
        <is>
          <t>financials</t>
        </is>
      </c>
      <c r="D100" s="31" t="inlineStr">
        <is>
          <t>finance &amp; investments</t>
        </is>
      </c>
      <c r="E100" s="31" t="inlineStr">
        <is>
          <t>smallcap</t>
        </is>
      </c>
      <c r="F100" s="31" t="n">
        <v>2135.01</v>
      </c>
      <c r="G100" s="31" t="n">
        <v>78.03</v>
      </c>
      <c r="H100" s="31" t="n">
        <v>2.01</v>
      </c>
      <c r="I100" s="31" t="n">
        <v>513611</v>
      </c>
      <c r="J100" s="31" t="inlineStr">
        <is>
          <t>532285</t>
        </is>
      </c>
    </row>
    <row r="101">
      <c r="A101" s="31" t="inlineStr">
        <is>
          <t>HONAUT</t>
        </is>
      </c>
      <c r="B101" s="31" t="inlineStr">
        <is>
          <t>Honeywell Automation India Limited</t>
        </is>
      </c>
      <c r="C101" s="31" t="inlineStr">
        <is>
          <t>consumer discretionary</t>
        </is>
      </c>
      <c r="D101" s="31" t="inlineStr">
        <is>
          <t>electronics - components</t>
        </is>
      </c>
      <c r="E101" s="31" t="inlineStr">
        <is>
          <t>largecap</t>
        </is>
      </c>
      <c r="F101" s="31" t="n">
        <v>31745.49</v>
      </c>
      <c r="G101" s="31" t="n">
        <v>36620</v>
      </c>
      <c r="H101" s="31" t="n">
        <v>1.99</v>
      </c>
      <c r="I101" s="31" t="n">
        <v>4462</v>
      </c>
      <c r="J101" s="31" t="inlineStr">
        <is>
          <t>517174</t>
        </is>
      </c>
    </row>
    <row r="102">
      <c r="A102" s="31" t="inlineStr">
        <is>
          <t>HEALTHX</t>
        </is>
      </c>
      <c r="B102" s="31" t="inlineStr">
        <is>
          <t>Health X Platform Ltd</t>
        </is>
      </c>
      <c r="C102" s="31" t="inlineStr">
        <is>
          <t>financials</t>
        </is>
      </c>
      <c r="D102" s="31" t="inlineStr">
        <is>
          <t>finance &amp; investments</t>
        </is>
      </c>
      <c r="E102" s="31" t="inlineStr">
        <is>
          <t>smallcap</t>
        </is>
      </c>
      <c r="F102" s="31" t="n">
        <v>953.52</v>
      </c>
      <c r="G102" s="31" t="n">
        <v>305.6</v>
      </c>
      <c r="H102" s="31" t="n">
        <v>1.95</v>
      </c>
      <c r="I102" s="31" t="n">
        <v>15769</v>
      </c>
      <c r="J102" s="31" t="inlineStr">
        <is>
          <t>533259</t>
        </is>
      </c>
    </row>
    <row r="103">
      <c r="A103" s="31" t="inlineStr">
        <is>
          <t>CAMS</t>
        </is>
      </c>
      <c r="B103" s="31" t="inlineStr">
        <is>
          <t>Computer Age Management Services Ltd</t>
        </is>
      </c>
      <c r="C103" s="31" t="inlineStr">
        <is>
          <t>financials</t>
        </is>
      </c>
      <c r="D103" s="31" t="inlineStr">
        <is>
          <t>miscellaneous</t>
        </is>
      </c>
      <c r="E103" s="31" t="inlineStr">
        <is>
          <t>midcap</t>
        </is>
      </c>
      <c r="F103" s="31" t="n">
        <v>19277.08</v>
      </c>
      <c r="G103" s="31" t="n">
        <v>792.2</v>
      </c>
      <c r="H103" s="31" t="n">
        <v>1.91</v>
      </c>
      <c r="I103" s="31" t="n">
        <v>938403</v>
      </c>
      <c r="J103" s="31" t="inlineStr">
        <is>
          <t>543232</t>
        </is>
      </c>
    </row>
    <row r="104">
      <c r="A104" s="31" t="inlineStr">
        <is>
          <t>BAJFINANCE</t>
        </is>
      </c>
      <c r="B104" s="31" t="inlineStr">
        <is>
          <t>Bajaj Finance Limited</t>
        </is>
      </c>
      <c r="C104" s="31" t="inlineStr">
        <is>
          <t>financials</t>
        </is>
      </c>
      <c r="D104" s="31" t="inlineStr">
        <is>
          <t>finance &amp; investments</t>
        </is>
      </c>
      <c r="E104" s="31" t="inlineStr">
        <is>
          <t>largecap</t>
        </is>
      </c>
      <c r="F104" s="31" t="n">
        <v>586344.47</v>
      </c>
      <c r="G104" s="31" t="n">
        <v>959.65</v>
      </c>
      <c r="H104" s="31" t="n">
        <v>1.84</v>
      </c>
      <c r="I104" s="31" t="n">
        <v>9335988</v>
      </c>
      <c r="J104" s="31" t="inlineStr">
        <is>
          <t>500034</t>
        </is>
      </c>
    </row>
    <row r="105">
      <c r="A105" s="31" t="inlineStr">
        <is>
          <t>KAMDHENU</t>
        </is>
      </c>
      <c r="B105" s="31" t="inlineStr">
        <is>
          <t>Kamdhenu Limited</t>
        </is>
      </c>
      <c r="C105" s="31" t="inlineStr">
        <is>
          <t>metals &amp; mining</t>
        </is>
      </c>
      <c r="D105" s="31" t="inlineStr">
        <is>
          <t>steel - medium / small</t>
        </is>
      </c>
      <c r="E105" s="31" t="inlineStr">
        <is>
          <t>smallcap</t>
        </is>
      </c>
      <c r="F105" s="31" t="n">
        <v>863.6900000000001</v>
      </c>
      <c r="G105" s="31" t="n">
        <v>31.2</v>
      </c>
      <c r="H105" s="31" t="n">
        <v>1.83</v>
      </c>
      <c r="I105" s="31" t="n">
        <v>3035150</v>
      </c>
      <c r="J105" s="31" t="inlineStr">
        <is>
          <t>532741</t>
        </is>
      </c>
    </row>
    <row r="106">
      <c r="A106" s="31" t="inlineStr">
        <is>
          <t>SETL</t>
        </is>
      </c>
      <c r="B106" s="31" t="inlineStr">
        <is>
          <t>Standard Enginnering Technology Ltd</t>
        </is>
      </c>
      <c r="C106" s="31" t="inlineStr">
        <is>
          <t>industrials</t>
        </is>
      </c>
      <c r="D106" s="31" t="inlineStr">
        <is>
          <t>engineering</t>
        </is>
      </c>
      <c r="E106" s="31" t="inlineStr">
        <is>
          <t>smallcap</t>
        </is>
      </c>
      <c r="F106" s="31" t="n">
        <v>3370.21</v>
      </c>
      <c r="G106" s="31" t="n">
        <v>171.99</v>
      </c>
      <c r="H106" s="31" t="n">
        <v>1.81</v>
      </c>
      <c r="I106" s="31" t="n">
        <v>1000756</v>
      </c>
      <c r="J106" s="31" t="inlineStr">
        <is>
          <t>544333</t>
        </is>
      </c>
    </row>
    <row r="107">
      <c r="A107" s="31" t="inlineStr">
        <is>
          <t>DEEPAKFERT</t>
        </is>
      </c>
      <c r="B107" s="31" t="inlineStr">
        <is>
          <t>Deepak Fertilizers And Petrochemicals Corporation Limited</t>
        </is>
      </c>
      <c r="C107" s="31" t="inlineStr">
        <is>
          <t>chemicals</t>
        </is>
      </c>
      <c r="D107" s="31" t="inlineStr">
        <is>
          <t>chemicals</t>
        </is>
      </c>
      <c r="E107" s="31" t="inlineStr">
        <is>
          <t>midcap</t>
        </is>
      </c>
      <c r="F107" s="31" t="n">
        <v>19040.45</v>
      </c>
      <c r="G107" s="31" t="n">
        <v>1535</v>
      </c>
      <c r="H107" s="31" t="n">
        <v>1.77</v>
      </c>
      <c r="I107" s="31" t="n">
        <v>413700</v>
      </c>
      <c r="J107" s="31" t="inlineStr">
        <is>
          <t>500645</t>
        </is>
      </c>
    </row>
    <row r="108">
      <c r="A108" s="31" t="inlineStr">
        <is>
          <t>CGCL</t>
        </is>
      </c>
      <c r="B108" s="31" t="inlineStr">
        <is>
          <t>Capri Global Capital Limited</t>
        </is>
      </c>
      <c r="C108" s="31" t="inlineStr">
        <is>
          <t>financials</t>
        </is>
      </c>
      <c r="D108" s="31" t="inlineStr">
        <is>
          <t>finance &amp; investments</t>
        </is>
      </c>
      <c r="E108" s="31" t="inlineStr">
        <is>
          <t>largecap</t>
        </is>
      </c>
      <c r="F108" s="31" t="n">
        <v>20607.41</v>
      </c>
      <c r="G108" s="31" t="n">
        <v>217.88</v>
      </c>
      <c r="H108" s="31" t="n">
        <v>1.73</v>
      </c>
      <c r="I108" s="31" t="n">
        <v>6316553</v>
      </c>
      <c r="J108" s="31" t="inlineStr">
        <is>
          <t>531595</t>
        </is>
      </c>
    </row>
    <row r="109">
      <c r="A109" s="31" t="inlineStr">
        <is>
          <t>ELECTHERM</t>
        </is>
      </c>
      <c r="B109" s="31" t="inlineStr">
        <is>
          <t>Electrotherm (india) Limited</t>
        </is>
      </c>
      <c r="C109" s="31" t="inlineStr">
        <is>
          <t>metals &amp; mining</t>
        </is>
      </c>
      <c r="D109" s="31" t="inlineStr">
        <is>
          <t>steel - medium / small</t>
        </is>
      </c>
      <c r="E109" s="31" t="inlineStr">
        <is>
          <t>smallcap</t>
        </is>
      </c>
      <c r="F109" s="31" t="n">
        <v>1430.06</v>
      </c>
      <c r="G109" s="31" t="n">
        <v>1141.5</v>
      </c>
      <c r="H109" s="31" t="n">
        <v>1.72</v>
      </c>
      <c r="I109" s="31" t="n">
        <v>103620</v>
      </c>
      <c r="J109" s="31" t="inlineStr">
        <is>
          <t>526608</t>
        </is>
      </c>
    </row>
    <row r="110">
      <c r="A110" s="31" t="inlineStr">
        <is>
          <t>CAPITALSFB</t>
        </is>
      </c>
      <c r="B110" s="31" t="inlineStr">
        <is>
          <t>Capital Small Finance Bank Ltd</t>
        </is>
      </c>
      <c r="C110" s="31" t="inlineStr">
        <is>
          <t>bank</t>
        </is>
      </c>
      <c r="D110" s="31" t="inlineStr">
        <is>
          <t>banks - private sector</t>
        </is>
      </c>
      <c r="E110" s="31" t="inlineStr">
        <is>
          <t>smallcap</t>
        </is>
      </c>
      <c r="F110" s="31" t="n">
        <v>1316.92</v>
      </c>
      <c r="G110" s="31" t="n">
        <v>294.95</v>
      </c>
      <c r="H110" s="31" t="n">
        <v>1.72</v>
      </c>
      <c r="I110" s="31" t="n">
        <v>84714</v>
      </c>
      <c r="J110" s="31" t="n"/>
    </row>
    <row r="111">
      <c r="A111" s="31" t="inlineStr">
        <is>
          <t>INNOVACAP</t>
        </is>
      </c>
      <c r="B111" s="31" t="inlineStr">
        <is>
          <t>Innova Captab Ltd</t>
        </is>
      </c>
      <c r="C111" s="31" t="inlineStr">
        <is>
          <t>healthcare</t>
        </is>
      </c>
      <c r="D111" s="31" t="inlineStr">
        <is>
          <t>pharmaceuticals - indian - bulk drugs &amp; formln</t>
        </is>
      </c>
      <c r="E111" s="31" t="inlineStr">
        <is>
          <t>midcap</t>
        </is>
      </c>
      <c r="F111" s="31" t="n">
        <v>5424.64</v>
      </c>
      <c r="G111" s="31" t="n">
        <v>964.2</v>
      </c>
      <c r="H111" s="31" t="n">
        <v>1.71</v>
      </c>
      <c r="I111" s="31" t="n">
        <v>109749</v>
      </c>
      <c r="J111" s="31" t="inlineStr">
        <is>
          <t>544067</t>
        </is>
      </c>
    </row>
    <row r="112">
      <c r="A112" s="31" t="inlineStr">
        <is>
          <t>KENNAMET</t>
        </is>
      </c>
      <c r="B112" s="31" t="inlineStr">
        <is>
          <t>Kennametal India Ltd</t>
        </is>
      </c>
      <c r="C112" s="31" t="inlineStr">
        <is>
          <t>industrials</t>
        </is>
      </c>
      <c r="D112" s="31" t="inlineStr">
        <is>
          <t>castings &amp; forgings</t>
        </is>
      </c>
      <c r="E112" s="31" t="inlineStr">
        <is>
          <t>midcap</t>
        </is>
      </c>
      <c r="F112" s="31" t="n">
        <v>6554.13</v>
      </c>
      <c r="G112" s="31" t="n">
        <v>3032.8</v>
      </c>
      <c r="H112" s="31" t="n">
        <v>1.7</v>
      </c>
      <c r="I112" s="31" t="n">
        <v>18093</v>
      </c>
      <c r="J112" s="31" t="inlineStr">
        <is>
          <t>505890</t>
        </is>
      </c>
    </row>
    <row r="113">
      <c r="A113" s="31" t="inlineStr">
        <is>
          <t>NBCC</t>
        </is>
      </c>
      <c r="B113" s="31" t="inlineStr">
        <is>
          <t>Nbcc (india) Limited</t>
        </is>
      </c>
      <c r="C113" s="31" t="inlineStr">
        <is>
          <t>miscellaneous</t>
        </is>
      </c>
      <c r="D113" s="31" t="inlineStr">
        <is>
          <t>miscellaneous</t>
        </is>
      </c>
      <c r="E113" s="31" t="inlineStr">
        <is>
          <t>largecap</t>
        </is>
      </c>
      <c r="F113" s="31" t="n">
        <v>28987.2</v>
      </c>
      <c r="G113" s="31" t="n">
        <v>109.14</v>
      </c>
      <c r="H113" s="31" t="n">
        <v>1.66</v>
      </c>
      <c r="I113" s="31" t="n">
        <v>18417449</v>
      </c>
      <c r="J113" s="31" t="inlineStr">
        <is>
          <t>534309</t>
        </is>
      </c>
    </row>
    <row r="114">
      <c r="A114" s="31" t="inlineStr">
        <is>
          <t>EIFFL</t>
        </is>
      </c>
      <c r="B114" s="31" t="inlineStr">
        <is>
          <t>Euro India Fresh Foods Ltd</t>
        </is>
      </c>
      <c r="C114" s="31" t="inlineStr">
        <is>
          <t>fmcg</t>
        </is>
      </c>
      <c r="D114" s="31" t="inlineStr">
        <is>
          <t>food - processing - indian</t>
        </is>
      </c>
      <c r="E114" s="31" t="inlineStr">
        <is>
          <t>smallcap</t>
        </is>
      </c>
      <c r="F114" s="31" t="n">
        <v>607</v>
      </c>
      <c r="G114" s="31" t="n">
        <v>248.81</v>
      </c>
      <c r="H114" s="31" t="n">
        <v>1.65</v>
      </c>
      <c r="I114" s="31" t="n">
        <v>19319</v>
      </c>
      <c r="J114" s="31" t="inlineStr">
        <is>
          <t>538412</t>
        </is>
      </c>
    </row>
    <row r="115">
      <c r="A115" s="31" t="inlineStr">
        <is>
          <t>SGIL</t>
        </is>
      </c>
      <c r="B115" s="31" t="inlineStr">
        <is>
          <t>Synergy Green Industries Ltd</t>
        </is>
      </c>
      <c r="C115" s="31" t="inlineStr">
        <is>
          <t>industrials</t>
        </is>
      </c>
      <c r="D115" s="31" t="inlineStr">
        <is>
          <t>castings &amp; forgings</t>
        </is>
      </c>
      <c r="E115" s="31" t="inlineStr">
        <is>
          <t>smallcap</t>
        </is>
      </c>
      <c r="F115" s="31" t="n">
        <v>875.38</v>
      </c>
      <c r="G115" s="31" t="n">
        <v>572.4</v>
      </c>
      <c r="H115" s="31" t="n">
        <v>1.63</v>
      </c>
      <c r="I115" s="31" t="n">
        <v>14451</v>
      </c>
      <c r="J115" s="31" t="inlineStr">
        <is>
          <t>541929</t>
        </is>
      </c>
    </row>
    <row r="116">
      <c r="A116" s="31" t="inlineStr">
        <is>
          <t>PETRONET</t>
        </is>
      </c>
      <c r="B116" s="31" t="inlineStr">
        <is>
          <t>Petronet Lng Limited</t>
        </is>
      </c>
      <c r="C116" s="31" t="inlineStr">
        <is>
          <t>energy</t>
        </is>
      </c>
      <c r="D116" s="31" t="inlineStr">
        <is>
          <t>miscellaneous</t>
        </is>
      </c>
      <c r="E116" s="31" t="inlineStr">
        <is>
          <t>largecap</t>
        </is>
      </c>
      <c r="F116" s="31" t="n">
        <v>42885</v>
      </c>
      <c r="G116" s="31" t="n">
        <v>290.55</v>
      </c>
      <c r="H116" s="31" t="n">
        <v>1.63</v>
      </c>
      <c r="I116" s="31" t="n">
        <v>5030098</v>
      </c>
      <c r="J116" s="31" t="inlineStr">
        <is>
          <t>532522</t>
        </is>
      </c>
    </row>
    <row r="117">
      <c r="A117" s="31" t="inlineStr">
        <is>
          <t>CHOLAFIN</t>
        </is>
      </c>
      <c r="B117" s="31" t="inlineStr">
        <is>
          <t>Cholamandalam Investment And Finance Company Limited</t>
        </is>
      </c>
      <c r="C117" s="31" t="inlineStr">
        <is>
          <t>financials</t>
        </is>
      </c>
      <c r="D117" s="31" t="inlineStr">
        <is>
          <t>finance &amp; investments</t>
        </is>
      </c>
      <c r="E117" s="31" t="inlineStr">
        <is>
          <t>largecap</t>
        </is>
      </c>
      <c r="F117" s="31" t="n">
        <v>140892.87</v>
      </c>
      <c r="G117" s="31" t="n">
        <v>1680.4</v>
      </c>
      <c r="H117" s="31" t="n">
        <v>1.62</v>
      </c>
      <c r="I117" s="31" t="n">
        <v>2152281</v>
      </c>
      <c r="J117" s="31" t="inlineStr">
        <is>
          <t>511243</t>
        </is>
      </c>
    </row>
    <row r="118">
      <c r="A118" s="31" t="inlineStr">
        <is>
          <t>LALPATHLAB</t>
        </is>
      </c>
      <c r="B118" s="31" t="inlineStr">
        <is>
          <t>Dr. Lal Path Labs Ltd.</t>
        </is>
      </c>
      <c r="C118" s="31" t="inlineStr">
        <is>
          <t>healthcare</t>
        </is>
      </c>
      <c r="D118" s="31" t="inlineStr">
        <is>
          <t>healthcare</t>
        </is>
      </c>
      <c r="E118" s="31" t="inlineStr">
        <is>
          <t>largecap</t>
        </is>
      </c>
      <c r="F118" s="31" t="n">
        <v>27076.89</v>
      </c>
      <c r="G118" s="31" t="n">
        <v>1642</v>
      </c>
      <c r="H118" s="31" t="n">
        <v>1.61</v>
      </c>
      <c r="I118" s="31" t="n">
        <v>8683111</v>
      </c>
      <c r="J118" s="31" t="inlineStr">
        <is>
          <t>539524</t>
        </is>
      </c>
    </row>
    <row r="119">
      <c r="A119" s="31" t="inlineStr">
        <is>
          <t>STAR</t>
        </is>
      </c>
      <c r="B119" s="31" t="inlineStr">
        <is>
          <t>Strides Shasun Limited</t>
        </is>
      </c>
      <c r="C119" s="31" t="inlineStr">
        <is>
          <t>healthcare</t>
        </is>
      </c>
      <c r="D119" s="31" t="inlineStr">
        <is>
          <t>pharmaceuticals - indian - bulk drugs &amp; formln</t>
        </is>
      </c>
      <c r="E119" s="31" t="inlineStr">
        <is>
          <t>midcap</t>
        </is>
      </c>
      <c r="F119" s="31" t="n">
        <v>10003.5</v>
      </c>
      <c r="G119" s="31" t="n">
        <v>1102.7</v>
      </c>
      <c r="H119" s="31" t="n">
        <v>1.6</v>
      </c>
      <c r="I119" s="31" t="n">
        <v>175546</v>
      </c>
      <c r="J119" s="31" t="inlineStr">
        <is>
          <t>532531</t>
        </is>
      </c>
    </row>
    <row r="120">
      <c r="A120" s="31" t="inlineStr">
        <is>
          <t>HUDCO</t>
        </is>
      </c>
      <c r="B120" s="31" t="inlineStr">
        <is>
          <t>Housing and Urban Development Corporation Ltd</t>
        </is>
      </c>
      <c r="C120" s="31" t="inlineStr">
        <is>
          <t>financials</t>
        </is>
      </c>
      <c r="D120" s="31" t="inlineStr">
        <is>
          <t>finance - term-lending institutions</t>
        </is>
      </c>
      <c r="E120" s="31" t="inlineStr">
        <is>
          <t>largecap</t>
        </is>
      </c>
      <c r="F120" s="31" t="n">
        <v>41947.81</v>
      </c>
      <c r="G120" s="31" t="n">
        <v>212.83</v>
      </c>
      <c r="H120" s="31" t="n">
        <v>1.57</v>
      </c>
      <c r="I120" s="31" t="n">
        <v>3722427</v>
      </c>
      <c r="J120" s="31" t="inlineStr">
        <is>
          <t>540530</t>
        </is>
      </c>
    </row>
    <row r="121">
      <c r="A121" s="31" t="inlineStr">
        <is>
          <t>BFINVEST</t>
        </is>
      </c>
      <c r="B121" s="31" t="inlineStr">
        <is>
          <t>Bf Investment Limited</t>
        </is>
      </c>
      <c r="C121" s="31" t="inlineStr">
        <is>
          <t>financials</t>
        </is>
      </c>
      <c r="D121" s="31" t="inlineStr">
        <is>
          <t>finance &amp; investments</t>
        </is>
      </c>
      <c r="E121" s="31" t="inlineStr">
        <is>
          <t>smallcap</t>
        </is>
      </c>
      <c r="F121" s="31" t="n">
        <v>1676.21</v>
      </c>
      <c r="G121" s="31" t="n">
        <v>451.8</v>
      </c>
      <c r="H121" s="31" t="n">
        <v>1.53</v>
      </c>
      <c r="I121" s="31" t="n">
        <v>46657</v>
      </c>
      <c r="J121" s="31" t="inlineStr">
        <is>
          <t>533303</t>
        </is>
      </c>
    </row>
    <row r="122">
      <c r="A122" s="31" t="inlineStr">
        <is>
          <t>GEECEE</t>
        </is>
      </c>
      <c r="B122" s="31" t="inlineStr">
        <is>
          <t>Geecee Ventures Limited</t>
        </is>
      </c>
      <c r="C122" s="31" t="inlineStr">
        <is>
          <t>financials</t>
        </is>
      </c>
      <c r="D122" s="31" t="inlineStr">
        <is>
          <t>finance &amp; investments</t>
        </is>
      </c>
      <c r="E122" s="31" t="inlineStr">
        <is>
          <t>smallcap</t>
        </is>
      </c>
      <c r="F122" s="31" t="n">
        <v>675.97</v>
      </c>
      <c r="G122" s="31" t="n">
        <v>328.2</v>
      </c>
      <c r="H122" s="31" t="n">
        <v>1.53</v>
      </c>
      <c r="I122" s="31" t="n">
        <v>9207</v>
      </c>
      <c r="J122" s="31" t="inlineStr">
        <is>
          <t>532764</t>
        </is>
      </c>
    </row>
    <row r="123">
      <c r="A123" s="31" t="inlineStr">
        <is>
          <t>ABCAPITAL</t>
        </is>
      </c>
      <c r="B123" s="31" t="inlineStr">
        <is>
          <t>Aditya Birla Capital Ltd</t>
        </is>
      </c>
      <c r="C123" s="31" t="inlineStr">
        <is>
          <t>financials</t>
        </is>
      </c>
      <c r="D123" s="31" t="inlineStr">
        <is>
          <t>finance &amp; investments</t>
        </is>
      </c>
      <c r="E123" s="31" t="inlineStr">
        <is>
          <t>largecap</t>
        </is>
      </c>
      <c r="F123" s="31" t="n">
        <v>96453.89999999999</v>
      </c>
      <c r="G123" s="31" t="n">
        <v>373.8</v>
      </c>
      <c r="H123" s="31" t="n">
        <v>1.52</v>
      </c>
      <c r="I123" s="31" t="n">
        <v>3343325</v>
      </c>
      <c r="J123" s="31" t="inlineStr">
        <is>
          <t>540691</t>
        </is>
      </c>
    </row>
    <row r="124">
      <c r="A124" s="31" t="inlineStr">
        <is>
          <t>ASTRAMICRO</t>
        </is>
      </c>
      <c r="B124" s="31" t="inlineStr">
        <is>
          <t>Astra Microwave Products Limited</t>
        </is>
      </c>
      <c r="C124" s="31" t="inlineStr">
        <is>
          <t>aerospace &amp; defence</t>
        </is>
      </c>
      <c r="D124" s="31" t="inlineStr">
        <is>
          <t>telecommunications - equipment</t>
        </is>
      </c>
      <c r="E124" s="31" t="inlineStr">
        <is>
          <t>midcap</t>
        </is>
      </c>
      <c r="F124" s="31" t="n">
        <v>13842.98</v>
      </c>
      <c r="G124" s="31" t="n">
        <v>1480.1</v>
      </c>
      <c r="H124" s="31" t="n">
        <v>1.52</v>
      </c>
      <c r="I124" s="31" t="n">
        <v>661269</v>
      </c>
      <c r="J124" s="31" t="inlineStr">
        <is>
          <t>532493</t>
        </is>
      </c>
    </row>
    <row r="125">
      <c r="A125" s="31" t="inlineStr">
        <is>
          <t>MUNJALAU</t>
        </is>
      </c>
      <c r="B125" s="31" t="inlineStr">
        <is>
          <t>Munjal Auto Industries Limited</t>
        </is>
      </c>
      <c r="C125" s="31" t="inlineStr">
        <is>
          <t>auto</t>
        </is>
      </c>
      <c r="D125" s="31" t="inlineStr">
        <is>
          <t>auto ancillaries</t>
        </is>
      </c>
      <c r="E125" s="31" t="inlineStr">
        <is>
          <t>smallcap</t>
        </is>
      </c>
      <c r="F125" s="31" t="n">
        <v>973.2</v>
      </c>
      <c r="G125" s="31" t="n">
        <v>98.79000000000001</v>
      </c>
      <c r="H125" s="31" t="n">
        <v>1.51</v>
      </c>
      <c r="I125" s="31" t="n">
        <v>378310</v>
      </c>
      <c r="J125" s="31" t="inlineStr">
        <is>
          <t>520059</t>
        </is>
      </c>
    </row>
    <row r="126">
      <c r="A126" s="31" t="inlineStr">
        <is>
          <t>INDNIPPON</t>
        </is>
      </c>
      <c r="B126" s="31" t="inlineStr">
        <is>
          <t>India Nippon Electricals Limited</t>
        </is>
      </c>
      <c r="C126" s="31" t="inlineStr">
        <is>
          <t>auto</t>
        </is>
      </c>
      <c r="D126" s="31" t="inlineStr">
        <is>
          <t>auto ancillaries</t>
        </is>
      </c>
      <c r="E126" s="31" t="inlineStr">
        <is>
          <t>smallcap</t>
        </is>
      </c>
      <c r="F126" s="31" t="n">
        <v>2066.69</v>
      </c>
      <c r="G126" s="31" t="n">
        <v>926.6</v>
      </c>
      <c r="H126" s="31" t="n">
        <v>1.42</v>
      </c>
      <c r="I126" s="31" t="n">
        <v>87140</v>
      </c>
      <c r="J126" s="31" t="inlineStr">
        <is>
          <t>532240</t>
        </is>
      </c>
    </row>
    <row r="127">
      <c r="A127" s="31" t="inlineStr">
        <is>
          <t>BAJAJCON</t>
        </is>
      </c>
      <c r="B127" s="31" t="inlineStr">
        <is>
          <t>Bajaj Consumer Care Ltd</t>
        </is>
      </c>
      <c r="C127" s="31" t="inlineStr">
        <is>
          <t>fmcg</t>
        </is>
      </c>
      <c r="D127" s="31" t="inlineStr">
        <is>
          <t>personal care - indian</t>
        </is>
      </c>
      <c r="E127" s="31" t="inlineStr">
        <is>
          <t>midcap</t>
        </is>
      </c>
      <c r="F127" s="31" t="n">
        <v>7737.83</v>
      </c>
      <c r="G127" s="31" t="n">
        <v>600.45</v>
      </c>
      <c r="H127" s="31" t="n">
        <v>1.36</v>
      </c>
      <c r="I127" s="31" t="n">
        <v>928515</v>
      </c>
      <c r="J127" s="31" t="inlineStr">
        <is>
          <t>533229</t>
        </is>
      </c>
    </row>
    <row r="128">
      <c r="A128" s="31" t="inlineStr">
        <is>
          <t>BALRAMCHIN</t>
        </is>
      </c>
      <c r="B128" s="31" t="inlineStr">
        <is>
          <t>Balrampur Chini Mills Limited</t>
        </is>
      </c>
      <c r="C128" s="31" t="inlineStr">
        <is>
          <t>fmcg</t>
        </is>
      </c>
      <c r="D128" s="31" t="inlineStr">
        <is>
          <t>sugar</t>
        </is>
      </c>
      <c r="E128" s="31" t="inlineStr">
        <is>
          <t>midcap</t>
        </is>
      </c>
      <c r="F128" s="31" t="n">
        <v>11653.5</v>
      </c>
      <c r="G128" s="31" t="n">
        <v>559.05</v>
      </c>
      <c r="H128" s="31" t="n">
        <v>1.35</v>
      </c>
      <c r="I128" s="31" t="n">
        <v>292397</v>
      </c>
      <c r="J128" s="31" t="inlineStr">
        <is>
          <t>500038</t>
        </is>
      </c>
    </row>
    <row r="129">
      <c r="A129" s="31" t="inlineStr">
        <is>
          <t>MEDANTA</t>
        </is>
      </c>
      <c r="B129" s="31" t="inlineStr">
        <is>
          <t>Global Health Ltd</t>
        </is>
      </c>
      <c r="C129" s="31" t="inlineStr">
        <is>
          <t>healthcare</t>
        </is>
      </c>
      <c r="D129" s="31" t="inlineStr">
        <is>
          <t>healthcare</t>
        </is>
      </c>
      <c r="E129" s="31" t="inlineStr">
        <is>
          <t>largecap</t>
        </is>
      </c>
      <c r="F129" s="31" t="n">
        <v>32789.74</v>
      </c>
      <c r="G129" s="31" t="n">
        <v>1236.1</v>
      </c>
      <c r="H129" s="31" t="n">
        <v>1.33</v>
      </c>
      <c r="I129" s="31" t="n">
        <v>633012</v>
      </c>
      <c r="J129" s="31" t="inlineStr">
        <is>
          <t>543654</t>
        </is>
      </c>
    </row>
    <row r="130">
      <c r="A130" s="31" t="inlineStr">
        <is>
          <t>NORTHARC</t>
        </is>
      </c>
      <c r="B130" s="31" t="inlineStr">
        <is>
          <t>Northern ARC Capital Ltd</t>
        </is>
      </c>
      <c r="C130" s="31" t="inlineStr">
        <is>
          <t>financials</t>
        </is>
      </c>
      <c r="D130" s="31" t="inlineStr">
        <is>
          <t>finance &amp; investments</t>
        </is>
      </c>
      <c r="E130" s="31" t="inlineStr">
        <is>
          <t>smallcap</t>
        </is>
      </c>
      <c r="F130" s="31" t="n">
        <v>4764.75</v>
      </c>
      <c r="G130" s="31" t="n">
        <v>298.75</v>
      </c>
      <c r="H130" s="31" t="n">
        <v>1.31</v>
      </c>
      <c r="I130" s="31" t="n">
        <v>669390</v>
      </c>
      <c r="J130" s="31" t="n"/>
    </row>
    <row r="131">
      <c r="A131" s="31" t="inlineStr">
        <is>
          <t>ONEPOINT</t>
        </is>
      </c>
      <c r="B131" s="31" t="inlineStr">
        <is>
          <t>One Point One Solutions Ltd</t>
        </is>
      </c>
      <c r="C131" s="31" t="inlineStr">
        <is>
          <t>i.t</t>
        </is>
      </c>
      <c r="D131" s="31" t="inlineStr">
        <is>
          <t>computers - software - medium / small</t>
        </is>
      </c>
      <c r="E131" s="31" t="inlineStr">
        <is>
          <t>smallcap</t>
        </is>
      </c>
      <c r="F131" s="31" t="n">
        <v>1553.17</v>
      </c>
      <c r="G131" s="31" t="n">
        <v>59.84</v>
      </c>
      <c r="H131" s="31" t="n">
        <v>1.3</v>
      </c>
      <c r="I131" s="31" t="n">
        <v>1351160</v>
      </c>
      <c r="J131" s="31" t="inlineStr">
        <is>
          <t>535039</t>
        </is>
      </c>
    </row>
    <row r="132">
      <c r="A132" s="31" t="inlineStr">
        <is>
          <t>J&amp;KBANK</t>
        </is>
      </c>
      <c r="B132" s="31" t="inlineStr">
        <is>
          <t>The Jammu &amp; Kashmir Bank Limited</t>
        </is>
      </c>
      <c r="C132" s="31" t="inlineStr">
        <is>
          <t>bank</t>
        </is>
      </c>
      <c r="D132" s="31" t="inlineStr">
        <is>
          <t>banks - private sector</t>
        </is>
      </c>
      <c r="E132" s="31" t="inlineStr">
        <is>
          <t>midcap</t>
        </is>
      </c>
      <c r="F132" s="31" t="n">
        <v>17609.01</v>
      </c>
      <c r="G132" s="31" t="n">
        <v>161.99</v>
      </c>
      <c r="H132" s="31" t="n">
        <v>1.3</v>
      </c>
      <c r="I132" s="31" t="n">
        <v>3578791</v>
      </c>
      <c r="J132" s="31" t="inlineStr">
        <is>
          <t>532209</t>
        </is>
      </c>
    </row>
    <row r="133">
      <c r="A133" s="31" t="inlineStr">
        <is>
          <t>TITAN</t>
        </is>
      </c>
      <c r="B133" s="31" t="inlineStr">
        <is>
          <t>Titan Company Limited</t>
        </is>
      </c>
      <c r="C133" s="31" t="inlineStr">
        <is>
          <t>consumer discretionary</t>
        </is>
      </c>
      <c r="D133" s="31" t="inlineStr">
        <is>
          <t>diamond cutting / jewellery</t>
        </is>
      </c>
      <c r="E133" s="31" t="inlineStr">
        <is>
          <t>largecap</t>
        </is>
      </c>
      <c r="F133" s="31" t="n">
        <v>380283.2</v>
      </c>
      <c r="G133" s="31" t="n">
        <v>4338</v>
      </c>
      <c r="H133" s="31" t="n">
        <v>1.27</v>
      </c>
      <c r="I133" s="31" t="n">
        <v>779706</v>
      </c>
      <c r="J133" s="31" t="inlineStr">
        <is>
          <t>500114</t>
        </is>
      </c>
    </row>
    <row r="134">
      <c r="A134" s="31" t="inlineStr">
        <is>
          <t>GRINDWELL</t>
        </is>
      </c>
      <c r="B134" s="31" t="inlineStr">
        <is>
          <t>Grindwell Norton Limited</t>
        </is>
      </c>
      <c r="C134" s="31" t="inlineStr">
        <is>
          <t>industrials</t>
        </is>
      </c>
      <c r="D134" s="31" t="inlineStr">
        <is>
          <t>abrasives and grinding wheels</t>
        </is>
      </c>
      <c r="E134" s="31" t="inlineStr">
        <is>
          <t>largecap</t>
        </is>
      </c>
      <c r="F134" s="31" t="n">
        <v>22399.76</v>
      </c>
      <c r="G134" s="31" t="n">
        <v>2047.3</v>
      </c>
      <c r="H134" s="31" t="n">
        <v>1.2</v>
      </c>
      <c r="I134" s="31" t="n">
        <v>91035</v>
      </c>
      <c r="J134" s="31" t="inlineStr">
        <is>
          <t>506076</t>
        </is>
      </c>
    </row>
    <row r="135">
      <c r="A135" s="31" t="inlineStr">
        <is>
          <t>WALCHANNAG</t>
        </is>
      </c>
      <c r="B135" s="31" t="inlineStr">
        <is>
          <t>Walchandnagar Industries Limited</t>
        </is>
      </c>
      <c r="C135" s="31" t="inlineStr">
        <is>
          <t>industrials</t>
        </is>
      </c>
      <c r="D135" s="31" t="inlineStr">
        <is>
          <t>engineering</t>
        </is>
      </c>
      <c r="E135" s="31" t="inlineStr">
        <is>
          <t>smallcap</t>
        </is>
      </c>
      <c r="F135" s="31" t="n">
        <v>1776.11</v>
      </c>
      <c r="G135" s="31" t="n">
        <v>264.95</v>
      </c>
      <c r="H135" s="31" t="n">
        <v>1.2</v>
      </c>
      <c r="I135" s="31" t="n">
        <v>2262447</v>
      </c>
      <c r="J135" s="31" t="inlineStr">
        <is>
          <t>507410</t>
        </is>
      </c>
    </row>
    <row r="136">
      <c r="A136" s="31" t="inlineStr">
        <is>
          <t>VIJAYA</t>
        </is>
      </c>
      <c r="B136" s="31" t="inlineStr">
        <is>
          <t>Vijaya Diagnostic Centre Ltd</t>
        </is>
      </c>
      <c r="C136" s="31" t="inlineStr">
        <is>
          <t>healthcare</t>
        </is>
      </c>
      <c r="D136" s="31" t="inlineStr">
        <is>
          <t>healthcare</t>
        </is>
      </c>
      <c r="E136" s="31" t="inlineStr">
        <is>
          <t>midcap</t>
        </is>
      </c>
      <c r="F136" s="31" t="n">
        <v>13203.71</v>
      </c>
      <c r="G136" s="31" t="n">
        <v>1298.6</v>
      </c>
      <c r="H136" s="31" t="n">
        <v>1.2</v>
      </c>
      <c r="I136" s="31" t="n">
        <v>294177</v>
      </c>
      <c r="J136" s="31" t="inlineStr">
        <is>
          <t>543350</t>
        </is>
      </c>
    </row>
    <row r="137">
      <c r="A137" s="31" t="inlineStr">
        <is>
          <t>KSB</t>
        </is>
      </c>
      <c r="B137" s="31" t="inlineStr">
        <is>
          <t>KSB Ltd</t>
        </is>
      </c>
      <c r="C137" s="31" t="inlineStr">
        <is>
          <t>industrials</t>
        </is>
      </c>
      <c r="D137" s="31" t="inlineStr">
        <is>
          <t>pumps</t>
        </is>
      </c>
      <c r="E137" s="31" t="inlineStr">
        <is>
          <t>midcap</t>
        </is>
      </c>
      <c r="F137" s="31" t="n">
        <v>14885.57</v>
      </c>
      <c r="G137" s="31" t="n">
        <v>865.45</v>
      </c>
      <c r="H137" s="31" t="n">
        <v>1.19</v>
      </c>
      <c r="I137" s="31" t="n">
        <v>130451</v>
      </c>
      <c r="J137" s="31" t="inlineStr">
        <is>
          <t>500249</t>
        </is>
      </c>
    </row>
    <row r="138">
      <c r="A138" s="31" t="inlineStr">
        <is>
          <t>SOMANYCERA</t>
        </is>
      </c>
      <c r="B138" s="31" t="inlineStr">
        <is>
          <t>Somany Ceramics Limited</t>
        </is>
      </c>
      <c r="C138" s="31" t="inlineStr">
        <is>
          <t>building materials</t>
        </is>
      </c>
      <c r="D138" s="31" t="inlineStr">
        <is>
          <t>ceramics - tiles / sanitaryware</t>
        </is>
      </c>
      <c r="E138" s="31" t="inlineStr">
        <is>
          <t>smallcap</t>
        </is>
      </c>
      <c r="F138" s="31" t="n">
        <v>2133.08</v>
      </c>
      <c r="G138" s="31" t="n">
        <v>526.25</v>
      </c>
      <c r="H138" s="31" t="n">
        <v>1.18</v>
      </c>
      <c r="I138" s="31" t="n">
        <v>107384</v>
      </c>
      <c r="J138" s="31" t="inlineStr">
        <is>
          <t>531548</t>
        </is>
      </c>
    </row>
    <row r="139">
      <c r="A139" s="31" t="inlineStr">
        <is>
          <t>TIINDIA</t>
        </is>
      </c>
      <c r="B139" s="31" t="inlineStr">
        <is>
          <t>Tube Investments of India Ltd</t>
        </is>
      </c>
      <c r="C139" s="31" t="inlineStr">
        <is>
          <t>industrials</t>
        </is>
      </c>
      <c r="D139" s="31" t="inlineStr">
        <is>
          <t>steel - large</t>
        </is>
      </c>
      <c r="E139" s="31" t="inlineStr">
        <is>
          <t>largecap</t>
        </is>
      </c>
      <c r="F139" s="31" t="n">
        <v>62442.09</v>
      </c>
      <c r="G139" s="31" t="n">
        <v>3264.2</v>
      </c>
      <c r="H139" s="31" t="n">
        <v>1.18</v>
      </c>
      <c r="I139" s="31" t="n">
        <v>283227</v>
      </c>
      <c r="J139" s="31" t="inlineStr">
        <is>
          <t>540762</t>
        </is>
      </c>
    </row>
    <row r="140">
      <c r="A140" s="31" t="inlineStr">
        <is>
          <t>DATAPATTNS</t>
        </is>
      </c>
      <c r="B140" s="31" t="inlineStr">
        <is>
          <t>Data Patterns (India) Ltd</t>
        </is>
      </c>
      <c r="C140" s="31" t="inlineStr">
        <is>
          <t>aerospace &amp; defence</t>
        </is>
      </c>
      <c r="D140" s="31" t="inlineStr">
        <is>
          <t>electronics - components</t>
        </is>
      </c>
      <c r="E140" s="31" t="inlineStr">
        <is>
          <t>largecap</t>
        </is>
      </c>
      <c r="F140" s="31" t="n">
        <v>24775.71</v>
      </c>
      <c r="G140" s="31" t="n">
        <v>4477.3</v>
      </c>
      <c r="H140" s="31" t="n">
        <v>1.17</v>
      </c>
      <c r="I140" s="31" t="n">
        <v>860440</v>
      </c>
      <c r="J140" s="31" t="inlineStr">
        <is>
          <t>543428</t>
        </is>
      </c>
    </row>
    <row r="141">
      <c r="A141" s="31" t="inlineStr">
        <is>
          <t>PHOENIXLTD</t>
        </is>
      </c>
      <c r="B141" s="31" t="inlineStr">
        <is>
          <t>The Phoenix Mills Limited</t>
        </is>
      </c>
      <c r="C141" s="31" t="inlineStr">
        <is>
          <t>realty</t>
        </is>
      </c>
      <c r="D141" s="31" t="inlineStr">
        <is>
          <t>construction</t>
        </is>
      </c>
      <c r="E141" s="31" t="inlineStr">
        <is>
          <t>largecap</t>
        </is>
      </c>
      <c r="F141" s="31" t="n">
        <v>66051.53999999999</v>
      </c>
      <c r="G141" s="31" t="n">
        <v>1868.2</v>
      </c>
      <c r="H141" s="31" t="n">
        <v>1.15</v>
      </c>
      <c r="I141" s="31" t="n">
        <v>1134388</v>
      </c>
      <c r="J141" s="31" t="inlineStr">
        <is>
          <t>503100</t>
        </is>
      </c>
    </row>
    <row r="142">
      <c r="A142" s="31" t="inlineStr">
        <is>
          <t>KIMS</t>
        </is>
      </c>
      <c r="B142" s="31" t="inlineStr">
        <is>
          <t>Krishna Institute of Medical Sciences Ltd</t>
        </is>
      </c>
      <c r="C142" s="31" t="inlineStr">
        <is>
          <t>healthcare</t>
        </is>
      </c>
      <c r="D142" s="31" t="inlineStr">
        <is>
          <t>healthcare</t>
        </is>
      </c>
      <c r="E142" s="31" t="inlineStr">
        <is>
          <t>largecap</t>
        </is>
      </c>
      <c r="F142" s="31" t="n">
        <v>30804.7</v>
      </c>
      <c r="G142" s="31" t="n">
        <v>778.65</v>
      </c>
      <c r="H142" s="31" t="n">
        <v>1.14</v>
      </c>
      <c r="I142" s="31" t="n">
        <v>551283</v>
      </c>
      <c r="J142" s="31" t="inlineStr">
        <is>
          <t>543307</t>
        </is>
      </c>
    </row>
    <row r="143">
      <c r="A143" s="31" t="inlineStr">
        <is>
          <t>APARINDS</t>
        </is>
      </c>
      <c r="B143" s="31" t="inlineStr">
        <is>
          <t>Apar Industries Limited</t>
        </is>
      </c>
      <c r="C143" s="31" t="inlineStr">
        <is>
          <t>industrials</t>
        </is>
      </c>
      <c r="D143" s="31" t="inlineStr">
        <is>
          <t>electric equipment</t>
        </is>
      </c>
      <c r="E143" s="31" t="inlineStr">
        <is>
          <t>largecap</t>
        </is>
      </c>
      <c r="F143" s="31" t="n">
        <v>64213.07</v>
      </c>
      <c r="G143" s="31" t="n">
        <v>16168</v>
      </c>
      <c r="H143" s="31" t="n">
        <v>1.14</v>
      </c>
      <c r="I143" s="31" t="n">
        <v>207124</v>
      </c>
      <c r="J143" s="31" t="inlineStr">
        <is>
          <t>532259</t>
        </is>
      </c>
    </row>
    <row r="144">
      <c r="A144" s="31" t="inlineStr">
        <is>
          <t>DIAMONDYD</t>
        </is>
      </c>
      <c r="B144" s="31" t="inlineStr">
        <is>
          <t>Prataap Snacks Ltd</t>
        </is>
      </c>
      <c r="C144" s="31" t="inlineStr">
        <is>
          <t>fmcg</t>
        </is>
      </c>
      <c r="D144" s="31" t="inlineStr">
        <is>
          <t>food - processing - indian</t>
        </is>
      </c>
      <c r="E144" s="31" t="inlineStr">
        <is>
          <t>smallcap</t>
        </is>
      </c>
      <c r="F144" s="31" t="n">
        <v>2667.64</v>
      </c>
      <c r="G144" s="31" t="n">
        <v>1128.6</v>
      </c>
      <c r="H144" s="31" t="n">
        <v>1.13</v>
      </c>
      <c r="I144" s="31" t="n">
        <v>14497</v>
      </c>
      <c r="J144" s="31" t="inlineStr">
        <is>
          <t>540724</t>
        </is>
      </c>
    </row>
    <row r="145">
      <c r="A145" s="31" t="inlineStr">
        <is>
          <t>FEDERALBNK</t>
        </is>
      </c>
      <c r="B145" s="31" t="inlineStr">
        <is>
          <t>The Federal Bank  Limited</t>
        </is>
      </c>
      <c r="C145" s="31" t="inlineStr">
        <is>
          <t>bank</t>
        </is>
      </c>
      <c r="D145" s="31" t="inlineStr">
        <is>
          <t>banks - private sector</t>
        </is>
      </c>
      <c r="E145" s="31" t="inlineStr">
        <is>
          <t>largecap</t>
        </is>
      </c>
      <c r="F145" s="31" t="n">
        <v>78142.39</v>
      </c>
      <c r="G145" s="31" t="n">
        <v>320.6</v>
      </c>
      <c r="H145" s="31" t="n">
        <v>1.1</v>
      </c>
      <c r="I145" s="31" t="n">
        <v>8921387</v>
      </c>
      <c r="J145" s="31" t="inlineStr">
        <is>
          <t>500469</t>
        </is>
      </c>
    </row>
    <row r="146">
      <c r="A146" s="31" t="inlineStr">
        <is>
          <t>NIVABUPA</t>
        </is>
      </c>
      <c r="B146" s="31" t="inlineStr">
        <is>
          <t>Niva Bupa Health Insurance Company Ltd</t>
        </is>
      </c>
      <c r="C146" s="31" t="inlineStr">
        <is>
          <t>financials</t>
        </is>
      </c>
      <c r="D146" s="31" t="inlineStr">
        <is>
          <t>finance &amp; investments</t>
        </is>
      </c>
      <c r="E146" s="31" t="inlineStr">
        <is>
          <t>midcap</t>
        </is>
      </c>
      <c r="F146" s="31" t="n">
        <v>15405.94</v>
      </c>
      <c r="G146" s="31" t="n">
        <v>84.3</v>
      </c>
      <c r="H146" s="31" t="n">
        <v>1.09</v>
      </c>
      <c r="I146" s="31" t="n">
        <v>5760659</v>
      </c>
      <c r="J146" s="31" t="n"/>
    </row>
    <row r="147">
      <c r="A147" s="31" t="inlineStr">
        <is>
          <t>AVTNPL</t>
        </is>
      </c>
      <c r="B147" s="31" t="inlineStr">
        <is>
          <t>Avt Natural Products Limited</t>
        </is>
      </c>
      <c r="C147" s="31" t="inlineStr">
        <is>
          <t>fmcg</t>
        </is>
      </c>
      <c r="D147" s="31" t="inlineStr">
        <is>
          <t>solvent extraction</t>
        </is>
      </c>
      <c r="E147" s="31" t="inlineStr">
        <is>
          <t>smallcap</t>
        </is>
      </c>
      <c r="F147" s="31" t="n">
        <v>1104.06</v>
      </c>
      <c r="G147" s="31" t="n">
        <v>73.29000000000001</v>
      </c>
      <c r="H147" s="31" t="n">
        <v>1.09</v>
      </c>
      <c r="I147" s="31" t="n">
        <v>109368</v>
      </c>
      <c r="J147" s="31" t="inlineStr">
        <is>
          <t>519105</t>
        </is>
      </c>
    </row>
    <row r="148">
      <c r="A148" s="31" t="inlineStr">
        <is>
          <t>BOROSCI</t>
        </is>
      </c>
      <c r="B148" s="31" t="inlineStr">
        <is>
          <t>Borosil Scientific Ltd</t>
        </is>
      </c>
      <c r="C148" s="31" t="inlineStr">
        <is>
          <t>building materials</t>
        </is>
      </c>
      <c r="D148" s="31" t="inlineStr">
        <is>
          <t>glass &amp; glass products</t>
        </is>
      </c>
      <c r="E148" s="31" t="inlineStr">
        <is>
          <t>smallcap</t>
        </is>
      </c>
      <c r="F148" s="31" t="n">
        <v>1364.27</v>
      </c>
      <c r="G148" s="31" t="n">
        <v>155.03</v>
      </c>
      <c r="H148" s="31" t="n">
        <v>1.08</v>
      </c>
      <c r="I148" s="31" t="n">
        <v>279364</v>
      </c>
      <c r="J148" s="31" t="inlineStr">
        <is>
          <t>544184</t>
        </is>
      </c>
    </row>
    <row r="149">
      <c r="A149" s="31" t="inlineStr">
        <is>
          <t>TEXINFRA</t>
        </is>
      </c>
      <c r="B149" s="31" t="inlineStr">
        <is>
          <t>Texmaco Infrastructure &amp; Holdings Limited</t>
        </is>
      </c>
      <c r="C149" s="31" t="inlineStr">
        <is>
          <t>realty</t>
        </is>
      </c>
      <c r="D149" s="31" t="inlineStr">
        <is>
          <t>construction</t>
        </is>
      </c>
      <c r="E149" s="31" t="inlineStr">
        <is>
          <t>smallcap</t>
        </is>
      </c>
      <c r="F149" s="31" t="n">
        <v>1289.05</v>
      </c>
      <c r="G149" s="31" t="n">
        <v>102.25</v>
      </c>
      <c r="H149" s="31" t="n">
        <v>1.08</v>
      </c>
      <c r="I149" s="31" t="n">
        <v>134924</v>
      </c>
      <c r="J149" s="31" t="inlineStr">
        <is>
          <t>505400</t>
        </is>
      </c>
    </row>
    <row r="150">
      <c r="A150" s="31" t="inlineStr">
        <is>
          <t>CHOICEIN</t>
        </is>
      </c>
      <c r="B150" s="31" t="inlineStr">
        <is>
          <t>Choice International Ltd</t>
        </is>
      </c>
      <c r="C150" s="31" t="inlineStr">
        <is>
          <t>financials</t>
        </is>
      </c>
      <c r="D150" s="31" t="inlineStr">
        <is>
          <t>finance &amp; investments</t>
        </is>
      </c>
      <c r="E150" s="31" t="inlineStr">
        <is>
          <t>midcap</t>
        </is>
      </c>
      <c r="F150" s="31" t="n">
        <v>15644.48</v>
      </c>
      <c r="G150" s="31" t="n">
        <v>709.7</v>
      </c>
      <c r="H150" s="31" t="n">
        <v>1.06</v>
      </c>
      <c r="I150" s="31" t="n">
        <v>801463</v>
      </c>
      <c r="J150" s="31" t="inlineStr">
        <is>
          <t>531358</t>
        </is>
      </c>
    </row>
    <row r="151">
      <c r="A151" s="31" t="inlineStr">
        <is>
          <t>KIRLPNU</t>
        </is>
      </c>
      <c r="B151" s="31" t="inlineStr">
        <is>
          <t>Kirloskar Pneumatic Company Ltd</t>
        </is>
      </c>
      <c r="C151" s="31" t="inlineStr">
        <is>
          <t>industrials</t>
        </is>
      </c>
      <c r="D151" s="31" t="inlineStr">
        <is>
          <t>compressors / drilling equipment</t>
        </is>
      </c>
      <c r="E151" s="31" t="inlineStr">
        <is>
          <t>midcap</t>
        </is>
      </c>
      <c r="F151" s="31" t="n">
        <v>10582.99</v>
      </c>
      <c r="G151" s="31" t="n">
        <v>1646.2</v>
      </c>
      <c r="H151" s="31" t="n">
        <v>1.04</v>
      </c>
      <c r="I151" s="31" t="n">
        <v>94251</v>
      </c>
      <c r="J151" s="31" t="inlineStr">
        <is>
          <t>505283</t>
        </is>
      </c>
    </row>
    <row r="152">
      <c r="A152" s="31" t="inlineStr">
        <is>
          <t>ARIHANT</t>
        </is>
      </c>
      <c r="B152" s="31" t="inlineStr">
        <is>
          <t>Arihant Foundations &amp; Housing Limited</t>
        </is>
      </c>
      <c r="C152" s="31" t="inlineStr">
        <is>
          <t>realty</t>
        </is>
      </c>
      <c r="D152" s="31" t="inlineStr">
        <is>
          <t>construction</t>
        </is>
      </c>
      <c r="E152" s="31" t="inlineStr">
        <is>
          <t>smallcap</t>
        </is>
      </c>
      <c r="F152" s="31" t="n">
        <v>870.55</v>
      </c>
      <c r="G152" s="31" t="n">
        <v>882.55</v>
      </c>
      <c r="H152" s="31" t="n">
        <v>1.03</v>
      </c>
      <c r="I152" s="31" t="n">
        <v>4737</v>
      </c>
      <c r="J152" s="31" t="inlineStr">
        <is>
          <t>531381</t>
        </is>
      </c>
    </row>
    <row r="153">
      <c r="A153" s="31" t="inlineStr">
        <is>
          <t>UNIPARTS</t>
        </is>
      </c>
      <c r="B153" s="31" t="inlineStr">
        <is>
          <t>Uniparts India Ltd</t>
        </is>
      </c>
      <c r="C153" s="31" t="inlineStr">
        <is>
          <t>industrials</t>
        </is>
      </c>
      <c r="D153" s="31" t="inlineStr">
        <is>
          <t>engineering</t>
        </is>
      </c>
      <c r="E153" s="31" t="inlineStr">
        <is>
          <t>smallcap</t>
        </is>
      </c>
      <c r="F153" s="31" t="n">
        <v>2995.92</v>
      </c>
      <c r="G153" s="31" t="n">
        <v>670.3</v>
      </c>
      <c r="H153" s="31" t="n">
        <v>1</v>
      </c>
      <c r="I153" s="31" t="n">
        <v>115691</v>
      </c>
      <c r="J153" s="31" t="inlineStr">
        <is>
          <t>543689</t>
        </is>
      </c>
    </row>
    <row r="154">
      <c r="A154" s="31" t="inlineStr">
        <is>
          <t>CIEINDIA</t>
        </is>
      </c>
      <c r="B154" s="31" t="inlineStr">
        <is>
          <t>CIE Automotive India Ltd</t>
        </is>
      </c>
      <c r="C154" s="31" t="inlineStr">
        <is>
          <t>industrials</t>
        </is>
      </c>
      <c r="D154" s="31" t="inlineStr">
        <is>
          <t>castings &amp; forgings</t>
        </is>
      </c>
      <c r="E154" s="31" t="inlineStr">
        <is>
          <t>midcap</t>
        </is>
      </c>
      <c r="F154" s="31" t="n">
        <v>17632.76</v>
      </c>
      <c r="G154" s="31" t="n">
        <v>469.35</v>
      </c>
      <c r="H154" s="31" t="n">
        <v>0.98</v>
      </c>
      <c r="I154" s="31" t="n">
        <v>280490</v>
      </c>
      <c r="J154" s="31" t="inlineStr">
        <is>
          <t>532756</t>
        </is>
      </c>
    </row>
    <row r="155">
      <c r="A155" s="31" t="inlineStr">
        <is>
          <t>GREENPLY</t>
        </is>
      </c>
      <c r="B155" s="31" t="inlineStr">
        <is>
          <t>Greenply Industries Limited</t>
        </is>
      </c>
      <c r="C155" s="31" t="inlineStr">
        <is>
          <t>building materials</t>
        </is>
      </c>
      <c r="D155" s="31" t="inlineStr">
        <is>
          <t>miscellaneous</t>
        </is>
      </c>
      <c r="E155" s="31" t="inlineStr">
        <is>
          <t>smallcap</t>
        </is>
      </c>
      <c r="F155" s="31" t="n">
        <v>3669.62</v>
      </c>
      <c r="G155" s="31" t="n">
        <v>296.68</v>
      </c>
      <c r="H155" s="31" t="n">
        <v>0.98</v>
      </c>
      <c r="I155" s="31" t="n">
        <v>170912</v>
      </c>
      <c r="J155" s="31" t="inlineStr">
        <is>
          <t>526797</t>
        </is>
      </c>
    </row>
    <row r="156">
      <c r="A156" s="31" t="inlineStr">
        <is>
          <t>VENUSPIPES</t>
        </is>
      </c>
      <c r="B156" s="31" t="inlineStr">
        <is>
          <t>Venus Pipes &amp; Tubes Ltd</t>
        </is>
      </c>
      <c r="C156" s="31" t="inlineStr">
        <is>
          <t>metals &amp; mining</t>
        </is>
      </c>
      <c r="D156" s="31" t="inlineStr">
        <is>
          <t>steel - medium / small</t>
        </is>
      </c>
      <c r="E156" s="31" t="inlineStr">
        <is>
          <t>smallcap</t>
        </is>
      </c>
      <c r="F156" s="31" t="n">
        <v>2960.54</v>
      </c>
      <c r="G156" s="31" t="n">
        <v>1442.8</v>
      </c>
      <c r="H156" s="31" t="n">
        <v>0.96</v>
      </c>
      <c r="I156" s="31" t="n">
        <v>38148</v>
      </c>
      <c r="J156" s="31" t="inlineStr">
        <is>
          <t>543528</t>
        </is>
      </c>
    </row>
    <row r="157">
      <c r="A157" s="31" t="inlineStr">
        <is>
          <t>SURYODAY</t>
        </is>
      </c>
      <c r="B157" s="31" t="inlineStr">
        <is>
          <t>Suryoday Small Finance Bank Ltd</t>
        </is>
      </c>
      <c r="C157" s="31" t="inlineStr">
        <is>
          <t>bank</t>
        </is>
      </c>
      <c r="D157" s="31" t="inlineStr">
        <is>
          <t>banks - private sector</t>
        </is>
      </c>
      <c r="E157" s="31" t="inlineStr">
        <is>
          <t>smallcap</t>
        </is>
      </c>
      <c r="F157" s="31" t="n">
        <v>1827.02</v>
      </c>
      <c r="G157" s="31" t="n">
        <v>173.54</v>
      </c>
      <c r="H157" s="31" t="n">
        <v>0.96</v>
      </c>
      <c r="I157" s="31" t="n">
        <v>474404</v>
      </c>
      <c r="J157" s="31" t="inlineStr">
        <is>
          <t>543279</t>
        </is>
      </c>
    </row>
    <row r="158">
      <c r="A158" s="31" t="inlineStr">
        <is>
          <t>ADANIPORTS</t>
        </is>
      </c>
      <c r="B158" s="31" t="inlineStr">
        <is>
          <t>Adani Ports And Special Economic Zone Limited</t>
        </is>
      </c>
      <c r="C158" s="31" t="inlineStr">
        <is>
          <t>transportation</t>
        </is>
      </c>
      <c r="D158" s="31" t="inlineStr">
        <is>
          <t>miscellaneous</t>
        </is>
      </c>
      <c r="E158" s="31" t="inlineStr">
        <is>
          <t>largecap</t>
        </is>
      </c>
      <c r="F158" s="31" t="n">
        <v>415818.54</v>
      </c>
      <c r="G158" s="31" t="n">
        <v>1822</v>
      </c>
      <c r="H158" s="31" t="n">
        <v>0.95</v>
      </c>
      <c r="I158" s="31" t="n">
        <v>2215994</v>
      </c>
      <c r="J158" s="31" t="inlineStr">
        <is>
          <t>532921</t>
        </is>
      </c>
    </row>
    <row r="159">
      <c r="A159" s="31" t="inlineStr">
        <is>
          <t>GRWRHITECH</t>
        </is>
      </c>
      <c r="B159" s="31" t="inlineStr">
        <is>
          <t>Garware Hi Tech Films Ltd</t>
        </is>
      </c>
      <c r="C159" s="31" t="inlineStr">
        <is>
          <t>industrials</t>
        </is>
      </c>
      <c r="D159" s="31" t="inlineStr">
        <is>
          <t>packaging</t>
        </is>
      </c>
      <c r="E159" s="31" t="inlineStr">
        <is>
          <t>midcap</t>
        </is>
      </c>
      <c r="F159" s="31" t="n">
        <v>14684.03</v>
      </c>
      <c r="G159" s="31" t="n">
        <v>6380.5</v>
      </c>
      <c r="H159" s="31" t="n">
        <v>0.95</v>
      </c>
      <c r="I159" s="31" t="n">
        <v>128065</v>
      </c>
      <c r="J159" s="31" t="inlineStr">
        <is>
          <t>500655</t>
        </is>
      </c>
    </row>
    <row r="160">
      <c r="A160" s="31" t="inlineStr">
        <is>
          <t>GALAPREC</t>
        </is>
      </c>
      <c r="B160" s="31" t="inlineStr">
        <is>
          <t>Gala Precision Engineering Ltd</t>
        </is>
      </c>
      <c r="C160" s="31" t="inlineStr">
        <is>
          <t>industrials</t>
        </is>
      </c>
      <c r="D160" s="31" t="inlineStr">
        <is>
          <t>fasteners</t>
        </is>
      </c>
      <c r="E160" s="31" t="inlineStr">
        <is>
          <t>smallcap</t>
        </is>
      </c>
      <c r="F160" s="31" t="n">
        <v>1318.44</v>
      </c>
      <c r="G160" s="31" t="n">
        <v>1043.85</v>
      </c>
      <c r="H160" s="31" t="n">
        <v>0.95</v>
      </c>
      <c r="I160" s="31" t="n">
        <v>288915</v>
      </c>
      <c r="J160" s="31" t="inlineStr">
        <is>
          <t>544244</t>
        </is>
      </c>
    </row>
    <row r="161">
      <c r="A161" s="31" t="inlineStr">
        <is>
          <t>PREMIERENE</t>
        </is>
      </c>
      <c r="B161" s="31" t="inlineStr">
        <is>
          <t>Premier Energies Ltd</t>
        </is>
      </c>
      <c r="C161" s="31" t="inlineStr">
        <is>
          <t>services</t>
        </is>
      </c>
      <c r="D161" s="31" t="inlineStr">
        <is>
          <t>trading</t>
        </is>
      </c>
      <c r="E161" s="31" t="inlineStr">
        <is>
          <t>largecap</t>
        </is>
      </c>
      <c r="F161" s="31" t="n">
        <v>47356.03</v>
      </c>
      <c r="G161" s="31" t="n">
        <v>1055.3</v>
      </c>
      <c r="H161" s="31" t="n">
        <v>0.95</v>
      </c>
      <c r="I161" s="31" t="n">
        <v>1566623</v>
      </c>
      <c r="J161" s="31" t="n"/>
    </row>
    <row r="162">
      <c r="A162" s="31" t="inlineStr">
        <is>
          <t>PTL</t>
        </is>
      </c>
      <c r="B162" s="31" t="inlineStr">
        <is>
          <t>Ptl Enterprises Limited</t>
        </is>
      </c>
      <c r="C162" s="31" t="inlineStr">
        <is>
          <t>miscellaneous</t>
        </is>
      </c>
      <c r="D162" s="31" t="inlineStr">
        <is>
          <t>miscellaneous</t>
        </is>
      </c>
      <c r="E162" s="31" t="inlineStr">
        <is>
          <t>smallcap</t>
        </is>
      </c>
      <c r="F162" s="31" t="n">
        <v>543.8</v>
      </c>
      <c r="G162" s="31" t="n">
        <v>41.45</v>
      </c>
      <c r="H162" s="31" t="n">
        <v>0.9</v>
      </c>
      <c r="I162" s="31" t="n">
        <v>36274</v>
      </c>
      <c r="J162" s="31" t="inlineStr">
        <is>
          <t>509220</t>
        </is>
      </c>
    </row>
    <row r="163">
      <c r="A163" s="31" t="inlineStr">
        <is>
          <t>MSPL</t>
        </is>
      </c>
      <c r="B163" s="31" t="inlineStr">
        <is>
          <t>Msp Steel &amp; Power Limited</t>
        </is>
      </c>
      <c r="C163" s="31" t="inlineStr">
        <is>
          <t>metals &amp; mining</t>
        </is>
      </c>
      <c r="D163" s="31" t="inlineStr">
        <is>
          <t>steel - medium / small</t>
        </is>
      </c>
      <c r="E163" s="31" t="inlineStr">
        <is>
          <t>smallcap</t>
        </is>
      </c>
      <c r="F163" s="31" t="n">
        <v>2386.78</v>
      </c>
      <c r="G163" s="31" t="n">
        <v>42.48</v>
      </c>
      <c r="H163" s="31" t="n">
        <v>0.88</v>
      </c>
      <c r="I163" s="31" t="n">
        <v>6559887</v>
      </c>
      <c r="J163" s="31" t="inlineStr">
        <is>
          <t>532650</t>
        </is>
      </c>
    </row>
    <row r="164">
      <c r="A164" s="31" t="inlineStr">
        <is>
          <t>BSE</t>
        </is>
      </c>
      <c r="B164" s="31" t="inlineStr">
        <is>
          <t>BSE (Bombay stock exchange) Ltd</t>
        </is>
      </c>
      <c r="C164" s="31" t="inlineStr">
        <is>
          <t>financials</t>
        </is>
      </c>
      <c r="D164" s="31" t="inlineStr">
        <is>
          <t>miscellaneous</t>
        </is>
      </c>
      <c r="E164" s="31" t="inlineStr">
        <is>
          <t>largecap</t>
        </is>
      </c>
      <c r="F164" s="31" t="n">
        <v>168292.97</v>
      </c>
      <c r="G164" s="31" t="n">
        <v>4162.4</v>
      </c>
      <c r="H164" s="31" t="n">
        <v>0.88</v>
      </c>
      <c r="I164" s="31" t="n">
        <v>2676483</v>
      </c>
      <c r="J164" s="31" t="inlineStr">
        <is>
          <t>20</t>
        </is>
      </c>
    </row>
    <row r="165">
      <c r="A165" s="31" t="inlineStr">
        <is>
          <t>KERNEX</t>
        </is>
      </c>
      <c r="B165" s="31" t="inlineStr">
        <is>
          <t>Kernex Microsystems (india) Limited</t>
        </is>
      </c>
      <c r="C165" s="31" t="inlineStr">
        <is>
          <t>consumer discretionary</t>
        </is>
      </c>
      <c r="D165" s="31" t="inlineStr">
        <is>
          <t>electronics - components</t>
        </is>
      </c>
      <c r="E165" s="31" t="inlineStr">
        <is>
          <t>smallcap</t>
        </is>
      </c>
      <c r="F165" s="31" t="n">
        <v>3422.99</v>
      </c>
      <c r="G165" s="31" t="n">
        <v>2055</v>
      </c>
      <c r="H165" s="31" t="n">
        <v>0.87</v>
      </c>
      <c r="I165" s="31" t="n">
        <v>178781</v>
      </c>
      <c r="J165" s="31" t="inlineStr">
        <is>
          <t>532686</t>
        </is>
      </c>
    </row>
    <row r="166">
      <c r="A166" s="31" t="inlineStr">
        <is>
          <t>USHAMART</t>
        </is>
      </c>
      <c r="B166" s="31" t="inlineStr">
        <is>
          <t>Usha Martin Limited</t>
        </is>
      </c>
      <c r="C166" s="31" t="inlineStr">
        <is>
          <t>metals &amp; mining</t>
        </is>
      </c>
      <c r="D166" s="31" t="inlineStr">
        <is>
          <t>steel - medium / small</t>
        </is>
      </c>
      <c r="E166" s="31" t="inlineStr">
        <is>
          <t>midcap</t>
        </is>
      </c>
      <c r="F166" s="31" t="n">
        <v>15083.21</v>
      </c>
      <c r="G166" s="31" t="n">
        <v>499.2</v>
      </c>
      <c r="H166" s="31" t="n">
        <v>0.86</v>
      </c>
      <c r="I166" s="31" t="n">
        <v>266100</v>
      </c>
      <c r="J166" s="31" t="inlineStr">
        <is>
          <t>517146</t>
        </is>
      </c>
    </row>
    <row r="167">
      <c r="A167" s="31" t="inlineStr">
        <is>
          <t>NEOGEN</t>
        </is>
      </c>
      <c r="B167" s="31" t="inlineStr">
        <is>
          <t>Neogen Chemicals Ltd</t>
        </is>
      </c>
      <c r="C167" s="31" t="inlineStr">
        <is>
          <t>chemicals</t>
        </is>
      </c>
      <c r="D167" s="31" t="inlineStr">
        <is>
          <t>chemicals</t>
        </is>
      </c>
      <c r="E167" s="31" t="inlineStr">
        <is>
          <t>midcap</t>
        </is>
      </c>
      <c r="F167" s="31" t="n">
        <v>5652.67</v>
      </c>
      <c r="G167" s="31" t="n">
        <v>2082</v>
      </c>
      <c r="H167" s="31" t="n">
        <v>0.85</v>
      </c>
      <c r="I167" s="31" t="n">
        <v>49157</v>
      </c>
      <c r="J167" s="31" t="inlineStr">
        <is>
          <t>542665</t>
        </is>
      </c>
    </row>
    <row r="168">
      <c r="A168" s="31" t="inlineStr">
        <is>
          <t>HIRECT</t>
        </is>
      </c>
      <c r="B168" s="31" t="inlineStr">
        <is>
          <t>Hind Rectifiers Limited</t>
        </is>
      </c>
      <c r="C168" s="31" t="inlineStr">
        <is>
          <t>consumer discretionary</t>
        </is>
      </c>
      <c r="D168" s="31" t="inlineStr">
        <is>
          <t>electronics - components</t>
        </is>
      </c>
      <c r="E168" s="31" t="inlineStr">
        <is>
          <t>smallcap</t>
        </is>
      </c>
      <c r="F168" s="31" t="n">
        <v>3902.79</v>
      </c>
      <c r="G168" s="31" t="n">
        <v>1145</v>
      </c>
      <c r="H168" s="31" t="n">
        <v>0.83</v>
      </c>
      <c r="I168" s="31" t="n">
        <v>158355</v>
      </c>
      <c r="J168" s="31" t="inlineStr">
        <is>
          <t>504036</t>
        </is>
      </c>
    </row>
    <row r="169">
      <c r="A169" s="31" t="inlineStr">
        <is>
          <t>SKIPPER</t>
        </is>
      </c>
      <c r="B169" s="31" t="inlineStr">
        <is>
          <t>Skipper Limited</t>
        </is>
      </c>
      <c r="C169" s="31" t="inlineStr">
        <is>
          <t>industrials</t>
        </is>
      </c>
      <c r="D169" s="31" t="inlineStr">
        <is>
          <t>engineering</t>
        </is>
      </c>
      <c r="E169" s="31" t="inlineStr">
        <is>
          <t>midcap</t>
        </is>
      </c>
      <c r="F169" s="31" t="n">
        <v>6206.33</v>
      </c>
      <c r="G169" s="31" t="n">
        <v>554.2</v>
      </c>
      <c r="H169" s="31" t="n">
        <v>0.82</v>
      </c>
      <c r="I169" s="31" t="n">
        <v>453850</v>
      </c>
      <c r="J169" s="31" t="inlineStr">
        <is>
          <t>538562</t>
        </is>
      </c>
    </row>
    <row r="170">
      <c r="A170" s="31" t="inlineStr">
        <is>
          <t>SWARAJENG</t>
        </is>
      </c>
      <c r="B170" s="31" t="inlineStr">
        <is>
          <t>Swaraj Engines Limited</t>
        </is>
      </c>
      <c r="C170" s="31" t="inlineStr">
        <is>
          <t>industrials</t>
        </is>
      </c>
      <c r="D170" s="31" t="inlineStr">
        <is>
          <t>engines</t>
        </is>
      </c>
      <c r="E170" s="31" t="inlineStr">
        <is>
          <t>smallcap</t>
        </is>
      </c>
      <c r="F170" s="31" t="n">
        <v>4648.54</v>
      </c>
      <c r="G170" s="31" t="n">
        <v>3857</v>
      </c>
      <c r="H170" s="31" t="n">
        <v>0.8100000000000001</v>
      </c>
      <c r="I170" s="31" t="n">
        <v>27497</v>
      </c>
      <c r="J170" s="31" t="inlineStr">
        <is>
          <t>500407</t>
        </is>
      </c>
    </row>
    <row r="171">
      <c r="A171" s="31" t="inlineStr">
        <is>
          <t>PANAMAPET</t>
        </is>
      </c>
      <c r="B171" s="31" t="inlineStr">
        <is>
          <t>Panama Petrochem Limited</t>
        </is>
      </c>
      <c r="C171" s="31" t="inlineStr">
        <is>
          <t>energy</t>
        </is>
      </c>
      <c r="D171" s="31" t="inlineStr">
        <is>
          <t>petrochemicals</t>
        </is>
      </c>
      <c r="E171" s="31" t="inlineStr">
        <is>
          <t>smallcap</t>
        </is>
      </c>
      <c r="F171" s="31" t="n">
        <v>2307.83</v>
      </c>
      <c r="G171" s="31" t="n">
        <v>384.6</v>
      </c>
      <c r="H171" s="31" t="n">
        <v>0.8100000000000001</v>
      </c>
      <c r="I171" s="31" t="n">
        <v>175628</v>
      </c>
      <c r="J171" s="31" t="inlineStr">
        <is>
          <t>524820</t>
        </is>
      </c>
    </row>
    <row r="172">
      <c r="A172" s="31" t="inlineStr">
        <is>
          <t>PRUDENT</t>
        </is>
      </c>
      <c r="B172" s="31" t="inlineStr">
        <is>
          <t>Prudent Corporate Advisory Services Ltd</t>
        </is>
      </c>
      <c r="C172" s="31" t="inlineStr">
        <is>
          <t>financials</t>
        </is>
      </c>
      <c r="D172" s="31" t="inlineStr">
        <is>
          <t>finance &amp; investments</t>
        </is>
      </c>
      <c r="E172" s="31" t="inlineStr">
        <is>
          <t>midcap</t>
        </is>
      </c>
      <c r="F172" s="31" t="n">
        <v>12437.32</v>
      </c>
      <c r="G172" s="31" t="n">
        <v>3027.8</v>
      </c>
      <c r="H172" s="31" t="n">
        <v>0.8</v>
      </c>
      <c r="I172" s="31" t="n">
        <v>40124</v>
      </c>
      <c r="J172" s="31" t="inlineStr">
        <is>
          <t>543527</t>
        </is>
      </c>
    </row>
    <row r="173">
      <c r="A173" s="31" t="inlineStr">
        <is>
          <t>GMRAIRPORT</t>
        </is>
      </c>
      <c r="B173" s="31" t="inlineStr">
        <is>
          <t>GMR Airports Ltd</t>
        </is>
      </c>
      <c r="C173" s="31" t="inlineStr">
        <is>
          <t>miscellaneous</t>
        </is>
      </c>
      <c r="D173" s="31" t="inlineStr">
        <is>
          <t>miscellaneous</t>
        </is>
      </c>
      <c r="E173" s="31" t="inlineStr">
        <is>
          <t>largecap</t>
        </is>
      </c>
      <c r="F173" s="31" t="n">
        <v>112622.04</v>
      </c>
      <c r="G173" s="31" t="n">
        <v>107.51</v>
      </c>
      <c r="H173" s="31" t="n">
        <v>0.8</v>
      </c>
      <c r="I173" s="31" t="n">
        <v>30369058</v>
      </c>
      <c r="J173" s="31" t="inlineStr">
        <is>
          <t>532754</t>
        </is>
      </c>
    </row>
    <row r="174">
      <c r="A174" s="31" t="inlineStr">
        <is>
          <t>WSTCSTPAPR</t>
        </is>
      </c>
      <c r="B174" s="31" t="inlineStr">
        <is>
          <t>West Coast Paper Mills Limited</t>
        </is>
      </c>
      <c r="C174" s="31" t="inlineStr">
        <is>
          <t>building materials</t>
        </is>
      </c>
      <c r="D174" s="31" t="inlineStr">
        <is>
          <t>paper</t>
        </is>
      </c>
      <c r="E174" s="31" t="inlineStr">
        <is>
          <t>smallcap</t>
        </is>
      </c>
      <c r="F174" s="31" t="n">
        <v>3371.47</v>
      </c>
      <c r="G174" s="31" t="n">
        <v>514.55</v>
      </c>
      <c r="H174" s="31" t="n">
        <v>0.8</v>
      </c>
      <c r="I174" s="31" t="n">
        <v>136064</v>
      </c>
      <c r="J174" s="31" t="inlineStr">
        <is>
          <t>500444</t>
        </is>
      </c>
    </row>
    <row r="175">
      <c r="A175" s="31" t="inlineStr">
        <is>
          <t>STEL</t>
        </is>
      </c>
      <c r="B175" s="31" t="inlineStr">
        <is>
          <t>Stel Holdings Limited</t>
        </is>
      </c>
      <c r="C175" s="31" t="inlineStr">
        <is>
          <t>financials</t>
        </is>
      </c>
      <c r="D175" s="31" t="inlineStr">
        <is>
          <t>finance &amp; investments</t>
        </is>
      </c>
      <c r="E175" s="31" t="inlineStr">
        <is>
          <t>smallcap</t>
        </is>
      </c>
      <c r="F175" s="31" t="n">
        <v>1137.96</v>
      </c>
      <c r="G175" s="31" t="n">
        <v>621.4</v>
      </c>
      <c r="H175" s="31" t="n">
        <v>0.78</v>
      </c>
      <c r="I175" s="31" t="n">
        <v>51824</v>
      </c>
      <c r="J175" s="31" t="n"/>
    </row>
    <row r="176">
      <c r="A176" s="31" t="inlineStr">
        <is>
          <t>PANACEABIO</t>
        </is>
      </c>
      <c r="B176" s="31" t="inlineStr">
        <is>
          <t>Panacea Biotec Limited</t>
        </is>
      </c>
      <c r="C176" s="31" t="inlineStr">
        <is>
          <t>healthcare</t>
        </is>
      </c>
      <c r="D176" s="31" t="inlineStr">
        <is>
          <t>pharmaceuticals - indian - bulk drugs &amp; formln</t>
        </is>
      </c>
      <c r="E176" s="31" t="inlineStr">
        <is>
          <t>smallcap</t>
        </is>
      </c>
      <c r="F176" s="31" t="n">
        <v>3312.44</v>
      </c>
      <c r="G176" s="31" t="n">
        <v>544.95</v>
      </c>
      <c r="H176" s="31" t="n">
        <v>0.77</v>
      </c>
      <c r="I176" s="31" t="n">
        <v>328429</v>
      </c>
      <c r="J176" s="31" t="inlineStr">
        <is>
          <t>531349</t>
        </is>
      </c>
    </row>
    <row r="177">
      <c r="A177" s="31" t="inlineStr">
        <is>
          <t>UJJIVANSFB</t>
        </is>
      </c>
      <c r="B177" s="31" t="inlineStr">
        <is>
          <t>Ujjivan Small Finance Bank Ltd</t>
        </is>
      </c>
      <c r="C177" s="31" t="inlineStr">
        <is>
          <t>bank</t>
        </is>
      </c>
      <c r="D177" s="31" t="inlineStr">
        <is>
          <t>banks - private sector</t>
        </is>
      </c>
      <c r="E177" s="31" t="inlineStr">
        <is>
          <t>midcap</t>
        </is>
      </c>
      <c r="F177" s="31" t="n">
        <v>11063.76</v>
      </c>
      <c r="G177" s="31" t="n">
        <v>57.39</v>
      </c>
      <c r="H177" s="31" t="n">
        <v>0.77</v>
      </c>
      <c r="I177" s="31" t="n">
        <v>8280013</v>
      </c>
      <c r="J177" s="31" t="inlineStr">
        <is>
          <t>542904</t>
        </is>
      </c>
    </row>
    <row r="178">
      <c r="A178" s="31" t="inlineStr">
        <is>
          <t>WINDMACHIN</t>
        </is>
      </c>
      <c r="B178" s="31" t="inlineStr">
        <is>
          <t>Windsor Machines Limited</t>
        </is>
      </c>
      <c r="C178" s="31" t="inlineStr">
        <is>
          <t>industrials</t>
        </is>
      </c>
      <c r="D178" s="31" t="inlineStr">
        <is>
          <t>engineering</t>
        </is>
      </c>
      <c r="E178" s="31" t="inlineStr">
        <is>
          <t>smallcap</t>
        </is>
      </c>
      <c r="F178" s="31" t="n">
        <v>2976.91</v>
      </c>
      <c r="G178" s="31" t="n">
        <v>328.45</v>
      </c>
      <c r="H178" s="31" t="n">
        <v>0.74</v>
      </c>
      <c r="I178" s="31" t="n">
        <v>108892</v>
      </c>
      <c r="J178" s="31" t="inlineStr">
        <is>
          <t>522029</t>
        </is>
      </c>
    </row>
    <row r="179">
      <c r="A179" s="31" t="inlineStr">
        <is>
          <t>CARYSIL</t>
        </is>
      </c>
      <c r="B179" s="31" t="inlineStr">
        <is>
          <t>Carysil Ltd</t>
        </is>
      </c>
      <c r="C179" s="31" t="inlineStr">
        <is>
          <t>consumer discretionary</t>
        </is>
      </c>
      <c r="D179" s="31" t="inlineStr">
        <is>
          <t>domestic appliances</t>
        </is>
      </c>
      <c r="E179" s="31" t="inlineStr">
        <is>
          <t>smallcap</t>
        </is>
      </c>
      <c r="F179" s="31" t="n">
        <v>3336.89</v>
      </c>
      <c r="G179" s="31" t="n">
        <v>1181.6</v>
      </c>
      <c r="H179" s="31" t="n">
        <v>0.72</v>
      </c>
      <c r="I179" s="31" t="n">
        <v>57117</v>
      </c>
      <c r="J179" s="31" t="inlineStr">
        <is>
          <t>524091</t>
        </is>
      </c>
    </row>
    <row r="180">
      <c r="A180" s="31" t="inlineStr">
        <is>
          <t>SJS</t>
        </is>
      </c>
      <c r="B180" s="31" t="inlineStr">
        <is>
          <t>S J S Enterprises Ltd</t>
        </is>
      </c>
      <c r="C180" s="31" t="inlineStr">
        <is>
          <t>auto</t>
        </is>
      </c>
      <c r="D180" s="31" t="inlineStr">
        <is>
          <t>plastics products</t>
        </is>
      </c>
      <c r="E180" s="31" t="inlineStr">
        <is>
          <t>midcap</t>
        </is>
      </c>
      <c r="F180" s="31" t="n">
        <v>7051.45</v>
      </c>
      <c r="G180" s="31" t="n">
        <v>2219.5</v>
      </c>
      <c r="H180" s="31" t="n">
        <v>0.71</v>
      </c>
      <c r="I180" s="31" t="n">
        <v>110788</v>
      </c>
      <c r="J180" s="31" t="inlineStr">
        <is>
          <t>543387</t>
        </is>
      </c>
    </row>
    <row r="181">
      <c r="A181" s="31" t="inlineStr">
        <is>
          <t>INDHOTEL</t>
        </is>
      </c>
      <c r="B181" s="31" t="inlineStr">
        <is>
          <t>The Indian Hotels Company Limited</t>
        </is>
      </c>
      <c r="C181" s="31" t="inlineStr">
        <is>
          <t>services</t>
        </is>
      </c>
      <c r="D181" s="31" t="inlineStr">
        <is>
          <t>hotels</t>
        </is>
      </c>
      <c r="E181" s="31" t="inlineStr">
        <is>
          <t>largecap</t>
        </is>
      </c>
      <c r="F181" s="31" t="n">
        <v>98195.47</v>
      </c>
      <c r="G181" s="31" t="n">
        <v>694.4</v>
      </c>
      <c r="H181" s="31" t="n">
        <v>0.66</v>
      </c>
      <c r="I181" s="31" t="n">
        <v>1198899</v>
      </c>
      <c r="J181" s="31" t="inlineStr">
        <is>
          <t>500850</t>
        </is>
      </c>
    </row>
    <row r="182">
      <c r="A182" s="31" t="inlineStr">
        <is>
          <t>IIFLCAPS</t>
        </is>
      </c>
      <c r="B182" s="31" t="inlineStr">
        <is>
          <t>IIFL Capital Services Ltd</t>
        </is>
      </c>
      <c r="C182" s="31" t="inlineStr">
        <is>
          <t>financials</t>
        </is>
      </c>
      <c r="D182" s="31" t="inlineStr">
        <is>
          <t>finance &amp; investments</t>
        </is>
      </c>
      <c r="E182" s="31" t="inlineStr">
        <is>
          <t>midcap</t>
        </is>
      </c>
      <c r="F182" s="31" t="n">
        <v>10609.02</v>
      </c>
      <c r="G182" s="31" t="n">
        <v>342.9</v>
      </c>
      <c r="H182" s="31" t="n">
        <v>0.66</v>
      </c>
      <c r="I182" s="31" t="n">
        <v>254533</v>
      </c>
      <c r="J182" s="31" t="inlineStr">
        <is>
          <t>542773</t>
        </is>
      </c>
    </row>
    <row r="183">
      <c r="A183" s="31" t="inlineStr">
        <is>
          <t>CANFINHOME</t>
        </is>
      </c>
      <c r="B183" s="31" t="inlineStr">
        <is>
          <t>Can Fin Homes Limited</t>
        </is>
      </c>
      <c r="C183" s="31" t="inlineStr">
        <is>
          <t>financials</t>
        </is>
      </c>
      <c r="D183" s="31" t="inlineStr">
        <is>
          <t>finance - housing</t>
        </is>
      </c>
      <c r="E183" s="31" t="inlineStr">
        <is>
          <t>midcap</t>
        </is>
      </c>
      <c r="F183" s="31" t="n">
        <v>11509.84</v>
      </c>
      <c r="G183" s="31" t="n">
        <v>870.1</v>
      </c>
      <c r="H183" s="31" t="n">
        <v>0.66</v>
      </c>
      <c r="I183" s="31" t="n">
        <v>87342</v>
      </c>
      <c r="J183" s="31" t="inlineStr">
        <is>
          <t>511196</t>
        </is>
      </c>
    </row>
    <row r="184">
      <c r="A184" s="31" t="inlineStr">
        <is>
          <t>JTLIND</t>
        </is>
      </c>
      <c r="B184" s="31" t="inlineStr">
        <is>
          <t>JTL Industries Ltd</t>
        </is>
      </c>
      <c r="C184" s="31" t="inlineStr">
        <is>
          <t>metals &amp; mining</t>
        </is>
      </c>
      <c r="D184" s="31" t="inlineStr">
        <is>
          <t>steel - medium / small</t>
        </is>
      </c>
      <c r="E184" s="31" t="inlineStr">
        <is>
          <t>smallcap</t>
        </is>
      </c>
      <c r="F184" s="31" t="n">
        <v>3006.68</v>
      </c>
      <c r="G184" s="31" t="n">
        <v>76.98999999999999</v>
      </c>
      <c r="H184" s="31" t="n">
        <v>0.65</v>
      </c>
      <c r="I184" s="31" t="n">
        <v>3422322</v>
      </c>
      <c r="J184" s="31" t="inlineStr">
        <is>
          <t>534600</t>
        </is>
      </c>
    </row>
    <row r="185">
      <c r="A185" s="31" t="inlineStr">
        <is>
          <t>JINDALSAW</t>
        </is>
      </c>
      <c r="B185" s="31" t="inlineStr">
        <is>
          <t>Jindal Saw Limited</t>
        </is>
      </c>
      <c r="C185" s="31" t="inlineStr">
        <is>
          <t>industrials</t>
        </is>
      </c>
      <c r="D185" s="31" t="inlineStr">
        <is>
          <t>steel - large</t>
        </is>
      </c>
      <c r="E185" s="31" t="inlineStr">
        <is>
          <t>midcap</t>
        </is>
      </c>
      <c r="F185" s="31" t="n">
        <v>15751.73</v>
      </c>
      <c r="G185" s="31" t="n">
        <v>247.91</v>
      </c>
      <c r="H185" s="31" t="n">
        <v>0.65</v>
      </c>
      <c r="I185" s="31" t="n">
        <v>2822994</v>
      </c>
      <c r="J185" s="31" t="inlineStr">
        <is>
          <t>500378</t>
        </is>
      </c>
    </row>
    <row r="186">
      <c r="A186" s="31" t="inlineStr">
        <is>
          <t>RRKABEL</t>
        </is>
      </c>
      <c r="B186" s="31" t="inlineStr">
        <is>
          <t>R R Kabel Ltd</t>
        </is>
      </c>
      <c r="C186" s="31" t="inlineStr">
        <is>
          <t>industrials</t>
        </is>
      </c>
      <c r="D186" s="31" t="inlineStr">
        <is>
          <t>cables - power</t>
        </is>
      </c>
      <c r="E186" s="31" t="inlineStr">
        <is>
          <t>largecap</t>
        </is>
      </c>
      <c r="F186" s="31" t="n">
        <v>24740.7</v>
      </c>
      <c r="G186" s="31" t="n">
        <v>2201.1</v>
      </c>
      <c r="H186" s="31" t="n">
        <v>0.63</v>
      </c>
      <c r="I186" s="31" t="n">
        <v>1037972</v>
      </c>
      <c r="J186" s="31" t="inlineStr">
        <is>
          <t>543981</t>
        </is>
      </c>
    </row>
    <row r="187">
      <c r="A187" s="31" t="inlineStr">
        <is>
          <t>MMFL</t>
        </is>
      </c>
      <c r="B187" s="31" t="inlineStr">
        <is>
          <t>Mm Forgings Limited</t>
        </is>
      </c>
      <c r="C187" s="31" t="inlineStr">
        <is>
          <t>industrials</t>
        </is>
      </c>
      <c r="D187" s="31" t="inlineStr">
        <is>
          <t>castings &amp; forgings</t>
        </is>
      </c>
      <c r="E187" s="31" t="inlineStr">
        <is>
          <t>smallcap</t>
        </is>
      </c>
      <c r="F187" s="31" t="n">
        <v>2262.96</v>
      </c>
      <c r="G187" s="31" t="n">
        <v>471.6</v>
      </c>
      <c r="H187" s="31" t="n">
        <v>0.62</v>
      </c>
      <c r="I187" s="31" t="n">
        <v>59071</v>
      </c>
      <c r="J187" s="31" t="inlineStr">
        <is>
          <t>522241</t>
        </is>
      </c>
    </row>
    <row r="188">
      <c r="A188" s="31" t="inlineStr">
        <is>
          <t>MIDHANI</t>
        </is>
      </c>
      <c r="B188" s="31" t="inlineStr">
        <is>
          <t>Mishra Dhatu Nigam Ltd</t>
        </is>
      </c>
      <c r="C188" s="31" t="inlineStr">
        <is>
          <t>aerospace &amp; defence</t>
        </is>
      </c>
      <c r="D188" s="31" t="inlineStr">
        <is>
          <t>steel - medium / small</t>
        </is>
      </c>
      <c r="E188" s="31" t="inlineStr">
        <is>
          <t>midcap</t>
        </is>
      </c>
      <c r="F188" s="31" t="n">
        <v>8174.58</v>
      </c>
      <c r="G188" s="31" t="n">
        <v>439.05</v>
      </c>
      <c r="H188" s="31" t="n">
        <v>0.62</v>
      </c>
      <c r="I188" s="31" t="n">
        <v>795675</v>
      </c>
      <c r="J188" s="31" t="inlineStr">
        <is>
          <t>541195</t>
        </is>
      </c>
    </row>
    <row r="189">
      <c r="A189" s="31" t="inlineStr">
        <is>
          <t>SOUTHBANK</t>
        </is>
      </c>
      <c r="B189" s="31" t="inlineStr">
        <is>
          <t>The South Indian Bank Limited</t>
        </is>
      </c>
      <c r="C189" s="31" t="inlineStr">
        <is>
          <t>bank</t>
        </is>
      </c>
      <c r="D189" s="31" t="inlineStr">
        <is>
          <t>banks - private sector</t>
        </is>
      </c>
      <c r="E189" s="31" t="inlineStr">
        <is>
          <t>midcap</t>
        </is>
      </c>
      <c r="F189" s="31" t="n">
        <v>12281.63</v>
      </c>
      <c r="G189" s="31" t="n">
        <v>47.2</v>
      </c>
      <c r="H189" s="31" t="n">
        <v>0.6</v>
      </c>
      <c r="I189" s="31" t="n">
        <v>13747133</v>
      </c>
      <c r="J189" s="31" t="inlineStr">
        <is>
          <t>532218</t>
        </is>
      </c>
    </row>
    <row r="190">
      <c r="A190" s="31" t="inlineStr">
        <is>
          <t>EPL</t>
        </is>
      </c>
      <c r="B190" s="31" t="inlineStr">
        <is>
          <t>EPL Ltd</t>
        </is>
      </c>
      <c r="C190" s="31" t="inlineStr">
        <is>
          <t>industrials</t>
        </is>
      </c>
      <c r="D190" s="31" t="inlineStr">
        <is>
          <t>packaging</t>
        </is>
      </c>
      <c r="E190" s="31" t="inlineStr">
        <is>
          <t>midcap</t>
        </is>
      </c>
      <c r="F190" s="31" t="n">
        <v>7265.46</v>
      </c>
      <c r="G190" s="31" t="n">
        <v>228.24</v>
      </c>
      <c r="H190" s="31" t="n">
        <v>0.6</v>
      </c>
      <c r="I190" s="31" t="n">
        <v>716413</v>
      </c>
      <c r="J190" s="31" t="inlineStr">
        <is>
          <t>500135</t>
        </is>
      </c>
    </row>
    <row r="191">
      <c r="A191" s="31" t="inlineStr">
        <is>
          <t>KRISHANA</t>
        </is>
      </c>
      <c r="B191" s="31" t="inlineStr">
        <is>
          <t>Krishana Phoschem Ltd</t>
        </is>
      </c>
      <c r="C191" s="31" t="inlineStr">
        <is>
          <t>chemicals</t>
        </is>
      </c>
      <c r="D191" s="31" t="inlineStr">
        <is>
          <t>fertilizers</t>
        </is>
      </c>
      <c r="E191" s="31" t="inlineStr">
        <is>
          <t>smallcap</t>
        </is>
      </c>
      <c r="F191" s="31" t="n">
        <v>4182.95</v>
      </c>
      <c r="G191" s="31" t="n">
        <v>680.6</v>
      </c>
      <c r="H191" s="31" t="n">
        <v>0.6</v>
      </c>
      <c r="I191" s="31" t="n">
        <v>140232</v>
      </c>
      <c r="J191" s="31" t="inlineStr">
        <is>
          <t>538405</t>
        </is>
      </c>
    </row>
    <row r="192">
      <c r="A192" s="31" t="inlineStr">
        <is>
          <t>WELSPUNLIV</t>
        </is>
      </c>
      <c r="B192" s="31" t="inlineStr">
        <is>
          <t>Welspun Living Ltd</t>
        </is>
      </c>
      <c r="C192" s="31" t="inlineStr">
        <is>
          <t>textiles</t>
        </is>
      </c>
      <c r="D192" s="31" t="inlineStr">
        <is>
          <t>textiles - products</t>
        </is>
      </c>
      <c r="E192" s="31" t="inlineStr">
        <is>
          <t>midcap</t>
        </is>
      </c>
      <c r="F192" s="31" t="n">
        <v>13901</v>
      </c>
      <c r="G192" s="31" t="n">
        <v>145.78</v>
      </c>
      <c r="H192" s="31" t="n">
        <v>0.59</v>
      </c>
      <c r="I192" s="31" t="n">
        <v>1340641</v>
      </c>
      <c r="J192" s="31" t="inlineStr">
        <is>
          <t>514162</t>
        </is>
      </c>
    </row>
    <row r="193">
      <c r="A193" s="31" t="inlineStr">
        <is>
          <t>APCOTEXIND</t>
        </is>
      </c>
      <c r="B193" s="31" t="inlineStr">
        <is>
          <t>Apcotex Industries Limited</t>
        </is>
      </c>
      <c r="C193" s="31" t="inlineStr">
        <is>
          <t>chemicals</t>
        </is>
      </c>
      <c r="D193" s="31" t="inlineStr">
        <is>
          <t>miscellaneous</t>
        </is>
      </c>
      <c r="E193" s="31" t="inlineStr">
        <is>
          <t>smallcap</t>
        </is>
      </c>
      <c r="F193" s="31" t="n">
        <v>2686.35</v>
      </c>
      <c r="G193" s="31" t="n">
        <v>521.05</v>
      </c>
      <c r="H193" s="31" t="n">
        <v>0.5600000000000001</v>
      </c>
      <c r="I193" s="31" t="n">
        <v>82669</v>
      </c>
      <c r="J193" s="31" t="inlineStr">
        <is>
          <t>523694</t>
        </is>
      </c>
    </row>
    <row r="194">
      <c r="A194" s="31" t="inlineStr">
        <is>
          <t>CAPLIPOINT</t>
        </is>
      </c>
      <c r="B194" s="31" t="inlineStr">
        <is>
          <t>Caplin Point Laboratories Limited</t>
        </is>
      </c>
      <c r="C194" s="31" t="inlineStr">
        <is>
          <t>healthcare</t>
        </is>
      </c>
      <c r="D194" s="31" t="inlineStr">
        <is>
          <t>pharmaceuticals - indian - formulations</t>
        </is>
      </c>
      <c r="E194" s="31" t="inlineStr">
        <is>
          <t>midcap</t>
        </is>
      </c>
      <c r="F194" s="31" t="n">
        <v>17973.73</v>
      </c>
      <c r="G194" s="31" t="n">
        <v>2377.8</v>
      </c>
      <c r="H194" s="31" t="n">
        <v>0.5600000000000001</v>
      </c>
      <c r="I194" s="31" t="n">
        <v>101405</v>
      </c>
      <c r="J194" s="31" t="inlineStr">
        <is>
          <t>524742</t>
        </is>
      </c>
    </row>
    <row r="195">
      <c r="A195" s="31" t="inlineStr">
        <is>
          <t>CGPOWER</t>
        </is>
      </c>
      <c r="B195" s="31" t="inlineStr">
        <is>
          <t>CG Power and Industrial Solutions Ltd</t>
        </is>
      </c>
      <c r="C195" s="31" t="inlineStr">
        <is>
          <t>industrials</t>
        </is>
      </c>
      <c r="D195" s="31" t="inlineStr">
        <is>
          <t>electric equipment</t>
        </is>
      </c>
      <c r="E195" s="31" t="inlineStr">
        <is>
          <t>largecap</t>
        </is>
      </c>
      <c r="F195" s="31" t="n">
        <v>147333.88</v>
      </c>
      <c r="G195" s="31" t="n">
        <v>940.7</v>
      </c>
      <c r="H195" s="31" t="n">
        <v>0.5600000000000001</v>
      </c>
      <c r="I195" s="31" t="n">
        <v>2475717</v>
      </c>
      <c r="J195" s="31" t="inlineStr">
        <is>
          <t>500093</t>
        </is>
      </c>
    </row>
    <row r="196">
      <c r="A196" s="31" t="inlineStr">
        <is>
          <t>KOTAKBANK</t>
        </is>
      </c>
      <c r="B196" s="31" t="inlineStr">
        <is>
          <t>Kotak Mahindra Bank Limited</t>
        </is>
      </c>
      <c r="C196" s="31" t="inlineStr">
        <is>
          <t>bank</t>
        </is>
      </c>
      <c r="D196" s="31" t="inlineStr">
        <is>
          <t>banks - private sector</t>
        </is>
      </c>
      <c r="E196" s="31" t="inlineStr">
        <is>
          <t>largecap</t>
        </is>
      </c>
      <c r="F196" s="31" t="n">
        <v>80707.67999999999</v>
      </c>
      <c r="G196" s="31" t="n">
        <v>407.85</v>
      </c>
      <c r="H196" s="31" t="n">
        <v>0.52</v>
      </c>
      <c r="I196" s="31" t="n">
        <v>9079548</v>
      </c>
      <c r="J196" s="31" t="inlineStr">
        <is>
          <t>500247</t>
        </is>
      </c>
    </row>
    <row r="197">
      <c r="A197" s="31" t="inlineStr">
        <is>
          <t>MOTILALOFS</t>
        </is>
      </c>
      <c r="B197" s="31" t="inlineStr">
        <is>
          <t>Motilal Oswal Financial Services Limited</t>
        </is>
      </c>
      <c r="C197" s="31" t="inlineStr">
        <is>
          <t>financials</t>
        </is>
      </c>
      <c r="D197" s="31" t="inlineStr">
        <is>
          <t>finance &amp; investments</t>
        </is>
      </c>
      <c r="E197" s="31" t="inlineStr">
        <is>
          <t>largecap</t>
        </is>
      </c>
      <c r="F197" s="31" t="n">
        <v>56541.74</v>
      </c>
      <c r="G197" s="31" t="n">
        <v>944.25</v>
      </c>
      <c r="H197" s="31" t="n">
        <v>0.51</v>
      </c>
      <c r="I197" s="31" t="n">
        <v>986688</v>
      </c>
      <c r="J197" s="31" t="inlineStr">
        <is>
          <t>532892</t>
        </is>
      </c>
    </row>
    <row r="198">
      <c r="A198" s="31" t="inlineStr">
        <is>
          <t>SHRIRAMFIN</t>
        </is>
      </c>
      <c r="B198" s="31" t="inlineStr">
        <is>
          <t>Shriram Finance Ltd</t>
        </is>
      </c>
      <c r="C198" s="31" t="inlineStr">
        <is>
          <t>financials</t>
        </is>
      </c>
      <c r="D198" s="31" t="inlineStr">
        <is>
          <t>finance &amp; investments</t>
        </is>
      </c>
      <c r="E198" s="31" t="inlineStr">
        <is>
          <t>largecap</t>
        </is>
      </c>
      <c r="F198" s="31" t="n">
        <v>235421.57</v>
      </c>
      <c r="G198" s="31" t="n">
        <v>1005.75</v>
      </c>
      <c r="H198" s="31" t="n">
        <v>0.51</v>
      </c>
      <c r="I198" s="31" t="n">
        <v>4544903</v>
      </c>
      <c r="J198" s="31" t="inlineStr">
        <is>
          <t>511218</t>
        </is>
      </c>
    </row>
    <row r="199">
      <c r="A199" s="31" t="inlineStr">
        <is>
          <t>ICICIBANK</t>
        </is>
      </c>
      <c r="B199" s="31" t="inlineStr">
        <is>
          <t>Icici Bank Limited</t>
        </is>
      </c>
      <c r="C199" s="31" t="inlineStr">
        <is>
          <t>bank</t>
        </is>
      </c>
      <c r="D199" s="31" t="inlineStr">
        <is>
          <t>banks - private sector</t>
        </is>
      </c>
      <c r="E199" s="31" t="inlineStr">
        <is>
          <t>largecap</t>
        </is>
      </c>
      <c r="F199" s="31" t="n">
        <v>950576.54</v>
      </c>
      <c r="G199" s="31" t="n">
        <v>1334.3</v>
      </c>
      <c r="H199" s="31" t="n">
        <v>0.5</v>
      </c>
      <c r="I199" s="31" t="n">
        <v>13069159</v>
      </c>
      <c r="J199" s="31" t="inlineStr">
        <is>
          <t>532174</t>
        </is>
      </c>
    </row>
    <row r="200">
      <c r="A200" s="31" t="inlineStr">
        <is>
          <t>AIAENG</t>
        </is>
      </c>
      <c r="B200" s="31" t="inlineStr">
        <is>
          <t>Aia Engineering Limited</t>
        </is>
      </c>
      <c r="C200" s="31" t="inlineStr">
        <is>
          <t>industrials</t>
        </is>
      </c>
      <c r="D200" s="31" t="inlineStr">
        <is>
          <t>castings &amp; forgings</t>
        </is>
      </c>
      <c r="E200" s="31" t="inlineStr">
        <is>
          <t>largecap</t>
        </is>
      </c>
      <c r="F200" s="31" t="n">
        <v>41706.74</v>
      </c>
      <c r="G200" s="31" t="n">
        <v>4491.4</v>
      </c>
      <c r="H200" s="31" t="n">
        <v>0.5</v>
      </c>
      <c r="I200" s="31" t="n">
        <v>42546</v>
      </c>
      <c r="J200" s="31" t="inlineStr">
        <is>
          <t>532683</t>
        </is>
      </c>
    </row>
    <row r="201">
      <c r="A201" s="31" t="inlineStr">
        <is>
          <t>BBOX</t>
        </is>
      </c>
      <c r="B201" s="31" t="inlineStr">
        <is>
          <t>Black Box Ltd</t>
        </is>
      </c>
      <c r="C201" s="31" t="inlineStr">
        <is>
          <t>i.t</t>
        </is>
      </c>
      <c r="D201" s="31" t="inlineStr">
        <is>
          <t>computers - software - medium / small</t>
        </is>
      </c>
      <c r="E201" s="31" t="inlineStr">
        <is>
          <t>midcap</t>
        </is>
      </c>
      <c r="F201" s="31" t="n">
        <v>17957.19</v>
      </c>
      <c r="G201" s="31" t="n">
        <v>1016.7</v>
      </c>
      <c r="H201" s="31" t="n">
        <v>0.49</v>
      </c>
      <c r="I201" s="31" t="n">
        <v>255839</v>
      </c>
      <c r="J201" s="31" t="inlineStr">
        <is>
          <t>500463</t>
        </is>
      </c>
    </row>
    <row r="202">
      <c r="A202" s="31" t="inlineStr">
        <is>
          <t>INDSWFTLAB</t>
        </is>
      </c>
      <c r="B202" s="31" t="inlineStr">
        <is>
          <t>Ind-swift Laboratories Limited</t>
        </is>
      </c>
      <c r="C202" s="31" t="inlineStr">
        <is>
          <t>healthcare</t>
        </is>
      </c>
      <c r="D202" s="31" t="inlineStr">
        <is>
          <t>pharmaceuticals - indian - bulk drugs &amp; formln</t>
        </is>
      </c>
      <c r="E202" s="31" t="inlineStr">
        <is>
          <t>smallcap</t>
        </is>
      </c>
      <c r="F202" s="31" t="n">
        <v>1405.36</v>
      </c>
      <c r="G202" s="31" t="n">
        <v>162.64</v>
      </c>
      <c r="H202" s="31" t="n">
        <v>0.49</v>
      </c>
      <c r="I202" s="31" t="n">
        <v>994821</v>
      </c>
      <c r="J202" s="31" t="inlineStr">
        <is>
          <t>532305</t>
        </is>
      </c>
    </row>
    <row r="203">
      <c r="A203" s="31" t="inlineStr">
        <is>
          <t>FEDFINA</t>
        </is>
      </c>
      <c r="B203" s="31" t="inlineStr">
        <is>
          <t>Fedbank Financial Services Ltd</t>
        </is>
      </c>
      <c r="C203" s="31" t="inlineStr">
        <is>
          <t>financials</t>
        </is>
      </c>
      <c r="D203" s="31" t="inlineStr">
        <is>
          <t>finance &amp; investments</t>
        </is>
      </c>
      <c r="E203" s="31" t="inlineStr">
        <is>
          <t>midcap</t>
        </is>
      </c>
      <c r="F203" s="31" t="n">
        <v>6069.25</v>
      </c>
      <c r="G203" s="31" t="n">
        <v>162.97</v>
      </c>
      <c r="H203" s="31" t="n">
        <v>0.48</v>
      </c>
      <c r="I203" s="31" t="n">
        <v>653065</v>
      </c>
      <c r="J203" s="31" t="inlineStr">
        <is>
          <t>544027</t>
        </is>
      </c>
    </row>
    <row r="204">
      <c r="A204" s="31" t="inlineStr">
        <is>
          <t>ITI</t>
        </is>
      </c>
      <c r="B204" s="31" t="inlineStr">
        <is>
          <t>Iti Limited</t>
        </is>
      </c>
      <c r="C204" s="31" t="inlineStr">
        <is>
          <t>aerospace &amp; defence</t>
        </is>
      </c>
      <c r="D204" s="31" t="inlineStr">
        <is>
          <t>telecommunications - equipment</t>
        </is>
      </c>
      <c r="E204" s="31" t="inlineStr">
        <is>
          <t>largecap</t>
        </is>
      </c>
      <c r="F204" s="31" t="n">
        <v>29054.06</v>
      </c>
      <c r="G204" s="31" t="n">
        <v>303.15</v>
      </c>
      <c r="H204" s="31" t="n">
        <v>0.46</v>
      </c>
      <c r="I204" s="31" t="n">
        <v>546786</v>
      </c>
      <c r="J204" s="31" t="inlineStr">
        <is>
          <t>523610</t>
        </is>
      </c>
    </row>
    <row r="205">
      <c r="A205" s="31" t="inlineStr">
        <is>
          <t>YESBANK</t>
        </is>
      </c>
      <c r="B205" s="31" t="inlineStr">
        <is>
          <t>Yes Bank Limited</t>
        </is>
      </c>
      <c r="C205" s="31" t="inlineStr">
        <is>
          <t>bank</t>
        </is>
      </c>
      <c r="D205" s="31" t="inlineStr">
        <is>
          <t>banks - private sector</t>
        </is>
      </c>
      <c r="E205" s="31" t="inlineStr">
        <is>
          <t>largecap</t>
        </is>
      </c>
      <c r="F205" s="31" t="n">
        <v>74617.94</v>
      </c>
      <c r="G205" s="31" t="n">
        <v>23.89</v>
      </c>
      <c r="H205" s="31" t="n">
        <v>0.46</v>
      </c>
      <c r="I205" s="31" t="n">
        <v>219386959</v>
      </c>
      <c r="J205" s="31" t="inlineStr">
        <is>
          <t>532648</t>
        </is>
      </c>
    </row>
    <row r="206">
      <c r="A206" s="31" t="inlineStr">
        <is>
          <t>IBULLSLTD</t>
        </is>
      </c>
      <c r="B206" s="31" t="inlineStr">
        <is>
          <t>Indiabulls Limited</t>
        </is>
      </c>
      <c r="C206" s="31" t="inlineStr">
        <is>
          <t>miscellaneous</t>
        </is>
      </c>
      <c r="D206" s="31" t="inlineStr">
        <is>
          <t>diversified - medium / small</t>
        </is>
      </c>
      <c r="E206" s="31" t="inlineStr">
        <is>
          <t>midcap</t>
        </is>
      </c>
      <c r="F206" s="31" t="n">
        <v>5527.38</v>
      </c>
      <c r="G206" s="31" t="n">
        <v>23.88</v>
      </c>
      <c r="H206" s="31" t="n">
        <v>0.42</v>
      </c>
      <c r="I206" s="31" t="n">
        <v>2369263</v>
      </c>
      <c r="J206" s="31" t="inlineStr">
        <is>
          <t>533520</t>
        </is>
      </c>
    </row>
    <row r="207">
      <c r="A207" s="31" t="inlineStr">
        <is>
          <t>SAREGAMA</t>
        </is>
      </c>
      <c r="B207" s="31" t="inlineStr">
        <is>
          <t>Saregama India Limited</t>
        </is>
      </c>
      <c r="C207" s="31" t="inlineStr">
        <is>
          <t>media</t>
        </is>
      </c>
      <c r="D207" s="31" t="inlineStr">
        <is>
          <t>entertainment / electronic media software</t>
        </is>
      </c>
      <c r="E207" s="31" t="inlineStr">
        <is>
          <t>midcap</t>
        </is>
      </c>
      <c r="F207" s="31" t="n">
        <v>8919.370000000001</v>
      </c>
      <c r="G207" s="31" t="n">
        <v>464.55</v>
      </c>
      <c r="H207" s="31" t="n">
        <v>0.42</v>
      </c>
      <c r="I207" s="31" t="n">
        <v>609168</v>
      </c>
      <c r="J207" s="31" t="inlineStr">
        <is>
          <t>532163</t>
        </is>
      </c>
    </row>
    <row r="208">
      <c r="A208" s="31" t="inlineStr">
        <is>
          <t>CENTENKA</t>
        </is>
      </c>
      <c r="B208" s="31" t="inlineStr">
        <is>
          <t>Century Enka Limited</t>
        </is>
      </c>
      <c r="C208" s="31" t="inlineStr">
        <is>
          <t>textiles</t>
        </is>
      </c>
      <c r="D208" s="31" t="inlineStr">
        <is>
          <t>textiles - manmade</t>
        </is>
      </c>
      <c r="E208" s="31" t="inlineStr">
        <is>
          <t>smallcap</t>
        </is>
      </c>
      <c r="F208" s="31" t="n">
        <v>1089.14</v>
      </c>
      <c r="G208" s="31" t="n">
        <v>500.5</v>
      </c>
      <c r="H208" s="31" t="n">
        <v>0.41</v>
      </c>
      <c r="I208" s="31" t="n">
        <v>29288</v>
      </c>
      <c r="J208" s="31" t="inlineStr">
        <is>
          <t>500280</t>
        </is>
      </c>
    </row>
    <row r="209">
      <c r="A209" s="31" t="inlineStr">
        <is>
          <t>OAL</t>
        </is>
      </c>
      <c r="B209" s="31" t="inlineStr">
        <is>
          <t>Oriental Aromatics Ltd</t>
        </is>
      </c>
      <c r="C209" s="31" t="inlineStr">
        <is>
          <t>chemicals</t>
        </is>
      </c>
      <c r="D209" s="31" t="inlineStr">
        <is>
          <t>chemicals</t>
        </is>
      </c>
      <c r="E209" s="31" t="inlineStr">
        <is>
          <t>smallcap</t>
        </is>
      </c>
      <c r="F209" s="31" t="n">
        <v>1139.34</v>
      </c>
      <c r="G209" s="31" t="n">
        <v>339.9</v>
      </c>
      <c r="H209" s="31" t="n">
        <v>0.4</v>
      </c>
      <c r="I209" s="31" t="n">
        <v>24396</v>
      </c>
      <c r="J209" s="31" t="inlineStr">
        <is>
          <t>500078</t>
        </is>
      </c>
    </row>
    <row r="210">
      <c r="A210" s="31" t="inlineStr">
        <is>
          <t>LT</t>
        </is>
      </c>
      <c r="B210" s="31" t="inlineStr">
        <is>
          <t>Larsen &amp; Toubro Limited</t>
        </is>
      </c>
      <c r="C210" s="31" t="inlineStr">
        <is>
          <t>realty</t>
        </is>
      </c>
      <c r="D210" s="31" t="inlineStr">
        <is>
          <t>engineering - turnkey services</t>
        </is>
      </c>
      <c r="E210" s="31" t="inlineStr">
        <is>
          <t>largecap</t>
        </is>
      </c>
      <c r="F210" s="31" t="n">
        <v>573611.11</v>
      </c>
      <c r="G210" s="31" t="n">
        <v>4186.4</v>
      </c>
      <c r="H210" s="31" t="n">
        <v>0.4</v>
      </c>
      <c r="I210" s="31" t="n">
        <v>2647549</v>
      </c>
      <c r="J210" s="31" t="inlineStr">
        <is>
          <t>500510</t>
        </is>
      </c>
    </row>
    <row r="211">
      <c r="A211" s="31" t="inlineStr">
        <is>
          <t>GLOSTERLTD</t>
        </is>
      </c>
      <c r="B211" s="31" t="inlineStr">
        <is>
          <t>Gloster Ltd</t>
        </is>
      </c>
      <c r="C211" s="31" t="inlineStr">
        <is>
          <t>textiles</t>
        </is>
      </c>
      <c r="D211" s="31" t="inlineStr">
        <is>
          <t>textiles - jute - yarn / products</t>
        </is>
      </c>
      <c r="E211" s="31" t="inlineStr">
        <is>
          <t>smallcap</t>
        </is>
      </c>
      <c r="F211" s="31" t="n">
        <v>745.0700000000001</v>
      </c>
      <c r="G211" s="31" t="n">
        <v>683.5</v>
      </c>
      <c r="H211" s="31" t="n">
        <v>0.39</v>
      </c>
      <c r="I211" s="31" t="n">
        <v>2997</v>
      </c>
      <c r="J211" s="31" t="inlineStr">
        <is>
          <t>542351</t>
        </is>
      </c>
    </row>
    <row r="212">
      <c r="A212" s="31" t="inlineStr">
        <is>
          <t>NAVINFLUOR</t>
        </is>
      </c>
      <c r="B212" s="31" t="inlineStr">
        <is>
          <t>Navin Fluorine International Limited</t>
        </is>
      </c>
      <c r="C212" s="31" t="inlineStr">
        <is>
          <t>chemicals</t>
        </is>
      </c>
      <c r="D212" s="31" t="inlineStr">
        <is>
          <t>chemicals</t>
        </is>
      </c>
      <c r="E212" s="31" t="inlineStr">
        <is>
          <t>largecap</t>
        </is>
      </c>
      <c r="F212" s="31" t="n">
        <v>37344.84</v>
      </c>
      <c r="G212" s="31" t="n">
        <v>7315.5</v>
      </c>
      <c r="H212" s="31" t="n">
        <v>0.39</v>
      </c>
      <c r="I212" s="31" t="n">
        <v>162061</v>
      </c>
      <c r="J212" s="31" t="inlineStr">
        <is>
          <t>532504</t>
        </is>
      </c>
    </row>
    <row r="213">
      <c r="A213" s="31" t="inlineStr">
        <is>
          <t>GAIL</t>
        </is>
      </c>
      <c r="B213" s="31" t="inlineStr">
        <is>
          <t>Gail (india) Limited</t>
        </is>
      </c>
      <c r="C213" s="31" t="inlineStr">
        <is>
          <t>energy</t>
        </is>
      </c>
      <c r="D213" s="31" t="inlineStr">
        <is>
          <t>miscellaneous</t>
        </is>
      </c>
      <c r="E213" s="31" t="inlineStr">
        <is>
          <t>largecap</t>
        </is>
      </c>
      <c r="F213" s="31" t="n">
        <v>115333.82</v>
      </c>
      <c r="G213" s="31" t="n">
        <v>176.09</v>
      </c>
      <c r="H213" s="31" t="n">
        <v>0.39</v>
      </c>
      <c r="I213" s="31" t="n">
        <v>8941189</v>
      </c>
      <c r="J213" s="31" t="inlineStr">
        <is>
          <t>532155</t>
        </is>
      </c>
    </row>
    <row r="214">
      <c r="A214" s="31" t="inlineStr">
        <is>
          <t>SENCO</t>
        </is>
      </c>
      <c r="B214" s="31" t="inlineStr">
        <is>
          <t>Senco Gold Ltd</t>
        </is>
      </c>
      <c r="C214" s="31" t="inlineStr">
        <is>
          <t>consumer discretionary</t>
        </is>
      </c>
      <c r="D214" s="31" t="inlineStr">
        <is>
          <t>diamond cutting / jewellery</t>
        </is>
      </c>
      <c r="E214" s="31" t="inlineStr">
        <is>
          <t>midcap</t>
        </is>
      </c>
      <c r="F214" s="31" t="n">
        <v>5736.51</v>
      </c>
      <c r="G214" s="31" t="n">
        <v>351.55</v>
      </c>
      <c r="H214" s="31" t="n">
        <v>0.39</v>
      </c>
      <c r="I214" s="31" t="n">
        <v>464408</v>
      </c>
      <c r="J214" s="31" t="inlineStr">
        <is>
          <t>543936</t>
        </is>
      </c>
    </row>
    <row r="215">
      <c r="A215" s="31" t="inlineStr">
        <is>
          <t>EQUITASBNK</t>
        </is>
      </c>
      <c r="B215" s="31" t="inlineStr">
        <is>
          <t>Equitas Small Finance Bank Ltd</t>
        </is>
      </c>
      <c r="C215" s="31" t="inlineStr">
        <is>
          <t>bank</t>
        </is>
      </c>
      <c r="D215" s="31" t="inlineStr">
        <is>
          <t>banks - private sector</t>
        </is>
      </c>
      <c r="E215" s="31" t="inlineStr">
        <is>
          <t>midcap</t>
        </is>
      </c>
      <c r="F215" s="31" t="n">
        <v>8952.620000000001</v>
      </c>
      <c r="G215" s="31" t="n">
        <v>78.75</v>
      </c>
      <c r="H215" s="31" t="n">
        <v>0.37</v>
      </c>
      <c r="I215" s="31" t="n">
        <v>4673415</v>
      </c>
      <c r="J215" s="31" t="inlineStr">
        <is>
          <t>543243</t>
        </is>
      </c>
    </row>
    <row r="216">
      <c r="A216" s="31" t="inlineStr">
        <is>
          <t>POLYCAB</t>
        </is>
      </c>
      <c r="B216" s="31" t="inlineStr">
        <is>
          <t>Polycab India Ltd</t>
        </is>
      </c>
      <c r="C216" s="31" t="inlineStr">
        <is>
          <t>industrials</t>
        </is>
      </c>
      <c r="D216" s="31" t="inlineStr">
        <is>
          <t>cables - power</t>
        </is>
      </c>
      <c r="E216" s="31" t="inlineStr">
        <is>
          <t>largecap</t>
        </is>
      </c>
      <c r="F216" s="31" t="n">
        <v>143866.07</v>
      </c>
      <c r="G216" s="31" t="n">
        <v>9591.5</v>
      </c>
      <c r="H216" s="31" t="n">
        <v>0.37</v>
      </c>
      <c r="I216" s="31" t="n">
        <v>339718</v>
      </c>
      <c r="J216" s="31" t="inlineStr">
        <is>
          <t>542652</t>
        </is>
      </c>
    </row>
    <row r="217">
      <c r="A217" s="31" t="inlineStr">
        <is>
          <t>KOVAI</t>
        </is>
      </c>
      <c r="B217" s="31" t="inlineStr">
        <is>
          <t>Kovai Medical Center &amp; Hospital Ltd</t>
        </is>
      </c>
      <c r="C217" s="31" t="inlineStr">
        <is>
          <t>healthcare</t>
        </is>
      </c>
      <c r="D217" s="31" t="inlineStr">
        <is>
          <t>healthcare</t>
        </is>
      </c>
      <c r="E217" s="31" t="inlineStr">
        <is>
          <t>midcap</t>
        </is>
      </c>
      <c r="F217" s="31" t="n">
        <v>6318.61</v>
      </c>
      <c r="G217" s="31" t="n">
        <v>5794.5</v>
      </c>
      <c r="H217" s="31" t="n">
        <v>0.35</v>
      </c>
      <c r="I217" s="31" t="n">
        <v>1926</v>
      </c>
      <c r="J217" s="31" t="inlineStr">
        <is>
          <t>523323</t>
        </is>
      </c>
    </row>
    <row r="218">
      <c r="A218" s="31" t="inlineStr">
        <is>
          <t>NITINSPIN</t>
        </is>
      </c>
      <c r="B218" s="31" t="inlineStr">
        <is>
          <t>Nitin Spinners Limited</t>
        </is>
      </c>
      <c r="C218" s="31" t="inlineStr">
        <is>
          <t>textiles</t>
        </is>
      </c>
      <c r="D218" s="31" t="inlineStr">
        <is>
          <t>textiles - cotton/blended</t>
        </is>
      </c>
      <c r="E218" s="31" t="inlineStr">
        <is>
          <t>smallcap</t>
        </is>
      </c>
      <c r="F218" s="31" t="n">
        <v>3080.29</v>
      </c>
      <c r="G218" s="31" t="n">
        <v>549.75</v>
      </c>
      <c r="H218" s="31" t="n">
        <v>0.34</v>
      </c>
      <c r="I218" s="31" t="n">
        <v>106194</v>
      </c>
      <c r="J218" s="31" t="inlineStr">
        <is>
          <t>532698</t>
        </is>
      </c>
    </row>
    <row r="219">
      <c r="A219" s="31" t="inlineStr">
        <is>
          <t>LTF</t>
        </is>
      </c>
      <c r="B219" s="31" t="inlineStr">
        <is>
          <t>L&amp;T Finance Ltd</t>
        </is>
      </c>
      <c r="C219" s="31" t="inlineStr">
        <is>
          <t>financials</t>
        </is>
      </c>
      <c r="D219" s="31" t="inlineStr">
        <is>
          <t>finance &amp; investments</t>
        </is>
      </c>
      <c r="E219" s="31" t="inlineStr">
        <is>
          <t>largecap</t>
        </is>
      </c>
      <c r="F219" s="31" t="n">
        <v>73441.12</v>
      </c>
      <c r="G219" s="31" t="n">
        <v>294.25</v>
      </c>
      <c r="H219" s="31" t="n">
        <v>0.34</v>
      </c>
      <c r="I219" s="31" t="n">
        <v>3771951</v>
      </c>
      <c r="J219" s="31" t="inlineStr">
        <is>
          <t>533519</t>
        </is>
      </c>
    </row>
    <row r="220">
      <c r="A220" s="31" t="inlineStr">
        <is>
          <t>SBC</t>
        </is>
      </c>
      <c r="B220" s="31" t="inlineStr">
        <is>
          <t>SBC Exports Ltd</t>
        </is>
      </c>
      <c r="C220" s="31" t="inlineStr">
        <is>
          <t>textiles</t>
        </is>
      </c>
      <c r="D220" s="31" t="inlineStr">
        <is>
          <t>textiles - products</t>
        </is>
      </c>
      <c r="E220" s="31" t="inlineStr">
        <is>
          <t>smallcap</t>
        </is>
      </c>
      <c r="F220" s="31" t="n">
        <v>1768.57</v>
      </c>
      <c r="G220" s="31" t="n">
        <v>37.26</v>
      </c>
      <c r="H220" s="31" t="n">
        <v>0.32</v>
      </c>
      <c r="I220" s="31" t="n">
        <v>9763905</v>
      </c>
      <c r="J220" s="31" t="inlineStr">
        <is>
          <t>542725</t>
        </is>
      </c>
    </row>
    <row r="221">
      <c r="A221" s="31" t="inlineStr">
        <is>
          <t>STEELXIND</t>
        </is>
      </c>
      <c r="B221" s="31" t="inlineStr">
        <is>
          <t>Steel Exchange India Ltd</t>
        </is>
      </c>
      <c r="C221" s="31" t="inlineStr">
        <is>
          <t>metals &amp; mining</t>
        </is>
      </c>
      <c r="D221" s="31" t="inlineStr">
        <is>
          <t>steel - medium / small</t>
        </is>
      </c>
      <c r="E221" s="31" t="inlineStr">
        <is>
          <t>smallcap</t>
        </is>
      </c>
      <c r="F221" s="31" t="n">
        <v>1575.27</v>
      </c>
      <c r="G221" s="31" t="n">
        <v>12.39</v>
      </c>
      <c r="H221" s="31" t="n">
        <v>0.32</v>
      </c>
      <c r="I221" s="31" t="n">
        <v>4783821</v>
      </c>
      <c r="J221" s="31" t="inlineStr">
        <is>
          <t>534748</t>
        </is>
      </c>
    </row>
    <row r="222">
      <c r="A222" s="31" t="inlineStr">
        <is>
          <t>ASIANPAINT</t>
        </is>
      </c>
      <c r="B222" s="31" t="inlineStr">
        <is>
          <t>Asian Paints Limited</t>
        </is>
      </c>
      <c r="C222" s="31" t="inlineStr">
        <is>
          <t>building materials</t>
        </is>
      </c>
      <c r="D222" s="31" t="inlineStr">
        <is>
          <t>paints / varnishes</t>
        </is>
      </c>
      <c r="E222" s="31" t="inlineStr">
        <is>
          <t>largecap</t>
        </is>
      </c>
      <c r="F222" s="31" t="n">
        <v>262753.05</v>
      </c>
      <c r="G222" s="31" t="n">
        <v>2748.1</v>
      </c>
      <c r="H222" s="31" t="n">
        <v>0.32</v>
      </c>
      <c r="I222" s="31" t="n">
        <v>962931</v>
      </c>
      <c r="J222" s="31" t="inlineStr">
        <is>
          <t>500820</t>
        </is>
      </c>
    </row>
    <row r="223">
      <c r="A223" s="31" t="inlineStr">
        <is>
          <t>ABDL</t>
        </is>
      </c>
      <c r="B223" s="31" t="inlineStr">
        <is>
          <t>Allied Blenders &amp; Distillers Ltd</t>
        </is>
      </c>
      <c r="C223" s="31" t="inlineStr">
        <is>
          <t>fmcg</t>
        </is>
      </c>
      <c r="D223" s="31" t="inlineStr">
        <is>
          <t>breweries &amp; distilleries</t>
        </is>
      </c>
      <c r="E223" s="31" t="inlineStr">
        <is>
          <t>midcap</t>
        </is>
      </c>
      <c r="F223" s="31" t="n">
        <v>17561.6</v>
      </c>
      <c r="G223" s="31" t="n">
        <v>629.75</v>
      </c>
      <c r="H223" s="31" t="n">
        <v>0.3</v>
      </c>
      <c r="I223" s="31" t="n">
        <v>245552</v>
      </c>
      <c r="J223" s="31" t="inlineStr">
        <is>
          <t>544203</t>
        </is>
      </c>
    </row>
    <row r="224">
      <c r="A224" s="31" t="inlineStr">
        <is>
          <t>FILATEX</t>
        </is>
      </c>
      <c r="B224" s="31" t="inlineStr">
        <is>
          <t>Filatex India Limited</t>
        </is>
      </c>
      <c r="C224" s="31" t="inlineStr">
        <is>
          <t>textiles</t>
        </is>
      </c>
      <c r="D224" s="31" t="inlineStr">
        <is>
          <t>textiles - manmade</t>
        </is>
      </c>
      <c r="E224" s="31" t="inlineStr">
        <is>
          <t>smallcap</t>
        </is>
      </c>
      <c r="F224" s="31" t="n">
        <v>2353.95</v>
      </c>
      <c r="G224" s="31" t="n">
        <v>53.17</v>
      </c>
      <c r="H224" s="31" t="n">
        <v>0.3</v>
      </c>
      <c r="I224" s="31" t="n">
        <v>1740331</v>
      </c>
      <c r="J224" s="31" t="inlineStr">
        <is>
          <t>526227</t>
        </is>
      </c>
    </row>
    <row r="225">
      <c r="A225" s="31" t="inlineStr">
        <is>
          <t>DLINKINDIA</t>
        </is>
      </c>
      <c r="B225" s="31" t="inlineStr">
        <is>
          <t>D-link (india) Limited</t>
        </is>
      </c>
      <c r="C225" s="31" t="inlineStr">
        <is>
          <t>services</t>
        </is>
      </c>
      <c r="D225" s="31" t="inlineStr">
        <is>
          <t>trading</t>
        </is>
      </c>
      <c r="E225" s="31" t="inlineStr">
        <is>
          <t>smallcap</t>
        </is>
      </c>
      <c r="F225" s="31" t="n">
        <v>1807.55</v>
      </c>
      <c r="G225" s="31" t="n">
        <v>510.6</v>
      </c>
      <c r="H225" s="31" t="n">
        <v>0.29</v>
      </c>
      <c r="I225" s="31" t="n">
        <v>130200</v>
      </c>
      <c r="J225" s="31" t="inlineStr">
        <is>
          <t>533146</t>
        </is>
      </c>
    </row>
    <row r="226">
      <c r="A226" s="31" t="inlineStr">
        <is>
          <t>RAINBOW</t>
        </is>
      </c>
      <c r="B226" s="31" t="inlineStr">
        <is>
          <t>Rainbow Childrens Medicare Ltd</t>
        </is>
      </c>
      <c r="C226" s="31" t="inlineStr">
        <is>
          <t>healthcare</t>
        </is>
      </c>
      <c r="D226" s="31" t="inlineStr">
        <is>
          <t>healthcare</t>
        </is>
      </c>
      <c r="E226" s="31" t="inlineStr">
        <is>
          <t>midcap</t>
        </is>
      </c>
      <c r="F226" s="31" t="n">
        <v>14407.18</v>
      </c>
      <c r="G226" s="31" t="n">
        <v>1422.7</v>
      </c>
      <c r="H226" s="31" t="n">
        <v>0.29</v>
      </c>
      <c r="I226" s="31" t="n">
        <v>101004</v>
      </c>
      <c r="J226" s="31" t="inlineStr">
        <is>
          <t>543524</t>
        </is>
      </c>
    </row>
    <row r="227">
      <c r="A227" s="31" t="inlineStr">
        <is>
          <t>MUFIN</t>
        </is>
      </c>
      <c r="B227" s="31" t="inlineStr">
        <is>
          <t>Mufin Green Finance Ltd</t>
        </is>
      </c>
      <c r="C227" s="31" t="inlineStr">
        <is>
          <t>financials</t>
        </is>
      </c>
      <c r="D227" s="31" t="inlineStr">
        <is>
          <t>finance &amp; investments</t>
        </is>
      </c>
      <c r="E227" s="31" t="inlineStr">
        <is>
          <t>smallcap</t>
        </is>
      </c>
      <c r="F227" s="31" t="n">
        <v>2445.52</v>
      </c>
      <c r="G227" s="31" t="n">
        <v>123.77</v>
      </c>
      <c r="H227" s="31" t="n">
        <v>0.29</v>
      </c>
      <c r="I227" s="31" t="n">
        <v>1003160</v>
      </c>
      <c r="J227" s="31" t="inlineStr">
        <is>
          <t>542774</t>
        </is>
      </c>
    </row>
    <row r="228">
      <c r="A228" s="31" t="inlineStr">
        <is>
          <t>RPEL</t>
        </is>
      </c>
      <c r="B228" s="31" t="inlineStr">
        <is>
          <t>Raghav Productivity Enhancers Ltd</t>
        </is>
      </c>
      <c r="C228" s="31" t="inlineStr">
        <is>
          <t>building materials</t>
        </is>
      </c>
      <c r="D228" s="31" t="inlineStr">
        <is>
          <t>refractories / intermediates</t>
        </is>
      </c>
      <c r="E228" s="31" t="inlineStr">
        <is>
          <t>midcap</t>
        </is>
      </c>
      <c r="F228" s="31" t="n">
        <v>5508.98</v>
      </c>
      <c r="G228" s="31" t="n">
        <v>1203.4</v>
      </c>
      <c r="H228" s="31" t="n">
        <v>0.29</v>
      </c>
      <c r="I228" s="31" t="n">
        <v>192096</v>
      </c>
      <c r="J228" s="31" t="inlineStr">
        <is>
          <t>539837</t>
        </is>
      </c>
    </row>
    <row r="229">
      <c r="A229" s="31" t="inlineStr">
        <is>
          <t>SANGHVIMOV</t>
        </is>
      </c>
      <c r="B229" s="31" t="inlineStr">
        <is>
          <t>Sanghvi Movers Limited</t>
        </is>
      </c>
      <c r="C229" s="31" t="inlineStr">
        <is>
          <t>miscellaneous</t>
        </is>
      </c>
      <c r="D229" s="31" t="inlineStr">
        <is>
          <t>miscellaneous</t>
        </is>
      </c>
      <c r="E229" s="31" t="inlineStr">
        <is>
          <t>smallcap</t>
        </is>
      </c>
      <c r="F229" s="31" t="n">
        <v>3643.55</v>
      </c>
      <c r="G229" s="31" t="n">
        <v>422.05</v>
      </c>
      <c r="H229" s="31" t="n">
        <v>0.29</v>
      </c>
      <c r="I229" s="31" t="n">
        <v>682636</v>
      </c>
      <c r="J229" s="31" t="inlineStr">
        <is>
          <t>530073</t>
        </is>
      </c>
    </row>
    <row r="230">
      <c r="A230" s="31" t="inlineStr">
        <is>
          <t>GRAVITA</t>
        </is>
      </c>
      <c r="B230" s="31" t="inlineStr">
        <is>
          <t>Gravita India Limited</t>
        </is>
      </c>
      <c r="C230" s="31" t="inlineStr">
        <is>
          <t>metals &amp; mining</t>
        </is>
      </c>
      <c r="D230" s="31" t="inlineStr">
        <is>
          <t>mining / minerals / metals</t>
        </is>
      </c>
      <c r="E230" s="31" t="inlineStr">
        <is>
          <t>midcap</t>
        </is>
      </c>
      <c r="F230" s="31" t="n">
        <v>12248.51</v>
      </c>
      <c r="G230" s="31" t="n">
        <v>1663.9</v>
      </c>
      <c r="H230" s="31" t="n">
        <v>0.27</v>
      </c>
      <c r="I230" s="31" t="n">
        <v>130398</v>
      </c>
      <c r="J230" s="31" t="inlineStr">
        <is>
          <t>533282</t>
        </is>
      </c>
    </row>
    <row r="231">
      <c r="A231" s="31" t="inlineStr">
        <is>
          <t>STOVEKRAFT</t>
        </is>
      </c>
      <c r="B231" s="31" t="inlineStr">
        <is>
          <t>Stove Kraft Ltd</t>
        </is>
      </c>
      <c r="C231" s="31" t="inlineStr">
        <is>
          <t>consumer discretionary</t>
        </is>
      </c>
      <c r="D231" s="31" t="inlineStr">
        <is>
          <t>domestic appliances</t>
        </is>
      </c>
      <c r="E231" s="31" t="inlineStr">
        <is>
          <t>smallcap</t>
        </is>
      </c>
      <c r="F231" s="31" t="n">
        <v>2183.59</v>
      </c>
      <c r="G231" s="31" t="n">
        <v>661.25</v>
      </c>
      <c r="H231" s="31" t="n">
        <v>0.26</v>
      </c>
      <c r="I231" s="31" t="n">
        <v>88874</v>
      </c>
      <c r="J231" s="31" t="inlineStr">
        <is>
          <t>543260</t>
        </is>
      </c>
    </row>
    <row r="232">
      <c r="A232" s="31" t="inlineStr">
        <is>
          <t>360ONE</t>
        </is>
      </c>
      <c r="B232" s="31" t="inlineStr">
        <is>
          <t>360 ONE WAM Ltd</t>
        </is>
      </c>
      <c r="C232" s="31" t="inlineStr">
        <is>
          <t>financials</t>
        </is>
      </c>
      <c r="D232" s="31" t="inlineStr">
        <is>
          <t>finance &amp; investments</t>
        </is>
      </c>
      <c r="E232" s="31" t="inlineStr">
        <is>
          <t>largecap</t>
        </is>
      </c>
      <c r="F232" s="31" t="n">
        <v>45926.13</v>
      </c>
      <c r="G232" s="31" t="n">
        <v>1133.6</v>
      </c>
      <c r="H232" s="31" t="n">
        <v>0.25</v>
      </c>
      <c r="I232" s="31" t="n">
        <v>1168609</v>
      </c>
      <c r="J232" s="31" t="inlineStr">
        <is>
          <t>542772</t>
        </is>
      </c>
    </row>
    <row r="233">
      <c r="A233" s="31" t="inlineStr">
        <is>
          <t>NAM-INDIA</t>
        </is>
      </c>
      <c r="B233" s="31" t="inlineStr">
        <is>
          <t>Nippon Life India Asset Management Ltd</t>
        </is>
      </c>
      <c r="C233" s="31" t="inlineStr">
        <is>
          <t>financials</t>
        </is>
      </c>
      <c r="D233" s="31" t="inlineStr">
        <is>
          <t>finance &amp; investments</t>
        </is>
      </c>
      <c r="E233" s="31" t="inlineStr">
        <is>
          <t>largecap</t>
        </is>
      </c>
      <c r="F233" s="31" t="n">
        <v>72751.60000000001</v>
      </c>
      <c r="G233" s="31" t="n">
        <v>1142.4</v>
      </c>
      <c r="H233" s="31" t="n">
        <v>0.2</v>
      </c>
      <c r="I233" s="31" t="n">
        <v>522862</v>
      </c>
      <c r="J233" s="31" t="inlineStr">
        <is>
          <t>540767</t>
        </is>
      </c>
    </row>
    <row r="234">
      <c r="A234" s="31" t="inlineStr">
        <is>
          <t>JBMA</t>
        </is>
      </c>
      <c r="B234" s="31" t="inlineStr">
        <is>
          <t>Jbm Auto Limited</t>
        </is>
      </c>
      <c r="C234" s="31" t="inlineStr">
        <is>
          <t>auto</t>
        </is>
      </c>
      <c r="D234" s="31" t="inlineStr">
        <is>
          <t>auto ancillaries</t>
        </is>
      </c>
      <c r="E234" s="31" t="inlineStr">
        <is>
          <t>midcap</t>
        </is>
      </c>
      <c r="F234" s="31" t="n">
        <v>16159.65</v>
      </c>
      <c r="G234" s="31" t="n">
        <v>684.7</v>
      </c>
      <c r="H234" s="31" t="n">
        <v>0.2</v>
      </c>
      <c r="I234" s="31" t="n">
        <v>366742</v>
      </c>
      <c r="J234" s="31" t="inlineStr">
        <is>
          <t>532605</t>
        </is>
      </c>
    </row>
    <row r="235">
      <c r="A235" s="31" t="inlineStr">
        <is>
          <t>VAIBHAVGBL</t>
        </is>
      </c>
      <c r="B235" s="31" t="inlineStr">
        <is>
          <t>Vaibhav Global Limited</t>
        </is>
      </c>
      <c r="C235" s="31" t="inlineStr">
        <is>
          <t>consumer discretionary</t>
        </is>
      </c>
      <c r="D235" s="31" t="inlineStr">
        <is>
          <t>diamond cutting / jewellery</t>
        </is>
      </c>
      <c r="E235" s="31" t="inlineStr">
        <is>
          <t>smallcap</t>
        </is>
      </c>
      <c r="F235" s="31" t="n">
        <v>4046.71</v>
      </c>
      <c r="G235" s="31" t="n">
        <v>242.67</v>
      </c>
      <c r="H235" s="31" t="n">
        <v>0.19</v>
      </c>
      <c r="I235" s="31" t="n">
        <v>312767</v>
      </c>
      <c r="J235" s="31" t="inlineStr">
        <is>
          <t>532156</t>
        </is>
      </c>
    </row>
    <row r="236">
      <c r="A236" s="31" t="inlineStr">
        <is>
          <t>AEGISLOG</t>
        </is>
      </c>
      <c r="B236" s="31" t="inlineStr">
        <is>
          <t>Aegis Logistics Ltd</t>
        </is>
      </c>
      <c r="C236" s="31" t="inlineStr">
        <is>
          <t>services</t>
        </is>
      </c>
      <c r="D236" s="31" t="inlineStr">
        <is>
          <t>trading</t>
        </is>
      </c>
      <c r="E236" s="31" t="inlineStr">
        <is>
          <t>largecap</t>
        </is>
      </c>
      <c r="F236" s="31" t="n">
        <v>34548.93</v>
      </c>
      <c r="G236" s="31" t="n">
        <v>985.7</v>
      </c>
      <c r="H236" s="31" t="n">
        <v>0.14</v>
      </c>
      <c r="I236" s="31" t="n">
        <v>4129399</v>
      </c>
      <c r="J236" s="31" t="inlineStr">
        <is>
          <t>500003</t>
        </is>
      </c>
    </row>
    <row r="237">
      <c r="A237" s="31" t="inlineStr">
        <is>
          <t>BIOCON</t>
        </is>
      </c>
      <c r="B237" s="31" t="inlineStr">
        <is>
          <t>Biocon Limited</t>
        </is>
      </c>
      <c r="C237" s="31" t="inlineStr">
        <is>
          <t>healthcare</t>
        </is>
      </c>
      <c r="D237" s="31" t="inlineStr">
        <is>
          <t>pharmaceuticals - indian - bulk drugs &amp; formln</t>
        </is>
      </c>
      <c r="E237" s="31" t="inlineStr">
        <is>
          <t>largecap</t>
        </is>
      </c>
      <c r="F237" s="31" t="n">
        <v>67437.87</v>
      </c>
      <c r="G237" s="31" t="n">
        <v>416.45</v>
      </c>
      <c r="H237" s="31" t="n">
        <v>0.1</v>
      </c>
      <c r="I237" s="31" t="n">
        <v>2806167</v>
      </c>
      <c r="J237" s="31" t="inlineStr">
        <is>
          <t>532523</t>
        </is>
      </c>
    </row>
    <row r="238">
      <c r="A238" s="31" t="inlineStr">
        <is>
          <t>TRIVENI</t>
        </is>
      </c>
      <c r="B238" s="31" t="inlineStr">
        <is>
          <t>Triveni Engineering &amp; Industries Limited</t>
        </is>
      </c>
      <c r="C238" s="31" t="inlineStr">
        <is>
          <t>fmcg</t>
        </is>
      </c>
      <c r="D238" s="31" t="inlineStr">
        <is>
          <t>sugar</t>
        </is>
      </c>
      <c r="E238" s="31" t="inlineStr">
        <is>
          <t>midcap</t>
        </is>
      </c>
      <c r="F238" s="31" t="n">
        <v>8719.799999999999</v>
      </c>
      <c r="G238" s="31" t="n">
        <v>398.75</v>
      </c>
      <c r="H238" s="31" t="n">
        <v>0.1</v>
      </c>
      <c r="I238" s="31" t="n">
        <v>237323</v>
      </c>
      <c r="J238" s="31" t="inlineStr">
        <is>
          <t>532356</t>
        </is>
      </c>
    </row>
    <row r="239">
      <c r="A239" s="31" t="inlineStr">
        <is>
          <t>NINSYS</t>
        </is>
      </c>
      <c r="B239" s="31" t="inlineStr">
        <is>
          <t>NINtec Systems Ltd</t>
        </is>
      </c>
      <c r="C239" s="31" t="inlineStr">
        <is>
          <t>i.t</t>
        </is>
      </c>
      <c r="D239" s="31" t="inlineStr">
        <is>
          <t>computers - software - medium / small</t>
        </is>
      </c>
      <c r="E239" s="31" t="inlineStr">
        <is>
          <t>smallcap</t>
        </is>
      </c>
      <c r="F239" s="31" t="n">
        <v>1308.21</v>
      </c>
      <c r="G239" s="31" t="n">
        <v>704.8</v>
      </c>
      <c r="H239" s="31" t="n">
        <v>0.08</v>
      </c>
      <c r="I239" s="31" t="n">
        <v>4094</v>
      </c>
      <c r="J239" s="31" t="inlineStr">
        <is>
          <t>539843</t>
        </is>
      </c>
    </row>
    <row r="240">
      <c r="A240" s="31" t="inlineStr">
        <is>
          <t>CUPID</t>
        </is>
      </c>
      <c r="B240" s="31" t="inlineStr">
        <is>
          <t>Cupid Limited</t>
        </is>
      </c>
      <c r="C240" s="31" t="inlineStr">
        <is>
          <t>fmcg</t>
        </is>
      </c>
      <c r="D240" s="31" t="inlineStr">
        <is>
          <t>personal care - indian</t>
        </is>
      </c>
      <c r="E240" s="31" t="inlineStr">
        <is>
          <t>largecap</t>
        </is>
      </c>
      <c r="F240" s="31" t="n">
        <v>22164.04</v>
      </c>
      <c r="G240" s="31" t="n">
        <v>164.89</v>
      </c>
      <c r="H240" s="31" t="n">
        <v>0.04</v>
      </c>
      <c r="I240" s="31" t="n">
        <v>32502732</v>
      </c>
      <c r="J240" s="31" t="inlineStr">
        <is>
          <t>530843</t>
        </is>
      </c>
    </row>
    <row r="241">
      <c r="A241" s="31" t="inlineStr">
        <is>
          <t>ADANIENT</t>
        </is>
      </c>
      <c r="B241" s="31" t="inlineStr">
        <is>
          <t>Adani Enterprises Limited</t>
        </is>
      </c>
      <c r="C241" s="31" t="inlineStr">
        <is>
          <t>services</t>
        </is>
      </c>
      <c r="D241" s="31" t="inlineStr">
        <is>
          <t>trading</t>
        </is>
      </c>
      <c r="E241" s="31" t="inlineStr">
        <is>
          <t>largecap</t>
        </is>
      </c>
      <c r="F241" s="31" t="n">
        <v>380371.8</v>
      </c>
      <c r="G241" s="31" t="n">
        <v>2943.6</v>
      </c>
      <c r="H241" s="31" t="n">
        <v>0.04</v>
      </c>
      <c r="I241" s="31" t="n">
        <v>1851843</v>
      </c>
      <c r="J241" s="31" t="inlineStr">
        <is>
          <t>512599</t>
        </is>
      </c>
    </row>
    <row r="242">
      <c r="A242" s="31" t="inlineStr">
        <is>
          <t>JASH</t>
        </is>
      </c>
      <c r="B242" s="31" t="inlineStr">
        <is>
          <t>Jash Engineering Ltd</t>
        </is>
      </c>
      <c r="C242" s="31" t="inlineStr">
        <is>
          <t>industrials</t>
        </is>
      </c>
      <c r="D242" s="31" t="inlineStr">
        <is>
          <t>engineering</t>
        </is>
      </c>
      <c r="E242" s="31" t="inlineStr">
        <is>
          <t>smallcap</t>
        </is>
      </c>
      <c r="F242" s="31" t="n">
        <v>3180.22</v>
      </c>
      <c r="G242" s="31" t="n">
        <v>503.4</v>
      </c>
      <c r="H242" s="31" t="n">
        <v>0.03</v>
      </c>
      <c r="I242" s="31" t="n">
        <v>174696</v>
      </c>
      <c r="J242" s="31" t="inlineStr">
        <is>
          <t>535019</t>
        </is>
      </c>
    </row>
    <row r="243">
      <c r="A243" s="31" t="inlineStr">
        <is>
          <t>CENTUM</t>
        </is>
      </c>
      <c r="B243" s="31" t="inlineStr">
        <is>
          <t>Centum Electronics Limited</t>
        </is>
      </c>
      <c r="C243" s="31" t="inlineStr">
        <is>
          <t>consumer discretionary</t>
        </is>
      </c>
      <c r="D243" s="31" t="inlineStr">
        <is>
          <t>electronics - components</t>
        </is>
      </c>
      <c r="E243" s="31" t="inlineStr">
        <is>
          <t>midcap</t>
        </is>
      </c>
      <c r="F243" s="31" t="n">
        <v>5345.96</v>
      </c>
      <c r="G243" s="31" t="n">
        <v>3627.8</v>
      </c>
      <c r="H243" s="31" t="n">
        <v>0.03</v>
      </c>
      <c r="I243" s="31" t="n">
        <v>28721</v>
      </c>
      <c r="J243" s="31" t="inlineStr">
        <is>
          <t>517544</t>
        </is>
      </c>
    </row>
    <row r="244">
      <c r="A244" s="31" t="inlineStr">
        <is>
          <t>CYIENTDLM</t>
        </is>
      </c>
      <c r="B244" s="31" t="inlineStr">
        <is>
          <t>Cyient DLM Ltd</t>
        </is>
      </c>
      <c r="C244" s="31" t="inlineStr">
        <is>
          <t>consumer discretionary</t>
        </is>
      </c>
      <c r="D244" s="31" t="inlineStr">
        <is>
          <t>electronics - components</t>
        </is>
      </c>
      <c r="E244" s="31" t="inlineStr">
        <is>
          <t>smallcap</t>
        </is>
      </c>
      <c r="F244" s="31" t="n">
        <v>3718.62</v>
      </c>
      <c r="G244" s="31" t="n">
        <v>468.7</v>
      </c>
      <c r="H244" s="31" t="n">
        <v>0.03</v>
      </c>
      <c r="I244" s="31" t="n">
        <v>121982</v>
      </c>
      <c r="J244" s="31" t="inlineStr">
        <is>
          <t>543933</t>
        </is>
      </c>
    </row>
    <row r="245">
      <c r="A245" s="31" t="inlineStr">
        <is>
          <t>PIDILITIND</t>
        </is>
      </c>
      <c r="B245" s="31" t="inlineStr">
        <is>
          <t>Pidilite Industries Limited</t>
        </is>
      </c>
      <c r="C245" s="31" t="inlineStr">
        <is>
          <t>chemicals</t>
        </is>
      </c>
      <c r="D245" s="31" t="inlineStr">
        <is>
          <t>chemicals</t>
        </is>
      </c>
      <c r="E245" s="31" t="inlineStr">
        <is>
          <t>largecap</t>
        </is>
      </c>
      <c r="F245" s="31" t="n">
        <v>159891.08</v>
      </c>
      <c r="G245" s="31" t="n">
        <v>1571.2</v>
      </c>
      <c r="H245" s="31" t="n">
        <v>0.01</v>
      </c>
      <c r="I245" s="31" t="n">
        <v>382140</v>
      </c>
      <c r="J245" s="31" t="inlineStr">
        <is>
          <t>500331</t>
        </is>
      </c>
    </row>
    <row r="246">
      <c r="A246" s="31" t="inlineStr">
        <is>
          <t>VBL</t>
        </is>
      </c>
      <c r="B246" s="31" t="inlineStr">
        <is>
          <t>Varun Beverages Limited</t>
        </is>
      </c>
      <c r="C246" s="31" t="inlineStr">
        <is>
          <t>fmcg</t>
        </is>
      </c>
      <c r="D246" s="31" t="inlineStr">
        <is>
          <t>food - processing - indian</t>
        </is>
      </c>
      <c r="E246" s="31" t="inlineStr">
        <is>
          <t>largecap</t>
        </is>
      </c>
      <c r="F246" s="31" t="n">
        <v>182971.31</v>
      </c>
      <c r="G246" s="31" t="n">
        <v>541.05</v>
      </c>
      <c r="H246" s="31" t="n">
        <v>0.01</v>
      </c>
      <c r="I246" s="31" t="n">
        <v>3831572</v>
      </c>
      <c r="J246" s="31" t="inlineStr">
        <is>
          <t>540180</t>
        </is>
      </c>
    </row>
    <row r="247">
      <c r="A247" s="31" t="inlineStr">
        <is>
          <t>SUVEN</t>
        </is>
      </c>
      <c r="B247" s="31" t="inlineStr">
        <is>
          <t>Suven Life Sciences Limited</t>
        </is>
      </c>
      <c r="C247" s="31" t="inlineStr">
        <is>
          <t>healthcare</t>
        </is>
      </c>
      <c r="D247" s="31" t="inlineStr">
        <is>
          <t>miscellaneous</t>
        </is>
      </c>
      <c r="E247" s="31" t="inlineStr">
        <is>
          <t>midcap</t>
        </is>
      </c>
      <c r="F247" s="31" t="n">
        <v>7116.5</v>
      </c>
      <c r="G247" s="31" t="n">
        <v>269.85</v>
      </c>
      <c r="H247" s="31" t="n">
        <v>0</v>
      </c>
      <c r="I247" s="31" t="n">
        <v>2265922</v>
      </c>
      <c r="J247" s="31" t="inlineStr">
        <is>
          <t>530239</t>
        </is>
      </c>
    </row>
    <row r="248">
      <c r="A248" s="31" t="inlineStr">
        <is>
          <t>PGHL</t>
        </is>
      </c>
      <c r="B248" s="31" t="inlineStr">
        <is>
          <t>Procter &amp; Gamble Health Ltd</t>
        </is>
      </c>
      <c r="C248" s="31" t="inlineStr">
        <is>
          <t>healthcare</t>
        </is>
      </c>
      <c r="D248" s="31" t="inlineStr">
        <is>
          <t>pharmaceuticals - multinational</t>
        </is>
      </c>
      <c r="E248" s="31" t="inlineStr">
        <is>
          <t>midcap</t>
        </is>
      </c>
      <c r="F248" s="31" t="n">
        <v>10335.61</v>
      </c>
      <c r="G248" s="31" t="n">
        <v>6226.5</v>
      </c>
      <c r="H248" s="31" t="n">
        <v>0</v>
      </c>
      <c r="I248" s="31" t="n">
        <v>9395</v>
      </c>
      <c r="J248" s="31" t="inlineStr">
        <is>
          <t>500126</t>
        </is>
      </c>
    </row>
    <row r="249">
      <c r="A249" s="31" t="inlineStr">
        <is>
          <t>NUVAMA</t>
        </is>
      </c>
      <c r="B249" s="31" t="inlineStr">
        <is>
          <t>Nuvama Wealth Management Ltd</t>
        </is>
      </c>
      <c r="C249" s="31" t="inlineStr">
        <is>
          <t>financials</t>
        </is>
      </c>
      <c r="D249" s="31" t="inlineStr">
        <is>
          <t>finance &amp; investments</t>
        </is>
      </c>
      <c r="E249" s="31" t="inlineStr">
        <is>
          <t>largecap</t>
        </is>
      </c>
      <c r="F249" s="31" t="n">
        <v>30235.27</v>
      </c>
      <c r="G249" s="31" t="n">
        <v>1660.7</v>
      </c>
      <c r="H249" s="31" t="n">
        <v>-0.01</v>
      </c>
      <c r="I249" s="31" t="n">
        <v>398675</v>
      </c>
      <c r="J249" s="31" t="inlineStr">
        <is>
          <t>543988</t>
        </is>
      </c>
    </row>
    <row r="250">
      <c r="A250" s="31" t="inlineStr">
        <is>
          <t>DBOL</t>
        </is>
      </c>
      <c r="B250" s="31" t="inlineStr">
        <is>
          <t>Dhampur Bio Organics Ltd</t>
        </is>
      </c>
      <c r="C250" s="31" t="inlineStr">
        <is>
          <t>fmcg</t>
        </is>
      </c>
      <c r="D250" s="31" t="inlineStr">
        <is>
          <t>sugar</t>
        </is>
      </c>
      <c r="E250" s="31" t="inlineStr">
        <is>
          <t>smallcap</t>
        </is>
      </c>
      <c r="F250" s="31" t="n">
        <v>762.59</v>
      </c>
      <c r="G250" s="31" t="n">
        <v>114.86</v>
      </c>
      <c r="H250" s="31" t="n">
        <v>-0.01</v>
      </c>
      <c r="I250" s="31" t="n">
        <v>28866</v>
      </c>
      <c r="J250" s="31" t="inlineStr">
        <is>
          <t>543593</t>
        </is>
      </c>
    </row>
    <row r="251">
      <c r="A251" s="31" t="inlineStr">
        <is>
          <t>ADANIGREEN</t>
        </is>
      </c>
      <c r="B251" s="31" t="inlineStr">
        <is>
          <t>Adani Green Energy Ltd</t>
        </is>
      </c>
      <c r="C251" s="31" t="inlineStr">
        <is>
          <t>power &amp; utilities</t>
        </is>
      </c>
      <c r="D251" s="31" t="inlineStr">
        <is>
          <t>power generation and supply</t>
        </is>
      </c>
      <c r="E251" s="31" t="inlineStr">
        <is>
          <t>largecap</t>
        </is>
      </c>
      <c r="F251" s="31" t="n">
        <v>244210.34</v>
      </c>
      <c r="G251" s="31" t="n">
        <v>1482.5</v>
      </c>
      <c r="H251" s="31" t="n">
        <v>-0.01</v>
      </c>
      <c r="I251" s="31" t="n">
        <v>1251445</v>
      </c>
      <c r="J251" s="31" t="inlineStr">
        <is>
          <t>541450</t>
        </is>
      </c>
    </row>
    <row r="252">
      <c r="A252" s="31" t="inlineStr">
        <is>
          <t>CARBORUNIV</t>
        </is>
      </c>
      <c r="B252" s="31" t="inlineStr">
        <is>
          <t>Carborundum Universal Limited</t>
        </is>
      </c>
      <c r="C252" s="31" t="inlineStr">
        <is>
          <t>industrials</t>
        </is>
      </c>
      <c r="D252" s="31" t="inlineStr">
        <is>
          <t>abrasives and grinding wheels</t>
        </is>
      </c>
      <c r="E252" s="31" t="inlineStr">
        <is>
          <t>largecap</t>
        </is>
      </c>
      <c r="F252" s="31" t="n">
        <v>20304.6</v>
      </c>
      <c r="G252" s="31" t="n">
        <v>1065.5</v>
      </c>
      <c r="H252" s="31" t="n">
        <v>-0.04</v>
      </c>
      <c r="I252" s="31" t="n">
        <v>86279</v>
      </c>
      <c r="J252" s="31" t="inlineStr">
        <is>
          <t>513375</t>
        </is>
      </c>
    </row>
    <row r="253">
      <c r="A253" s="31" t="inlineStr">
        <is>
          <t>ADANIENSOL</t>
        </is>
      </c>
      <c r="B253" s="31" t="inlineStr">
        <is>
          <t>Adani Energy Solutions Ltd</t>
        </is>
      </c>
      <c r="C253" s="31" t="inlineStr">
        <is>
          <t>power &amp; utilities</t>
        </is>
      </c>
      <c r="D253" s="31" t="inlineStr">
        <is>
          <t>power generation and supply</t>
        </is>
      </c>
      <c r="E253" s="31" t="inlineStr">
        <is>
          <t>largecap</t>
        </is>
      </c>
      <c r="F253" s="31" t="n">
        <v>179219.36</v>
      </c>
      <c r="G253" s="31" t="n">
        <v>1491.1</v>
      </c>
      <c r="H253" s="31" t="n">
        <v>-0.05</v>
      </c>
      <c r="I253" s="31" t="n">
        <v>1686111</v>
      </c>
      <c r="J253" s="31" t="inlineStr">
        <is>
          <t>539254</t>
        </is>
      </c>
    </row>
    <row r="254">
      <c r="A254" s="31" t="inlineStr">
        <is>
          <t>BOSCHLTD</t>
        </is>
      </c>
      <c r="B254" s="31" t="inlineStr">
        <is>
          <t>Bosch Limited</t>
        </is>
      </c>
      <c r="C254" s="31" t="inlineStr">
        <is>
          <t>auto</t>
        </is>
      </c>
      <c r="D254" s="31" t="inlineStr">
        <is>
          <t>auto ancillaries</t>
        </is>
      </c>
      <c r="E254" s="31" t="inlineStr">
        <is>
          <t>largecap</t>
        </is>
      </c>
      <c r="F254" s="31" t="n">
        <v>115231.65</v>
      </c>
      <c r="G254" s="31" t="n">
        <v>39045</v>
      </c>
      <c r="H254" s="31" t="n">
        <v>-0.06</v>
      </c>
      <c r="I254" s="31" t="n">
        <v>22828</v>
      </c>
      <c r="J254" s="31" t="inlineStr">
        <is>
          <t>500530</t>
        </is>
      </c>
    </row>
    <row r="255">
      <c r="A255" s="31" t="inlineStr">
        <is>
          <t>MANAPPURAM</t>
        </is>
      </c>
      <c r="B255" s="31" t="inlineStr">
        <is>
          <t>Manappuram Finance Limited</t>
        </is>
      </c>
      <c r="C255" s="31" t="inlineStr">
        <is>
          <t>financials</t>
        </is>
      </c>
      <c r="D255" s="31" t="inlineStr">
        <is>
          <t>finance &amp; investments</t>
        </is>
      </c>
      <c r="E255" s="31" t="inlineStr">
        <is>
          <t>largecap</t>
        </is>
      </c>
      <c r="F255" s="31" t="n">
        <v>29838.01</v>
      </c>
      <c r="G255" s="31" t="n">
        <v>317.45</v>
      </c>
      <c r="H255" s="31" t="n">
        <v>-0.06</v>
      </c>
      <c r="I255" s="31" t="n">
        <v>2216024</v>
      </c>
      <c r="J255" s="31" t="inlineStr">
        <is>
          <t>531213</t>
        </is>
      </c>
    </row>
    <row r="256">
      <c r="A256" s="31" t="inlineStr">
        <is>
          <t>THELEELA</t>
        </is>
      </c>
      <c r="B256" s="31" t="inlineStr">
        <is>
          <t>Leela Palaces Hotels &amp; Resorts Ltd</t>
        </is>
      </c>
      <c r="C256" s="31" t="inlineStr">
        <is>
          <t>services</t>
        </is>
      </c>
      <c r="D256" s="31" t="inlineStr">
        <is>
          <t>hotels</t>
        </is>
      </c>
      <c r="E256" s="31" t="inlineStr">
        <is>
          <t>midcap</t>
        </is>
      </c>
      <c r="F256" s="31" t="n">
        <v>15301.95</v>
      </c>
      <c r="G256" s="31" t="n">
        <v>457.9</v>
      </c>
      <c r="H256" s="31" t="n">
        <v>-0.07000000000000001</v>
      </c>
      <c r="I256" s="31" t="n">
        <v>852819</v>
      </c>
      <c r="J256" s="31" t="inlineStr">
        <is>
          <t>544408</t>
        </is>
      </c>
    </row>
    <row r="257">
      <c r="A257" s="31" t="inlineStr">
        <is>
          <t>RICOAUTO</t>
        </is>
      </c>
      <c r="B257" s="31" t="inlineStr">
        <is>
          <t>Rico Auto Industries Limited</t>
        </is>
      </c>
      <c r="C257" s="31" t="inlineStr">
        <is>
          <t>auto</t>
        </is>
      </c>
      <c r="D257" s="31" t="inlineStr">
        <is>
          <t>auto ancillaries</t>
        </is>
      </c>
      <c r="E257" s="31" t="inlineStr">
        <is>
          <t>smallcap</t>
        </is>
      </c>
      <c r="F257" s="31" t="n">
        <v>1804.57</v>
      </c>
      <c r="G257" s="31" t="n">
        <v>133.28</v>
      </c>
      <c r="H257" s="31" t="n">
        <v>-0.08</v>
      </c>
      <c r="I257" s="31" t="n">
        <v>1243769</v>
      </c>
      <c r="J257" s="31" t="inlineStr">
        <is>
          <t>520008</t>
        </is>
      </c>
    </row>
    <row r="258">
      <c r="A258" s="31" t="inlineStr">
        <is>
          <t>KPRMILL</t>
        </is>
      </c>
      <c r="B258" s="31" t="inlineStr">
        <is>
          <t>K.p.r. Mill Limited</t>
        </is>
      </c>
      <c r="C258" s="31" t="inlineStr">
        <is>
          <t>consumer discretionary</t>
        </is>
      </c>
      <c r="D258" s="31" t="inlineStr">
        <is>
          <t>textiles - products</t>
        </is>
      </c>
      <c r="E258" s="31" t="inlineStr">
        <is>
          <t>largecap</t>
        </is>
      </c>
      <c r="F258" s="31" t="n">
        <v>36076.76</v>
      </c>
      <c r="G258" s="31" t="n">
        <v>1054.6</v>
      </c>
      <c r="H258" s="31" t="n">
        <v>-0.08</v>
      </c>
      <c r="I258" s="31" t="n">
        <v>130891</v>
      </c>
      <c r="J258" s="31" t="inlineStr">
        <is>
          <t>532889</t>
        </is>
      </c>
    </row>
    <row r="259">
      <c r="A259" s="31" t="inlineStr">
        <is>
          <t>STYLAMIND</t>
        </is>
      </c>
      <c r="B259" s="31" t="inlineStr">
        <is>
          <t>Stylam Industries Ltd</t>
        </is>
      </c>
      <c r="C259" s="31" t="inlineStr">
        <is>
          <t>building materials</t>
        </is>
      </c>
      <c r="D259" s="31" t="inlineStr">
        <is>
          <t>miscellaneous</t>
        </is>
      </c>
      <c r="E259" s="31" t="inlineStr">
        <is>
          <t>midcap</t>
        </is>
      </c>
      <c r="F259" s="31" t="n">
        <v>5520.32</v>
      </c>
      <c r="G259" s="31" t="n">
        <v>3253.7</v>
      </c>
      <c r="H259" s="31" t="n">
        <v>-0.11</v>
      </c>
      <c r="I259" s="31" t="n">
        <v>25588</v>
      </c>
      <c r="J259" s="31" t="inlineStr">
        <is>
          <t>526951</t>
        </is>
      </c>
    </row>
    <row r="260">
      <c r="A260" s="31" t="inlineStr">
        <is>
          <t>CRAFTSMAN</t>
        </is>
      </c>
      <c r="B260" s="31" t="inlineStr">
        <is>
          <t>Craftsman Automation Ltd</t>
        </is>
      </c>
      <c r="C260" s="31" t="inlineStr">
        <is>
          <t>auto</t>
        </is>
      </c>
      <c r="D260" s="31" t="inlineStr">
        <is>
          <t>auto ancillaries</t>
        </is>
      </c>
      <c r="E260" s="31" t="inlineStr">
        <is>
          <t>largecap</t>
        </is>
      </c>
      <c r="F260" s="31" t="n">
        <v>22273.96</v>
      </c>
      <c r="G260" s="31" t="n">
        <v>9326</v>
      </c>
      <c r="H260" s="31" t="n">
        <v>-0.12</v>
      </c>
      <c r="I260" s="31" t="n">
        <v>86572</v>
      </c>
      <c r="J260" s="31" t="inlineStr">
        <is>
          <t>543276</t>
        </is>
      </c>
    </row>
    <row r="261">
      <c r="A261" s="31" t="inlineStr">
        <is>
          <t>IRISDOREME</t>
        </is>
      </c>
      <c r="B261" s="31" t="inlineStr">
        <is>
          <t>Iris Clothings Ltd</t>
        </is>
      </c>
      <c r="C261" s="31" t="inlineStr">
        <is>
          <t>consumer discretionary</t>
        </is>
      </c>
      <c r="D261" s="31" t="inlineStr">
        <is>
          <t>textiles - products</t>
        </is>
      </c>
      <c r="E261" s="31" t="inlineStr">
        <is>
          <t>smallcap</t>
        </is>
      </c>
      <c r="F261" s="31" t="n">
        <v>723.64</v>
      </c>
      <c r="G261" s="31" t="n">
        <v>37.97</v>
      </c>
      <c r="H261" s="31" t="n">
        <v>-0.13</v>
      </c>
      <c r="I261" s="31" t="n">
        <v>272807</v>
      </c>
      <c r="J261" s="31" t="inlineStr">
        <is>
          <t>535123</t>
        </is>
      </c>
    </row>
    <row r="262">
      <c r="A262" s="31" t="inlineStr">
        <is>
          <t>OCCLLTD</t>
        </is>
      </c>
      <c r="B262" s="31" t="inlineStr">
        <is>
          <t>OCCL Ltd</t>
        </is>
      </c>
      <c r="C262" s="31" t="inlineStr">
        <is>
          <t>chemicals</t>
        </is>
      </c>
      <c r="D262" s="31" t="inlineStr">
        <is>
          <t>chemicals</t>
        </is>
      </c>
      <c r="E262" s="31" t="inlineStr">
        <is>
          <t>smallcap</t>
        </is>
      </c>
      <c r="F262" s="31" t="n">
        <v>676.58</v>
      </c>
      <c r="G262" s="31" t="n">
        <v>135.28</v>
      </c>
      <c r="H262" s="31" t="n">
        <v>-0.13</v>
      </c>
      <c r="I262" s="31" t="n">
        <v>112742</v>
      </c>
      <c r="J262" s="31" t="inlineStr">
        <is>
          <t>544278</t>
        </is>
      </c>
    </row>
    <row r="263">
      <c r="A263" s="31" t="inlineStr">
        <is>
          <t>SAILIFE</t>
        </is>
      </c>
      <c r="B263" s="31" t="inlineStr">
        <is>
          <t>Sai Life Sciences Ltd</t>
        </is>
      </c>
      <c r="C263" s="31" t="inlineStr">
        <is>
          <t>healthcare</t>
        </is>
      </c>
      <c r="D263" s="31" t="inlineStr">
        <is>
          <t>pharmaceuticals - indian - bulk drugs &amp; formln</t>
        </is>
      </c>
      <c r="E263" s="31" t="inlineStr">
        <is>
          <t>largecap</t>
        </is>
      </c>
      <c r="F263" s="31" t="n">
        <v>25580.81</v>
      </c>
      <c r="G263" s="31" t="n">
        <v>1206.3</v>
      </c>
      <c r="H263" s="31" t="n">
        <v>-0.13</v>
      </c>
      <c r="I263" s="31" t="n">
        <v>337709</v>
      </c>
      <c r="J263" s="31" t="inlineStr">
        <is>
          <t>544306</t>
        </is>
      </c>
    </row>
    <row r="264">
      <c r="A264" s="31" t="inlineStr">
        <is>
          <t>SYRMA</t>
        </is>
      </c>
      <c r="B264" s="31" t="inlineStr">
        <is>
          <t>Syrma SGS Technology Ltd</t>
        </is>
      </c>
      <c r="C264" s="31" t="inlineStr">
        <is>
          <t>consumer discretionary</t>
        </is>
      </c>
      <c r="D264" s="31" t="inlineStr">
        <is>
          <t>electronics - components</t>
        </is>
      </c>
      <c r="E264" s="31" t="inlineStr">
        <is>
          <t>largecap</t>
        </is>
      </c>
      <c r="F264" s="31" t="n">
        <v>25089.17</v>
      </c>
      <c r="G264" s="31" t="n">
        <v>1299.3</v>
      </c>
      <c r="H264" s="31" t="n">
        <v>-0.14</v>
      </c>
      <c r="I264" s="31" t="n">
        <v>1094094</v>
      </c>
      <c r="J264" s="31" t="inlineStr">
        <is>
          <t>543573</t>
        </is>
      </c>
    </row>
    <row r="265">
      <c r="A265" s="31" t="inlineStr">
        <is>
          <t>MBAPL</t>
        </is>
      </c>
      <c r="B265" s="31" t="inlineStr">
        <is>
          <t>Madhya Bharat Agro Products Ltd</t>
        </is>
      </c>
      <c r="C265" s="31" t="inlineStr">
        <is>
          <t>chemicals</t>
        </is>
      </c>
      <c r="D265" s="31" t="inlineStr">
        <is>
          <t>fertilizers</t>
        </is>
      </c>
      <c r="E265" s="31" t="inlineStr">
        <is>
          <t>smallcap</t>
        </is>
      </c>
      <c r="F265" s="31" t="n">
        <v>4965.38</v>
      </c>
      <c r="G265" s="31" t="n">
        <v>565.65</v>
      </c>
      <c r="H265" s="31" t="n">
        <v>-0.18</v>
      </c>
      <c r="I265" s="31" t="n">
        <v>186542</v>
      </c>
      <c r="J265" s="31" t="inlineStr">
        <is>
          <t>538370</t>
        </is>
      </c>
    </row>
    <row r="266">
      <c r="A266" s="31" t="inlineStr">
        <is>
          <t>AXISBANK</t>
        </is>
      </c>
      <c r="B266" s="31" t="inlineStr">
        <is>
          <t>Axis Bank Limited</t>
        </is>
      </c>
      <c r="C266" s="31" t="inlineStr">
        <is>
          <t>bank</t>
        </is>
      </c>
      <c r="D266" s="31" t="inlineStr">
        <is>
          <t>banks - private sector</t>
        </is>
      </c>
      <c r="E266" s="31" t="inlineStr">
        <is>
          <t>largecap</t>
        </is>
      </c>
      <c r="F266" s="31" t="n">
        <v>425291.26</v>
      </c>
      <c r="G266" s="31" t="n">
        <v>1365.7</v>
      </c>
      <c r="H266" s="31" t="n">
        <v>-0.19</v>
      </c>
      <c r="I266" s="31" t="n">
        <v>7709061</v>
      </c>
      <c r="J266" s="31" t="inlineStr">
        <is>
          <t>532215</t>
        </is>
      </c>
    </row>
    <row r="267">
      <c r="A267" s="31" t="inlineStr">
        <is>
          <t>LMW</t>
        </is>
      </c>
      <c r="B267" s="31" t="inlineStr">
        <is>
          <t>LMW Ltd</t>
        </is>
      </c>
      <c r="C267" s="31" t="inlineStr">
        <is>
          <t>industrials</t>
        </is>
      </c>
      <c r="D267" s="31" t="inlineStr">
        <is>
          <t>textile machinery</t>
        </is>
      </c>
      <c r="E267" s="31" t="inlineStr">
        <is>
          <t>midcap</t>
        </is>
      </c>
      <c r="F267" s="31" t="n">
        <v>16907.98</v>
      </c>
      <c r="G267" s="31" t="n">
        <v>15797</v>
      </c>
      <c r="H267" s="31" t="n">
        <v>-0.19</v>
      </c>
      <c r="I267" s="31" t="n">
        <v>4230</v>
      </c>
      <c r="J267" s="31" t="inlineStr">
        <is>
          <t>500252</t>
        </is>
      </c>
    </row>
    <row r="268">
      <c r="A268" s="31" t="inlineStr">
        <is>
          <t>JSWINFRA</t>
        </is>
      </c>
      <c r="B268" s="31" t="inlineStr">
        <is>
          <t>JSW Infrastructure Ltd</t>
        </is>
      </c>
      <c r="C268" s="31" t="inlineStr">
        <is>
          <t>transportation</t>
        </is>
      </c>
      <c r="D268" s="31" t="inlineStr">
        <is>
          <t>miscellaneous</t>
        </is>
      </c>
      <c r="E268" s="31" t="inlineStr">
        <is>
          <t>largecap</t>
        </is>
      </c>
      <c r="F268" s="31" t="n">
        <v>61834.55</v>
      </c>
      <c r="G268" s="31" t="n">
        <v>293.8</v>
      </c>
      <c r="H268" s="31" t="n">
        <v>-0.22</v>
      </c>
      <c r="I268" s="31" t="n">
        <v>1810593</v>
      </c>
      <c r="J268" s="31" t="inlineStr">
        <is>
          <t>543994</t>
        </is>
      </c>
    </row>
    <row r="269">
      <c r="A269" s="31" t="inlineStr">
        <is>
          <t>NYKAA</t>
        </is>
      </c>
      <c r="B269" s="31" t="inlineStr">
        <is>
          <t>FSN E-Commerce Ventures Ltd</t>
        </is>
      </c>
      <c r="C269" s="31" t="inlineStr">
        <is>
          <t>i.t</t>
        </is>
      </c>
      <c r="D269" s="31" t="inlineStr">
        <is>
          <t>trading</t>
        </is>
      </c>
      <c r="E269" s="31" t="inlineStr">
        <is>
          <t>largecap</t>
        </is>
      </c>
      <c r="F269" s="31" t="n">
        <v>78108.84</v>
      </c>
      <c r="G269" s="31" t="n">
        <v>272.15</v>
      </c>
      <c r="H269" s="31" t="n">
        <v>-0.24</v>
      </c>
      <c r="I269" s="31" t="n">
        <v>4906344</v>
      </c>
      <c r="J269" s="31" t="inlineStr">
        <is>
          <t>543384</t>
        </is>
      </c>
    </row>
    <row r="270">
      <c r="A270" s="31" t="inlineStr">
        <is>
          <t>TATATECH</t>
        </is>
      </c>
      <c r="B270" s="31" t="inlineStr">
        <is>
          <t>Tata Technologies Ltd</t>
        </is>
      </c>
      <c r="C270" s="31" t="inlineStr">
        <is>
          <t>i.t</t>
        </is>
      </c>
      <c r="D270" s="31" t="inlineStr">
        <is>
          <t>computers - software - medium / small</t>
        </is>
      </c>
      <c r="E270" s="31" t="inlineStr">
        <is>
          <t>largecap</t>
        </is>
      </c>
      <c r="F270" s="31" t="n">
        <v>31337.54</v>
      </c>
      <c r="G270" s="31" t="n">
        <v>769.95</v>
      </c>
      <c r="H270" s="31" t="n">
        <v>-0.25</v>
      </c>
      <c r="I270" s="31" t="n">
        <v>735803</v>
      </c>
      <c r="J270" s="31" t="inlineStr">
        <is>
          <t>544028</t>
        </is>
      </c>
    </row>
    <row r="271">
      <c r="A271" s="31" t="inlineStr">
        <is>
          <t>BANKBARODA</t>
        </is>
      </c>
      <c r="B271" s="31" t="inlineStr">
        <is>
          <t>Bank Of Baroda Ltd</t>
        </is>
      </c>
      <c r="C271" s="31" t="inlineStr">
        <is>
          <t>bank</t>
        </is>
      </c>
      <c r="D271" s="31" t="inlineStr">
        <is>
          <t>banks - public sector</t>
        </is>
      </c>
      <c r="E271" s="31" t="inlineStr">
        <is>
          <t>largecap</t>
        </is>
      </c>
      <c r="F271" s="31" t="n">
        <v>142755.45</v>
      </c>
      <c r="G271" s="31" t="n">
        <v>275.35</v>
      </c>
      <c r="H271" s="31" t="n">
        <v>-0.25</v>
      </c>
      <c r="I271" s="31" t="n">
        <v>9933682</v>
      </c>
      <c r="J271" s="31" t="inlineStr">
        <is>
          <t>532134</t>
        </is>
      </c>
    </row>
    <row r="272">
      <c r="A272" s="31" t="inlineStr">
        <is>
          <t>VSSL</t>
        </is>
      </c>
      <c r="B272" s="31" t="inlineStr">
        <is>
          <t>Vardhman Special Steels Limited</t>
        </is>
      </c>
      <c r="C272" s="31" t="inlineStr">
        <is>
          <t>metals &amp; mining</t>
        </is>
      </c>
      <c r="D272" s="31" t="inlineStr">
        <is>
          <t>steel - medium / small</t>
        </is>
      </c>
      <c r="E272" s="31" t="inlineStr">
        <is>
          <t>smallcap</t>
        </is>
      </c>
      <c r="F272" s="31" t="n">
        <v>2752.16</v>
      </c>
      <c r="G272" s="31" t="n">
        <v>283.9</v>
      </c>
      <c r="H272" s="31" t="n">
        <v>-0.26</v>
      </c>
      <c r="I272" s="31" t="n">
        <v>37847</v>
      </c>
      <c r="J272" s="31" t="inlineStr">
        <is>
          <t>534392</t>
        </is>
      </c>
    </row>
    <row r="273">
      <c r="A273" s="31" t="inlineStr">
        <is>
          <t>KAPSTON</t>
        </is>
      </c>
      <c r="B273" s="31" t="inlineStr">
        <is>
          <t>Kapston Services Ltd</t>
        </is>
      </c>
      <c r="C273" s="31" t="inlineStr">
        <is>
          <t>miscellaneous</t>
        </is>
      </c>
      <c r="D273" s="31" t="inlineStr">
        <is>
          <t>miscellaneous</t>
        </is>
      </c>
      <c r="E273" s="31" t="inlineStr">
        <is>
          <t>smallcap</t>
        </is>
      </c>
      <c r="F273" s="31" t="n">
        <v>1048.39</v>
      </c>
      <c r="G273" s="31" t="n">
        <v>343.6</v>
      </c>
      <c r="H273" s="31" t="n">
        <v>-0.26</v>
      </c>
      <c r="I273" s="31" t="n">
        <v>17177</v>
      </c>
      <c r="J273" s="31" t="inlineStr">
        <is>
          <t>535064</t>
        </is>
      </c>
    </row>
    <row r="274">
      <c r="A274" s="31" t="inlineStr">
        <is>
          <t>AARTIIND</t>
        </is>
      </c>
      <c r="B274" s="31" t="inlineStr">
        <is>
          <t>Aarti Industries Limited</t>
        </is>
      </c>
      <c r="C274" s="31" t="inlineStr">
        <is>
          <t>chemicals</t>
        </is>
      </c>
      <c r="D274" s="31" t="inlineStr">
        <is>
          <t>chemicals</t>
        </is>
      </c>
      <c r="E274" s="31" t="inlineStr">
        <is>
          <t>midcap</t>
        </is>
      </c>
      <c r="F274" s="31" t="n">
        <v>18062.64</v>
      </c>
      <c r="G274" s="31" t="n">
        <v>496.7</v>
      </c>
      <c r="H274" s="31" t="n">
        <v>-0.29</v>
      </c>
      <c r="I274" s="31" t="n">
        <v>3795978</v>
      </c>
      <c r="J274" s="31" t="inlineStr">
        <is>
          <t>524208</t>
        </is>
      </c>
    </row>
    <row r="275">
      <c r="A275" s="31" t="inlineStr">
        <is>
          <t>MGEL</t>
        </is>
      </c>
      <c r="B275" s="31" t="inlineStr">
        <is>
          <t>Mangalam Global Enterprise Ltd</t>
        </is>
      </c>
      <c r="C275" s="31" t="inlineStr">
        <is>
          <t>services</t>
        </is>
      </c>
      <c r="D275" s="31" t="inlineStr">
        <is>
          <t>trading</t>
        </is>
      </c>
      <c r="E275" s="31" t="inlineStr">
        <is>
          <t>smallcap</t>
        </is>
      </c>
      <c r="F275" s="31" t="n">
        <v>541.79</v>
      </c>
      <c r="G275" s="31" t="n">
        <v>16.39</v>
      </c>
      <c r="H275" s="31" t="n">
        <v>-0.3</v>
      </c>
      <c r="I275" s="31" t="n">
        <v>122957</v>
      </c>
      <c r="J275" s="31" t="inlineStr">
        <is>
          <t>535349</t>
        </is>
      </c>
    </row>
    <row r="276">
      <c r="A276" s="31" t="inlineStr">
        <is>
          <t>SATIN</t>
        </is>
      </c>
      <c r="B276" s="31" t="inlineStr">
        <is>
          <t>Satin Creditcare Network Limited</t>
        </is>
      </c>
      <c r="C276" s="31" t="inlineStr">
        <is>
          <t>financials</t>
        </is>
      </c>
      <c r="D276" s="31" t="inlineStr">
        <is>
          <t>finance &amp; investments</t>
        </is>
      </c>
      <c r="E276" s="31" t="inlineStr">
        <is>
          <t>smallcap</t>
        </is>
      </c>
      <c r="F276" s="31" t="n">
        <v>2564.14</v>
      </c>
      <c r="G276" s="31" t="n">
        <v>231.38</v>
      </c>
      <c r="H276" s="31" t="n">
        <v>-0.31</v>
      </c>
      <c r="I276" s="31" t="n">
        <v>395949</v>
      </c>
      <c r="J276" s="31" t="inlineStr">
        <is>
          <t>539404</t>
        </is>
      </c>
    </row>
    <row r="277">
      <c r="A277" s="31" t="inlineStr">
        <is>
          <t>MANINDS</t>
        </is>
      </c>
      <c r="B277" s="31" t="inlineStr">
        <is>
          <t>Man Industries (india) Limited</t>
        </is>
      </c>
      <c r="C277" s="31" t="inlineStr">
        <is>
          <t>metals &amp; mining</t>
        </is>
      </c>
      <c r="D277" s="31" t="inlineStr">
        <is>
          <t>steel - medium / small</t>
        </is>
      </c>
      <c r="E277" s="31" t="inlineStr">
        <is>
          <t>smallcap</t>
        </is>
      </c>
      <c r="F277" s="31" t="n">
        <v>4298.42</v>
      </c>
      <c r="G277" s="31" t="n">
        <v>571.3</v>
      </c>
      <c r="H277" s="31" t="n">
        <v>-0.31</v>
      </c>
      <c r="I277" s="31" t="n">
        <v>386068</v>
      </c>
      <c r="J277" s="31" t="inlineStr">
        <is>
          <t>513269</t>
        </is>
      </c>
    </row>
    <row r="278">
      <c r="A278" s="31" t="inlineStr">
        <is>
          <t>SSWL</t>
        </is>
      </c>
      <c r="B278" s="31" t="inlineStr">
        <is>
          <t>Steel Strips Wheels Limited</t>
        </is>
      </c>
      <c r="C278" s="31" t="inlineStr">
        <is>
          <t>auto</t>
        </is>
      </c>
      <c r="D278" s="31" t="inlineStr">
        <is>
          <t>auto ancillaries</t>
        </is>
      </c>
      <c r="E278" s="31" t="inlineStr">
        <is>
          <t>smallcap</t>
        </is>
      </c>
      <c r="F278" s="31" t="n">
        <v>3691.23</v>
      </c>
      <c r="G278" s="31" t="n">
        <v>234.03</v>
      </c>
      <c r="H278" s="31" t="n">
        <v>-0.34</v>
      </c>
      <c r="I278" s="31" t="n">
        <v>817525</v>
      </c>
      <c r="J278" s="31" t="inlineStr">
        <is>
          <t>513262</t>
        </is>
      </c>
    </row>
    <row r="279">
      <c r="A279" s="31" t="inlineStr">
        <is>
          <t>VSTIND</t>
        </is>
      </c>
      <c r="B279" s="31" t="inlineStr">
        <is>
          <t>Vst Industries Limited</t>
        </is>
      </c>
      <c r="C279" s="31" t="inlineStr">
        <is>
          <t>fmcg</t>
        </is>
      </c>
      <c r="D279" s="31" t="inlineStr">
        <is>
          <t>cigarettes</t>
        </is>
      </c>
      <c r="E279" s="31" t="inlineStr">
        <is>
          <t>smallcap</t>
        </is>
      </c>
      <c r="F279" s="31" t="n">
        <v>4413.84</v>
      </c>
      <c r="G279" s="31" t="n">
        <v>258.95</v>
      </c>
      <c r="H279" s="31" t="n">
        <v>-0.35</v>
      </c>
      <c r="I279" s="31" t="n">
        <v>236068</v>
      </c>
      <c r="J279" s="31" t="inlineStr">
        <is>
          <t>509966</t>
        </is>
      </c>
    </row>
    <row r="280">
      <c r="A280" s="31" t="inlineStr">
        <is>
          <t>BELRISE</t>
        </is>
      </c>
      <c r="B280" s="31" t="inlineStr">
        <is>
          <t>Belrise Industries Ltd</t>
        </is>
      </c>
      <c r="C280" s="31" t="inlineStr">
        <is>
          <t>auto</t>
        </is>
      </c>
      <c r="D280" s="31" t="inlineStr">
        <is>
          <t>auto ancillaries</t>
        </is>
      </c>
      <c r="E280" s="31" t="inlineStr">
        <is>
          <t>largecap</t>
        </is>
      </c>
      <c r="F280" s="31" t="n">
        <v>21202.26</v>
      </c>
      <c r="G280" s="31" t="n">
        <v>237.43</v>
      </c>
      <c r="H280" s="31" t="n">
        <v>-0.35</v>
      </c>
      <c r="I280" s="31" t="n">
        <v>2735050</v>
      </c>
      <c r="J280" s="31" t="n"/>
    </row>
    <row r="281">
      <c r="A281" s="31" t="inlineStr">
        <is>
          <t>MOTHERSON</t>
        </is>
      </c>
      <c r="B281" s="31" t="inlineStr">
        <is>
          <t>Samvardhana Motherson International Ltd</t>
        </is>
      </c>
      <c r="C281" s="31" t="inlineStr">
        <is>
          <t>auto</t>
        </is>
      </c>
      <c r="D281" s="31" t="inlineStr">
        <is>
          <t>auto ancillaries</t>
        </is>
      </c>
      <c r="E281" s="31" t="inlineStr">
        <is>
          <t>largecap</t>
        </is>
      </c>
      <c r="F281" s="31" t="n">
        <v>156332.4</v>
      </c>
      <c r="G281" s="31" t="n">
        <v>147.6</v>
      </c>
      <c r="H281" s="31" t="n">
        <v>-0.35</v>
      </c>
      <c r="I281" s="31" t="n">
        <v>10550367</v>
      </c>
      <c r="J281" s="31" t="inlineStr">
        <is>
          <t>517334</t>
        </is>
      </c>
    </row>
    <row r="282">
      <c r="A282" s="31" t="inlineStr">
        <is>
          <t>THYROCARE</t>
        </is>
      </c>
      <c r="B282" s="31" t="inlineStr">
        <is>
          <t>Thyrocare Technologies Limited</t>
        </is>
      </c>
      <c r="C282" s="31" t="inlineStr">
        <is>
          <t>healthcare</t>
        </is>
      </c>
      <c r="D282" s="31" t="inlineStr">
        <is>
          <t>healthcare</t>
        </is>
      </c>
      <c r="E282" s="31" t="inlineStr">
        <is>
          <t>midcap</t>
        </is>
      </c>
      <c r="F282" s="31" t="n">
        <v>8524.889999999999</v>
      </c>
      <c r="G282" s="31" t="n">
        <v>533.6</v>
      </c>
      <c r="H282" s="31" t="n">
        <v>-0.37</v>
      </c>
      <c r="I282" s="31" t="n">
        <v>262934</v>
      </c>
      <c r="J282" s="31" t="inlineStr">
        <is>
          <t>539871</t>
        </is>
      </c>
    </row>
    <row r="283">
      <c r="A283" s="31" t="inlineStr">
        <is>
          <t>TFCILTD</t>
        </is>
      </c>
      <c r="B283" s="31" t="inlineStr">
        <is>
          <t>Tourism Finance Corporation Of India Limited</t>
        </is>
      </c>
      <c r="C283" s="31" t="inlineStr">
        <is>
          <t>financials</t>
        </is>
      </c>
      <c r="D283" s="31" t="inlineStr">
        <is>
          <t>finance - term-lending institutions</t>
        </is>
      </c>
      <c r="E283" s="31" t="inlineStr">
        <is>
          <t>smallcap</t>
        </is>
      </c>
      <c r="F283" s="31" t="n">
        <v>3526.03</v>
      </c>
      <c r="G283" s="31" t="n">
        <v>75.88</v>
      </c>
      <c r="H283" s="31" t="n">
        <v>-0.37</v>
      </c>
      <c r="I283" s="31" t="n">
        <v>3690052</v>
      </c>
      <c r="J283" s="31" t="inlineStr">
        <is>
          <t>526650</t>
        </is>
      </c>
    </row>
    <row r="284">
      <c r="A284" s="31" t="inlineStr">
        <is>
          <t>TVSSCS</t>
        </is>
      </c>
      <c r="B284" s="31" t="inlineStr">
        <is>
          <t>TVS Supply Chain Solutions Ltd</t>
        </is>
      </c>
      <c r="C284" s="31" t="inlineStr">
        <is>
          <t>transportation</t>
        </is>
      </c>
      <c r="D284" s="31" t="inlineStr">
        <is>
          <t>miscellaneous</t>
        </is>
      </c>
      <c r="E284" s="31" t="inlineStr">
        <is>
          <t>midcap</t>
        </is>
      </c>
      <c r="F284" s="31" t="n">
        <v>5938.28</v>
      </c>
      <c r="G284" s="31" t="n">
        <v>134.1</v>
      </c>
      <c r="H284" s="31" t="n">
        <v>-0.37</v>
      </c>
      <c r="I284" s="31" t="n">
        <v>957419</v>
      </c>
      <c r="J284" s="31" t="inlineStr">
        <is>
          <t>543965</t>
        </is>
      </c>
    </row>
    <row r="285">
      <c r="A285" s="31" t="inlineStr">
        <is>
          <t>RADICO</t>
        </is>
      </c>
      <c r="B285" s="31" t="inlineStr">
        <is>
          <t>Radico Khaitan Limited</t>
        </is>
      </c>
      <c r="C285" s="31" t="inlineStr">
        <is>
          <t>fmcg</t>
        </is>
      </c>
      <c r="D285" s="31" t="inlineStr">
        <is>
          <t>breweries &amp; distilleries</t>
        </is>
      </c>
      <c r="E285" s="31" t="inlineStr">
        <is>
          <t>largecap</t>
        </is>
      </c>
      <c r="F285" s="31" t="n">
        <v>48096.14</v>
      </c>
      <c r="G285" s="31" t="n">
        <v>3578.7</v>
      </c>
      <c r="H285" s="31" t="n">
        <v>-0.37</v>
      </c>
      <c r="I285" s="31" t="n">
        <v>174365</v>
      </c>
      <c r="J285" s="31" t="inlineStr">
        <is>
          <t>532497</t>
        </is>
      </c>
    </row>
    <row r="286">
      <c r="A286" s="31" t="inlineStr">
        <is>
          <t>RPGLIFE</t>
        </is>
      </c>
      <c r="B286" s="31" t="inlineStr">
        <is>
          <t>Rpg Life Sciences Limited</t>
        </is>
      </c>
      <c r="C286" s="31" t="inlineStr">
        <is>
          <t>healthcare</t>
        </is>
      </c>
      <c r="D286" s="31" t="inlineStr">
        <is>
          <t>pharmaceuticals - indian - bulk drugs &amp; formln</t>
        </is>
      </c>
      <c r="E286" s="31" t="inlineStr">
        <is>
          <t>smallcap</t>
        </is>
      </c>
      <c r="F286" s="31" t="n">
        <v>3800.17</v>
      </c>
      <c r="G286" s="31" t="n">
        <v>2288.7</v>
      </c>
      <c r="H286" s="31" t="n">
        <v>-0.39</v>
      </c>
      <c r="I286" s="31" t="n">
        <v>10157</v>
      </c>
      <c r="J286" s="31" t="inlineStr">
        <is>
          <t>532983</t>
        </is>
      </c>
    </row>
    <row r="287">
      <c r="A287" s="31" t="inlineStr">
        <is>
          <t>BHARATFORG</t>
        </is>
      </c>
      <c r="B287" s="31" t="inlineStr">
        <is>
          <t>Bharat Forge Limited</t>
        </is>
      </c>
      <c r="C287" s="31" t="inlineStr">
        <is>
          <t>industrials</t>
        </is>
      </c>
      <c r="D287" s="31" t="inlineStr">
        <is>
          <t>castings &amp; forgings</t>
        </is>
      </c>
      <c r="E287" s="31" t="inlineStr">
        <is>
          <t>largecap</t>
        </is>
      </c>
      <c r="F287" s="31" t="n">
        <v>96597.81</v>
      </c>
      <c r="G287" s="31" t="n">
        <v>2012.3</v>
      </c>
      <c r="H287" s="31" t="n">
        <v>-0.41</v>
      </c>
      <c r="I287" s="31" t="n">
        <v>925881</v>
      </c>
      <c r="J287" s="31" t="inlineStr">
        <is>
          <t>500493</t>
        </is>
      </c>
    </row>
    <row r="288">
      <c r="A288" s="31" t="inlineStr">
        <is>
          <t>SAMMAANCAP</t>
        </is>
      </c>
      <c r="B288" s="31" t="inlineStr">
        <is>
          <t>Sammaan Capital Ltd</t>
        </is>
      </c>
      <c r="C288" s="31" t="inlineStr">
        <is>
          <t>financials</t>
        </is>
      </c>
      <c r="D288" s="31" t="inlineStr">
        <is>
          <t>finance - housing</t>
        </is>
      </c>
      <c r="E288" s="31" t="inlineStr">
        <is>
          <t>largecap</t>
        </is>
      </c>
      <c r="F288" s="31" t="n">
        <v>20997.44</v>
      </c>
      <c r="G288" s="31" t="n">
        <v>180</v>
      </c>
      <c r="H288" s="31" t="n">
        <v>-0.41</v>
      </c>
      <c r="I288" s="31" t="n">
        <v>9409784</v>
      </c>
      <c r="J288" s="31" t="inlineStr">
        <is>
          <t>535789</t>
        </is>
      </c>
    </row>
    <row r="289">
      <c r="A289" s="31" t="inlineStr">
        <is>
          <t>VINCOFE</t>
        </is>
      </c>
      <c r="B289" s="31" t="inlineStr">
        <is>
          <t>Vintage Coffee &amp; Beverages Ltd</t>
        </is>
      </c>
      <c r="C289" s="31" t="inlineStr">
        <is>
          <t>consumer discretionary</t>
        </is>
      </c>
      <c r="D289" s="31" t="inlineStr">
        <is>
          <t>trading</t>
        </is>
      </c>
      <c r="E289" s="31" t="inlineStr">
        <is>
          <t>smallcap</t>
        </is>
      </c>
      <c r="F289" s="31" t="n">
        <v>2265.75</v>
      </c>
      <c r="G289" s="31" t="n">
        <v>154.87</v>
      </c>
      <c r="H289" s="31" t="n">
        <v>-0.42</v>
      </c>
      <c r="I289" s="31" t="n">
        <v>1514168</v>
      </c>
      <c r="J289" s="31" t="inlineStr">
        <is>
          <t>538920</t>
        </is>
      </c>
    </row>
    <row r="290">
      <c r="A290" s="31" t="inlineStr">
        <is>
          <t>WELCORP</t>
        </is>
      </c>
      <c r="B290" s="31" t="inlineStr">
        <is>
          <t>Welspun Corp Limited</t>
        </is>
      </c>
      <c r="C290" s="31" t="inlineStr">
        <is>
          <t>industrials</t>
        </is>
      </c>
      <c r="D290" s="31" t="inlineStr">
        <is>
          <t>steel - large</t>
        </is>
      </c>
      <c r="E290" s="31" t="inlineStr">
        <is>
          <t>largecap</t>
        </is>
      </c>
      <c r="F290" s="31" t="n">
        <v>36395.2</v>
      </c>
      <c r="G290" s="31" t="n">
        <v>1373.8</v>
      </c>
      <c r="H290" s="31" t="n">
        <v>-0.43</v>
      </c>
      <c r="I290" s="31" t="n">
        <v>438543</v>
      </c>
      <c r="J290" s="31" t="inlineStr">
        <is>
          <t>532144</t>
        </is>
      </c>
    </row>
    <row r="291">
      <c r="A291" s="31" t="inlineStr">
        <is>
          <t>PRIVISCL</t>
        </is>
      </c>
      <c r="B291" s="31" t="inlineStr">
        <is>
          <t>Privi Speciality Chemicals Ltd</t>
        </is>
      </c>
      <c r="C291" s="31" t="inlineStr">
        <is>
          <t>chemicals</t>
        </is>
      </c>
      <c r="D291" s="31" t="inlineStr">
        <is>
          <t>chemicals</t>
        </is>
      </c>
      <c r="E291" s="31" t="inlineStr">
        <is>
          <t>midcap</t>
        </is>
      </c>
      <c r="F291" s="31" t="n">
        <v>13551.24</v>
      </c>
      <c r="G291" s="31" t="n">
        <v>3453.7</v>
      </c>
      <c r="H291" s="31" t="n">
        <v>-0.44</v>
      </c>
      <c r="I291" s="31" t="n">
        <v>43728</v>
      </c>
      <c r="J291" s="31" t="inlineStr">
        <is>
          <t>530117</t>
        </is>
      </c>
    </row>
    <row r="292">
      <c r="A292" s="31" t="inlineStr">
        <is>
          <t>ARVIND</t>
        </is>
      </c>
      <c r="B292" s="31" t="inlineStr">
        <is>
          <t>Arvind Limited</t>
        </is>
      </c>
      <c r="C292" s="31" t="inlineStr">
        <is>
          <t>textiles</t>
        </is>
      </c>
      <c r="D292" s="31" t="inlineStr">
        <is>
          <t>textiles - cotton/blended</t>
        </is>
      </c>
      <c r="E292" s="31" t="inlineStr">
        <is>
          <t>midcap</t>
        </is>
      </c>
      <c r="F292" s="31" t="n">
        <v>13071.66</v>
      </c>
      <c r="G292" s="31" t="n">
        <v>496.4</v>
      </c>
      <c r="H292" s="31" t="n">
        <v>-0.46</v>
      </c>
      <c r="I292" s="31" t="n">
        <v>607918</v>
      </c>
      <c r="J292" s="31" t="inlineStr">
        <is>
          <t>500101</t>
        </is>
      </c>
    </row>
    <row r="293">
      <c r="A293" s="31" t="inlineStr">
        <is>
          <t>DCBBANK</t>
        </is>
      </c>
      <c r="B293" s="31" t="inlineStr">
        <is>
          <t>Dcb Bank Limited</t>
        </is>
      </c>
      <c r="C293" s="31" t="inlineStr">
        <is>
          <t>bank</t>
        </is>
      </c>
      <c r="D293" s="31" t="inlineStr">
        <is>
          <t>banks - private sector</t>
        </is>
      </c>
      <c r="E293" s="31" t="inlineStr">
        <is>
          <t>midcap</t>
        </is>
      </c>
      <c r="F293" s="31" t="n">
        <v>5942.63</v>
      </c>
      <c r="G293" s="31" t="n">
        <v>183.73</v>
      </c>
      <c r="H293" s="31" t="n">
        <v>-0.48</v>
      </c>
      <c r="I293" s="31" t="n">
        <v>564724</v>
      </c>
      <c r="J293" s="31" t="inlineStr">
        <is>
          <t>532772</t>
        </is>
      </c>
    </row>
    <row r="294">
      <c r="A294" s="31" t="inlineStr">
        <is>
          <t>SHYAMMETL</t>
        </is>
      </c>
      <c r="B294" s="31" t="inlineStr">
        <is>
          <t>Shyam Metalics &amp; Energy Ltd</t>
        </is>
      </c>
      <c r="C294" s="31" t="inlineStr">
        <is>
          <t>metals &amp; mining</t>
        </is>
      </c>
      <c r="D294" s="31" t="inlineStr">
        <is>
          <t>steel - large</t>
        </is>
      </c>
      <c r="E294" s="31" t="inlineStr">
        <is>
          <t>largecap</t>
        </is>
      </c>
      <c r="F294" s="31" t="n">
        <v>27071.6</v>
      </c>
      <c r="G294" s="31" t="n">
        <v>965.1</v>
      </c>
      <c r="H294" s="31" t="n">
        <v>-0.49</v>
      </c>
      <c r="I294" s="31" t="n">
        <v>595682</v>
      </c>
      <c r="J294" s="31" t="inlineStr">
        <is>
          <t>543299</t>
        </is>
      </c>
    </row>
    <row r="295">
      <c r="A295" s="31" t="inlineStr">
        <is>
          <t>MAITHANALL</t>
        </is>
      </c>
      <c r="B295" s="31" t="inlineStr">
        <is>
          <t>Maithan Alloys Limited</t>
        </is>
      </c>
      <c r="C295" s="31" t="inlineStr">
        <is>
          <t>metals &amp; mining</t>
        </is>
      </c>
      <c r="D295" s="31" t="inlineStr">
        <is>
          <t>mining / minerals / metals</t>
        </is>
      </c>
      <c r="E295" s="31" t="inlineStr">
        <is>
          <t>smallcap</t>
        </is>
      </c>
      <c r="F295" s="31" t="n">
        <v>3094.27</v>
      </c>
      <c r="G295" s="31" t="n">
        <v>1057.5</v>
      </c>
      <c r="H295" s="31" t="n">
        <v>-0.51</v>
      </c>
      <c r="I295" s="31" t="n">
        <v>100305</v>
      </c>
      <c r="J295" s="31" t="inlineStr">
        <is>
          <t>590078</t>
        </is>
      </c>
    </row>
    <row r="296">
      <c r="A296" s="31" t="inlineStr">
        <is>
          <t>CUMMINSIND</t>
        </is>
      </c>
      <c r="B296" s="31" t="inlineStr">
        <is>
          <t>Cummins India Limited</t>
        </is>
      </c>
      <c r="C296" s="31" t="inlineStr">
        <is>
          <t>industrials</t>
        </is>
      </c>
      <c r="D296" s="31" t="inlineStr">
        <is>
          <t>engines</t>
        </is>
      </c>
      <c r="E296" s="31" t="inlineStr">
        <is>
          <t>largecap</t>
        </is>
      </c>
      <c r="F296" s="31" t="n">
        <v>159500.88</v>
      </c>
      <c r="G296" s="31" t="n">
        <v>5723.5</v>
      </c>
      <c r="H296" s="31" t="n">
        <v>-0.53</v>
      </c>
      <c r="I296" s="31" t="n">
        <v>257257</v>
      </c>
      <c r="J296" s="31" t="inlineStr">
        <is>
          <t>500480</t>
        </is>
      </c>
    </row>
    <row r="297">
      <c r="A297" s="31" t="inlineStr">
        <is>
          <t>ZIMLAB</t>
        </is>
      </c>
      <c r="B297" s="31" t="inlineStr">
        <is>
          <t>Zim Laboratories Ltd</t>
        </is>
      </c>
      <c r="C297" s="31" t="inlineStr">
        <is>
          <t>healthcare</t>
        </is>
      </c>
      <c r="D297" s="31" t="inlineStr">
        <is>
          <t>pharmaceuticals - indian - bulk drugs &amp; formln</t>
        </is>
      </c>
      <c r="E297" s="31" t="inlineStr">
        <is>
          <t>smallcap</t>
        </is>
      </c>
      <c r="F297" s="31" t="n">
        <v>598.24</v>
      </c>
      <c r="G297" s="31" t="n">
        <v>111.23</v>
      </c>
      <c r="H297" s="31" t="n">
        <v>-0.53</v>
      </c>
      <c r="I297" s="31" t="n">
        <v>30930</v>
      </c>
      <c r="J297" s="31" t="inlineStr">
        <is>
          <t>541400</t>
        </is>
      </c>
    </row>
    <row r="298">
      <c r="A298" s="31" t="inlineStr">
        <is>
          <t>SBIN</t>
        </is>
      </c>
      <c r="B298" s="31" t="inlineStr">
        <is>
          <t>State Bank Of India Ltd</t>
        </is>
      </c>
      <c r="C298" s="31" t="inlineStr">
        <is>
          <t>bank</t>
        </is>
      </c>
      <c r="D298" s="31" t="inlineStr">
        <is>
          <t>banks - public sector</t>
        </is>
      </c>
      <c r="E298" s="31" t="inlineStr">
        <is>
          <t>largecap</t>
        </is>
      </c>
      <c r="F298" s="31" t="n">
        <v>942307.6</v>
      </c>
      <c r="G298" s="31" t="n">
        <v>1015.3</v>
      </c>
      <c r="H298" s="31" t="n">
        <v>-0.54</v>
      </c>
      <c r="I298" s="31" t="n">
        <v>9693677</v>
      </c>
      <c r="J298" s="31" t="inlineStr">
        <is>
          <t>500112</t>
        </is>
      </c>
    </row>
    <row r="299">
      <c r="A299" s="31" t="inlineStr">
        <is>
          <t>THERMAX</t>
        </is>
      </c>
      <c r="B299" s="31" t="inlineStr">
        <is>
          <t>Thermax Limited</t>
        </is>
      </c>
      <c r="C299" s="31" t="inlineStr">
        <is>
          <t>industrials</t>
        </is>
      </c>
      <c r="D299" s="31" t="inlineStr">
        <is>
          <t>electric equipment</t>
        </is>
      </c>
      <c r="E299" s="31" t="inlineStr">
        <is>
          <t>largecap</t>
        </is>
      </c>
      <c r="F299" s="31" t="n">
        <v>56492</v>
      </c>
      <c r="G299" s="31" t="n">
        <v>4714.6</v>
      </c>
      <c r="H299" s="31" t="n">
        <v>-0.5600000000000001</v>
      </c>
      <c r="I299" s="31" t="n">
        <v>91904</v>
      </c>
      <c r="J299" s="31" t="inlineStr">
        <is>
          <t>500411</t>
        </is>
      </c>
    </row>
    <row r="300">
      <c r="A300" s="31" t="inlineStr">
        <is>
          <t>AMBIKCO</t>
        </is>
      </c>
      <c r="B300" s="31" t="inlineStr">
        <is>
          <t>Ambika Cotton Mills Limited</t>
        </is>
      </c>
      <c r="C300" s="31" t="inlineStr">
        <is>
          <t>textiles</t>
        </is>
      </c>
      <c r="D300" s="31" t="inlineStr">
        <is>
          <t>textiles - cotton/blended</t>
        </is>
      </c>
      <c r="E300" s="31" t="inlineStr">
        <is>
          <t>smallcap</t>
        </is>
      </c>
      <c r="F300" s="31" t="n">
        <v>936.61</v>
      </c>
      <c r="G300" s="31" t="n">
        <v>1626.7</v>
      </c>
      <c r="H300" s="31" t="n">
        <v>-0.57</v>
      </c>
      <c r="I300" s="31" t="n">
        <v>4716</v>
      </c>
      <c r="J300" s="31" t="inlineStr">
        <is>
          <t>531978</t>
        </is>
      </c>
    </row>
    <row r="301">
      <c r="A301" s="31" t="inlineStr">
        <is>
          <t>HESTERBIO</t>
        </is>
      </c>
      <c r="B301" s="31" t="inlineStr">
        <is>
          <t>Hester Biosciences Limited</t>
        </is>
      </c>
      <c r="C301" s="31" t="inlineStr">
        <is>
          <t>healthcare</t>
        </is>
      </c>
      <c r="D301" s="31" t="inlineStr">
        <is>
          <t>pharmaceuticals - indian - formulations</t>
        </is>
      </c>
      <c r="E301" s="31" t="inlineStr">
        <is>
          <t>smallcap</t>
        </is>
      </c>
      <c r="F301" s="31" t="n">
        <v>1758.03</v>
      </c>
      <c r="G301" s="31" t="n">
        <v>2054.4</v>
      </c>
      <c r="H301" s="31" t="n">
        <v>-0.59</v>
      </c>
      <c r="I301" s="31" t="n">
        <v>5742</v>
      </c>
      <c r="J301" s="31" t="inlineStr">
        <is>
          <t>524669</t>
        </is>
      </c>
    </row>
    <row r="302">
      <c r="A302" s="31" t="inlineStr">
        <is>
          <t>PITTIENG</t>
        </is>
      </c>
      <c r="B302" s="31" t="inlineStr">
        <is>
          <t>Pitti Engineering Ltd</t>
        </is>
      </c>
      <c r="C302" s="31" t="inlineStr">
        <is>
          <t>industrials</t>
        </is>
      </c>
      <c r="D302" s="31" t="inlineStr">
        <is>
          <t>engineering</t>
        </is>
      </c>
      <c r="E302" s="31" t="inlineStr">
        <is>
          <t>smallcap</t>
        </is>
      </c>
      <c r="F302" s="31" t="n">
        <v>3680.64</v>
      </c>
      <c r="G302" s="31" t="n">
        <v>971.55</v>
      </c>
      <c r="H302" s="31" t="n">
        <v>-0.61</v>
      </c>
      <c r="I302" s="31" t="n">
        <v>20261</v>
      </c>
      <c r="J302" s="31" t="inlineStr">
        <is>
          <t>513519</t>
        </is>
      </c>
    </row>
    <row r="303">
      <c r="A303" s="31" t="inlineStr">
        <is>
          <t>PIXTRANS</t>
        </is>
      </c>
      <c r="B303" s="31" t="inlineStr">
        <is>
          <t>Pix Transmission Ltd</t>
        </is>
      </c>
      <c r="C303" s="31" t="inlineStr">
        <is>
          <t>fmcg</t>
        </is>
      </c>
      <c r="D303" s="31" t="inlineStr">
        <is>
          <t>miscellaneous</t>
        </is>
      </c>
      <c r="E303" s="31" t="inlineStr">
        <is>
          <t>smallcap</t>
        </is>
      </c>
      <c r="F303" s="31" t="n">
        <v>2213.28</v>
      </c>
      <c r="G303" s="31" t="n">
        <v>1614.3</v>
      </c>
      <c r="H303" s="31" t="n">
        <v>-0.62</v>
      </c>
      <c r="I303" s="31" t="n">
        <v>13677</v>
      </c>
      <c r="J303" s="31" t="inlineStr">
        <is>
          <t>500333</t>
        </is>
      </c>
    </row>
    <row r="304">
      <c r="A304" s="31" t="inlineStr">
        <is>
          <t>GOCLCORP</t>
        </is>
      </c>
      <c r="B304" s="31" t="inlineStr">
        <is>
          <t>Gocl Corporation Limited</t>
        </is>
      </c>
      <c r="C304" s="31" t="inlineStr">
        <is>
          <t>miscellaneous</t>
        </is>
      </c>
      <c r="D304" s="31" t="inlineStr">
        <is>
          <t>diversified - medium / small</t>
        </is>
      </c>
      <c r="E304" s="31" t="inlineStr">
        <is>
          <t>smallcap</t>
        </is>
      </c>
      <c r="F304" s="31" t="n">
        <v>2006.45</v>
      </c>
      <c r="G304" s="31" t="n">
        <v>402.2</v>
      </c>
      <c r="H304" s="31" t="n">
        <v>-0.63</v>
      </c>
      <c r="I304" s="31" t="n">
        <v>31471</v>
      </c>
      <c r="J304" s="31" t="inlineStr">
        <is>
          <t>506480</t>
        </is>
      </c>
    </row>
    <row r="305">
      <c r="A305" s="31" t="inlineStr">
        <is>
          <t>WHEELS</t>
        </is>
      </c>
      <c r="B305" s="31" t="inlineStr">
        <is>
          <t>Wheels India Limited</t>
        </is>
      </c>
      <c r="C305" s="31" t="inlineStr">
        <is>
          <t>auto</t>
        </is>
      </c>
      <c r="D305" s="31" t="inlineStr">
        <is>
          <t>auto ancillaries</t>
        </is>
      </c>
      <c r="E305" s="31" t="inlineStr">
        <is>
          <t>smallcap</t>
        </is>
      </c>
      <c r="F305" s="31" t="n">
        <v>3929.07</v>
      </c>
      <c r="G305" s="31" t="n">
        <v>1597.7</v>
      </c>
      <c r="H305" s="31" t="n">
        <v>-0.65</v>
      </c>
      <c r="I305" s="31" t="n">
        <v>121414</v>
      </c>
      <c r="J305" s="31" t="inlineStr">
        <is>
          <t>590073</t>
        </is>
      </c>
    </row>
    <row r="306">
      <c r="A306" s="31" t="inlineStr">
        <is>
          <t>SKYGOLD</t>
        </is>
      </c>
      <c r="B306" s="31" t="inlineStr">
        <is>
          <t>Sky Gold Ltd</t>
        </is>
      </c>
      <c r="C306" s="31" t="inlineStr">
        <is>
          <t>consumer discretionary</t>
        </is>
      </c>
      <c r="D306" s="31" t="inlineStr">
        <is>
          <t>diamond cutting / jewellery</t>
        </is>
      </c>
      <c r="E306" s="31" t="inlineStr">
        <is>
          <t>midcap</t>
        </is>
      </c>
      <c r="F306" s="31" t="n">
        <v>8264.84</v>
      </c>
      <c r="G306" s="31" t="n">
        <v>530</v>
      </c>
      <c r="H306" s="31" t="n">
        <v>-0.68</v>
      </c>
      <c r="I306" s="31" t="n">
        <v>587963</v>
      </c>
      <c r="J306" s="31" t="inlineStr">
        <is>
          <t>541967</t>
        </is>
      </c>
    </row>
    <row r="307">
      <c r="A307" s="31" t="inlineStr">
        <is>
          <t>RAJRATAN</t>
        </is>
      </c>
      <c r="B307" s="31" t="inlineStr">
        <is>
          <t>Rajratan Global Wire Ltd</t>
        </is>
      </c>
      <c r="C307" s="31" t="inlineStr">
        <is>
          <t>metals &amp; mining</t>
        </is>
      </c>
      <c r="D307" s="31" t="inlineStr">
        <is>
          <t>steel - medium / small</t>
        </is>
      </c>
      <c r="E307" s="31" t="inlineStr">
        <is>
          <t>smallcap</t>
        </is>
      </c>
      <c r="F307" s="31" t="n">
        <v>2314.4</v>
      </c>
      <c r="G307" s="31" t="n">
        <v>452.7</v>
      </c>
      <c r="H307" s="31" t="n">
        <v>-0.6899999999999999</v>
      </c>
      <c r="I307" s="31" t="n">
        <v>56406</v>
      </c>
      <c r="J307" s="31" t="inlineStr">
        <is>
          <t>517522</t>
        </is>
      </c>
    </row>
    <row r="308">
      <c r="A308" s="31" t="inlineStr">
        <is>
          <t>TMPV</t>
        </is>
      </c>
      <c r="B308" s="31" t="inlineStr">
        <is>
          <t>Tata Motors Passenger Vehicles Ltd</t>
        </is>
      </c>
      <c r="C308" s="31" t="inlineStr">
        <is>
          <t>auto</t>
        </is>
      </c>
      <c r="D308" s="31" t="inlineStr">
        <is>
          <t>automobiles - passenger cars</t>
        </is>
      </c>
      <c r="E308" s="31" t="inlineStr">
        <is>
          <t>largecap</t>
        </is>
      </c>
      <c r="F308" s="31" t="n">
        <v>145969.45</v>
      </c>
      <c r="G308" s="31" t="n">
        <v>393.6</v>
      </c>
      <c r="H308" s="31" t="n">
        <v>-0.71</v>
      </c>
      <c r="I308" s="31" t="n">
        <v>6432360</v>
      </c>
      <c r="J308" s="31" t="inlineStr">
        <is>
          <t>500570</t>
        </is>
      </c>
    </row>
    <row r="309">
      <c r="A309" s="31" t="inlineStr">
        <is>
          <t>GANESHBE</t>
        </is>
      </c>
      <c r="B309" s="31" t="inlineStr">
        <is>
          <t>Ganesh Benzoplast Ltd</t>
        </is>
      </c>
      <c r="C309" s="31" t="inlineStr">
        <is>
          <t>miscellaneous</t>
        </is>
      </c>
      <c r="D309" s="31" t="inlineStr">
        <is>
          <t>miscellaneous</t>
        </is>
      </c>
      <c r="E309" s="31" t="inlineStr">
        <is>
          <t>smallcap</t>
        </is>
      </c>
      <c r="F309" s="31" t="n">
        <v>758.98</v>
      </c>
      <c r="G309" s="31" t="n">
        <v>104.67</v>
      </c>
      <c r="H309" s="31" t="n">
        <v>-0.72</v>
      </c>
      <c r="I309" s="31" t="n">
        <v>298193</v>
      </c>
      <c r="J309" s="31" t="inlineStr">
        <is>
          <t>500153</t>
        </is>
      </c>
    </row>
    <row r="310">
      <c r="A310" s="31" t="inlineStr">
        <is>
          <t>JNKINDIA</t>
        </is>
      </c>
      <c r="B310" s="31" t="inlineStr">
        <is>
          <t>JNK India Ltd</t>
        </is>
      </c>
      <c r="C310" s="31" t="inlineStr">
        <is>
          <t>realty</t>
        </is>
      </c>
      <c r="D310" s="31" t="inlineStr">
        <is>
          <t>engineering - turnkey services</t>
        </is>
      </c>
      <c r="E310" s="31" t="inlineStr">
        <is>
          <t>smallcap</t>
        </is>
      </c>
      <c r="F310" s="31" t="n">
        <v>2774.75</v>
      </c>
      <c r="G310" s="31" t="n">
        <v>492.35</v>
      </c>
      <c r="H310" s="31" t="n">
        <v>-0.72</v>
      </c>
      <c r="I310" s="31" t="n">
        <v>478564</v>
      </c>
      <c r="J310" s="31" t="inlineStr">
        <is>
          <t>544167</t>
        </is>
      </c>
    </row>
    <row r="311">
      <c r="A311" s="31" t="inlineStr">
        <is>
          <t>HNDFDS</t>
        </is>
      </c>
      <c r="B311" s="31" t="inlineStr">
        <is>
          <t>Hindustan Foods Ltd</t>
        </is>
      </c>
      <c r="C311" s="31" t="inlineStr">
        <is>
          <t>fmcg</t>
        </is>
      </c>
      <c r="D311" s="31" t="inlineStr">
        <is>
          <t>diversified - large</t>
        </is>
      </c>
      <c r="E311" s="31" t="inlineStr">
        <is>
          <t>midcap</t>
        </is>
      </c>
      <c r="F311" s="31" t="n">
        <v>6663.5</v>
      </c>
      <c r="G311" s="31" t="n">
        <v>553.55</v>
      </c>
      <c r="H311" s="31" t="n">
        <v>-0.74</v>
      </c>
      <c r="I311" s="31" t="n">
        <v>44916</v>
      </c>
      <c r="J311" s="31" t="inlineStr">
        <is>
          <t>519126</t>
        </is>
      </c>
    </row>
    <row r="312">
      <c r="A312" s="31" t="inlineStr">
        <is>
          <t>RISHABH</t>
        </is>
      </c>
      <c r="B312" s="31" t="inlineStr">
        <is>
          <t>Rishabh Instruments Ltd</t>
        </is>
      </c>
      <c r="C312" s="31" t="inlineStr">
        <is>
          <t>industrials</t>
        </is>
      </c>
      <c r="D312" s="31" t="inlineStr">
        <is>
          <t>electric equipment</t>
        </is>
      </c>
      <c r="E312" s="31" t="inlineStr">
        <is>
          <t>smallcap</t>
        </is>
      </c>
      <c r="F312" s="31" t="n">
        <v>2140.46</v>
      </c>
      <c r="G312" s="31" t="n">
        <v>551.15</v>
      </c>
      <c r="H312" s="31" t="n">
        <v>-0.75</v>
      </c>
      <c r="I312" s="31" t="n">
        <v>198097</v>
      </c>
      <c r="J312" s="31" t="inlineStr">
        <is>
          <t>543977</t>
        </is>
      </c>
    </row>
    <row r="313">
      <c r="A313" s="31" t="inlineStr">
        <is>
          <t>GRASIM</t>
        </is>
      </c>
      <c r="B313" s="31" t="inlineStr">
        <is>
          <t>Grasim Industries Limited</t>
        </is>
      </c>
      <c r="C313" s="31" t="inlineStr">
        <is>
          <t>textiles</t>
        </is>
      </c>
      <c r="D313" s="31" t="inlineStr">
        <is>
          <t>textiles - manmade</t>
        </is>
      </c>
      <c r="E313" s="31" t="inlineStr">
        <is>
          <t>largecap</t>
        </is>
      </c>
      <c r="F313" s="31" t="n">
        <v>215369.72</v>
      </c>
      <c r="G313" s="31" t="n">
        <v>3140.3</v>
      </c>
      <c r="H313" s="31" t="n">
        <v>-0.76</v>
      </c>
      <c r="I313" s="31" t="n">
        <v>308307</v>
      </c>
      <c r="J313" s="31" t="inlineStr">
        <is>
          <t>500300</t>
        </is>
      </c>
    </row>
    <row r="314">
      <c r="A314" s="31" t="inlineStr">
        <is>
          <t>MANALIPETC</t>
        </is>
      </c>
      <c r="B314" s="31" t="inlineStr">
        <is>
          <t>Manali Petrochemicals Limited</t>
        </is>
      </c>
      <c r="C314" s="31" t="inlineStr">
        <is>
          <t>energy</t>
        </is>
      </c>
      <c r="D314" s="31" t="inlineStr">
        <is>
          <t>petrochemicals</t>
        </is>
      </c>
      <c r="E314" s="31" t="inlineStr">
        <is>
          <t>smallcap</t>
        </is>
      </c>
      <c r="F314" s="31" t="n">
        <v>1173.03</v>
      </c>
      <c r="G314" s="31" t="n">
        <v>67.68000000000001</v>
      </c>
      <c r="H314" s="31" t="n">
        <v>-0.76</v>
      </c>
      <c r="I314" s="31" t="n">
        <v>1371398</v>
      </c>
      <c r="J314" s="31" t="inlineStr">
        <is>
          <t>500268</t>
        </is>
      </c>
    </row>
    <row r="315">
      <c r="A315" s="31" t="inlineStr">
        <is>
          <t>INDUSINDBK</t>
        </is>
      </c>
      <c r="B315" s="31" t="inlineStr">
        <is>
          <t>Indusind Bank Limited</t>
        </is>
      </c>
      <c r="C315" s="31" t="inlineStr">
        <is>
          <t>bank</t>
        </is>
      </c>
      <c r="D315" s="31" t="inlineStr">
        <is>
          <t>banks - private sector</t>
        </is>
      </c>
      <c r="E315" s="31" t="inlineStr">
        <is>
          <t>largecap</t>
        </is>
      </c>
      <c r="F315" s="31" t="n">
        <v>72706.17999999999</v>
      </c>
      <c r="G315" s="31" t="n">
        <v>926</v>
      </c>
      <c r="H315" s="31" t="n">
        <v>-0.77</v>
      </c>
      <c r="I315" s="31" t="n">
        <v>1602315</v>
      </c>
      <c r="J315" s="31" t="inlineStr">
        <is>
          <t>532187</t>
        </is>
      </c>
    </row>
    <row r="316">
      <c r="A316" s="31" t="inlineStr">
        <is>
          <t>UNIMECH</t>
        </is>
      </c>
      <c r="B316" s="31" t="inlineStr">
        <is>
          <t>Unimech Aerospace and Manufacturing Ltd</t>
        </is>
      </c>
      <c r="C316" s="31" t="inlineStr">
        <is>
          <t>aerospace &amp; defence</t>
        </is>
      </c>
      <c r="D316" s="31" t="inlineStr">
        <is>
          <t>engineering</t>
        </is>
      </c>
      <c r="E316" s="31" t="inlineStr">
        <is>
          <t>midcap</t>
        </is>
      </c>
      <c r="F316" s="31" t="n">
        <v>5832.52</v>
      </c>
      <c r="G316" s="31" t="n">
        <v>1137.9</v>
      </c>
      <c r="H316" s="31" t="n">
        <v>-0.78</v>
      </c>
      <c r="I316" s="31" t="n">
        <v>73392</v>
      </c>
      <c r="J316" s="31" t="inlineStr">
        <is>
          <t>544322</t>
        </is>
      </c>
    </row>
    <row r="317">
      <c r="A317" s="31" t="inlineStr">
        <is>
          <t>RBLBANK</t>
        </is>
      </c>
      <c r="B317" s="31" t="inlineStr">
        <is>
          <t>Rbl Bank Limited</t>
        </is>
      </c>
      <c r="C317" s="31" t="inlineStr">
        <is>
          <t>bank</t>
        </is>
      </c>
      <c r="D317" s="31" t="inlineStr">
        <is>
          <t>banks - private sector</t>
        </is>
      </c>
      <c r="E317" s="31" t="inlineStr">
        <is>
          <t>largecap</t>
        </is>
      </c>
      <c r="F317" s="31" t="n">
        <v>23033.92</v>
      </c>
      <c r="G317" s="31" t="n">
        <v>369.7</v>
      </c>
      <c r="H317" s="31" t="n">
        <v>-0.79</v>
      </c>
      <c r="I317" s="31" t="n">
        <v>4125957</v>
      </c>
      <c r="J317" s="31" t="inlineStr">
        <is>
          <t>540065</t>
        </is>
      </c>
    </row>
    <row r="318">
      <c r="A318" s="31" t="inlineStr">
        <is>
          <t>KIRLOSENG</t>
        </is>
      </c>
      <c r="B318" s="31" t="inlineStr">
        <is>
          <t>Kirloskar Oil Engines Limited</t>
        </is>
      </c>
      <c r="C318" s="31" t="inlineStr">
        <is>
          <t>industrials</t>
        </is>
      </c>
      <c r="D318" s="31" t="inlineStr">
        <is>
          <t>engines</t>
        </is>
      </c>
      <c r="E318" s="31" t="inlineStr">
        <is>
          <t>largecap</t>
        </is>
      </c>
      <c r="F318" s="31" t="n">
        <v>28109.56</v>
      </c>
      <c r="G318" s="31" t="n">
        <v>1918.5</v>
      </c>
      <c r="H318" s="31" t="n">
        <v>-0.79</v>
      </c>
      <c r="I318" s="31" t="n">
        <v>187561</v>
      </c>
      <c r="J318" s="31" t="inlineStr">
        <is>
          <t>533293</t>
        </is>
      </c>
    </row>
    <row r="319">
      <c r="A319" s="31" t="inlineStr">
        <is>
          <t>AADHARHFC</t>
        </is>
      </c>
      <c r="B319" s="31" t="inlineStr">
        <is>
          <t>Aadhar Housing Finance Ltd</t>
        </is>
      </c>
      <c r="C319" s="31" t="inlineStr">
        <is>
          <t>financials</t>
        </is>
      </c>
      <c r="D319" s="31" t="inlineStr">
        <is>
          <t>finance - housing</t>
        </is>
      </c>
      <c r="E319" s="31" t="inlineStr">
        <is>
          <t>largecap</t>
        </is>
      </c>
      <c r="F319" s="31" t="n">
        <v>21303.73</v>
      </c>
      <c r="G319" s="31" t="n">
        <v>485</v>
      </c>
      <c r="H319" s="31" t="n">
        <v>-0.8100000000000001</v>
      </c>
      <c r="I319" s="31" t="n">
        <v>387503</v>
      </c>
      <c r="J319" s="31" t="inlineStr">
        <is>
          <t>544176</t>
        </is>
      </c>
    </row>
    <row r="320">
      <c r="A320" s="31" t="inlineStr">
        <is>
          <t>VENUSREM</t>
        </is>
      </c>
      <c r="B320" s="31" t="inlineStr">
        <is>
          <t>Venus Remedies Limited</t>
        </is>
      </c>
      <c r="C320" s="31" t="inlineStr">
        <is>
          <t>healthcare</t>
        </is>
      </c>
      <c r="D320" s="31" t="inlineStr">
        <is>
          <t>pharmaceuticals - indian - formulations</t>
        </is>
      </c>
      <c r="E320" s="31" t="inlineStr">
        <is>
          <t>smallcap</t>
        </is>
      </c>
      <c r="F320" s="31" t="n">
        <v>2517</v>
      </c>
      <c r="G320" s="31" t="n">
        <v>1867.8</v>
      </c>
      <c r="H320" s="31" t="n">
        <v>-0.8100000000000001</v>
      </c>
      <c r="I320" s="31" t="n">
        <v>87778</v>
      </c>
      <c r="J320" s="31" t="inlineStr">
        <is>
          <t>526953</t>
        </is>
      </c>
    </row>
    <row r="321">
      <c r="A321" s="31" t="inlineStr">
        <is>
          <t>CERA</t>
        </is>
      </c>
      <c r="B321" s="31" t="inlineStr">
        <is>
          <t>Cera Sanitaryware Limited</t>
        </is>
      </c>
      <c r="C321" s="31" t="inlineStr">
        <is>
          <t>building materials</t>
        </is>
      </c>
      <c r="D321" s="31" t="inlineStr">
        <is>
          <t>ceramics - tiles / sanitaryware</t>
        </is>
      </c>
      <c r="E321" s="31" t="inlineStr">
        <is>
          <t>midcap</t>
        </is>
      </c>
      <c r="F321" s="31" t="n">
        <v>8072.57</v>
      </c>
      <c r="G321" s="31" t="n">
        <v>6208</v>
      </c>
      <c r="H321" s="31" t="n">
        <v>-0.8100000000000001</v>
      </c>
      <c r="I321" s="31" t="n">
        <v>7569</v>
      </c>
      <c r="J321" s="31" t="inlineStr">
        <is>
          <t>532443</t>
        </is>
      </c>
    </row>
    <row r="322">
      <c r="A322" s="31" t="inlineStr">
        <is>
          <t>MINDACORP</t>
        </is>
      </c>
      <c r="B322" s="31" t="inlineStr">
        <is>
          <t>Minda Corporation Limited</t>
        </is>
      </c>
      <c r="C322" s="31" t="inlineStr">
        <is>
          <t>auto</t>
        </is>
      </c>
      <c r="D322" s="31" t="inlineStr">
        <is>
          <t>auto ancillaries</t>
        </is>
      </c>
      <c r="E322" s="31" t="inlineStr">
        <is>
          <t>midcap</t>
        </is>
      </c>
      <c r="F322" s="31" t="n">
        <v>15840.21</v>
      </c>
      <c r="G322" s="31" t="n">
        <v>657.1</v>
      </c>
      <c r="H322" s="31" t="n">
        <v>-0.82</v>
      </c>
      <c r="I322" s="31" t="n">
        <v>412328</v>
      </c>
      <c r="J322" s="31" t="inlineStr">
        <is>
          <t>538962</t>
        </is>
      </c>
    </row>
    <row r="323">
      <c r="A323" s="31" t="inlineStr">
        <is>
          <t>DIVGIITTS</t>
        </is>
      </c>
      <c r="B323" s="31" t="inlineStr">
        <is>
          <t>Divgi Torqtransfer Systems Ltd</t>
        </is>
      </c>
      <c r="C323" s="31" t="inlineStr">
        <is>
          <t>auto</t>
        </is>
      </c>
      <c r="D323" s="31" t="inlineStr">
        <is>
          <t>auto ancillaries</t>
        </is>
      </c>
      <c r="E323" s="31" t="inlineStr">
        <is>
          <t>smallcap</t>
        </is>
      </c>
      <c r="F323" s="31" t="n">
        <v>2658.27</v>
      </c>
      <c r="G323" s="31" t="n">
        <v>862.05</v>
      </c>
      <c r="H323" s="31" t="n">
        <v>-0.82</v>
      </c>
      <c r="I323" s="31" t="n">
        <v>66741</v>
      </c>
      <c r="J323" s="31" t="inlineStr">
        <is>
          <t>543812</t>
        </is>
      </c>
    </row>
    <row r="324">
      <c r="A324" s="31" t="inlineStr">
        <is>
          <t>ADOR</t>
        </is>
      </c>
      <c r="B324" s="31" t="inlineStr">
        <is>
          <t>Ador Welding Ltd</t>
        </is>
      </c>
      <c r="C324" s="31" t="inlineStr">
        <is>
          <t>industrials</t>
        </is>
      </c>
      <c r="D324" s="31" t="inlineStr">
        <is>
          <t>electrodes - welding equipment</t>
        </is>
      </c>
      <c r="E324" s="31" t="inlineStr">
        <is>
          <t>smallcap</t>
        </is>
      </c>
      <c r="F324" s="31" t="n">
        <v>2049.7</v>
      </c>
      <c r="G324" s="31" t="n">
        <v>1168</v>
      </c>
      <c r="H324" s="31" t="n">
        <v>-0.83</v>
      </c>
      <c r="I324" s="31" t="n">
        <v>10153</v>
      </c>
      <c r="J324" s="31" t="inlineStr">
        <is>
          <t>517041</t>
        </is>
      </c>
    </row>
    <row r="325">
      <c r="A325" s="31" t="inlineStr">
        <is>
          <t>EICHERMOT</t>
        </is>
      </c>
      <c r="B325" s="31" t="inlineStr">
        <is>
          <t>Eicher Motors Limited</t>
        </is>
      </c>
      <c r="C325" s="31" t="inlineStr">
        <is>
          <t>auto</t>
        </is>
      </c>
      <c r="D325" s="31" t="inlineStr">
        <is>
          <t>automobiles - motorcycles / mopeds</t>
        </is>
      </c>
      <c r="E325" s="31" t="inlineStr">
        <is>
          <t>largecap</t>
        </is>
      </c>
      <c r="F325" s="31" t="n">
        <v>209150.86</v>
      </c>
      <c r="G325" s="31" t="n">
        <v>7560.5</v>
      </c>
      <c r="H325" s="31" t="n">
        <v>-0.84</v>
      </c>
      <c r="I325" s="31" t="n">
        <v>453796</v>
      </c>
      <c r="J325" s="31" t="inlineStr">
        <is>
          <t>505200</t>
        </is>
      </c>
    </row>
    <row r="326">
      <c r="A326" s="31" t="inlineStr">
        <is>
          <t>ASTERDM</t>
        </is>
      </c>
      <c r="B326" s="31" t="inlineStr">
        <is>
          <t>Aster DM Healthcare Ltd</t>
        </is>
      </c>
      <c r="C326" s="31" t="inlineStr">
        <is>
          <t>healthcare</t>
        </is>
      </c>
      <c r="D326" s="31" t="inlineStr">
        <is>
          <t>healthcare</t>
        </is>
      </c>
      <c r="E326" s="31" t="inlineStr">
        <is>
          <t>largecap</t>
        </is>
      </c>
      <c r="F326" s="31" t="n">
        <v>40760.58</v>
      </c>
      <c r="G326" s="31" t="n">
        <v>780.05</v>
      </c>
      <c r="H326" s="31" t="n">
        <v>-0.85</v>
      </c>
      <c r="I326" s="31" t="n">
        <v>440200</v>
      </c>
      <c r="J326" s="31" t="inlineStr">
        <is>
          <t>540975</t>
        </is>
      </c>
    </row>
    <row r="327">
      <c r="A327" s="31" t="inlineStr">
        <is>
          <t>ZYDUSLIFE</t>
        </is>
      </c>
      <c r="B327" s="31" t="inlineStr">
        <is>
          <t>Zydus Lifesciences Ltd</t>
        </is>
      </c>
      <c r="C327" s="31" t="inlineStr">
        <is>
          <t>healthcare</t>
        </is>
      </c>
      <c r="D327" s="31" t="inlineStr">
        <is>
          <t>pharmaceuticals - indian - bulk drugs &amp; formln</t>
        </is>
      </c>
      <c r="E327" s="31" t="inlineStr">
        <is>
          <t>largecap</t>
        </is>
      </c>
      <c r="F327" s="31" t="n">
        <v>109488.32</v>
      </c>
      <c r="G327" s="31" t="n">
        <v>1078.7</v>
      </c>
      <c r="H327" s="31" t="n">
        <v>-0.86</v>
      </c>
      <c r="I327" s="31" t="n">
        <v>1049320</v>
      </c>
      <c r="J327" s="31" t="inlineStr">
        <is>
          <t>532321</t>
        </is>
      </c>
    </row>
    <row r="328">
      <c r="A328" s="31" t="inlineStr">
        <is>
          <t>IMPAL</t>
        </is>
      </c>
      <c r="B328" s="31" t="inlineStr">
        <is>
          <t>India Motor Parts And Accessories Limited</t>
        </is>
      </c>
      <c r="C328" s="31" t="inlineStr">
        <is>
          <t>auto</t>
        </is>
      </c>
      <c r="D328" s="31" t="inlineStr">
        <is>
          <t>auto ancillaries</t>
        </is>
      </c>
      <c r="E328" s="31" t="inlineStr">
        <is>
          <t>smallcap</t>
        </is>
      </c>
      <c r="F328" s="31" t="n">
        <v>1366.06</v>
      </c>
      <c r="G328" s="31" t="n">
        <v>1085.2</v>
      </c>
      <c r="H328" s="31" t="n">
        <v>-0.86</v>
      </c>
      <c r="I328" s="31" t="n">
        <v>1423</v>
      </c>
      <c r="J328" s="31" t="inlineStr">
        <is>
          <t>590065</t>
        </is>
      </c>
    </row>
    <row r="329">
      <c r="A329" s="31" t="inlineStr">
        <is>
          <t>GABRIEL</t>
        </is>
      </c>
      <c r="B329" s="31" t="inlineStr">
        <is>
          <t>Gabriel India Limited</t>
        </is>
      </c>
      <c r="C329" s="31" t="inlineStr">
        <is>
          <t>auto</t>
        </is>
      </c>
      <c r="D329" s="31" t="inlineStr">
        <is>
          <t>auto ancillaries</t>
        </is>
      </c>
      <c r="E329" s="31" t="inlineStr">
        <is>
          <t>midcap</t>
        </is>
      </c>
      <c r="F329" s="31" t="n">
        <v>16465.9</v>
      </c>
      <c r="G329" s="31" t="n">
        <v>1136.4</v>
      </c>
      <c r="H329" s="31" t="n">
        <v>-0.86</v>
      </c>
      <c r="I329" s="31" t="n">
        <v>1031669</v>
      </c>
      <c r="J329" s="31" t="inlineStr">
        <is>
          <t>505714</t>
        </is>
      </c>
    </row>
    <row r="330">
      <c r="A330" s="31" t="inlineStr">
        <is>
          <t>SFL</t>
        </is>
      </c>
      <c r="B330" s="31" t="inlineStr">
        <is>
          <t>Sheela Foam Limited</t>
        </is>
      </c>
      <c r="C330" s="31" t="inlineStr">
        <is>
          <t>consumer discretionary</t>
        </is>
      </c>
      <c r="D330" s="31" t="inlineStr">
        <is>
          <t>miscellaneous</t>
        </is>
      </c>
      <c r="E330" s="31" t="inlineStr">
        <is>
          <t>midcap</t>
        </is>
      </c>
      <c r="F330" s="31" t="n">
        <v>7714.12</v>
      </c>
      <c r="G330" s="31" t="n">
        <v>703.45</v>
      </c>
      <c r="H330" s="31" t="n">
        <v>-0.87</v>
      </c>
      <c r="I330" s="31" t="n">
        <v>127932</v>
      </c>
      <c r="J330" s="31" t="inlineStr">
        <is>
          <t>540203</t>
        </is>
      </c>
    </row>
    <row r="331">
      <c r="A331" s="31" t="inlineStr">
        <is>
          <t>SUPRIYA</t>
        </is>
      </c>
      <c r="B331" s="31" t="inlineStr">
        <is>
          <t>Supriya Lifescience Ltd</t>
        </is>
      </c>
      <c r="C331" s="31" t="inlineStr">
        <is>
          <t>healthcare</t>
        </is>
      </c>
      <c r="D331" s="31" t="inlineStr">
        <is>
          <t>pharmaceuticals - indian - bulk drugs &amp; formln</t>
        </is>
      </c>
      <c r="E331" s="31" t="inlineStr">
        <is>
          <t>midcap</t>
        </is>
      </c>
      <c r="F331" s="31" t="n">
        <v>7687.72</v>
      </c>
      <c r="G331" s="31" t="n">
        <v>946.9</v>
      </c>
      <c r="H331" s="31" t="n">
        <v>-0.87</v>
      </c>
      <c r="I331" s="31" t="n">
        <v>242340</v>
      </c>
      <c r="J331" s="31" t="inlineStr">
        <is>
          <t>543434</t>
        </is>
      </c>
    </row>
    <row r="332">
      <c r="A332" s="31" t="inlineStr">
        <is>
          <t>IFCI</t>
        </is>
      </c>
      <c r="B332" s="31" t="inlineStr">
        <is>
          <t>Ifci Limited</t>
        </is>
      </c>
      <c r="C332" s="31" t="inlineStr">
        <is>
          <t>financials</t>
        </is>
      </c>
      <c r="D332" s="31" t="inlineStr">
        <is>
          <t>finance - term-lending institutions</t>
        </is>
      </c>
      <c r="E332" s="31" t="inlineStr">
        <is>
          <t>largecap</t>
        </is>
      </c>
      <c r="F332" s="31" t="n">
        <v>24141.06</v>
      </c>
      <c r="G332" s="31" t="n">
        <v>88.8</v>
      </c>
      <c r="H332" s="31" t="n">
        <v>-0.89</v>
      </c>
      <c r="I332" s="31" t="n">
        <v>147033446</v>
      </c>
      <c r="J332" s="31" t="inlineStr">
        <is>
          <t>500106</t>
        </is>
      </c>
    </row>
    <row r="333">
      <c r="A333" s="31" t="inlineStr">
        <is>
          <t>LAURUSLABS</t>
        </is>
      </c>
      <c r="B333" s="31" t="inlineStr">
        <is>
          <t>Laurus Labs Limited</t>
        </is>
      </c>
      <c r="C333" s="31" t="inlineStr">
        <is>
          <t>healthcare</t>
        </is>
      </c>
      <c r="D333" s="31" t="inlineStr">
        <is>
          <t>pharmaceuticals - indian - bulk drugs &amp; formln</t>
        </is>
      </c>
      <c r="E333" s="31" t="inlineStr">
        <is>
          <t>largecap</t>
        </is>
      </c>
      <c r="F333" s="31" t="n">
        <v>74991.48</v>
      </c>
      <c r="G333" s="31" t="n">
        <v>1376.4</v>
      </c>
      <c r="H333" s="31" t="n">
        <v>-0.91</v>
      </c>
      <c r="I333" s="31" t="n">
        <v>3447151</v>
      </c>
      <c r="J333" s="31" t="inlineStr">
        <is>
          <t>540222</t>
        </is>
      </c>
    </row>
    <row r="334">
      <c r="A334" s="31" t="inlineStr">
        <is>
          <t>APOLLOHOSP</t>
        </is>
      </c>
      <c r="B334" s="31" t="inlineStr">
        <is>
          <t>Apollo Hospitals Enterprise Limited</t>
        </is>
      </c>
      <c r="C334" s="31" t="inlineStr">
        <is>
          <t>healthcare</t>
        </is>
      </c>
      <c r="D334" s="31" t="inlineStr">
        <is>
          <t>healthcare</t>
        </is>
      </c>
      <c r="E334" s="31" t="inlineStr">
        <is>
          <t>largecap</t>
        </is>
      </c>
      <c r="F334" s="31" t="n">
        <v>121764.04</v>
      </c>
      <c r="G334" s="31" t="n">
        <v>8390.5</v>
      </c>
      <c r="H334" s="31" t="n">
        <v>-0.92</v>
      </c>
      <c r="I334" s="31" t="n">
        <v>263172</v>
      </c>
      <c r="J334" s="31" t="inlineStr">
        <is>
          <t>508869</t>
        </is>
      </c>
    </row>
    <row r="335">
      <c r="A335" s="31" t="inlineStr">
        <is>
          <t>SHAILY</t>
        </is>
      </c>
      <c r="B335" s="31" t="inlineStr">
        <is>
          <t>Shaily Engineering Plastics Ltd</t>
        </is>
      </c>
      <c r="C335" s="31" t="inlineStr">
        <is>
          <t>plastic products</t>
        </is>
      </c>
      <c r="D335" s="31" t="inlineStr">
        <is>
          <t>plastics products</t>
        </is>
      </c>
      <c r="E335" s="31" t="inlineStr">
        <is>
          <t>midcap</t>
        </is>
      </c>
      <c r="F335" s="31" t="n">
        <v>13548.02</v>
      </c>
      <c r="G335" s="31" t="n">
        <v>2920.7</v>
      </c>
      <c r="H335" s="31" t="n">
        <v>-0.93</v>
      </c>
      <c r="I335" s="31" t="n">
        <v>205343</v>
      </c>
      <c r="J335" s="31" t="inlineStr">
        <is>
          <t>501423</t>
        </is>
      </c>
    </row>
    <row r="336">
      <c r="A336" s="31" t="inlineStr">
        <is>
          <t>RKFORGE</t>
        </is>
      </c>
      <c r="B336" s="31" t="inlineStr">
        <is>
          <t>Ramkrishna Forgings Limited</t>
        </is>
      </c>
      <c r="C336" s="31" t="inlineStr">
        <is>
          <t>industrials</t>
        </is>
      </c>
      <c r="D336" s="31" t="inlineStr">
        <is>
          <t>castings &amp; forgings</t>
        </is>
      </c>
      <c r="E336" s="31" t="inlineStr">
        <is>
          <t>midcap</t>
        </is>
      </c>
      <c r="F336" s="31" t="n">
        <v>10700.4</v>
      </c>
      <c r="G336" s="31" t="n">
        <v>583.5</v>
      </c>
      <c r="H336" s="31" t="n">
        <v>-0.93</v>
      </c>
      <c r="I336" s="31" t="n">
        <v>476605</v>
      </c>
      <c r="J336" s="31" t="inlineStr">
        <is>
          <t>532527</t>
        </is>
      </c>
    </row>
    <row r="337">
      <c r="A337" s="31" t="inlineStr">
        <is>
          <t>VTL</t>
        </is>
      </c>
      <c r="B337" s="31" t="inlineStr">
        <is>
          <t>Vardhman Textiles Limited</t>
        </is>
      </c>
      <c r="C337" s="31" t="inlineStr">
        <is>
          <t>textiles</t>
        </is>
      </c>
      <c r="D337" s="31" t="inlineStr">
        <is>
          <t>textiles - cotton/blended</t>
        </is>
      </c>
      <c r="E337" s="31" t="inlineStr">
        <is>
          <t>midcap</t>
        </is>
      </c>
      <c r="F337" s="31" t="n">
        <v>18450.39</v>
      </c>
      <c r="G337" s="31" t="n">
        <v>631.85</v>
      </c>
      <c r="H337" s="31" t="n">
        <v>-0.93</v>
      </c>
      <c r="I337" s="31" t="n">
        <v>216547</v>
      </c>
      <c r="J337" s="31" t="inlineStr">
        <is>
          <t>502986</t>
        </is>
      </c>
    </row>
    <row r="338">
      <c r="A338" s="31" t="inlineStr">
        <is>
          <t>UNIVCABLES</t>
        </is>
      </c>
      <c r="B338" s="31" t="inlineStr">
        <is>
          <t>Universal Cables Limited</t>
        </is>
      </c>
      <c r="C338" s="31" t="inlineStr">
        <is>
          <t>industrials</t>
        </is>
      </c>
      <c r="D338" s="31" t="inlineStr">
        <is>
          <t>cables - power</t>
        </is>
      </c>
      <c r="E338" s="31" t="inlineStr">
        <is>
          <t>smallcap</t>
        </is>
      </c>
      <c r="F338" s="31" t="n">
        <v>4173.85</v>
      </c>
      <c r="G338" s="31" t="n">
        <v>1191.7</v>
      </c>
      <c r="H338" s="31" t="n">
        <v>-0.9399999999999999</v>
      </c>
      <c r="I338" s="31" t="n">
        <v>462857</v>
      </c>
      <c r="J338" s="31" t="inlineStr">
        <is>
          <t>504212</t>
        </is>
      </c>
    </row>
    <row r="339">
      <c r="A339" s="31" t="inlineStr">
        <is>
          <t>NRBBEARING</t>
        </is>
      </c>
      <c r="B339" s="31" t="inlineStr">
        <is>
          <t>Nrb Bearing Limited</t>
        </is>
      </c>
      <c r="C339" s="31" t="inlineStr">
        <is>
          <t>industrials</t>
        </is>
      </c>
      <c r="D339" s="31" t="inlineStr">
        <is>
          <t>bearings</t>
        </is>
      </c>
      <c r="E339" s="31" t="inlineStr">
        <is>
          <t>smallcap</t>
        </is>
      </c>
      <c r="F339" s="31" t="n">
        <v>4168.16</v>
      </c>
      <c r="G339" s="31" t="n">
        <v>425.85</v>
      </c>
      <c r="H339" s="31" t="n">
        <v>-0.98</v>
      </c>
      <c r="I339" s="31" t="n">
        <v>365398</v>
      </c>
      <c r="J339" s="31" t="inlineStr">
        <is>
          <t>530367</t>
        </is>
      </c>
    </row>
    <row r="340">
      <c r="A340" s="31" t="inlineStr">
        <is>
          <t>HITECHCORP</t>
        </is>
      </c>
      <c r="B340" s="31" t="inlineStr">
        <is>
          <t>Hitech Corporation</t>
        </is>
      </c>
      <c r="C340" s="31" t="inlineStr">
        <is>
          <t>industrials</t>
        </is>
      </c>
      <c r="D340" s="31" t="inlineStr">
        <is>
          <t>packaging</t>
        </is>
      </c>
      <c r="E340" s="31" t="inlineStr">
        <is>
          <t>smallcap</t>
        </is>
      </c>
      <c r="F340" s="31" t="n">
        <v>530.9</v>
      </c>
      <c r="G340" s="31" t="n">
        <v>306</v>
      </c>
      <c r="H340" s="31" t="n">
        <v>-1</v>
      </c>
      <c r="I340" s="31" t="n">
        <v>30213</v>
      </c>
      <c r="J340" s="31" t="inlineStr">
        <is>
          <t>526217</t>
        </is>
      </c>
    </row>
    <row r="341">
      <c r="A341" s="31" t="inlineStr">
        <is>
          <t>TVSSRICHAK</t>
        </is>
      </c>
      <c r="B341" s="31" t="inlineStr">
        <is>
          <t>Tvs Srichakra Limited</t>
        </is>
      </c>
      <c r="C341" s="31" t="inlineStr">
        <is>
          <t>auto</t>
        </is>
      </c>
      <c r="D341" s="31" t="inlineStr">
        <is>
          <t>tyres</t>
        </is>
      </c>
      <c r="E341" s="31" t="inlineStr">
        <is>
          <t>smallcap</t>
        </is>
      </c>
      <c r="F341" s="31" t="n">
        <v>3106.62</v>
      </c>
      <c r="G341" s="31" t="n">
        <v>4016.3</v>
      </c>
      <c r="H341" s="31" t="n">
        <v>-1.01</v>
      </c>
      <c r="I341" s="31" t="n">
        <v>2512</v>
      </c>
      <c r="J341" s="31" t="inlineStr">
        <is>
          <t>509243</t>
        </is>
      </c>
    </row>
    <row r="342">
      <c r="A342" s="31" t="inlineStr">
        <is>
          <t>SANGAMIND</t>
        </is>
      </c>
      <c r="B342" s="31" t="inlineStr">
        <is>
          <t>Sangam (india) Limited</t>
        </is>
      </c>
      <c r="C342" s="31" t="inlineStr">
        <is>
          <t>textiles</t>
        </is>
      </c>
      <c r="D342" s="31" t="inlineStr">
        <is>
          <t>textiles - spinning - synthetic / blended</t>
        </is>
      </c>
      <c r="E342" s="31" t="inlineStr">
        <is>
          <t>smallcap</t>
        </is>
      </c>
      <c r="F342" s="31" t="n">
        <v>2671.11</v>
      </c>
      <c r="G342" s="31" t="n">
        <v>526.25</v>
      </c>
      <c r="H342" s="31" t="n">
        <v>-1.01</v>
      </c>
      <c r="I342" s="31" t="n">
        <v>25971</v>
      </c>
      <c r="J342" s="31" t="inlineStr">
        <is>
          <t>514234</t>
        </is>
      </c>
    </row>
    <row r="343">
      <c r="A343" s="31" t="inlineStr">
        <is>
          <t>SIS</t>
        </is>
      </c>
      <c r="B343" s="31" t="inlineStr">
        <is>
          <t>Security &amp; Intelligence Services India</t>
        </is>
      </c>
      <c r="C343" s="31" t="inlineStr">
        <is>
          <t>miscellaneous</t>
        </is>
      </c>
      <c r="D343" s="31" t="inlineStr">
        <is>
          <t>miscellaneous</t>
        </is>
      </c>
      <c r="E343" s="31" t="inlineStr">
        <is>
          <t>midcap</t>
        </is>
      </c>
      <c r="F343" s="31" t="n">
        <v>6042.92</v>
      </c>
      <c r="G343" s="31" t="n">
        <v>423.4</v>
      </c>
      <c r="H343" s="31" t="n">
        <v>-1.02</v>
      </c>
      <c r="I343" s="31" t="n">
        <v>121562</v>
      </c>
      <c r="J343" s="31" t="inlineStr">
        <is>
          <t>540673</t>
        </is>
      </c>
    </row>
    <row r="344">
      <c r="A344" s="31" t="inlineStr">
        <is>
          <t>AUBANK</t>
        </is>
      </c>
      <c r="B344" s="31" t="inlineStr">
        <is>
          <t>AU Small Finance Bank Ltd</t>
        </is>
      </c>
      <c r="C344" s="31" t="inlineStr">
        <is>
          <t>bank</t>
        </is>
      </c>
      <c r="D344" s="31" t="inlineStr">
        <is>
          <t>banks - private sector</t>
        </is>
      </c>
      <c r="E344" s="31" t="inlineStr">
        <is>
          <t>largecap</t>
        </is>
      </c>
      <c r="F344" s="31" t="n">
        <v>77340.89</v>
      </c>
      <c r="G344" s="31" t="n">
        <v>1023.1</v>
      </c>
      <c r="H344" s="31" t="n">
        <v>-1.02</v>
      </c>
      <c r="I344" s="31" t="n">
        <v>1168430</v>
      </c>
      <c r="J344" s="31" t="inlineStr">
        <is>
          <t>540611</t>
        </is>
      </c>
    </row>
    <row r="345">
      <c r="A345" s="31" t="inlineStr">
        <is>
          <t>THANGAMAYL</t>
        </is>
      </c>
      <c r="B345" s="31" t="inlineStr">
        <is>
          <t>Thangamayil Jewellery Limited</t>
        </is>
      </c>
      <c r="C345" s="31" t="inlineStr">
        <is>
          <t>consumer discretionary</t>
        </is>
      </c>
      <c r="D345" s="31" t="inlineStr">
        <is>
          <t>diamond cutting / jewellery</t>
        </is>
      </c>
      <c r="E345" s="31" t="inlineStr">
        <is>
          <t>midcap</t>
        </is>
      </c>
      <c r="F345" s="31" t="n">
        <v>17099.77</v>
      </c>
      <c r="G345" s="31" t="n">
        <v>5444.6</v>
      </c>
      <c r="H345" s="31" t="n">
        <v>-1.03</v>
      </c>
      <c r="I345" s="31" t="n">
        <v>108886</v>
      </c>
      <c r="J345" s="31" t="inlineStr">
        <is>
          <t>533158</t>
        </is>
      </c>
    </row>
    <row r="346">
      <c r="A346" s="31" t="inlineStr">
        <is>
          <t>MAHABANK</t>
        </is>
      </c>
      <c r="B346" s="31" t="inlineStr">
        <is>
          <t>Bank Of Maharashtra Ltd</t>
        </is>
      </c>
      <c r="C346" s="31" t="inlineStr">
        <is>
          <t>bank</t>
        </is>
      </c>
      <c r="D346" s="31" t="inlineStr">
        <is>
          <t>banks - public sector</t>
        </is>
      </c>
      <c r="E346" s="31" t="inlineStr">
        <is>
          <t>largecap</t>
        </is>
      </c>
      <c r="F346" s="31" t="n">
        <v>68547.14</v>
      </c>
      <c r="G346" s="31" t="n">
        <v>88.19</v>
      </c>
      <c r="H346" s="31" t="n">
        <v>-1.04</v>
      </c>
      <c r="I346" s="31" t="n">
        <v>13331204</v>
      </c>
      <c r="J346" s="31" t="inlineStr">
        <is>
          <t>532525</t>
        </is>
      </c>
    </row>
    <row r="347">
      <c r="A347" s="31" t="inlineStr">
        <is>
          <t>TATACOMM</t>
        </is>
      </c>
      <c r="B347" s="31" t="inlineStr">
        <is>
          <t>Tata Communications Limited</t>
        </is>
      </c>
      <c r="C347" s="31" t="inlineStr">
        <is>
          <t>telecom-service</t>
        </is>
      </c>
      <c r="D347" s="31" t="inlineStr">
        <is>
          <t>telecommunications - service provider</t>
        </is>
      </c>
      <c r="E347" s="31" t="inlineStr">
        <is>
          <t>largecap</t>
        </is>
      </c>
      <c r="F347" s="31" t="n">
        <v>55116.15</v>
      </c>
      <c r="G347" s="31" t="n">
        <v>1913.6</v>
      </c>
      <c r="H347" s="31" t="n">
        <v>-1.05</v>
      </c>
      <c r="I347" s="31" t="n">
        <v>510643</v>
      </c>
      <c r="J347" s="31" t="inlineStr">
        <is>
          <t>500483</t>
        </is>
      </c>
    </row>
    <row r="348">
      <c r="A348" s="31" t="inlineStr">
        <is>
          <t>MARKSANS</t>
        </is>
      </c>
      <c r="B348" s="31" t="inlineStr">
        <is>
          <t>Marksans Pharma Limited</t>
        </is>
      </c>
      <c r="C348" s="31" t="inlineStr">
        <is>
          <t>healthcare</t>
        </is>
      </c>
      <c r="D348" s="31" t="inlineStr">
        <is>
          <t>pharmaceuticals - indian - formulations</t>
        </is>
      </c>
      <c r="E348" s="31" t="inlineStr">
        <is>
          <t>midcap</t>
        </is>
      </c>
      <c r="F348" s="31" t="n">
        <v>11318.22</v>
      </c>
      <c r="G348" s="31" t="n">
        <v>247.13</v>
      </c>
      <c r="H348" s="31" t="n">
        <v>-1.05</v>
      </c>
      <c r="I348" s="31" t="n">
        <v>1983633</v>
      </c>
      <c r="J348" s="31" t="inlineStr">
        <is>
          <t>524404</t>
        </is>
      </c>
    </row>
    <row r="349">
      <c r="A349" s="31" t="inlineStr">
        <is>
          <t>IDFCFIRSTB</t>
        </is>
      </c>
      <c r="B349" s="31" t="inlineStr">
        <is>
          <t>IDFC First Bank Ltd</t>
        </is>
      </c>
      <c r="C349" s="31" t="inlineStr">
        <is>
          <t>bank</t>
        </is>
      </c>
      <c r="D349" s="31" t="inlineStr">
        <is>
          <t>banks - private sector</t>
        </is>
      </c>
      <c r="E349" s="31" t="inlineStr">
        <is>
          <t>largecap</t>
        </is>
      </c>
      <c r="F349" s="31" t="n">
        <v>67377.11</v>
      </c>
      <c r="G349" s="31" t="n">
        <v>77.5</v>
      </c>
      <c r="H349" s="31" t="n">
        <v>-1.06</v>
      </c>
      <c r="I349" s="31" t="n">
        <v>27114472</v>
      </c>
      <c r="J349" s="31" t="inlineStr">
        <is>
          <t>539437</t>
        </is>
      </c>
    </row>
    <row r="350">
      <c r="A350" s="31" t="inlineStr">
        <is>
          <t>PASUPTAC</t>
        </is>
      </c>
      <c r="B350" s="31" t="inlineStr">
        <is>
          <t>Pasupati Acrylon Ltd</t>
        </is>
      </c>
      <c r="C350" s="31" t="inlineStr">
        <is>
          <t>textiles</t>
        </is>
      </c>
      <c r="D350" s="31" t="inlineStr">
        <is>
          <t>textiles - manmade</t>
        </is>
      </c>
      <c r="E350" s="31" t="inlineStr">
        <is>
          <t>smallcap</t>
        </is>
      </c>
      <c r="F350" s="31" t="n">
        <v>613.95</v>
      </c>
      <c r="G350" s="31" t="n">
        <v>68.13</v>
      </c>
      <c r="H350" s="31" t="n">
        <v>-1.09</v>
      </c>
      <c r="I350" s="31" t="n">
        <v>76894</v>
      </c>
      <c r="J350" s="31" t="inlineStr">
        <is>
          <t>500456</t>
        </is>
      </c>
    </row>
    <row r="351">
      <c r="A351" s="31" t="inlineStr">
        <is>
          <t>ANGELONE</t>
        </is>
      </c>
      <c r="B351" s="31" t="inlineStr">
        <is>
          <t>Angel One Ltd</t>
        </is>
      </c>
      <c r="C351" s="31" t="inlineStr">
        <is>
          <t>financials</t>
        </is>
      </c>
      <c r="D351" s="31" t="inlineStr">
        <is>
          <t>finance &amp; investments</t>
        </is>
      </c>
      <c r="E351" s="31" t="inlineStr">
        <is>
          <t>largecap</t>
        </is>
      </c>
      <c r="F351" s="31" t="n">
        <v>32089.57</v>
      </c>
      <c r="G351" s="31" t="n">
        <v>348.25</v>
      </c>
      <c r="H351" s="31" t="n">
        <v>-1.15</v>
      </c>
      <c r="I351" s="31" t="n">
        <v>6190114</v>
      </c>
      <c r="J351" s="31" t="n"/>
    </row>
    <row r="352">
      <c r="A352" s="31" t="inlineStr">
        <is>
          <t>SHRIPISTON</t>
        </is>
      </c>
      <c r="B352" s="31" t="inlineStr">
        <is>
          <t>Shriram Pistons &amp; Rings Limited</t>
        </is>
      </c>
      <c r="C352" s="31" t="inlineStr">
        <is>
          <t>auto</t>
        </is>
      </c>
      <c r="D352" s="31" t="inlineStr">
        <is>
          <t>auto ancillaries</t>
        </is>
      </c>
      <c r="E352" s="31" t="inlineStr">
        <is>
          <t>midcap</t>
        </is>
      </c>
      <c r="F352" s="31" t="n">
        <v>16483</v>
      </c>
      <c r="G352" s="31" t="n">
        <v>3695.8</v>
      </c>
      <c r="H352" s="31" t="n">
        <v>-1.23</v>
      </c>
      <c r="I352" s="31" t="n">
        <v>68650</v>
      </c>
      <c r="J352" s="31" t="n"/>
    </row>
    <row r="353">
      <c r="A353" s="31" t="inlineStr">
        <is>
          <t>AVALON</t>
        </is>
      </c>
      <c r="B353" s="31" t="inlineStr">
        <is>
          <t>Avalon Technologies Ltd</t>
        </is>
      </c>
      <c r="C353" s="31" t="inlineStr">
        <is>
          <t>consumer discretionary</t>
        </is>
      </c>
      <c r="D353" s="31" t="inlineStr">
        <is>
          <t>electronics - components</t>
        </is>
      </c>
      <c r="E353" s="31" t="inlineStr">
        <is>
          <t>midcap</t>
        </is>
      </c>
      <c r="F353" s="31" t="n">
        <v>11750.84</v>
      </c>
      <c r="G353" s="31" t="n">
        <v>1738.3</v>
      </c>
      <c r="H353" s="31" t="n">
        <v>-1.23</v>
      </c>
      <c r="I353" s="31" t="n">
        <v>240812</v>
      </c>
      <c r="J353" s="31" t="inlineStr">
        <is>
          <t>543896</t>
        </is>
      </c>
    </row>
    <row r="354">
      <c r="A354" s="31" t="inlineStr">
        <is>
          <t>ELGIEQUIP</t>
        </is>
      </c>
      <c r="B354" s="31" t="inlineStr">
        <is>
          <t>Elgi Equipments Limited</t>
        </is>
      </c>
      <c r="C354" s="31" t="inlineStr">
        <is>
          <t>industrials</t>
        </is>
      </c>
      <c r="D354" s="31" t="inlineStr">
        <is>
          <t>compressors / drilling equipment</t>
        </is>
      </c>
      <c r="E354" s="31" t="inlineStr">
        <is>
          <t>midcap</t>
        </is>
      </c>
      <c r="F354" s="31" t="n">
        <v>19293.42</v>
      </c>
      <c r="G354" s="31" t="n">
        <v>601.3</v>
      </c>
      <c r="H354" s="31" t="n">
        <v>-1.23</v>
      </c>
      <c r="I354" s="31" t="n">
        <v>297925</v>
      </c>
      <c r="J354" s="31" t="inlineStr">
        <is>
          <t>522074</t>
        </is>
      </c>
    </row>
    <row r="355">
      <c r="A355" s="31" t="inlineStr">
        <is>
          <t>KDDL</t>
        </is>
      </c>
      <c r="B355" s="31" t="inlineStr">
        <is>
          <t>Kddl Limited</t>
        </is>
      </c>
      <c r="C355" s="31" t="inlineStr">
        <is>
          <t>consumer discretionary</t>
        </is>
      </c>
      <c r="D355" s="31" t="inlineStr">
        <is>
          <t>miscellaneous</t>
        </is>
      </c>
      <c r="E355" s="31" t="inlineStr">
        <is>
          <t>smallcap</t>
        </is>
      </c>
      <c r="F355" s="31" t="n">
        <v>3519.07</v>
      </c>
      <c r="G355" s="31" t="n">
        <v>2825.5</v>
      </c>
      <c r="H355" s="31" t="n">
        <v>-1.25</v>
      </c>
      <c r="I355" s="31" t="n">
        <v>14535</v>
      </c>
      <c r="J355" s="31" t="inlineStr">
        <is>
          <t>532054</t>
        </is>
      </c>
    </row>
    <row r="356">
      <c r="A356" s="31" t="inlineStr">
        <is>
          <t>JSWDULUX</t>
        </is>
      </c>
      <c r="B356" s="31" t="inlineStr">
        <is>
          <t>JSW Dulux Ltd</t>
        </is>
      </c>
      <c r="C356" s="31" t="inlineStr">
        <is>
          <t>building materials</t>
        </is>
      </c>
      <c r="D356" s="31" t="inlineStr">
        <is>
          <t>paints / varnishes</t>
        </is>
      </c>
      <c r="E356" s="31" t="inlineStr">
        <is>
          <t>midcap</t>
        </is>
      </c>
      <c r="F356" s="31" t="n">
        <v>14766.9</v>
      </c>
      <c r="G356" s="31" t="n">
        <v>3201.7</v>
      </c>
      <c r="H356" s="31" t="n">
        <v>-1.26</v>
      </c>
      <c r="I356" s="31" t="n">
        <v>11565</v>
      </c>
      <c r="J356" s="31" t="inlineStr">
        <is>
          <t>500710</t>
        </is>
      </c>
    </row>
    <row r="357">
      <c r="A357" s="31" t="inlineStr">
        <is>
          <t>AIIL</t>
        </is>
      </c>
      <c r="B357" s="31" t="inlineStr">
        <is>
          <t>Authum Investment &amp; Infrastructure Ltd</t>
        </is>
      </c>
      <c r="C357" s="31" t="inlineStr">
        <is>
          <t>financials</t>
        </is>
      </c>
      <c r="D357" s="31" t="inlineStr">
        <is>
          <t>finance &amp; investments</t>
        </is>
      </c>
      <c r="E357" s="31" t="inlineStr">
        <is>
          <t>largecap</t>
        </is>
      </c>
      <c r="F357" s="31" t="n">
        <v>47446.23</v>
      </c>
      <c r="G357" s="31" t="n">
        <v>551.65</v>
      </c>
      <c r="H357" s="31" t="n">
        <v>-1.26</v>
      </c>
      <c r="I357" s="31" t="n">
        <v>636047</v>
      </c>
      <c r="J357" s="31" t="inlineStr">
        <is>
          <t>539177</t>
        </is>
      </c>
    </row>
    <row r="358">
      <c r="A358" s="31" t="inlineStr">
        <is>
          <t>AEROFLEX</t>
        </is>
      </c>
      <c r="B358" s="31" t="inlineStr">
        <is>
          <t>Aeroflex Industries Ltd</t>
        </is>
      </c>
      <c r="C358" s="31" t="inlineStr">
        <is>
          <t>metals &amp; mining</t>
        </is>
      </c>
      <c r="D358" s="31" t="inlineStr">
        <is>
          <t>steel - medium / small</t>
        </is>
      </c>
      <c r="E358" s="31" t="inlineStr">
        <is>
          <t>midcap</t>
        </is>
      </c>
      <c r="F358" s="31" t="n">
        <v>6325.41</v>
      </c>
      <c r="G358" s="31" t="n">
        <v>471.7</v>
      </c>
      <c r="H358" s="31" t="n">
        <v>-1.32</v>
      </c>
      <c r="I358" s="31" t="n">
        <v>2678346</v>
      </c>
      <c r="J358" s="31" t="inlineStr">
        <is>
          <t>543972</t>
        </is>
      </c>
    </row>
    <row r="359">
      <c r="A359" s="31" t="inlineStr">
        <is>
          <t>WELENT</t>
        </is>
      </c>
      <c r="B359" s="31" t="inlineStr">
        <is>
          <t>Welspun Enterprises Limited</t>
        </is>
      </c>
      <c r="C359" s="31" t="inlineStr">
        <is>
          <t>realty</t>
        </is>
      </c>
      <c r="D359" s="31" t="inlineStr">
        <is>
          <t>construction</t>
        </is>
      </c>
      <c r="E359" s="31" t="inlineStr">
        <is>
          <t>midcap</t>
        </is>
      </c>
      <c r="F359" s="31" t="n">
        <v>7756.02</v>
      </c>
      <c r="G359" s="31" t="n">
        <v>552.95</v>
      </c>
      <c r="H359" s="31" t="n">
        <v>-1.32</v>
      </c>
      <c r="I359" s="31" t="n">
        <v>131545</v>
      </c>
      <c r="J359" s="31" t="inlineStr">
        <is>
          <t>532553</t>
        </is>
      </c>
    </row>
    <row r="360">
      <c r="A360" s="31" t="inlineStr">
        <is>
          <t>KEI</t>
        </is>
      </c>
      <c r="B360" s="31" t="inlineStr">
        <is>
          <t>Kei Industries Limited</t>
        </is>
      </c>
      <c r="C360" s="31" t="inlineStr">
        <is>
          <t>industrials</t>
        </is>
      </c>
      <c r="D360" s="31" t="inlineStr">
        <is>
          <t>cables - power</t>
        </is>
      </c>
      <c r="E360" s="31" t="inlineStr">
        <is>
          <t>largecap</t>
        </is>
      </c>
      <c r="F360" s="31" t="n">
        <v>52202.7</v>
      </c>
      <c r="G360" s="31" t="n">
        <v>5386.5</v>
      </c>
      <c r="H360" s="31" t="n">
        <v>-1.36</v>
      </c>
      <c r="I360" s="31" t="n">
        <v>163833</v>
      </c>
      <c r="J360" s="31" t="inlineStr">
        <is>
          <t>517569</t>
        </is>
      </c>
    </row>
    <row r="361">
      <c r="A361" s="31" t="inlineStr">
        <is>
          <t>NIBE</t>
        </is>
      </c>
      <c r="B361" s="31" t="inlineStr">
        <is>
          <t>NIBE Ltd</t>
        </is>
      </c>
      <c r="C361" s="31" t="inlineStr">
        <is>
          <t>aerospace &amp; defence</t>
        </is>
      </c>
      <c r="D361" s="31" t="inlineStr">
        <is>
          <t>engineering</t>
        </is>
      </c>
      <c r="E361" s="31" t="inlineStr">
        <is>
          <t>smallcap</t>
        </is>
      </c>
      <c r="F361" s="31" t="n">
        <v>2452.31</v>
      </c>
      <c r="G361" s="31" t="n">
        <v>1619</v>
      </c>
      <c r="H361" s="31" t="n">
        <v>-1.36</v>
      </c>
      <c r="I361" s="31" t="n">
        <v>112856</v>
      </c>
      <c r="J361" s="31" t="inlineStr">
        <is>
          <t>535136</t>
        </is>
      </c>
    </row>
    <row r="362">
      <c r="A362" s="31" t="inlineStr">
        <is>
          <t>FIEMIND</t>
        </is>
      </c>
      <c r="B362" s="31" t="inlineStr">
        <is>
          <t>Fiem Industries Limited</t>
        </is>
      </c>
      <c r="C362" s="31" t="inlineStr">
        <is>
          <t>auto</t>
        </is>
      </c>
      <c r="D362" s="31" t="inlineStr">
        <is>
          <t>auto ancillaries</t>
        </is>
      </c>
      <c r="E362" s="31" t="inlineStr">
        <is>
          <t>midcap</t>
        </is>
      </c>
      <c r="F362" s="31" t="n">
        <v>6281.98</v>
      </c>
      <c r="G362" s="31" t="n">
        <v>2354.4</v>
      </c>
      <c r="H362" s="31" t="n">
        <v>-1.36</v>
      </c>
      <c r="I362" s="31" t="n">
        <v>47089</v>
      </c>
      <c r="J362" s="31" t="inlineStr">
        <is>
          <t>532768</t>
        </is>
      </c>
    </row>
    <row r="363">
      <c r="A363" s="31" t="inlineStr">
        <is>
          <t>CEMPRO</t>
        </is>
      </c>
      <c r="B363" s="31" t="inlineStr">
        <is>
          <t>Cemindia Projects Ltd</t>
        </is>
      </c>
      <c r="C363" s="31" t="inlineStr">
        <is>
          <t>realty</t>
        </is>
      </c>
      <c r="D363" s="31" t="inlineStr">
        <is>
          <t>construction</t>
        </is>
      </c>
      <c r="E363" s="31" t="inlineStr">
        <is>
          <t>largecap</t>
        </is>
      </c>
      <c r="F363" s="31" t="n">
        <v>20245.17</v>
      </c>
      <c r="G363" s="31" t="n">
        <v>1162.2</v>
      </c>
      <c r="H363" s="31" t="n">
        <v>-1.38</v>
      </c>
      <c r="I363" s="31" t="n">
        <v>302591</v>
      </c>
      <c r="J363" s="31" t="inlineStr">
        <is>
          <t>509496</t>
        </is>
      </c>
    </row>
    <row r="364">
      <c r="A364" s="31" t="inlineStr">
        <is>
          <t>SUPRAJIT</t>
        </is>
      </c>
      <c r="B364" s="31" t="inlineStr">
        <is>
          <t>Suprajit Engineering Limited</t>
        </is>
      </c>
      <c r="C364" s="31" t="inlineStr">
        <is>
          <t>auto</t>
        </is>
      </c>
      <c r="D364" s="31" t="inlineStr">
        <is>
          <t>auto ancillaries</t>
        </is>
      </c>
      <c r="E364" s="31" t="inlineStr">
        <is>
          <t>midcap</t>
        </is>
      </c>
      <c r="F364" s="31" t="n">
        <v>6424.41</v>
      </c>
      <c r="G364" s="31" t="n">
        <v>461.85</v>
      </c>
      <c r="H364" s="31" t="n">
        <v>-1.39</v>
      </c>
      <c r="I364" s="31" t="n">
        <v>99034</v>
      </c>
      <c r="J364" s="31" t="inlineStr">
        <is>
          <t>532509</t>
        </is>
      </c>
    </row>
    <row r="365">
      <c r="A365" s="31" t="inlineStr">
        <is>
          <t>ZFCVINDIA</t>
        </is>
      </c>
      <c r="B365" s="31" t="inlineStr">
        <is>
          <t>ZF Commercial Vehicle Control System India Ltd</t>
        </is>
      </c>
      <c r="C365" s="31" t="inlineStr">
        <is>
          <t>auto</t>
        </is>
      </c>
      <c r="D365" s="31" t="inlineStr">
        <is>
          <t>auto ancillaries</t>
        </is>
      </c>
      <c r="E365" s="31" t="inlineStr">
        <is>
          <t>largecap</t>
        </is>
      </c>
      <c r="F365" s="31" t="n">
        <v>28625.88</v>
      </c>
      <c r="G365" s="31" t="n">
        <v>14881</v>
      </c>
      <c r="H365" s="31" t="n">
        <v>-1.4</v>
      </c>
      <c r="I365" s="31" t="n">
        <v>16995</v>
      </c>
      <c r="J365" s="31" t="inlineStr">
        <is>
          <t>533023</t>
        </is>
      </c>
    </row>
    <row r="366">
      <c r="A366" s="31" t="inlineStr">
        <is>
          <t>PSPPROJECT</t>
        </is>
      </c>
      <c r="B366" s="31" t="inlineStr">
        <is>
          <t>PSP Projects Ltd</t>
        </is>
      </c>
      <c r="C366" s="31" t="inlineStr">
        <is>
          <t>realty</t>
        </is>
      </c>
      <c r="D366" s="31" t="inlineStr">
        <is>
          <t>construction</t>
        </is>
      </c>
      <c r="E366" s="31" t="inlineStr">
        <is>
          <t>smallcap</t>
        </is>
      </c>
      <c r="F366" s="31" t="n">
        <v>3652.4</v>
      </c>
      <c r="G366" s="31" t="n">
        <v>907.8</v>
      </c>
      <c r="H366" s="31" t="n">
        <v>-1.47</v>
      </c>
      <c r="I366" s="31" t="n">
        <v>62820</v>
      </c>
      <c r="J366" s="31" t="inlineStr">
        <is>
          <t>540544</t>
        </is>
      </c>
    </row>
    <row r="367">
      <c r="A367" s="31" t="inlineStr">
        <is>
          <t>BALAMINES</t>
        </is>
      </c>
      <c r="B367" s="31" t="inlineStr">
        <is>
          <t>Balaji Amines Limited</t>
        </is>
      </c>
      <c r="C367" s="31" t="inlineStr">
        <is>
          <t>chemicals</t>
        </is>
      </c>
      <c r="D367" s="31" t="inlineStr">
        <is>
          <t>chemicals</t>
        </is>
      </c>
      <c r="E367" s="31" t="inlineStr">
        <is>
          <t>midcap</t>
        </is>
      </c>
      <c r="F367" s="31" t="n">
        <v>6830.45</v>
      </c>
      <c r="G367" s="31" t="n">
        <v>2076.5</v>
      </c>
      <c r="H367" s="31" t="n">
        <v>-1.5</v>
      </c>
      <c r="I367" s="31" t="n">
        <v>138544</v>
      </c>
      <c r="J367" s="31" t="inlineStr">
        <is>
          <t>530999</t>
        </is>
      </c>
    </row>
    <row r="368">
      <c r="A368" s="31" t="inlineStr">
        <is>
          <t>SPORTKING</t>
        </is>
      </c>
      <c r="B368" s="31" t="inlineStr">
        <is>
          <t>Sportking India Ltd</t>
        </is>
      </c>
      <c r="C368" s="31" t="inlineStr">
        <is>
          <t>textiles</t>
        </is>
      </c>
      <c r="D368" s="31" t="inlineStr">
        <is>
          <t>textiles - spinning - synthetic / blended</t>
        </is>
      </c>
      <c r="E368" s="31" t="inlineStr">
        <is>
          <t>smallcap</t>
        </is>
      </c>
      <c r="F368" s="31" t="n">
        <v>2331.64</v>
      </c>
      <c r="G368" s="31" t="n">
        <v>180.72</v>
      </c>
      <c r="H368" s="31" t="n">
        <v>-1.51</v>
      </c>
      <c r="I368" s="31" t="n">
        <v>147285</v>
      </c>
      <c r="J368" s="31" t="inlineStr">
        <is>
          <t>539221</t>
        </is>
      </c>
    </row>
    <row r="369">
      <c r="A369" s="31" t="inlineStr">
        <is>
          <t>INDOBORAX</t>
        </is>
      </c>
      <c r="B369" s="31" t="inlineStr">
        <is>
          <t>Indo Borax &amp; Chemicals Ltd</t>
        </is>
      </c>
      <c r="C369" s="31" t="inlineStr">
        <is>
          <t>chemicals</t>
        </is>
      </c>
      <c r="D369" s="31" t="inlineStr">
        <is>
          <t>chemicals</t>
        </is>
      </c>
      <c r="E369" s="31" t="inlineStr">
        <is>
          <t>smallcap</t>
        </is>
      </c>
      <c r="F369" s="31" t="n">
        <v>1196.8</v>
      </c>
      <c r="G369" s="31" t="n">
        <v>367.3</v>
      </c>
      <c r="H369" s="31" t="n">
        <v>-1.52</v>
      </c>
      <c r="I369" s="31" t="n">
        <v>62666</v>
      </c>
      <c r="J369" s="31" t="inlineStr">
        <is>
          <t>524342</t>
        </is>
      </c>
    </row>
    <row r="370">
      <c r="A370" s="31" t="inlineStr">
        <is>
          <t>INDOTECH</t>
        </is>
      </c>
      <c r="B370" s="31" t="inlineStr">
        <is>
          <t>Indo Tech Transformers Limited</t>
        </is>
      </c>
      <c r="C370" s="31" t="inlineStr">
        <is>
          <t>industrials</t>
        </is>
      </c>
      <c r="D370" s="31" t="inlineStr">
        <is>
          <t>electric equipment</t>
        </is>
      </c>
      <c r="E370" s="31" t="inlineStr">
        <is>
          <t>smallcap</t>
        </is>
      </c>
      <c r="F370" s="31" t="n">
        <v>2842.44</v>
      </c>
      <c r="G370" s="31" t="n">
        <v>2634.9</v>
      </c>
      <c r="H370" s="31" t="n">
        <v>-1.55</v>
      </c>
      <c r="I370" s="31" t="n">
        <v>5478</v>
      </c>
      <c r="J370" s="31" t="inlineStr">
        <is>
          <t>532717</t>
        </is>
      </c>
    </row>
    <row r="371">
      <c r="A371" s="31" t="inlineStr">
        <is>
          <t>TMB</t>
        </is>
      </c>
      <c r="B371" s="31" t="inlineStr">
        <is>
          <t>Tamilnad Mercantile Bank Ltd</t>
        </is>
      </c>
      <c r="C371" s="31" t="inlineStr">
        <is>
          <t>bank</t>
        </is>
      </c>
      <c r="D371" s="31" t="inlineStr">
        <is>
          <t>banks - private sector</t>
        </is>
      </c>
      <c r="E371" s="31" t="inlineStr">
        <is>
          <t>midcap</t>
        </is>
      </c>
      <c r="F371" s="31" t="n">
        <v>12259.57</v>
      </c>
      <c r="G371" s="31" t="n">
        <v>762.15</v>
      </c>
      <c r="H371" s="31" t="n">
        <v>-1.56</v>
      </c>
      <c r="I371" s="31" t="n">
        <v>231094</v>
      </c>
      <c r="J371" s="31" t="inlineStr">
        <is>
          <t>543596</t>
        </is>
      </c>
    </row>
    <row r="372">
      <c r="A372" s="31" t="inlineStr">
        <is>
          <t>EXIDEIND</t>
        </is>
      </c>
      <c r="B372" s="31" t="inlineStr">
        <is>
          <t>Exide Industries Limited</t>
        </is>
      </c>
      <c r="C372" s="31" t="inlineStr">
        <is>
          <t>auto</t>
        </is>
      </c>
      <c r="D372" s="31" t="inlineStr">
        <is>
          <t>auto ancillaries</t>
        </is>
      </c>
      <c r="E372" s="31" t="inlineStr">
        <is>
          <t>largecap</t>
        </is>
      </c>
      <c r="F372" s="31" t="n">
        <v>33562.25</v>
      </c>
      <c r="G372" s="31" t="n">
        <v>388.55</v>
      </c>
      <c r="H372" s="31" t="n">
        <v>-1.6</v>
      </c>
      <c r="I372" s="31" t="n">
        <v>1129917</v>
      </c>
      <c r="J372" s="31" t="inlineStr">
        <is>
          <t>500086</t>
        </is>
      </c>
    </row>
    <row r="373">
      <c r="A373" s="31" t="inlineStr">
        <is>
          <t>ICIL</t>
        </is>
      </c>
      <c r="B373" s="31" t="inlineStr">
        <is>
          <t>Indo Count Industries Limited</t>
        </is>
      </c>
      <c r="C373" s="31" t="inlineStr">
        <is>
          <t>textiles</t>
        </is>
      </c>
      <c r="D373" s="31" t="inlineStr">
        <is>
          <t>textiles - cotton/blended</t>
        </is>
      </c>
      <c r="E373" s="31" t="inlineStr">
        <is>
          <t>midcap</t>
        </is>
      </c>
      <c r="F373" s="31" t="n">
        <v>6923.98</v>
      </c>
      <c r="G373" s="31" t="n">
        <v>343.85</v>
      </c>
      <c r="H373" s="31" t="n">
        <v>-1.64</v>
      </c>
      <c r="I373" s="31" t="n">
        <v>243955</v>
      </c>
      <c r="J373" s="31" t="inlineStr">
        <is>
          <t>521016</t>
        </is>
      </c>
    </row>
    <row r="374">
      <c r="A374" s="31" t="inlineStr">
        <is>
          <t>HONASA</t>
        </is>
      </c>
      <c r="B374" s="31" t="inlineStr">
        <is>
          <t>Honasa Consumer Ltd</t>
        </is>
      </c>
      <c r="C374" s="31" t="inlineStr">
        <is>
          <t>services</t>
        </is>
      </c>
      <c r="D374" s="31" t="inlineStr">
        <is>
          <t>trading</t>
        </is>
      </c>
      <c r="E374" s="31" t="inlineStr">
        <is>
          <t>midcap</t>
        </is>
      </c>
      <c r="F374" s="31" t="n">
        <v>13247.43</v>
      </c>
      <c r="G374" s="31" t="n">
        <v>400.4</v>
      </c>
      <c r="H374" s="31" t="n">
        <v>-1.66</v>
      </c>
      <c r="I374" s="31" t="n">
        <v>854746</v>
      </c>
      <c r="J374" s="31" t="inlineStr">
        <is>
          <t>544014</t>
        </is>
      </c>
    </row>
    <row r="375">
      <c r="A375" s="31" t="inlineStr">
        <is>
          <t>RSWM</t>
        </is>
      </c>
      <c r="B375" s="31" t="inlineStr">
        <is>
          <t>Rswm Limited</t>
        </is>
      </c>
      <c r="C375" s="31" t="inlineStr">
        <is>
          <t>textiles</t>
        </is>
      </c>
      <c r="D375" s="31" t="inlineStr">
        <is>
          <t>textiles - cotton/blended</t>
        </is>
      </c>
      <c r="E375" s="31" t="inlineStr">
        <is>
          <t>smallcap</t>
        </is>
      </c>
      <c r="F375" s="31" t="n">
        <v>974.2</v>
      </c>
      <c r="G375" s="31" t="n">
        <v>203.33</v>
      </c>
      <c r="H375" s="31" t="n">
        <v>-1.69</v>
      </c>
      <c r="I375" s="31" t="n">
        <v>117974</v>
      </c>
      <c r="J375" s="31" t="inlineStr">
        <is>
          <t>500350</t>
        </is>
      </c>
    </row>
    <row r="376">
      <c r="A376" s="31" t="inlineStr">
        <is>
          <t>PARAS</t>
        </is>
      </c>
      <c r="B376" s="31" t="inlineStr">
        <is>
          <t>Paras Defence and Space Technologies Ltd</t>
        </is>
      </c>
      <c r="C376" s="31" t="inlineStr">
        <is>
          <t>aerospace &amp; defence</t>
        </is>
      </c>
      <c r="D376" s="31" t="inlineStr">
        <is>
          <t>engineering</t>
        </is>
      </c>
      <c r="E376" s="31" t="inlineStr">
        <is>
          <t>midcap</t>
        </is>
      </c>
      <c r="F376" s="31" t="n">
        <v>8930.290000000001</v>
      </c>
      <c r="G376" s="31" t="n">
        <v>1089.35</v>
      </c>
      <c r="H376" s="31" t="n">
        <v>-1.7</v>
      </c>
      <c r="I376" s="31" t="n">
        <v>2442273</v>
      </c>
      <c r="J376" s="31" t="inlineStr">
        <is>
          <t>543367</t>
        </is>
      </c>
    </row>
    <row r="377">
      <c r="A377" s="31" t="inlineStr">
        <is>
          <t>VINDHYATEL</t>
        </is>
      </c>
      <c r="B377" s="31" t="inlineStr">
        <is>
          <t>Vindhya Telelinks Limited</t>
        </is>
      </c>
      <c r="C377" s="31" t="inlineStr">
        <is>
          <t>realty</t>
        </is>
      </c>
      <c r="D377" s="31" t="inlineStr">
        <is>
          <t>construction</t>
        </is>
      </c>
      <c r="E377" s="31" t="inlineStr">
        <is>
          <t>smallcap</t>
        </is>
      </c>
      <c r="F377" s="31" t="n">
        <v>2605.29</v>
      </c>
      <c r="G377" s="31" t="n">
        <v>2160</v>
      </c>
      <c r="H377" s="31" t="n">
        <v>-1.75</v>
      </c>
      <c r="I377" s="31" t="n">
        <v>80064</v>
      </c>
      <c r="J377" s="31" t="inlineStr">
        <is>
          <t>517015</t>
        </is>
      </c>
    </row>
    <row r="378">
      <c r="A378" s="31" t="inlineStr">
        <is>
          <t>PGIL</t>
        </is>
      </c>
      <c r="B378" s="31" t="inlineStr">
        <is>
          <t>Pearl Global Industries Limited</t>
        </is>
      </c>
      <c r="C378" s="31" t="inlineStr">
        <is>
          <t>consumer discretionary</t>
        </is>
      </c>
      <c r="D378" s="31" t="inlineStr">
        <is>
          <t>textiles - products</t>
        </is>
      </c>
      <c r="E378" s="31" t="inlineStr">
        <is>
          <t>midcap</t>
        </is>
      </c>
      <c r="F378" s="31" t="n">
        <v>7821.29</v>
      </c>
      <c r="G378" s="31" t="n">
        <v>1665.1</v>
      </c>
      <c r="H378" s="31" t="n">
        <v>-1.76</v>
      </c>
      <c r="I378" s="31" t="n">
        <v>61648</v>
      </c>
      <c r="J378" s="31" t="inlineStr">
        <is>
          <t>532808</t>
        </is>
      </c>
    </row>
    <row r="379">
      <c r="A379" s="31" t="inlineStr">
        <is>
          <t>CEIGALL</t>
        </is>
      </c>
      <c r="B379" s="31" t="inlineStr">
        <is>
          <t>Ceigall India Ltd</t>
        </is>
      </c>
      <c r="C379" s="31" t="inlineStr">
        <is>
          <t>realty</t>
        </is>
      </c>
      <c r="D379" s="31" t="inlineStr">
        <is>
          <t>construction</t>
        </is>
      </c>
      <c r="E379" s="31" t="inlineStr">
        <is>
          <t>midcap</t>
        </is>
      </c>
      <c r="F379" s="31" t="n">
        <v>6570.14</v>
      </c>
      <c r="G379" s="31" t="n">
        <v>370.35</v>
      </c>
      <c r="H379" s="31" t="n">
        <v>-1.8</v>
      </c>
      <c r="I379" s="31" t="n">
        <v>345290</v>
      </c>
      <c r="J379" s="31" t="inlineStr">
        <is>
          <t>544223</t>
        </is>
      </c>
    </row>
    <row r="380">
      <c r="A380" s="31" t="inlineStr">
        <is>
          <t>CONFIPET</t>
        </is>
      </c>
      <c r="B380" s="31" t="inlineStr">
        <is>
          <t>Confidence Petroleum India Ltd</t>
        </is>
      </c>
      <c r="C380" s="31" t="inlineStr">
        <is>
          <t>miscellaneous</t>
        </is>
      </c>
      <c r="D380" s="31" t="inlineStr">
        <is>
          <t>miscellaneous</t>
        </is>
      </c>
      <c r="E380" s="31" t="inlineStr">
        <is>
          <t>smallcap</t>
        </is>
      </c>
      <c r="F380" s="31" t="n">
        <v>2360.57</v>
      </c>
      <c r="G380" s="31" t="n">
        <v>69.66</v>
      </c>
      <c r="H380" s="31" t="n">
        <v>-1.96</v>
      </c>
      <c r="I380" s="31" t="n">
        <v>1383732</v>
      </c>
      <c r="J380" s="31" t="inlineStr">
        <is>
          <t>526829</t>
        </is>
      </c>
    </row>
    <row r="381">
      <c r="A381" s="31" t="inlineStr">
        <is>
          <t>SOLARA</t>
        </is>
      </c>
      <c r="B381" s="31" t="inlineStr">
        <is>
          <t>Solara Active Pharma Sciences Ltd</t>
        </is>
      </c>
      <c r="C381" s="31" t="inlineStr">
        <is>
          <t>healthcare</t>
        </is>
      </c>
      <c r="D381" s="31" t="inlineStr">
        <is>
          <t>pharmaceuticals - indian - bulk drugs &amp; formln</t>
        </is>
      </c>
      <c r="E381" s="31" t="inlineStr">
        <is>
          <t>smallcap</t>
        </is>
      </c>
      <c r="F381" s="31" t="n">
        <v>2896.21</v>
      </c>
      <c r="G381" s="31" t="n">
        <v>589.15</v>
      </c>
      <c r="H381" s="31" t="n">
        <v>-2</v>
      </c>
      <c r="I381" s="31" t="n">
        <v>210850</v>
      </c>
      <c r="J381" s="31" t="inlineStr">
        <is>
          <t>541540</t>
        </is>
      </c>
    </row>
    <row r="382">
      <c r="A382" s="31" t="inlineStr">
        <is>
          <t>SENORES</t>
        </is>
      </c>
      <c r="B382" s="31" t="inlineStr">
        <is>
          <t>Senores Pharmaceuticals Ltd</t>
        </is>
      </c>
      <c r="C382" s="31" t="inlineStr">
        <is>
          <t>healthcare</t>
        </is>
      </c>
      <c r="D382" s="31" t="inlineStr">
        <is>
          <t>pharmaceuticals - indian - formulations</t>
        </is>
      </c>
      <c r="E382" s="31" t="inlineStr">
        <is>
          <t>midcap</t>
        </is>
      </c>
      <c r="F382" s="31" t="n">
        <v>5909.6</v>
      </c>
      <c r="G382" s="31" t="n">
        <v>1257.2</v>
      </c>
      <c r="H382" s="31" t="n">
        <v>-2.03</v>
      </c>
      <c r="I382" s="31" t="n">
        <v>244797</v>
      </c>
      <c r="J382" s="31" t="inlineStr">
        <is>
          <t>544319</t>
        </is>
      </c>
    </row>
    <row r="383">
      <c r="A383" s="31" t="inlineStr">
        <is>
          <t>TBOTEK</t>
        </is>
      </c>
      <c r="B383" s="31" t="inlineStr">
        <is>
          <t>TBO Tek Ltd</t>
        </is>
      </c>
      <c r="C383" s="31" t="inlineStr">
        <is>
          <t>i.t</t>
        </is>
      </c>
      <c r="D383" s="31" t="inlineStr">
        <is>
          <t>travel agencies</t>
        </is>
      </c>
      <c r="E383" s="31" t="inlineStr">
        <is>
          <t>midcap</t>
        </is>
      </c>
      <c r="F383" s="31" t="n">
        <v>15766.95</v>
      </c>
      <c r="G383" s="31" t="n">
        <v>1422.3</v>
      </c>
      <c r="H383" s="31" t="n">
        <v>-2.05</v>
      </c>
      <c r="I383" s="31" t="n">
        <v>176167</v>
      </c>
      <c r="J383" s="31" t="inlineStr">
        <is>
          <t>544174</t>
        </is>
      </c>
    </row>
    <row r="384">
      <c r="A384" s="31" t="inlineStr">
        <is>
          <t>TALBROAUTO</t>
        </is>
      </c>
      <c r="B384" s="31" t="inlineStr">
        <is>
          <t>Talbros Automotive Components Limited</t>
        </is>
      </c>
      <c r="C384" s="31" t="inlineStr">
        <is>
          <t>auto</t>
        </is>
      </c>
      <c r="D384" s="31" t="inlineStr">
        <is>
          <t>auto ancillaries</t>
        </is>
      </c>
      <c r="E384" s="31" t="inlineStr">
        <is>
          <t>smallcap</t>
        </is>
      </c>
      <c r="F384" s="31" t="n">
        <v>2251.84</v>
      </c>
      <c r="G384" s="31" t="n">
        <v>357.3</v>
      </c>
      <c r="H384" s="31" t="n">
        <v>-2.06</v>
      </c>
      <c r="I384" s="31" t="n">
        <v>173302</v>
      </c>
      <c r="J384" s="31" t="inlineStr">
        <is>
          <t>505160</t>
        </is>
      </c>
    </row>
    <row r="385">
      <c r="A385" s="31" t="inlineStr">
        <is>
          <t>SPECTRUM</t>
        </is>
      </c>
      <c r="B385" s="31" t="inlineStr">
        <is>
          <t>Spectrum Electrical Industries Ltd</t>
        </is>
      </c>
      <c r="C385" s="31" t="inlineStr">
        <is>
          <t>industrials</t>
        </is>
      </c>
      <c r="D385" s="31" t="inlineStr">
        <is>
          <t>electric equipment</t>
        </is>
      </c>
      <c r="E385" s="31" t="inlineStr">
        <is>
          <t>smallcap</t>
        </is>
      </c>
      <c r="F385" s="31" t="n">
        <v>2511.7</v>
      </c>
      <c r="G385" s="31" t="n">
        <v>1564.2</v>
      </c>
      <c r="H385" s="31" t="n">
        <v>-2.14</v>
      </c>
      <c r="I385" s="31" t="n">
        <v>8780</v>
      </c>
      <c r="J385" s="31" t="inlineStr">
        <is>
          <t>535112</t>
        </is>
      </c>
    </row>
    <row r="386">
      <c r="A386" s="31" t="inlineStr">
        <is>
          <t>SANSTAR</t>
        </is>
      </c>
      <c r="B386" s="31" t="inlineStr">
        <is>
          <t>Sanstar Ltd</t>
        </is>
      </c>
      <c r="C386" s="31" t="inlineStr">
        <is>
          <t>fmcg</t>
        </is>
      </c>
      <c r="D386" s="31" t="inlineStr">
        <is>
          <t>miscellaneous</t>
        </is>
      </c>
      <c r="E386" s="31" t="inlineStr">
        <is>
          <t>smallcap</t>
        </is>
      </c>
      <c r="F386" s="31" t="n">
        <v>2144.1</v>
      </c>
      <c r="G386" s="31" t="n">
        <v>115.08</v>
      </c>
      <c r="H386" s="31" t="n">
        <v>-2.18</v>
      </c>
      <c r="I386" s="31" t="n">
        <v>124959</v>
      </c>
      <c r="J386" s="31" t="inlineStr">
        <is>
          <t>544217</t>
        </is>
      </c>
    </row>
    <row r="387">
      <c r="A387" s="31" t="inlineStr">
        <is>
          <t>ACMESOLAR</t>
        </is>
      </c>
      <c r="B387" s="31" t="inlineStr">
        <is>
          <t>ACME Solar Holdings Ltd</t>
        </is>
      </c>
      <c r="C387" s="31" t="inlineStr">
        <is>
          <t>realty</t>
        </is>
      </c>
      <c r="D387" s="31" t="inlineStr">
        <is>
          <t>engineering - turnkey services</t>
        </is>
      </c>
      <c r="E387" s="31" t="inlineStr">
        <is>
          <t>largecap</t>
        </is>
      </c>
      <c r="F387" s="31" t="n">
        <v>24521.08</v>
      </c>
      <c r="G387" s="31" t="n">
        <v>339.65</v>
      </c>
      <c r="H387" s="31" t="n">
        <v>-2.19</v>
      </c>
      <c r="I387" s="31" t="n">
        <v>1181168</v>
      </c>
      <c r="J387" s="31" t="inlineStr">
        <is>
          <t>544283</t>
        </is>
      </c>
    </row>
    <row r="388">
      <c r="A388" s="31" t="inlineStr">
        <is>
          <t>IDEA</t>
        </is>
      </c>
      <c r="B388" s="31" t="inlineStr">
        <is>
          <t>Vodafone Idea Ltd</t>
        </is>
      </c>
      <c r="C388" s="31" t="inlineStr">
        <is>
          <t>telecom-service</t>
        </is>
      </c>
      <c r="D388" s="31" t="inlineStr">
        <is>
          <t>telecommunications - service provider</t>
        </is>
      </c>
      <c r="E388" s="31" t="inlineStr">
        <is>
          <t>largecap</t>
        </is>
      </c>
      <c r="F388" s="31" t="n">
        <v>161972.84</v>
      </c>
      <c r="G388" s="31" t="n">
        <v>14.62</v>
      </c>
      <c r="H388" s="31" t="n">
        <v>-2.21</v>
      </c>
      <c r="I388" s="31" t="n">
        <v>492429596</v>
      </c>
      <c r="J388" s="31" t="inlineStr">
        <is>
          <t>532822</t>
        </is>
      </c>
    </row>
    <row r="389">
      <c r="A389" s="31" t="inlineStr">
        <is>
          <t>ABSLAMC</t>
        </is>
      </c>
      <c r="B389" s="31" t="inlineStr">
        <is>
          <t>Aditya Birla Sun Life AMC Ltd</t>
        </is>
      </c>
      <c r="C389" s="31" t="inlineStr">
        <is>
          <t>financials</t>
        </is>
      </c>
      <c r="D389" s="31" t="inlineStr">
        <is>
          <t>finance &amp; investments</t>
        </is>
      </c>
      <c r="E389" s="31" t="inlineStr">
        <is>
          <t>largecap</t>
        </is>
      </c>
      <c r="F389" s="31" t="n">
        <v>33100.08</v>
      </c>
      <c r="G389" s="31" t="n">
        <v>1120.6</v>
      </c>
      <c r="H389" s="31" t="n">
        <v>-2.22</v>
      </c>
      <c r="I389" s="31" t="n">
        <v>350182</v>
      </c>
      <c r="J389" s="31" t="inlineStr">
        <is>
          <t>543374</t>
        </is>
      </c>
    </row>
    <row r="390">
      <c r="A390" s="31" t="inlineStr">
        <is>
          <t>YASHO</t>
        </is>
      </c>
      <c r="B390" s="31" t="inlineStr">
        <is>
          <t>Yasho Industries Ltd</t>
        </is>
      </c>
      <c r="C390" s="31" t="inlineStr">
        <is>
          <t>chemicals</t>
        </is>
      </c>
      <c r="D390" s="31" t="inlineStr">
        <is>
          <t>chemicals</t>
        </is>
      </c>
      <c r="E390" s="31" t="inlineStr">
        <is>
          <t>smallcap</t>
        </is>
      </c>
      <c r="F390" s="31" t="n">
        <v>3359.59</v>
      </c>
      <c r="G390" s="31" t="n">
        <v>2723.9</v>
      </c>
      <c r="H390" s="31" t="n">
        <v>-2.24</v>
      </c>
      <c r="I390" s="31" t="n">
        <v>36745</v>
      </c>
      <c r="J390" s="31" t="inlineStr">
        <is>
          <t>541167</t>
        </is>
      </c>
    </row>
    <row r="391">
      <c r="A391" s="31" t="inlineStr">
        <is>
          <t>CHENNPETRO</t>
        </is>
      </c>
      <c r="B391" s="31" t="inlineStr">
        <is>
          <t>Chennai Petroleum Corporation Limited</t>
        </is>
      </c>
      <c r="C391" s="31" t="inlineStr">
        <is>
          <t>energy</t>
        </is>
      </c>
      <c r="D391" s="31" t="inlineStr">
        <is>
          <t>refineries</t>
        </is>
      </c>
      <c r="E391" s="31" t="inlineStr">
        <is>
          <t>midcap</t>
        </is>
      </c>
      <c r="F391" s="31" t="n">
        <v>18027.21</v>
      </c>
      <c r="G391" s="31" t="n">
        <v>1183.4</v>
      </c>
      <c r="H391" s="31" t="n">
        <v>-2.25</v>
      </c>
      <c r="I391" s="31" t="n">
        <v>634808</v>
      </c>
      <c r="J391" s="31" t="inlineStr">
        <is>
          <t>500110</t>
        </is>
      </c>
    </row>
    <row r="392">
      <c r="A392" s="31" t="inlineStr">
        <is>
          <t>SPAL</t>
        </is>
      </c>
      <c r="B392" s="31" t="inlineStr">
        <is>
          <t>S. P. Apparels Limited</t>
        </is>
      </c>
      <c r="C392" s="31" t="inlineStr">
        <is>
          <t>consumer discretionary</t>
        </is>
      </c>
      <c r="D392" s="31" t="inlineStr">
        <is>
          <t>textiles - products</t>
        </is>
      </c>
      <c r="E392" s="31" t="inlineStr">
        <is>
          <t>smallcap</t>
        </is>
      </c>
      <c r="F392" s="31" t="n">
        <v>2181.68</v>
      </c>
      <c r="G392" s="31" t="n">
        <v>848.25</v>
      </c>
      <c r="H392" s="31" t="n">
        <v>-2.26</v>
      </c>
      <c r="I392" s="31" t="n">
        <v>361317</v>
      </c>
      <c r="J392" s="31" t="inlineStr">
        <is>
          <t>540048</t>
        </is>
      </c>
    </row>
    <row r="393">
      <c r="A393" s="31" t="inlineStr">
        <is>
          <t>AEROENTER</t>
        </is>
      </c>
      <c r="B393" s="31" t="inlineStr">
        <is>
          <t>Aeroflex Enterprises Ltd</t>
        </is>
      </c>
      <c r="C393" s="31" t="inlineStr">
        <is>
          <t>metals &amp; mining</t>
        </is>
      </c>
      <c r="D393" s="31" t="inlineStr">
        <is>
          <t>steel - medium / small</t>
        </is>
      </c>
      <c r="E393" s="31" t="inlineStr">
        <is>
          <t>smallcap</t>
        </is>
      </c>
      <c r="F393" s="31" t="n">
        <v>1248.68</v>
      </c>
      <c r="G393" s="31" t="n">
        <v>107.66</v>
      </c>
      <c r="H393" s="31" t="n">
        <v>-2.5</v>
      </c>
      <c r="I393" s="31" t="n">
        <v>550308</v>
      </c>
      <c r="J393" s="31" t="inlineStr">
        <is>
          <t>511076</t>
        </is>
      </c>
    </row>
    <row r="394">
      <c r="A394" s="31" t="inlineStr">
        <is>
          <t>POWERMECH</t>
        </is>
      </c>
      <c r="B394" s="31" t="inlineStr">
        <is>
          <t>Power Mech Projects Limited</t>
        </is>
      </c>
      <c r="C394" s="31" t="inlineStr">
        <is>
          <t>realty</t>
        </is>
      </c>
      <c r="D394" s="31" t="inlineStr">
        <is>
          <t>engineering - turnkey services</t>
        </is>
      </c>
      <c r="E394" s="31" t="inlineStr">
        <is>
          <t>midcap</t>
        </is>
      </c>
      <c r="F394" s="31" t="n">
        <v>9017.92</v>
      </c>
      <c r="G394" s="31" t="n">
        <v>2780.6</v>
      </c>
      <c r="H394" s="31" t="n">
        <v>-2.51</v>
      </c>
      <c r="I394" s="31" t="n">
        <v>136107</v>
      </c>
      <c r="J394" s="31" t="inlineStr">
        <is>
          <t>539302</t>
        </is>
      </c>
    </row>
    <row r="395">
      <c r="A395" s="31" t="inlineStr">
        <is>
          <t>SAKAR</t>
        </is>
      </c>
      <c r="B395" s="31" t="inlineStr">
        <is>
          <t>Sakar Healthcare Ltd</t>
        </is>
      </c>
      <c r="C395" s="31" t="inlineStr">
        <is>
          <t>healthcare</t>
        </is>
      </c>
      <c r="D395" s="31" t="inlineStr">
        <is>
          <t>pharmaceuticals - indian - bulk drugs &amp; formln</t>
        </is>
      </c>
      <c r="E395" s="31" t="inlineStr">
        <is>
          <t>smallcap</t>
        </is>
      </c>
      <c r="F395" s="31" t="n">
        <v>1878.23</v>
      </c>
      <c r="G395" s="31" t="n">
        <v>822.95</v>
      </c>
      <c r="H395" s="31" t="n">
        <v>-2.51</v>
      </c>
      <c r="I395" s="31" t="n">
        <v>167420</v>
      </c>
      <c r="J395" s="31" t="inlineStr">
        <is>
          <t>538377</t>
        </is>
      </c>
    </row>
    <row r="396">
      <c r="A396" s="31" t="inlineStr">
        <is>
          <t>VERANDA</t>
        </is>
      </c>
      <c r="B396" s="31" t="inlineStr">
        <is>
          <t>Veranda Learning Solutions Ltd</t>
        </is>
      </c>
      <c r="C396" s="31" t="inlineStr">
        <is>
          <t>services</t>
        </is>
      </c>
      <c r="D396" s="31" t="inlineStr">
        <is>
          <t>miscellaneous</t>
        </is>
      </c>
      <c r="E396" s="31" t="inlineStr">
        <is>
          <t>smallcap</t>
        </is>
      </c>
      <c r="F396" s="31" t="n">
        <v>2322.3</v>
      </c>
      <c r="G396" s="31" t="n">
        <v>235.36</v>
      </c>
      <c r="H396" s="31" t="n">
        <v>-2.53</v>
      </c>
      <c r="I396" s="31" t="n">
        <v>361442</v>
      </c>
      <c r="J396" s="31" t="inlineStr">
        <is>
          <t>543514</t>
        </is>
      </c>
    </row>
    <row r="397">
      <c r="A397" s="31" t="inlineStr">
        <is>
          <t>SANDHAR</t>
        </is>
      </c>
      <c r="B397" s="31" t="inlineStr">
        <is>
          <t>Sandhar Technologies Limited</t>
        </is>
      </c>
      <c r="C397" s="31" t="inlineStr">
        <is>
          <t>auto</t>
        </is>
      </c>
      <c r="D397" s="31" t="inlineStr">
        <is>
          <t>auto ancillaries</t>
        </is>
      </c>
      <c r="E397" s="31" t="inlineStr">
        <is>
          <t>smallcap</t>
        </is>
      </c>
      <c r="F397" s="31" t="n">
        <v>4256.09</v>
      </c>
      <c r="G397" s="31" t="n">
        <v>688.95</v>
      </c>
      <c r="H397" s="31" t="n">
        <v>-2.57</v>
      </c>
      <c r="I397" s="31" t="n">
        <v>300340</v>
      </c>
      <c r="J397" s="31" t="inlineStr">
        <is>
          <t>541163</t>
        </is>
      </c>
    </row>
    <row r="398">
      <c r="A398" s="31" t="inlineStr">
        <is>
          <t>BLSE</t>
        </is>
      </c>
      <c r="B398" s="31" t="inlineStr">
        <is>
          <t>BLS E-Services Ltd</t>
        </is>
      </c>
      <c r="C398" s="31" t="inlineStr">
        <is>
          <t>i.t</t>
        </is>
      </c>
      <c r="D398" s="31" t="inlineStr">
        <is>
          <t>computers - software - medium / small</t>
        </is>
      </c>
      <c r="E398" s="31" t="inlineStr">
        <is>
          <t>smallcap</t>
        </is>
      </c>
      <c r="F398" s="31" t="n">
        <v>2128.31</v>
      </c>
      <c r="G398" s="31" t="n">
        <v>228.03</v>
      </c>
      <c r="H398" s="31" t="n">
        <v>-2.66</v>
      </c>
      <c r="I398" s="31" t="n">
        <v>188216</v>
      </c>
      <c r="J398" s="31" t="inlineStr">
        <is>
          <t>544107</t>
        </is>
      </c>
    </row>
    <row r="399">
      <c r="A399" s="31" t="inlineStr">
        <is>
          <t>QPOWER</t>
        </is>
      </c>
      <c r="B399" s="31" t="inlineStr">
        <is>
          <t>Quality Power Electrical Equipments Ltd</t>
        </is>
      </c>
      <c r="C399" s="31" t="inlineStr">
        <is>
          <t>industrials</t>
        </is>
      </c>
      <c r="D399" s="31" t="inlineStr">
        <is>
          <t>electric equipment</t>
        </is>
      </c>
      <c r="E399" s="31" t="inlineStr">
        <is>
          <t>midcap</t>
        </is>
      </c>
      <c r="F399" s="31" t="n">
        <v>9929.110000000001</v>
      </c>
      <c r="G399" s="31" t="n">
        <v>1247.9</v>
      </c>
      <c r="H399" s="31" t="n">
        <v>-2.67</v>
      </c>
      <c r="I399" s="31" t="n">
        <v>187409</v>
      </c>
      <c r="J399" s="31" t="inlineStr">
        <is>
          <t>544367</t>
        </is>
      </c>
    </row>
    <row r="400">
      <c r="A400" s="31" t="inlineStr">
        <is>
          <t>MODISONLTD</t>
        </is>
      </c>
      <c r="B400" s="31" t="inlineStr">
        <is>
          <t>Modison Ltd</t>
        </is>
      </c>
      <c r="C400" s="31" t="inlineStr">
        <is>
          <t>industrials</t>
        </is>
      </c>
      <c r="D400" s="31" t="inlineStr">
        <is>
          <t>electric equipment</t>
        </is>
      </c>
      <c r="E400" s="31" t="inlineStr">
        <is>
          <t>smallcap</t>
        </is>
      </c>
      <c r="F400" s="31" t="n">
        <v>973.01</v>
      </c>
      <c r="G400" s="31" t="n">
        <v>291.55</v>
      </c>
      <c r="H400" s="31" t="n">
        <v>-2.77</v>
      </c>
      <c r="I400" s="31" t="n">
        <v>113834</v>
      </c>
      <c r="J400" s="31" t="inlineStr">
        <is>
          <t>506261</t>
        </is>
      </c>
    </row>
    <row r="401">
      <c r="A401" s="31" t="inlineStr">
        <is>
          <t>ATHERENERG</t>
        </is>
      </c>
      <c r="B401" s="31" t="inlineStr">
        <is>
          <t>Ather Energy Ltd</t>
        </is>
      </c>
      <c r="C401" s="31" t="inlineStr">
        <is>
          <t>auto</t>
        </is>
      </c>
      <c r="D401" s="31" t="inlineStr">
        <is>
          <t>automobiles - scooters and 3 - wheelers</t>
        </is>
      </c>
      <c r="E401" s="31" t="inlineStr">
        <is>
          <t>largecap</t>
        </is>
      </c>
      <c r="F401" s="31" t="n">
        <v>39315.84</v>
      </c>
      <c r="G401" s="31" t="n">
        <v>998.05</v>
      </c>
      <c r="H401" s="31" t="n">
        <v>-2.86</v>
      </c>
      <c r="I401" s="31" t="n">
        <v>2709802</v>
      </c>
      <c r="J401" s="31" t="inlineStr">
        <is>
          <t>544397</t>
        </is>
      </c>
    </row>
    <row r="402">
      <c r="A402" s="31" t="inlineStr">
        <is>
          <t>UFBL</t>
        </is>
      </c>
      <c r="B402" s="31" t="inlineStr">
        <is>
          <t>United Foodbrands Ltd</t>
        </is>
      </c>
      <c r="C402" s="31" t="inlineStr">
        <is>
          <t>consumer discretionary</t>
        </is>
      </c>
      <c r="D402" s="31" t="inlineStr">
        <is>
          <t>hotels</t>
        </is>
      </c>
      <c r="E402" s="31" t="inlineStr">
        <is>
          <t>smallcap</t>
        </is>
      </c>
      <c r="F402" s="31" t="n">
        <v>2403.62</v>
      </c>
      <c r="G402" s="31" t="n">
        <v>593.2</v>
      </c>
      <c r="H402" s="31" t="n">
        <v>-3.54</v>
      </c>
      <c r="I402" s="31" t="n">
        <v>259668</v>
      </c>
      <c r="J402" s="31" t="inlineStr">
        <is>
          <t>543283</t>
        </is>
      </c>
    </row>
    <row r="403">
      <c r="A403" s="31" t="inlineStr">
        <is>
          <t>RUBYMILLS</t>
        </is>
      </c>
      <c r="B403" s="31" t="inlineStr">
        <is>
          <t>The Ruby Mills Limited</t>
        </is>
      </c>
      <c r="C403" s="31" t="inlineStr">
        <is>
          <t>textiles</t>
        </is>
      </c>
      <c r="D403" s="31" t="inlineStr">
        <is>
          <t>textiles - composite</t>
        </is>
      </c>
      <c r="E403" s="31" t="inlineStr">
        <is>
          <t>smallcap</t>
        </is>
      </c>
      <c r="F403" s="31" t="n">
        <v>1116.73</v>
      </c>
      <c r="G403" s="31" t="n">
        <v>321.8</v>
      </c>
      <c r="H403" s="31" t="n">
        <v>-3.64</v>
      </c>
      <c r="I403" s="31" t="n">
        <v>8918</v>
      </c>
      <c r="J403" s="31" t="inlineStr">
        <is>
          <t>503169</t>
        </is>
      </c>
    </row>
    <row r="404">
      <c r="A404" s="31" t="inlineStr">
        <is>
          <t>AKUMS</t>
        </is>
      </c>
      <c r="B404" s="31" t="inlineStr">
        <is>
          <t>Akums Drugs &amp; Pharmaceuticals Ltd</t>
        </is>
      </c>
      <c r="C404" s="31" t="inlineStr">
        <is>
          <t>healthcare</t>
        </is>
      </c>
      <c r="D404" s="31" t="inlineStr">
        <is>
          <t>pharmaceuticals - indian - bulk drugs &amp; formln</t>
        </is>
      </c>
      <c r="E404" s="31" t="inlineStr">
        <is>
          <t>midcap</t>
        </is>
      </c>
      <c r="F404" s="31" t="n">
        <v>9757.639999999999</v>
      </c>
      <c r="G404" s="31" t="n">
        <v>596.85</v>
      </c>
      <c r="H404" s="31" t="n">
        <v>-3.73</v>
      </c>
      <c r="I404" s="31" t="n">
        <v>311260</v>
      </c>
      <c r="J404" s="31" t="inlineStr">
        <is>
          <t>544222</t>
        </is>
      </c>
    </row>
    <row r="405">
      <c r="A405" s="31" t="inlineStr">
        <is>
          <t>DIACABS</t>
        </is>
      </c>
      <c r="B405" s="31" t="inlineStr">
        <is>
          <t>Diamond Power Infrastructure Ltd</t>
        </is>
      </c>
      <c r="C405" s="31" t="inlineStr">
        <is>
          <t>industrials</t>
        </is>
      </c>
      <c r="D405" s="31" t="inlineStr">
        <is>
          <t>cables - power</t>
        </is>
      </c>
      <c r="E405" s="31" t="inlineStr">
        <is>
          <t>midcap</t>
        </is>
      </c>
      <c r="F405" s="31" t="n">
        <v>11347.79</v>
      </c>
      <c r="G405" s="31" t="n">
        <v>206.6</v>
      </c>
      <c r="H405" s="31" t="n">
        <v>-4.06</v>
      </c>
      <c r="I405" s="31" t="n">
        <v>11736724</v>
      </c>
      <c r="J405" s="31" t="inlineStr">
        <is>
          <t>522163</t>
        </is>
      </c>
    </row>
    <row r="406">
      <c r="A406" s="31" t="inlineStr">
        <is>
          <t>NGLFINE</t>
        </is>
      </c>
      <c r="B406" s="31" t="inlineStr">
        <is>
          <t>NGL Fine Chem Ltd</t>
        </is>
      </c>
      <c r="C406" s="31" t="inlineStr">
        <is>
          <t>healthcare</t>
        </is>
      </c>
      <c r="D406" s="31" t="inlineStr">
        <is>
          <t>pharmaceuticals - indian - bulk drugs</t>
        </is>
      </c>
      <c r="E406" s="31" t="inlineStr">
        <is>
          <t>smallcap</t>
        </is>
      </c>
      <c r="F406" s="31" t="n">
        <v>1920.93</v>
      </c>
      <c r="G406" s="31" t="n">
        <v>2976.7</v>
      </c>
      <c r="H406" s="31" t="n">
        <v>-4.26</v>
      </c>
      <c r="I406" s="31" t="n">
        <v>34309</v>
      </c>
      <c r="J406" s="31" t="inlineStr">
        <is>
          <t>524774</t>
        </is>
      </c>
    </row>
    <row r="407">
      <c r="A407" s="31" t="inlineStr">
        <is>
          <t>SILVERTUC</t>
        </is>
      </c>
      <c r="B407" s="31" t="inlineStr">
        <is>
          <t>Silver Touch Technologies Ltd</t>
        </is>
      </c>
      <c r="C407" s="31" t="inlineStr">
        <is>
          <t>i.t</t>
        </is>
      </c>
      <c r="D407" s="31" t="inlineStr">
        <is>
          <t>computers - software - medium / small</t>
        </is>
      </c>
      <c r="E407" s="31" t="inlineStr">
        <is>
          <t>smallcap</t>
        </is>
      </c>
      <c r="F407" s="31" t="n">
        <v>2642.21</v>
      </c>
      <c r="G407" s="31" t="n">
        <v>198.08</v>
      </c>
      <c r="H407" s="31" t="n">
        <v>-4.93</v>
      </c>
      <c r="I407" s="31" t="n">
        <v>597686</v>
      </c>
      <c r="J407" s="31" t="inlineStr">
        <is>
          <t>535031</t>
        </is>
      </c>
    </row>
    <row r="408">
      <c r="A408" s="31" t="inlineStr">
        <is>
          <t>RAIN</t>
        </is>
      </c>
      <c r="B408" s="31" t="inlineStr">
        <is>
          <t>Rain Industries Limited</t>
        </is>
      </c>
      <c r="C408" s="31" t="inlineStr">
        <is>
          <t>miscellaneous</t>
        </is>
      </c>
      <c r="D408" s="31" t="inlineStr">
        <is>
          <t>miscellaneous</t>
        </is>
      </c>
      <c r="E408" s="31" t="inlineStr">
        <is>
          <t>midcap</t>
        </is>
      </c>
      <c r="F408" s="31" t="n">
        <v>6988.59</v>
      </c>
      <c r="G408" s="31" t="n">
        <v>194.22</v>
      </c>
      <c r="H408" s="31" t="n">
        <v>-6.53</v>
      </c>
      <c r="I408" s="31" t="n">
        <v>11234542</v>
      </c>
      <c r="J408" s="31" t="inlineStr">
        <is>
          <t>500339</t>
        </is>
      </c>
    </row>
    <row r="409">
      <c r="A409" s="31" t="inlineStr">
        <is>
          <t>SCPL</t>
        </is>
      </c>
      <c r="B409" s="31" t="inlineStr">
        <is>
          <t>Sheetal Cool Products Ltd</t>
        </is>
      </c>
      <c r="C409" s="31" t="inlineStr">
        <is>
          <t>fmcg</t>
        </is>
      </c>
      <c r="D409" s="31" t="inlineStr">
        <is>
          <t>food - processing - indian</t>
        </is>
      </c>
      <c r="E409" s="31" t="inlineStr">
        <is>
          <t>smallcap</t>
        </is>
      </c>
      <c r="F409" s="31" t="n">
        <v>541.0700000000001</v>
      </c>
      <c r="G409" s="31" t="n">
        <v>470.85</v>
      </c>
      <c r="H409" s="31" t="n">
        <v>-8.630000000000001</v>
      </c>
      <c r="I409" s="31" t="n">
        <v>56607</v>
      </c>
      <c r="J409" s="31" t="inlineStr">
        <is>
          <t>540757</t>
        </is>
      </c>
    </row>
  </sheetData>
  <autoFilter ref="A1:J4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GAYAPROJ</t>
        </is>
      </c>
      <c r="E2" s="31" t="inlineStr">
        <is>
          <t>Gayatri Projects Limited</t>
        </is>
      </c>
      <c r="F2" s="31" t="inlineStr">
        <is>
          <t>Construction - Civil/Turnkey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19</v>
      </c>
      <c r="K2" s="31" t="n">
        <v>23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RPTECH</t>
        </is>
      </c>
      <c r="E3" s="31" t="inlineStr">
        <is>
          <t>Rashi Peripherals Ltd</t>
        </is>
      </c>
      <c r="F3" s="31" t="inlineStr">
        <is>
          <t>Trading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27</v>
      </c>
      <c r="K3" s="31" t="n">
        <v>28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CUPID</t>
        </is>
      </c>
      <c r="E4" s="31" t="inlineStr">
        <is>
          <t>Cupid Limited</t>
        </is>
      </c>
      <c r="F4" s="31" t="inlineStr">
        <is>
          <t>Contraceptives/Protectives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23</v>
      </c>
      <c r="K4" s="31" t="n">
        <v>29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MAYURUNIQ</t>
        </is>
      </c>
      <c r="E5" s="31" t="inlineStr">
        <is>
          <t>Mayur Uniquoters Ltd</t>
        </is>
      </c>
      <c r="F5" s="31" t="inlineStr">
        <is>
          <t>Plastics - Plastic &amp; Plastic Products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18</v>
      </c>
      <c r="K5" s="31" t="n">
        <v>30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GVPIL</t>
        </is>
      </c>
      <c r="E6" s="31" t="inlineStr">
        <is>
          <t>GE Power India Ltd</t>
        </is>
      </c>
      <c r="F6" s="31" t="inlineStr">
        <is>
          <t>Infra - General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22</v>
      </c>
      <c r="K6" s="31" t="n">
        <v>30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BHAGYANGR</t>
        </is>
      </c>
      <c r="E7" s="31" t="inlineStr">
        <is>
          <t>Bhagyanagar India</t>
        </is>
      </c>
      <c r="F7" s="31" t="inlineStr">
        <is>
          <t>Recycling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23</v>
      </c>
      <c r="K7" s="31" t="n">
        <v>22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UNIPARTS</t>
        </is>
      </c>
      <c r="E8" s="31" t="inlineStr">
        <is>
          <t>Uniparts India Ltd</t>
        </is>
      </c>
      <c r="F8" s="31" t="inlineStr">
        <is>
          <t>Castings, Forgings &amp; Fastners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23</v>
      </c>
      <c r="K8" s="31" t="n">
        <v>29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KERNEX</t>
        </is>
      </c>
      <c r="E9" s="31" t="inlineStr">
        <is>
          <t>Kernex Microsystems (india) Limited</t>
        </is>
      </c>
      <c r="F9" s="31" t="inlineStr">
        <is>
          <t>Railways - Kavach/Springs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20</v>
      </c>
      <c r="K9" s="31" t="n">
        <v>26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JAYBARMARU</t>
        </is>
      </c>
      <c r="E10" s="31" t="inlineStr">
        <is>
          <t>Jay Bharat Maruti Limited</t>
        </is>
      </c>
      <c r="F10" s="31" t="inlineStr">
        <is>
          <t>Auto Ancillaries - Diversified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25</v>
      </c>
      <c r="K10" s="31" t="n">
        <v>24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RPEL</t>
        </is>
      </c>
      <c r="E11" s="31" t="inlineStr">
        <is>
          <t>Raghav Productivity Enhancers Ltd</t>
        </is>
      </c>
      <c r="F11" s="31" t="inlineStr">
        <is>
          <t>Steel Products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23</v>
      </c>
      <c r="K11" s="31" t="n">
        <v>26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SATIN</t>
        </is>
      </c>
      <c r="E12" s="31" t="inlineStr">
        <is>
          <t>Satin Creditcare Network Limited</t>
        </is>
      </c>
      <c r="F12" s="31" t="inlineStr">
        <is>
          <t>Finance &amp; Investments - Microfinance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22</v>
      </c>
      <c r="K12" s="31" t="n">
        <v>29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MAHABANK</t>
        </is>
      </c>
      <c r="E13" s="31" t="inlineStr">
        <is>
          <t>Bank Of Maharashtra Ltd</t>
        </is>
      </c>
      <c r="F13" s="31" t="inlineStr">
        <is>
          <t>Banks - PSU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20</v>
      </c>
      <c r="K13" s="31" t="n">
        <v>13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IBULLSLTD</t>
        </is>
      </c>
      <c r="E14" s="31" t="inlineStr">
        <is>
          <t>Indiabulls Limited</t>
        </is>
      </c>
      <c r="F14" s="31" t="inlineStr">
        <is>
          <t>Diversified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20</v>
      </c>
      <c r="K14" s="31" t="n">
        <v>26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BAJAJCON</t>
        </is>
      </c>
      <c r="E15" s="31" t="inlineStr">
        <is>
          <t>Bajaj Consumer Care Ltd</t>
        </is>
      </c>
      <c r="F15" s="31" t="inlineStr">
        <is>
          <t>FMCG - Personal Care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25</v>
      </c>
      <c r="K15" s="31" t="n">
        <v>30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BANDHANBNK</t>
        </is>
      </c>
      <c r="E16" s="31" t="inlineStr">
        <is>
          <t>Bandhan Bank Ltd</t>
        </is>
      </c>
      <c r="F16" s="31" t="inlineStr">
        <is>
          <t>Banks - Private</t>
        </is>
      </c>
      <c r="G16" s="31" t="n">
        <v>2</v>
      </c>
      <c r="H16" s="31" t="inlineStr">
        <is>
          <t>52W Breakout</t>
        </is>
      </c>
      <c r="I16" s="31" t="inlineStr">
        <is>
          <t>Yes</t>
        </is>
      </c>
      <c r="J16" s="31" t="n">
        <v>10</v>
      </c>
      <c r="K16" s="31" t="n">
        <v>24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VENUSREM</t>
        </is>
      </c>
      <c r="E17" s="31" t="inlineStr">
        <is>
          <t>Venus Remedies Limited</t>
        </is>
      </c>
      <c r="F17" s="31" t="inlineStr">
        <is>
          <t>Pharmaceuticals - I V Fluids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25</v>
      </c>
      <c r="K17" s="31" t="n">
        <v>25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BLISSGVS</t>
        </is>
      </c>
      <c r="E18" s="31" t="inlineStr">
        <is>
          <t>Bliss Gvs Pharma Limited</t>
        </is>
      </c>
      <c r="F18" s="31" t="inlineStr">
        <is>
          <t>Pharma - Formulators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22</v>
      </c>
      <c r="K18" s="31" t="n">
        <v>30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AEGISLOG</t>
        </is>
      </c>
      <c r="E19" s="31" t="inlineStr">
        <is>
          <t>Aegis Logistics Ltd</t>
        </is>
      </c>
      <c r="F19" s="31" t="inlineStr">
        <is>
          <t>Logistics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30</v>
      </c>
      <c r="K19" s="31" t="n">
        <v>13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NETWEB</t>
        </is>
      </c>
      <c r="E20" s="31" t="inlineStr">
        <is>
          <t>Netweb Technologies India Ltd</t>
        </is>
      </c>
      <c r="F20" s="31" t="inlineStr">
        <is>
          <t>Data Centre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21</v>
      </c>
      <c r="K20" s="31" t="n">
        <v>16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INDOBORAX</t>
        </is>
      </c>
      <c r="E21" s="31" t="inlineStr">
        <is>
          <t>Indo Borax &amp; Chemicals Ltd</t>
        </is>
      </c>
      <c r="F21" s="31" t="inlineStr">
        <is>
          <t>Chemicals - Inorganic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17</v>
      </c>
      <c r="K21" s="31" t="n">
        <v>30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THANGAMAYL</t>
        </is>
      </c>
      <c r="E22" s="31" t="inlineStr">
        <is>
          <t>Thangamayil Jewellery Limited</t>
        </is>
      </c>
      <c r="F22" s="31" t="inlineStr">
        <is>
          <t>Diamond, Gems &amp; Jewellery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31</v>
      </c>
      <c r="K22" s="31" t="n">
        <v>17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SAKAR</t>
        </is>
      </c>
      <c r="E23" s="31" t="inlineStr">
        <is>
          <t>Sakar Healthcare Ltd</t>
        </is>
      </c>
      <c r="F23" s="31" t="inlineStr">
        <is>
          <t>Hospitals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18</v>
      </c>
      <c r="K23" s="31" t="n">
        <v>27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SJS</t>
        </is>
      </c>
      <c r="E24" s="31" t="inlineStr">
        <is>
          <t>S J S Enterprises Ltd</t>
        </is>
      </c>
      <c r="F24" s="31" t="inlineStr">
        <is>
          <t>Auto Ancillaries - Diversified</t>
        </is>
      </c>
      <c r="G24" s="31" t="n">
        <v>2</v>
      </c>
      <c r="H24" s="31" t="inlineStr">
        <is>
          <t>52W Breakout</t>
        </is>
      </c>
      <c r="I24" s="31" t="inlineStr">
        <is>
          <t>Yes</t>
        </is>
      </c>
      <c r="J24" s="31" t="n">
        <v>16</v>
      </c>
      <c r="K24" s="31" t="n">
        <v>28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SUPRIYA</t>
        </is>
      </c>
      <c r="E25" s="31" t="inlineStr">
        <is>
          <t>Supriya Lifescience Ltd</t>
        </is>
      </c>
      <c r="F25" s="31" t="inlineStr">
        <is>
          <t>Pharma - API &amp; CRAMS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20</v>
      </c>
      <c r="K25" s="31" t="n">
        <v>27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NGLFINE</t>
        </is>
      </c>
      <c r="E26" s="31" t="inlineStr">
        <is>
          <t>NGL Fine Chem Ltd</t>
        </is>
      </c>
      <c r="F26" s="31" t="inlineStr">
        <is>
          <t>Pharma - Animal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24</v>
      </c>
      <c r="K26" s="31" t="n">
        <v>23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SKMEGGPROD</t>
        </is>
      </c>
      <c r="E27" s="31" t="inlineStr">
        <is>
          <t>Skm Egg Products Export (india) Limited</t>
        </is>
      </c>
      <c r="F27" s="31" t="inlineStr">
        <is>
          <t>FMCG - Animal/Polutry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23</v>
      </c>
      <c r="K27" s="31" t="n">
        <v>22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SENORES</t>
        </is>
      </c>
      <c r="E28" s="31" t="inlineStr">
        <is>
          <t>Senores Pharmaceuticals Ltd</t>
        </is>
      </c>
      <c r="F28" s="31" t="inlineStr">
        <is>
          <t>Pharma - API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24</v>
      </c>
      <c r="K28" s="31" t="n">
        <v>23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J&amp;KBANK</t>
        </is>
      </c>
      <c r="E29" s="31" t="inlineStr">
        <is>
          <t>The Jammu &amp; Kashmir Bank Limited</t>
        </is>
      </c>
      <c r="F29" s="31" t="inlineStr">
        <is>
          <t>Banks - Private</t>
        </is>
      </c>
      <c r="G29" s="31" t="n">
        <v>2</v>
      </c>
      <c r="H29" s="31" t="inlineStr">
        <is>
          <t>52W Breakout</t>
        </is>
      </c>
      <c r="I29" s="31" t="inlineStr">
        <is>
          <t>Yes</t>
        </is>
      </c>
      <c r="J29" s="31" t="n">
        <v>14</v>
      </c>
      <c r="K29" s="31" t="n">
        <v>24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PARAS</t>
        </is>
      </c>
      <c r="E30" s="31" t="inlineStr">
        <is>
          <t>Paras Defence and Space Technologies Ltd</t>
        </is>
      </c>
      <c r="F30" s="31" t="inlineStr">
        <is>
          <t>Aerospace &amp; Defence - Equipments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23</v>
      </c>
      <c r="K30" s="31" t="n">
        <v>21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FEDERALBNK</t>
        </is>
      </c>
      <c r="E31" s="31" t="inlineStr">
        <is>
          <t>The Federal Bank  Limited</t>
        </is>
      </c>
      <c r="F31" s="31" t="inlineStr">
        <is>
          <t>Banks - Private</t>
        </is>
      </c>
      <c r="G31" s="31" t="n">
        <v>2</v>
      </c>
      <c r="H31" s="31" t="inlineStr">
        <is>
          <t>52W Breakout</t>
        </is>
      </c>
      <c r="I31" s="31" t="inlineStr">
        <is>
          <t>Yes</t>
        </is>
      </c>
      <c r="J31" s="31" t="n">
        <v>11</v>
      </c>
      <c r="K31" s="31" t="n">
        <v>13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INNOVACAP</t>
        </is>
      </c>
      <c r="E32" s="31" t="inlineStr">
        <is>
          <t>Innova Captab Ltd</t>
        </is>
      </c>
      <c r="F32" s="31" t="inlineStr">
        <is>
          <t>Pharma - API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19</v>
      </c>
      <c r="K32" s="31" t="n">
        <v>30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PAISALO</t>
        </is>
      </c>
      <c r="E33" s="31" t="inlineStr">
        <is>
          <t>Paisalo Digital Ltd</t>
        </is>
      </c>
      <c r="F33" s="31" t="inlineStr">
        <is>
          <t>Finance - Capital Markets - Brokers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20</v>
      </c>
      <c r="K33" s="31" t="n">
        <v>28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CEIGALL</t>
        </is>
      </c>
      <c r="E34" s="31" t="inlineStr">
        <is>
          <t>Ceigall India Ltd</t>
        </is>
      </c>
      <c r="F34" s="31" t="inlineStr">
        <is>
          <t>Construction - Civil/Turnkey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22</v>
      </c>
      <c r="K34" s="31" t="n">
        <v>23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GOLDIAM</t>
        </is>
      </c>
      <c r="E35" s="31" t="inlineStr">
        <is>
          <t>Goldiam International Limited</t>
        </is>
      </c>
      <c r="F35" s="31" t="inlineStr">
        <is>
          <t>Lab Grown Diamonds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24</v>
      </c>
      <c r="K35" s="31" t="n">
        <v>20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PRECWIRE</t>
        </is>
      </c>
      <c r="E36" s="31" t="inlineStr">
        <is>
          <t>Precision Wires India Limited</t>
        </is>
      </c>
      <c r="F36" s="31" t="inlineStr">
        <is>
          <t>Copper Wires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20</v>
      </c>
      <c r="K36" s="31" t="n">
        <v>15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RATEGAIN</t>
        </is>
      </c>
      <c r="E37" s="31" t="inlineStr">
        <is>
          <t>Rategain Travel Technologies Ltd</t>
        </is>
      </c>
      <c r="F37" s="31" t="inlineStr">
        <is>
          <t>IT Product Companies</t>
        </is>
      </c>
      <c r="G37" s="31" t="n">
        <v>2</v>
      </c>
      <c r="H37" s="31" t="inlineStr">
        <is>
          <t>52W Breakout</t>
        </is>
      </c>
      <c r="I37" s="31" t="inlineStr">
        <is>
          <t>Yes</t>
        </is>
      </c>
      <c r="J37" s="31" t="n">
        <v>17</v>
      </c>
      <c r="K37" s="31" t="n">
        <v>30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SIGMAADV</t>
        </is>
      </c>
      <c r="E38" s="31" t="inlineStr">
        <is>
          <t>Sigma Advanced System Ltd</t>
        </is>
      </c>
      <c r="F38" s="31" t="inlineStr">
        <is>
          <t>Aerospace &amp; Defence - Equipments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28</v>
      </c>
      <c r="K38" s="31" t="n">
        <v>30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AVALON</t>
        </is>
      </c>
      <c r="E39" s="31" t="inlineStr">
        <is>
          <t>Avalon Technologies Ltd</t>
        </is>
      </c>
      <c r="F39" s="31" t="inlineStr">
        <is>
          <t>Consumer Electronics - EMS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22</v>
      </c>
      <c r="K39" s="31" t="n">
        <v>30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SIS</t>
        </is>
      </c>
      <c r="E40" s="31" t="inlineStr">
        <is>
          <t>Security &amp; Intelligence Services India</t>
        </is>
      </c>
      <c r="F40" s="31" t="inlineStr">
        <is>
          <t>Facility Management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22</v>
      </c>
      <c r="K40" s="31" t="n">
        <v>30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SYRMA</t>
        </is>
      </c>
      <c r="E41" s="31" t="inlineStr">
        <is>
          <t>Syrma SGS Technology Ltd</t>
        </is>
      </c>
      <c r="F41" s="31" t="inlineStr">
        <is>
          <t>Consumer Electronics - EMS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21</v>
      </c>
      <c r="K41" s="31" t="n">
        <v>27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ANGELONE</t>
        </is>
      </c>
      <c r="E42" s="31" t="inlineStr">
        <is>
          <t>Angel One Ltd</t>
        </is>
      </c>
      <c r="F42" s="31" t="inlineStr">
        <is>
          <t>Finance - Capital Markets - Brokers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19</v>
      </c>
      <c r="K42" s="31" t="n">
        <v>22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CAPLIPOINT</t>
        </is>
      </c>
      <c r="E43" s="31" t="inlineStr">
        <is>
          <t>Caplin Point Laboratories Limited</t>
        </is>
      </c>
      <c r="F43" s="31" t="inlineStr">
        <is>
          <t>Pharma - Formulators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20</v>
      </c>
      <c r="K43" s="31" t="n">
        <v>28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SPARC</t>
        </is>
      </c>
      <c r="E44" s="31" t="inlineStr">
        <is>
          <t>Sun Pharma Advanced Research Company Limited</t>
        </is>
      </c>
      <c r="F44" s="31" t="inlineStr">
        <is>
          <t>Pharma - Others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22</v>
      </c>
      <c r="K44" s="31" t="n">
        <v>28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NAM-INDIA</t>
        </is>
      </c>
      <c r="E45" s="31" t="inlineStr">
        <is>
          <t>Nippon Life India Asset Management Ltd</t>
        </is>
      </c>
      <c r="F45" s="31" t="inlineStr">
        <is>
          <t>Finance - AMC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18</v>
      </c>
      <c r="K45" s="31" t="n">
        <v>24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CGCL</t>
        </is>
      </c>
      <c r="E46" s="31" t="inlineStr">
        <is>
          <t>Capri Global Capital Limited</t>
        </is>
      </c>
      <c r="F46" s="31" t="inlineStr">
        <is>
          <t>Finance &amp; Investments - Gold Loan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24</v>
      </c>
      <c r="K46" s="31" t="n">
        <v>19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DIVGIITTS</t>
        </is>
      </c>
      <c r="E47" s="31" t="inlineStr">
        <is>
          <t>Divgi Torqtransfer Systems Ltd</t>
        </is>
      </c>
      <c r="F47" s="31" t="inlineStr">
        <is>
          <t>Auto Ancillaries - Transmission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18</v>
      </c>
      <c r="K47" s="31" t="n">
        <v>21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SKIPPER</t>
        </is>
      </c>
      <c r="E48" s="31" t="inlineStr">
        <is>
          <t>Skipper Limited</t>
        </is>
      </c>
      <c r="F48" s="31" t="inlineStr">
        <is>
          <t>Electrical Equipments/HVDC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20</v>
      </c>
      <c r="K48" s="31" t="n">
        <v>20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HARSHA</t>
        </is>
      </c>
      <c r="E49" s="31" t="inlineStr">
        <is>
          <t>Harsha Engineers International Ltd</t>
        </is>
      </c>
      <c r="F49" s="31" t="inlineStr">
        <is>
          <t>Bearings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17</v>
      </c>
      <c r="K49" s="31" t="n">
        <v>11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STLTECH</t>
        </is>
      </c>
      <c r="E50" s="31" t="inlineStr">
        <is>
          <t>Sterlite Technologies Limited</t>
        </is>
      </c>
      <c r="F50" s="31" t="inlineStr">
        <is>
          <t>Cables - Telecom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18</v>
      </c>
      <c r="K50" s="31" t="n">
        <v>30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MMTC</t>
        </is>
      </c>
      <c r="E51" s="31" t="inlineStr">
        <is>
          <t>Mmtc Limited</t>
        </is>
      </c>
      <c r="F51" s="31" t="inlineStr">
        <is>
          <t>Trading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25</v>
      </c>
      <c r="K51" s="31" t="n">
        <v>4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NRBBEARING</t>
        </is>
      </c>
      <c r="E52" s="31" t="inlineStr">
        <is>
          <t>Nrb Bearing Limited</t>
        </is>
      </c>
      <c r="F52" s="31" t="inlineStr">
        <is>
          <t>Bearings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20</v>
      </c>
      <c r="K52" s="31" t="n">
        <v>30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SANDHAR</t>
        </is>
      </c>
      <c r="E53" s="31" t="inlineStr">
        <is>
          <t>Sandhar Technologies Limited</t>
        </is>
      </c>
      <c r="F53" s="31" t="inlineStr">
        <is>
          <t>Auto Ancillaries - 2&amp;3 Wheelers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19</v>
      </c>
      <c r="K53" s="31" t="n">
        <v>24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GRWRHITECH</t>
        </is>
      </c>
      <c r="E54" s="31" t="inlineStr">
        <is>
          <t>Garware Hi Tech Films Ltd</t>
        </is>
      </c>
      <c r="F54" s="31" t="inlineStr">
        <is>
          <t>Packaging - Films</t>
        </is>
      </c>
      <c r="G54" s="31" t="n">
        <v>2</v>
      </c>
      <c r="H54" s="31" t="inlineStr">
        <is>
          <t>52W Breakout</t>
        </is>
      </c>
      <c r="I54" s="31" t="inlineStr">
        <is>
          <t>Yes</t>
        </is>
      </c>
      <c r="J54" s="31" t="n">
        <v>12</v>
      </c>
      <c r="K54" s="31" t="n">
        <v>30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APOLLO</t>
        </is>
      </c>
      <c r="E55" s="31" t="inlineStr">
        <is>
          <t>Apollo Micro Systems Ltd</t>
        </is>
      </c>
      <c r="F55" s="31" t="inlineStr">
        <is>
          <t>Aerospace &amp; Defence - Equipments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26</v>
      </c>
      <c r="K55" s="31" t="n">
        <v>29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ORCHPHARMA</t>
        </is>
      </c>
      <c r="E56" s="31" t="inlineStr">
        <is>
          <t>Orchid Pharma Ltd</t>
        </is>
      </c>
      <c r="F56" s="31" t="inlineStr">
        <is>
          <t>Pharma - API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18</v>
      </c>
      <c r="K56" s="31" t="n">
        <v>22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SFL</t>
        </is>
      </c>
      <c r="E57" s="31" t="inlineStr">
        <is>
          <t>Sheela Foam Limited</t>
        </is>
      </c>
      <c r="F57" s="31" t="inlineStr">
        <is>
          <t>Mattress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21</v>
      </c>
      <c r="K57" s="31" t="n">
        <v>16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SOUTHBANK</t>
        </is>
      </c>
      <c r="E58" s="31" t="inlineStr">
        <is>
          <t>The South Indian Bank Limited</t>
        </is>
      </c>
      <c r="F58" s="31" t="inlineStr">
        <is>
          <t>Banks - Private</t>
        </is>
      </c>
      <c r="G58" s="31" t="n">
        <v>2</v>
      </c>
      <c r="H58" s="31" t="inlineStr">
        <is>
          <t>52W Breakout</t>
        </is>
      </c>
      <c r="I58" s="31" t="inlineStr">
        <is>
          <t>Yes</t>
        </is>
      </c>
      <c r="J58" s="31" t="n">
        <v>15</v>
      </c>
      <c r="K58" s="31" t="n">
        <v>24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NIBE</t>
        </is>
      </c>
      <c r="E59" s="31" t="inlineStr">
        <is>
          <t>NIBE Ltd</t>
        </is>
      </c>
      <c r="F59" s="31" t="inlineStr">
        <is>
          <t>Aerospace &amp; Defence - Equipments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18</v>
      </c>
      <c r="K59" s="31" t="n">
        <v>2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MONARCH</t>
        </is>
      </c>
      <c r="E60" s="31" t="inlineStr">
        <is>
          <t>Monarch Networth Capital Ltd</t>
        </is>
      </c>
      <c r="F60" s="31" t="inlineStr">
        <is>
          <t>unknown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0</v>
      </c>
      <c r="K60" s="31" t="n">
        <v>22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FIEMIND</t>
        </is>
      </c>
      <c r="E61" s="31" t="inlineStr">
        <is>
          <t>Fiem Industries Limited</t>
        </is>
      </c>
      <c r="F61" s="31" t="inlineStr">
        <is>
          <t>Auto Ancillaries - 2&amp;3 Wheelers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18</v>
      </c>
      <c r="K61" s="31" t="n">
        <v>14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HFCL</t>
        </is>
      </c>
      <c r="E62" s="31" t="inlineStr">
        <is>
          <t>HFCL Ltd</t>
        </is>
      </c>
      <c r="F62" s="31" t="inlineStr">
        <is>
          <t>Telecom Services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21</v>
      </c>
      <c r="K62" s="31" t="n">
        <v>29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CENTUM</t>
        </is>
      </c>
      <c r="E63" s="31" t="inlineStr">
        <is>
          <t>Centum Electronics Limited</t>
        </is>
      </c>
      <c r="F63" s="31" t="inlineStr">
        <is>
          <t>EMS</t>
        </is>
      </c>
      <c r="G63" s="31" t="n">
        <v>2</v>
      </c>
      <c r="H63" s="31" t="inlineStr">
        <is>
          <t>52W Breakout</t>
        </is>
      </c>
      <c r="I63" s="31" t="inlineStr">
        <is>
          <t>Yes</t>
        </is>
      </c>
      <c r="J63" s="31" t="n">
        <v>11</v>
      </c>
      <c r="K63" s="31" t="n">
        <v>25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ASTRAMICRO</t>
        </is>
      </c>
      <c r="E64" s="31" t="inlineStr">
        <is>
          <t>Astra Microwave Products Limited</t>
        </is>
      </c>
      <c r="F64" s="31" t="inlineStr">
        <is>
          <t>Aerospace &amp; Defence - Equipments</t>
        </is>
      </c>
      <c r="G64" s="31" t="n">
        <v>2</v>
      </c>
      <c r="H64" s="31" t="inlineStr">
        <is>
          <t>52W Breakout</t>
        </is>
      </c>
      <c r="I64" s="31" t="inlineStr">
        <is>
          <t>Yes</t>
        </is>
      </c>
      <c r="J64" s="31" t="n">
        <v>16</v>
      </c>
      <c r="K64" s="31" t="n">
        <v>27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VADILALIND</t>
        </is>
      </c>
      <c r="E65" s="31" t="inlineStr">
        <is>
          <t>Vadilal Industries Limited</t>
        </is>
      </c>
      <c r="F65" s="31" t="inlineStr">
        <is>
          <t>FMCG - Dairy Products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29</v>
      </c>
      <c r="K65" s="31" t="n">
        <v>14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MINDACORP</t>
        </is>
      </c>
      <c r="E66" s="31" t="inlineStr">
        <is>
          <t>Minda Corporation Limited</t>
        </is>
      </c>
      <c r="F66" s="31" t="inlineStr">
        <is>
          <t>Auto Ancillaries - Diversified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23</v>
      </c>
      <c r="K66" s="31" t="n">
        <v>22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PREMEXPLN</t>
        </is>
      </c>
      <c r="E67" s="31" t="inlineStr">
        <is>
          <t>Premier Explosives Limited</t>
        </is>
      </c>
      <c r="F67" s="31" t="inlineStr">
        <is>
          <t>Industrial Explosives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18</v>
      </c>
      <c r="K67" s="31" t="n">
        <v>24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FCL</t>
        </is>
      </c>
      <c r="E68" s="31" t="inlineStr">
        <is>
          <t>Fineotex Chemical Limited</t>
        </is>
      </c>
      <c r="F68" s="31" t="inlineStr">
        <is>
          <t>Speciality Chemicals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21</v>
      </c>
      <c r="K68" s="31" t="n">
        <v>26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WABAG</t>
        </is>
      </c>
      <c r="E69" s="31" t="inlineStr">
        <is>
          <t>Va Tech Wabag Limited</t>
        </is>
      </c>
      <c r="F69" s="31" t="inlineStr">
        <is>
          <t>Water Treatment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19</v>
      </c>
      <c r="K69" s="31" t="n">
        <v>20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AEROFLEX</t>
        </is>
      </c>
      <c r="E70" s="31" t="inlineStr">
        <is>
          <t>Aeroflex Industries Ltd</t>
        </is>
      </c>
      <c r="F70" s="31" t="inlineStr">
        <is>
          <t>Stainless Steel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20</v>
      </c>
      <c r="K70" s="31" t="n">
        <v>26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JNKINDIA</t>
        </is>
      </c>
      <c r="E71" s="31" t="inlineStr">
        <is>
          <t>JNK India Ltd</t>
        </is>
      </c>
      <c r="F71" s="31" t="inlineStr">
        <is>
          <t>Capital Goods - Engineering Heavy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31</v>
      </c>
      <c r="K71" s="31" t="n">
        <v>24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MTARTECH</t>
        </is>
      </c>
      <c r="E72" s="31" t="inlineStr">
        <is>
          <t>MTAR Technologies Ltd</t>
        </is>
      </c>
      <c r="F72" s="31" t="inlineStr">
        <is>
          <t>Aerospace &amp; Defence - Equipments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22</v>
      </c>
      <c r="K72" s="31" t="n">
        <v>24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PSPPROJECT</t>
        </is>
      </c>
      <c r="E73" s="31" t="inlineStr">
        <is>
          <t>PSP Projects Ltd</t>
        </is>
      </c>
      <c r="F73" s="31" t="inlineStr">
        <is>
          <t>Construction &amp; Contracting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20</v>
      </c>
      <c r="K73" s="31" t="n">
        <v>19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CRAFTSMAN</t>
        </is>
      </c>
      <c r="E74" s="31" t="inlineStr">
        <is>
          <t>Craftsman Automation Ltd</t>
        </is>
      </c>
      <c r="F74" s="31" t="inlineStr">
        <is>
          <t>Auto &amp; Auto Ancl - CV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21</v>
      </c>
      <c r="K74" s="31" t="n">
        <v>29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APARINDS</t>
        </is>
      </c>
      <c r="E75" s="31" t="inlineStr">
        <is>
          <t>Apar Industries Limited</t>
        </is>
      </c>
      <c r="F75" s="31" t="inlineStr">
        <is>
          <t>Cables - Power</t>
        </is>
      </c>
      <c r="G75" s="31" t="n">
        <v>2</v>
      </c>
      <c r="H75" s="31" t="inlineStr">
        <is>
          <t>52W Breakout</t>
        </is>
      </c>
      <c r="I75" s="31" t="inlineStr">
        <is>
          <t>Yes</t>
        </is>
      </c>
      <c r="J75" s="31" t="n">
        <v>10</v>
      </c>
      <c r="K75" s="31" t="n">
        <v>29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WHEELS</t>
        </is>
      </c>
      <c r="E76" s="31" t="inlineStr">
        <is>
          <t>Wheels India Limited</t>
        </is>
      </c>
      <c r="F76" s="31" t="inlineStr">
        <is>
          <t>Auto Ancillaries - Wheels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23</v>
      </c>
      <c r="K76" s="31" t="n">
        <v>29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SPECTRUM</t>
        </is>
      </c>
      <c r="E77" s="31" t="inlineStr">
        <is>
          <t>Spectrum Electrical Industries Ltd</t>
        </is>
      </c>
      <c r="F77" s="31" t="inlineStr">
        <is>
          <t>Capital Goods - Electric General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18</v>
      </c>
      <c r="K77" s="31" t="n">
        <v>20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SOTL</t>
        </is>
      </c>
      <c r="E78" s="31" t="inlineStr">
        <is>
          <t>Savita Oil Technologies Limited</t>
        </is>
      </c>
      <c r="F78" s="31" t="inlineStr">
        <is>
          <t>Petrochem - Others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24</v>
      </c>
      <c r="K78" s="31" t="n">
        <v>30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SKYGOLD</t>
        </is>
      </c>
      <c r="E79" s="31" t="inlineStr">
        <is>
          <t>Sky Gold Ltd</t>
        </is>
      </c>
      <c r="F79" s="31" t="inlineStr">
        <is>
          <t>Diamond, Gems &amp; Jewellery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20</v>
      </c>
      <c r="K79" s="31" t="n">
        <v>22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GALAPREC</t>
        </is>
      </c>
      <c r="E80" s="31" t="inlineStr">
        <is>
          <t>Gala Precision Engineering Ltd</t>
        </is>
      </c>
      <c r="F80" s="31" t="inlineStr">
        <is>
          <t>Castings, Forgings &amp; Fastners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22</v>
      </c>
      <c r="K80" s="31" t="n">
        <v>28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VINCOFE</t>
        </is>
      </c>
      <c r="E81" s="31" t="inlineStr">
        <is>
          <t>Vintage Coffee &amp; Beverages Ltd</t>
        </is>
      </c>
      <c r="F81" s="31" t="inlineStr">
        <is>
          <t>FMCG - Coffee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21</v>
      </c>
      <c r="K81" s="31" t="n">
        <v>19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DIACABS</t>
        </is>
      </c>
      <c r="E82" s="31" t="inlineStr">
        <is>
          <t>Diamond Power Infrastructure Ltd</t>
        </is>
      </c>
      <c r="F82" s="31" t="inlineStr">
        <is>
          <t>Cables - Power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20</v>
      </c>
      <c r="K82" s="31" t="n">
        <v>28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TBZ</t>
        </is>
      </c>
      <c r="E83" s="31" t="inlineStr">
        <is>
          <t>Tribhovandas Bhimji Zaveri Limited</t>
        </is>
      </c>
      <c r="F83" s="31" t="inlineStr">
        <is>
          <t>Diamond, Gems &amp; Jewellery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21</v>
      </c>
      <c r="K83" s="31" t="n">
        <v>6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DIFFNKG</t>
        </is>
      </c>
      <c r="E84" s="31" t="inlineStr">
        <is>
          <t>Diffusion Engineers Ltd</t>
        </is>
      </c>
      <c r="F84" s="31" t="inlineStr">
        <is>
          <t>Welding Equipments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19</v>
      </c>
      <c r="K84" s="31" t="n">
        <v>7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BSE</t>
        </is>
      </c>
      <c r="E85" s="31" t="inlineStr">
        <is>
          <t>BSE (Bombay stock exchange) Ltd</t>
        </is>
      </c>
      <c r="F85" s="31" t="inlineStr">
        <is>
          <t>Exchanges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18</v>
      </c>
      <c r="K85" s="31" t="n">
        <v>20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MSTCLTD</t>
        </is>
      </c>
      <c r="E86" s="31" t="inlineStr">
        <is>
          <t>MSTC Ltd</t>
        </is>
      </c>
      <c r="F86" s="31" t="inlineStr">
        <is>
          <t>E-Commerce - Platform - Utility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19</v>
      </c>
      <c r="K86" s="31" t="n">
        <v>11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DEEDEV</t>
        </is>
      </c>
      <c r="E87" s="31" t="inlineStr">
        <is>
          <t>DEE Development Engineers Ltd</t>
        </is>
      </c>
      <c r="F87" s="31" t="inlineStr">
        <is>
          <t>Steel - Tubes/Pipes</t>
        </is>
      </c>
      <c r="G87" s="31" t="n">
        <v>2</v>
      </c>
      <c r="H87" s="31" t="inlineStr">
        <is>
          <t>52W Breakout</t>
        </is>
      </c>
      <c r="I87" s="31" t="inlineStr">
        <is>
          <t>Yes</t>
        </is>
      </c>
      <c r="J87" s="31" t="n">
        <v>14</v>
      </c>
      <c r="K87" s="31" t="n">
        <v>30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PANAMAPET</t>
        </is>
      </c>
      <c r="E88" s="31" t="inlineStr">
        <is>
          <t>Panama Petrochem Limited</t>
        </is>
      </c>
      <c r="F88" s="31" t="inlineStr">
        <is>
          <t>Speciality Chemicals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24</v>
      </c>
      <c r="K88" s="31" t="n">
        <v>21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NCLIND</t>
        </is>
      </c>
      <c r="E89" s="31" t="inlineStr">
        <is>
          <t>Ncl Industries Limited</t>
        </is>
      </c>
      <c r="F89" s="31" t="inlineStr">
        <is>
          <t>Cement</t>
        </is>
      </c>
      <c r="G89" s="31" t="n">
        <v>2</v>
      </c>
      <c r="H89" s="31" t="inlineStr">
        <is>
          <t>EMA Crossover</t>
        </is>
      </c>
      <c r="I89" s="31" t="inlineStr">
        <is>
          <t>Yes</t>
        </is>
      </c>
      <c r="J89" s="31" t="n">
        <v>3</v>
      </c>
      <c r="K89" s="31" t="n">
        <v>1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SILVERTUC</t>
        </is>
      </c>
      <c r="E90" s="31" t="inlineStr">
        <is>
          <t>Silver Touch Technologies Ltd</t>
        </is>
      </c>
      <c r="F90" s="31" t="inlineStr">
        <is>
          <t>IT - Software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18</v>
      </c>
      <c r="K90" s="31" t="n">
        <v>20</v>
      </c>
    </row>
  </sheetData>
  <autoFilter ref="A1:K90"/>
  <conditionalFormatting sqref="G2:G9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0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4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IF(B2=0,"",RANK(B2,$B$2:$B$343,0))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IBULLSLTD</t>
        </is>
      </c>
      <c r="D2" s="31" t="inlineStr">
        <is>
          <t>Indiabulls Limited</t>
        </is>
      </c>
      <c r="E2" s="31" t="inlineStr">
        <is>
          <t>miscellaneous</t>
        </is>
      </c>
      <c r="F2" s="31" t="inlineStr">
        <is>
          <t>diversified - medium / small</t>
        </is>
      </c>
      <c r="G2" s="31" t="inlineStr">
        <is>
          <t>midcap</t>
        </is>
      </c>
      <c r="H2" s="32" t="n">
        <v>5527.38</v>
      </c>
      <c r="I2" s="32" t="n">
        <v>23.88</v>
      </c>
      <c r="J2" s="32" t="n">
        <v>0.42</v>
      </c>
      <c r="K2" s="32" t="n">
        <v>2369263</v>
      </c>
      <c r="L2" s="31" t="n">
        <v>95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72.73</v>
      </c>
      <c r="P2" s="32" t="n">
        <v>36.21</v>
      </c>
      <c r="Q2" s="32" t="n">
        <v>16.89</v>
      </c>
      <c r="R2" s="31" t="inlineStr">
        <is>
          <t>Near 52W High Breakout</t>
        </is>
      </c>
      <c r="S2" s="31" t="inlineStr">
        <is>
          <t>Nifty 50</t>
        </is>
      </c>
      <c r="T2" s="32" t="n">
        <v>-4.47</v>
      </c>
      <c r="U2" s="32" t="n">
        <v>36.07</v>
      </c>
      <c r="V2" s="32" t="n">
        <v>42.44</v>
      </c>
      <c r="W2" s="32" t="n">
        <v>47.17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20 to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Between 50% to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IF(B3=0,"",RANK(B3,$B$2:$B$343,0))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MBAPL</t>
        </is>
      </c>
      <c r="D3" s="31" t="inlineStr">
        <is>
          <t>Madhya Bharat Agro Products Ltd</t>
        </is>
      </c>
      <c r="E3" s="31" t="inlineStr">
        <is>
          <t>chemicals</t>
        </is>
      </c>
      <c r="F3" s="31" t="inlineStr">
        <is>
          <t>fertilizers</t>
        </is>
      </c>
      <c r="G3" s="31" t="inlineStr">
        <is>
          <t>smallcap</t>
        </is>
      </c>
      <c r="H3" s="32" t="n">
        <v>4965.38</v>
      </c>
      <c r="I3" s="32" t="n">
        <v>565.65</v>
      </c>
      <c r="J3" s="32" t="n">
        <v>-0.18</v>
      </c>
      <c r="K3" s="32" t="n">
        <v>186542</v>
      </c>
      <c r="L3" s="31" t="n">
        <v>53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67.7</v>
      </c>
      <c r="P3" s="32" t="n">
        <v>48.66</v>
      </c>
      <c r="Q3" s="32" t="n">
        <v>462.63</v>
      </c>
      <c r="R3" s="31" t="inlineStr">
        <is>
          <t>Near 52W High Breakout</t>
        </is>
      </c>
      <c r="S3" s="31" t="inlineStr">
        <is>
          <t>Nifty 50</t>
        </is>
      </c>
      <c r="T3" s="32" t="n">
        <v>-4.47</v>
      </c>
      <c r="U3" s="32" t="n">
        <v>50.87</v>
      </c>
      <c r="V3" s="32" t="n">
        <v>57.94</v>
      </c>
      <c r="W3" s="32" t="n">
        <v>14.13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IF(B4=0,"",RANK(B4,$B$2:$B$343,0))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BAJAJCON</t>
        </is>
      </c>
      <c r="D4" s="31" t="inlineStr">
        <is>
          <t>Bajaj Consumer Care Ltd</t>
        </is>
      </c>
      <c r="E4" s="31" t="inlineStr">
        <is>
          <t>fmcg</t>
        </is>
      </c>
      <c r="F4" s="31" t="inlineStr">
        <is>
          <t>personal care - indian</t>
        </is>
      </c>
      <c r="G4" s="31" t="inlineStr">
        <is>
          <t>midcap</t>
        </is>
      </c>
      <c r="H4" s="32" t="n">
        <v>7737.83</v>
      </c>
      <c r="I4" s="32" t="n">
        <v>600.45</v>
      </c>
      <c r="J4" s="32" t="n">
        <v>1.36</v>
      </c>
      <c r="K4" s="32" t="n">
        <v>928515</v>
      </c>
      <c r="L4" s="31" t="n">
        <v>95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77.95</v>
      </c>
      <c r="P4" s="32" t="n">
        <v>56.02</v>
      </c>
      <c r="Q4" s="32" t="n">
        <v>470.61</v>
      </c>
      <c r="R4" s="31" t="inlineStr">
        <is>
          <t>Near 52W High Breakout</t>
        </is>
      </c>
      <c r="S4" s="31" t="inlineStr">
        <is>
          <t>Nifty FMCG</t>
        </is>
      </c>
      <c r="T4" s="32" t="n">
        <v>-9.130000000000001</v>
      </c>
      <c r="U4" s="32" t="n">
        <v>254.77</v>
      </c>
      <c r="V4" s="32" t="n">
        <v>290.42</v>
      </c>
      <c r="W4" s="32" t="n">
        <v>44.51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Above 2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IF(B5=0,"",RANK(B5,$B$2:$B$343,0))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STYLAMIND</t>
        </is>
      </c>
      <c r="D5" s="31" t="inlineStr">
        <is>
          <t>Stylam Industries Ltd</t>
        </is>
      </c>
      <c r="E5" s="31" t="inlineStr">
        <is>
          <t>building materials</t>
        </is>
      </c>
      <c r="F5" s="31" t="inlineStr">
        <is>
          <t>miscellaneous</t>
        </is>
      </c>
      <c r="G5" s="31" t="inlineStr">
        <is>
          <t>midcap</t>
        </is>
      </c>
      <c r="H5" s="32" t="n">
        <v>5520.32</v>
      </c>
      <c r="I5" s="32" t="n">
        <v>3253.7</v>
      </c>
      <c r="J5" s="32" t="n">
        <v>-0.11</v>
      </c>
      <c r="K5" s="32" t="n">
        <v>25588</v>
      </c>
      <c r="L5" s="31" t="n">
        <v>81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90.95999999999999</v>
      </c>
      <c r="P5" s="32" t="n">
        <v>59.6</v>
      </c>
      <c r="Q5" s="32" t="n">
        <v>2775.83</v>
      </c>
      <c r="R5" s="31" t="inlineStr">
        <is>
          <t>Near 52W High Breakout</t>
        </is>
      </c>
      <c r="S5" s="31" t="inlineStr">
        <is>
          <t>Nifty Infra</t>
        </is>
      </c>
      <c r="T5" s="32" t="n">
        <v>3.24</v>
      </c>
      <c r="U5" s="32" t="n">
        <v>97.66</v>
      </c>
      <c r="V5" s="32" t="n">
        <v>91.45</v>
      </c>
      <c r="W5" s="32" t="n">
        <v>25.49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IF(B6=0,"",RANK(B6,$B$2:$B$343,0))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BLISSGVS</t>
        </is>
      </c>
      <c r="D6" s="31" t="inlineStr">
        <is>
          <t>Bliss Gvs Pharma Limited</t>
        </is>
      </c>
      <c r="E6" s="31" t="inlineStr">
        <is>
          <t>healthcare</t>
        </is>
      </c>
      <c r="F6" s="31" t="inlineStr">
        <is>
          <t>pharmaceuticals - indian - formulations</t>
        </is>
      </c>
      <c r="G6" s="31" t="inlineStr">
        <is>
          <t>smallcap</t>
        </is>
      </c>
      <c r="H6" s="32" t="n">
        <v>4649.95</v>
      </c>
      <c r="I6" s="32" t="n">
        <v>451.9</v>
      </c>
      <c r="J6" s="32" t="n">
        <v>2.81</v>
      </c>
      <c r="K6" s="32" t="n">
        <v>1212064</v>
      </c>
      <c r="L6" s="31" t="n">
        <v>96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88.94</v>
      </c>
      <c r="P6" s="32" t="n">
        <v>63.4</v>
      </c>
      <c r="Q6" s="32" t="n">
        <v>346.94</v>
      </c>
      <c r="R6" s="31" t="inlineStr">
        <is>
          <t>Near 52W High Breakout</t>
        </is>
      </c>
      <c r="S6" s="31" t="inlineStr">
        <is>
          <t>Nifty Pharma</t>
        </is>
      </c>
      <c r="T6" s="32" t="n">
        <v>11.77</v>
      </c>
      <c r="U6" s="32" t="n">
        <v>228.18</v>
      </c>
      <c r="V6" s="32" t="n">
        <v>193.61</v>
      </c>
      <c r="W6" s="32" t="n">
        <v>55.14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IF(B7=0,"",RANK(B7,$B$2:$B$343,0))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RADICO</t>
        </is>
      </c>
      <c r="D7" s="31" t="inlineStr">
        <is>
          <t>Radico Khaitan Limited</t>
        </is>
      </c>
      <c r="E7" s="31" t="inlineStr">
        <is>
          <t>fmcg</t>
        </is>
      </c>
      <c r="F7" s="31" t="inlineStr">
        <is>
          <t>breweries &amp; distilleries</t>
        </is>
      </c>
      <c r="G7" s="31" t="inlineStr">
        <is>
          <t>largecap</t>
        </is>
      </c>
      <c r="H7" s="32" t="n">
        <v>48096.14</v>
      </c>
      <c r="I7" s="32" t="n">
        <v>3578.7</v>
      </c>
      <c r="J7" s="32" t="n">
        <v>-0.37</v>
      </c>
      <c r="K7" s="32" t="n">
        <v>174365</v>
      </c>
      <c r="L7" s="31" t="n">
        <v>55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69.51000000000001</v>
      </c>
      <c r="P7" s="32" t="n">
        <v>35.8</v>
      </c>
      <c r="Q7" s="32" t="n">
        <v>2944.47</v>
      </c>
      <c r="R7" s="31" t="inlineStr">
        <is>
          <t>Near 52W High Breakout</t>
        </is>
      </c>
      <c r="S7" s="31" t="inlineStr">
        <is>
          <t>Nifty FMCG</t>
        </is>
      </c>
      <c r="T7" s="32" t="n">
        <v>-9.130000000000001</v>
      </c>
      <c r="U7" s="32" t="n">
        <v>36.12</v>
      </c>
      <c r="V7" s="32" t="n">
        <v>49.8</v>
      </c>
      <c r="W7" s="32" t="n">
        <v>14.61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B2C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20 to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IF(B8=0,"",RANK(B8,$B$2:$B$343,0))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VENUSREM</t>
        </is>
      </c>
      <c r="D8" s="31" t="inlineStr">
        <is>
          <t>Venus Remedies Limited</t>
        </is>
      </c>
      <c r="E8" s="31" t="inlineStr">
        <is>
          <t>healthcare</t>
        </is>
      </c>
      <c r="F8" s="31" t="inlineStr">
        <is>
          <t>pharmaceuticals - indian - formulations</t>
        </is>
      </c>
      <c r="G8" s="31" t="inlineStr">
        <is>
          <t>smallcap</t>
        </is>
      </c>
      <c r="H8" s="32" t="n">
        <v>2517</v>
      </c>
      <c r="I8" s="32" t="n">
        <v>1867.8</v>
      </c>
      <c r="J8" s="32" t="n">
        <v>-0.8100000000000001</v>
      </c>
      <c r="K8" s="32" t="n">
        <v>87778</v>
      </c>
      <c r="L8" s="31" t="n">
        <v>97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83.62</v>
      </c>
      <c r="P8" s="32" t="n">
        <v>52.86</v>
      </c>
      <c r="Q8" s="32" t="n">
        <v>1428.32</v>
      </c>
      <c r="R8" s="31" t="inlineStr">
        <is>
          <t>Near 52W High Breakout</t>
        </is>
      </c>
      <c r="S8" s="31" t="inlineStr">
        <is>
          <t>Nifty Pharma</t>
        </is>
      </c>
      <c r="T8" s="32" t="n">
        <v>11.77</v>
      </c>
      <c r="U8" s="32" t="n">
        <v>331.01</v>
      </c>
      <c r="V8" s="32" t="n">
        <v>285.61</v>
      </c>
      <c r="W8" s="32" t="n">
        <v>64.16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Above 2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IF(B9=0,"",RANK(B9,$B$2:$B$343,0))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SCPL</t>
        </is>
      </c>
      <c r="D9" s="31" t="inlineStr">
        <is>
          <t>Sheetal Cool Products Ltd</t>
        </is>
      </c>
      <c r="E9" s="31" t="inlineStr">
        <is>
          <t>fmcg</t>
        </is>
      </c>
      <c r="F9" s="31" t="inlineStr">
        <is>
          <t>food - processing - indian</t>
        </is>
      </c>
      <c r="G9" s="31" t="inlineStr">
        <is>
          <t>smallcap</t>
        </is>
      </c>
      <c r="H9" s="32" t="n">
        <v>541.0700000000001</v>
      </c>
      <c r="I9" s="32" t="n">
        <v>470.85</v>
      </c>
      <c r="J9" s="32" t="n">
        <v>-8.630000000000001</v>
      </c>
      <c r="K9" s="32" t="n">
        <v>56607</v>
      </c>
      <c r="L9" s="31" t="n">
        <v>75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70.38</v>
      </c>
      <c r="P9" s="32" t="n">
        <v>31.41</v>
      </c>
      <c r="Q9" s="32" t="n">
        <v>339.73</v>
      </c>
      <c r="R9" s="31" t="inlineStr">
        <is>
          <t>Volume Spike &amp; Near 52W High Breakout</t>
        </is>
      </c>
      <c r="S9" s="31" t="inlineStr">
        <is>
          <t>Nifty FMCG</t>
        </is>
      </c>
      <c r="T9" s="32" t="n">
        <v>-9.130000000000001</v>
      </c>
      <c r="U9" s="32" t="n">
        <v>51.01</v>
      </c>
      <c r="V9" s="32" t="n">
        <v>66.19</v>
      </c>
      <c r="W9" s="32" t="n">
        <v>22.47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B2C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20 to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IF(B10=0,"",RANK(B10,$B$2:$B$343,0))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RPTECH</t>
        </is>
      </c>
      <c r="D10" s="31" t="inlineStr">
        <is>
          <t>Rashi Peripherals Ltd</t>
        </is>
      </c>
      <c r="E10" s="31" t="inlineStr">
        <is>
          <t>services</t>
        </is>
      </c>
      <c r="F10" s="31" t="inlineStr">
        <is>
          <t>trading</t>
        </is>
      </c>
      <c r="G10" s="31" t="inlineStr">
        <is>
          <t>smallcap</t>
        </is>
      </c>
      <c r="H10" s="32" t="n">
        <v>3698.62</v>
      </c>
      <c r="I10" s="32" t="n">
        <v>662.6</v>
      </c>
      <c r="J10" s="32" t="n">
        <v>18.06</v>
      </c>
      <c r="K10" s="32" t="n">
        <v>17060651</v>
      </c>
      <c r="L10" s="31" t="n">
        <v>93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85.31</v>
      </c>
      <c r="P10" s="32" t="n">
        <v>53.47</v>
      </c>
      <c r="Q10" s="32" t="n">
        <v>518.3</v>
      </c>
      <c r="R10" s="31" t="inlineStr">
        <is>
          <t>Volume Spike &amp; Near 52W High Breakout</t>
        </is>
      </c>
      <c r="S10" s="31" t="inlineStr">
        <is>
          <t>Nifty 50</t>
        </is>
      </c>
      <c r="T10" s="32" t="n">
        <v>-4.47</v>
      </c>
      <c r="U10" s="32" t="n">
        <v>125.35</v>
      </c>
      <c r="V10" s="32" t="n">
        <v>135.9</v>
      </c>
      <c r="W10" s="32" t="n">
        <v>40.59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Less than 50%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IF(B11=0,"",RANK(B11,$B$2:$B$343,0))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NETWEB</t>
        </is>
      </c>
      <c r="D11" s="31" t="inlineStr">
        <is>
          <t>Netweb Technologies India Ltd</t>
        </is>
      </c>
      <c r="E11" s="31" t="inlineStr">
        <is>
          <t>i.t</t>
        </is>
      </c>
      <c r="F11" s="31" t="inlineStr">
        <is>
          <t>computers - hardware</t>
        </is>
      </c>
      <c r="G11" s="31" t="inlineStr">
        <is>
          <t>largecap</t>
        </is>
      </c>
      <c r="H11" s="32" t="n">
        <v>26262.75</v>
      </c>
      <c r="I11" s="32" t="n">
        <v>4884.4</v>
      </c>
      <c r="J11" s="32" t="n">
        <v>5.9</v>
      </c>
      <c r="K11" s="32" t="n">
        <v>3126893</v>
      </c>
      <c r="L11" s="31" t="n">
        <v>91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67.7</v>
      </c>
      <c r="P11" s="32" t="n">
        <v>45.04</v>
      </c>
      <c r="Q11" s="32" t="n">
        <v>3469.61</v>
      </c>
      <c r="R11" s="31" t="inlineStr">
        <is>
          <t>Near 52W High Breakout</t>
        </is>
      </c>
      <c r="S11" s="31" t="inlineStr">
        <is>
          <t>Nifty IT</t>
        </is>
      </c>
      <c r="T11" s="32" t="n">
        <v>-26.73</v>
      </c>
      <c r="U11" s="32" t="n">
        <v>177.21</v>
      </c>
      <c r="V11" s="32" t="n">
        <v>278.36</v>
      </c>
      <c r="W11" s="32" t="n">
        <v>36.74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Between 50% to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IF(B12=0,"",RANK(B12,$B$2:$B$343,0))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GAYAPROJ</t>
        </is>
      </c>
      <c r="D12" s="31" t="inlineStr">
        <is>
          <t>Gayatri Projects Limited</t>
        </is>
      </c>
      <c r="E12" s="31" t="inlineStr">
        <is>
          <t>realty</t>
        </is>
      </c>
      <c r="F12" s="31" t="inlineStr">
        <is>
          <t>construction</t>
        </is>
      </c>
      <c r="G12" s="31" t="inlineStr">
        <is>
          <t>smallcap</t>
        </is>
      </c>
      <c r="H12" s="32" t="n">
        <v>679.78</v>
      </c>
      <c r="I12" s="32" t="n">
        <v>24.09</v>
      </c>
      <c r="J12" s="32" t="n">
        <v>4.97</v>
      </c>
      <c r="K12" s="32" t="n">
        <v>562646</v>
      </c>
      <c r="L12" s="31" t="n">
        <v>94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79.42</v>
      </c>
      <c r="P12" s="32" t="n">
        <v>60.05</v>
      </c>
      <c r="Q12" s="32" t="n">
        <v>19.51</v>
      </c>
      <c r="R12" s="31" t="inlineStr">
        <is>
          <t>Near 52W High Breakout</t>
        </is>
      </c>
      <c r="S12" s="31" t="inlineStr">
        <is>
          <t>Nifty Realty</t>
        </is>
      </c>
      <c r="T12" s="32" t="n">
        <v>-19.29</v>
      </c>
      <c r="U12" s="32" t="n">
        <v>181.75</v>
      </c>
      <c r="V12" s="32" t="n">
        <v>249.1</v>
      </c>
      <c r="W12" s="32" t="n">
        <v>41.93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IF(B13=0,"",RANK(B13,$B$2:$B$343,0))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AEGISLOG</t>
        </is>
      </c>
      <c r="D13" s="31" t="inlineStr">
        <is>
          <t>Aegis Logistics Ltd</t>
        </is>
      </c>
      <c r="E13" s="31" t="inlineStr">
        <is>
          <t>services</t>
        </is>
      </c>
      <c r="F13" s="31" t="inlineStr">
        <is>
          <t>trading</t>
        </is>
      </c>
      <c r="G13" s="31" t="inlineStr">
        <is>
          <t>largecap</t>
        </is>
      </c>
      <c r="H13" s="32" t="n">
        <v>34548.93</v>
      </c>
      <c r="I13" s="32" t="n">
        <v>985.7</v>
      </c>
      <c r="J13" s="32" t="n">
        <v>0.14</v>
      </c>
      <c r="K13" s="32" t="n">
        <v>4129399</v>
      </c>
      <c r="L13" s="31" t="n">
        <v>70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74.51000000000001</v>
      </c>
      <c r="P13" s="32" t="n">
        <v>23.26</v>
      </c>
      <c r="Q13" s="32" t="n">
        <v>763.6</v>
      </c>
      <c r="R13" s="31" t="inlineStr">
        <is>
          <t>Near 52W High Breakout</t>
        </is>
      </c>
      <c r="S13" s="31" t="inlineStr">
        <is>
          <t>Nifty 50</t>
        </is>
      </c>
      <c r="T13" s="32" t="n">
        <v>-4.47</v>
      </c>
      <c r="U13" s="32" t="n">
        <v>26.5</v>
      </c>
      <c r="V13" s="32" t="n">
        <v>32.43</v>
      </c>
      <c r="W13" s="32" t="n">
        <v>19.99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IF(B14=0,"",RANK(B14,$B$2:$B$343,0))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THANGAMAYL</t>
        </is>
      </c>
      <c r="D14" s="31" t="inlineStr">
        <is>
          <t>Thangamayil Jewellery Limited</t>
        </is>
      </c>
      <c r="E14" s="31" t="inlineStr">
        <is>
          <t>consumer discretionary</t>
        </is>
      </c>
      <c r="F14" s="31" t="inlineStr">
        <is>
          <t>diamond cutting / jewellery</t>
        </is>
      </c>
      <c r="G14" s="31" t="inlineStr">
        <is>
          <t>midcap</t>
        </is>
      </c>
      <c r="H14" s="32" t="n">
        <v>17099.77</v>
      </c>
      <c r="I14" s="32" t="n">
        <v>5444.6</v>
      </c>
      <c r="J14" s="32" t="n">
        <v>-1.03</v>
      </c>
      <c r="K14" s="32" t="n">
        <v>108886</v>
      </c>
      <c r="L14" s="31" t="n">
        <v>92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70.56999999999999</v>
      </c>
      <c r="P14" s="32" t="n">
        <v>40.06</v>
      </c>
      <c r="Q14" s="32" t="n">
        <v>4002.57</v>
      </c>
      <c r="R14" s="31" t="inlineStr">
        <is>
          <t>Near 52W High Breakout</t>
        </is>
      </c>
      <c r="S14" s="31" t="inlineStr">
        <is>
          <t>Nifty 50</t>
        </is>
      </c>
      <c r="T14" s="32" t="n">
        <v>-4.47</v>
      </c>
      <c r="U14" s="32" t="n">
        <v>191.35</v>
      </c>
      <c r="V14" s="32" t="n">
        <v>204.99</v>
      </c>
      <c r="W14" s="32" t="n">
        <v>39.42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Between 50% to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IF(B15=0,"",RANK(B15,$B$2:$B$343,0))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INDOBORAX</t>
        </is>
      </c>
      <c r="D15" s="31" t="inlineStr">
        <is>
          <t>Indo Borax &amp; Chemicals Ltd</t>
        </is>
      </c>
      <c r="E15" s="31" t="inlineStr">
        <is>
          <t>chemicals</t>
        </is>
      </c>
      <c r="F15" s="31" t="inlineStr">
        <is>
          <t>chemicals</t>
        </is>
      </c>
      <c r="G15" s="31" t="inlineStr">
        <is>
          <t>smallcap</t>
        </is>
      </c>
      <c r="H15" s="32" t="n">
        <v>1196.8</v>
      </c>
      <c r="I15" s="32" t="n">
        <v>367.3</v>
      </c>
      <c r="J15" s="32" t="n">
        <v>-1.52</v>
      </c>
      <c r="K15" s="32" t="n">
        <v>62666</v>
      </c>
      <c r="L15" s="31" t="n">
        <v>79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79.11</v>
      </c>
      <c r="P15" s="32" t="n">
        <v>52.58</v>
      </c>
      <c r="Q15" s="32" t="n">
        <v>295.31</v>
      </c>
      <c r="R15" s="31" t="inlineStr">
        <is>
          <t>Near 52W High Breakout</t>
        </is>
      </c>
      <c r="S15" s="31" t="inlineStr">
        <is>
          <t>Nifty 50</t>
        </is>
      </c>
      <c r="T15" s="32" t="n">
        <v>-4.47</v>
      </c>
      <c r="U15" s="32" t="n">
        <v>83.92</v>
      </c>
      <c r="V15" s="32" t="n">
        <v>92.53</v>
      </c>
      <c r="W15" s="32" t="n">
        <v>24.82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IF(B16=0,"",RANK(B16,$B$2:$B$343,0))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CONFIPET</t>
        </is>
      </c>
      <c r="D16" s="31" t="inlineStr">
        <is>
          <t>Confidence Petroleum India Ltd</t>
        </is>
      </c>
      <c r="E16" s="31" t="inlineStr">
        <is>
          <t>miscellaneous</t>
        </is>
      </c>
      <c r="F16" s="31" t="inlineStr">
        <is>
          <t>miscellaneous</t>
        </is>
      </c>
      <c r="G16" s="31" t="inlineStr">
        <is>
          <t>smallcap</t>
        </is>
      </c>
      <c r="H16" s="32" t="n">
        <v>2360.57</v>
      </c>
      <c r="I16" s="32" t="n">
        <v>69.66</v>
      </c>
      <c r="J16" s="32" t="n">
        <v>-1.96</v>
      </c>
      <c r="K16" s="32" t="n">
        <v>1383732</v>
      </c>
      <c r="L16" s="31" t="n">
        <v>85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67.68000000000001</v>
      </c>
      <c r="P16" s="32" t="n">
        <v>52.16</v>
      </c>
      <c r="Q16" s="32" t="n">
        <v>52.89</v>
      </c>
      <c r="R16" s="31" t="inlineStr">
        <is>
          <t>Earnings / Momentum Support</t>
        </is>
      </c>
      <c r="S16" s="31" t="inlineStr">
        <is>
          <t>Nifty 50</t>
        </is>
      </c>
      <c r="T16" s="32" t="n">
        <v>-4.47</v>
      </c>
      <c r="U16" s="32" t="n">
        <v>23.49</v>
      </c>
      <c r="V16" s="32" t="n">
        <v>29.27</v>
      </c>
      <c r="W16" s="32" t="n">
        <v>29.23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IF(B17=0,"",RANK(B17,$B$2:$B$343,0))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CUPID</t>
        </is>
      </c>
      <c r="D17" s="31" t="inlineStr">
        <is>
          <t>Cupid Limited</t>
        </is>
      </c>
      <c r="E17" s="31" t="inlineStr">
        <is>
          <t>fmcg</t>
        </is>
      </c>
      <c r="F17" s="31" t="inlineStr">
        <is>
          <t>personal care - indian</t>
        </is>
      </c>
      <c r="G17" s="31" t="inlineStr">
        <is>
          <t>largecap</t>
        </is>
      </c>
      <c r="H17" s="32" t="n">
        <v>22164.04</v>
      </c>
      <c r="I17" s="32" t="n">
        <v>164.89</v>
      </c>
      <c r="J17" s="32" t="n">
        <v>0.04</v>
      </c>
      <c r="K17" s="32" t="n">
        <v>32502732</v>
      </c>
      <c r="L17" s="31" t="n">
        <v>99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82.47</v>
      </c>
      <c r="P17" s="32" t="n">
        <v>48.43</v>
      </c>
      <c r="Q17" s="32" t="n">
        <v>128.63</v>
      </c>
      <c r="R17" s="31" t="inlineStr">
        <is>
          <t>Near 52W High Breakout</t>
        </is>
      </c>
      <c r="S17" s="31" t="inlineStr">
        <is>
          <t>Nifty FMCG</t>
        </is>
      </c>
      <c r="T17" s="32" t="n">
        <v>-9.130000000000001</v>
      </c>
      <c r="U17" s="32" t="n">
        <v>787.27</v>
      </c>
      <c r="V17" s="32" t="n">
        <v>876.4299999999999</v>
      </c>
      <c r="W17" s="32" t="n">
        <v>88.55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Less than 50%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IF(B18=0,"",RANK(B18,$B$2:$B$343,0))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SAKAR</t>
        </is>
      </c>
      <c r="D18" s="31" t="inlineStr">
        <is>
          <t>Sakar Healthcare Ltd</t>
        </is>
      </c>
      <c r="E18" s="31" t="inlineStr">
        <is>
          <t>healthcare</t>
        </is>
      </c>
      <c r="F18" s="31" t="inlineStr">
        <is>
          <t>pharmaceuticals - indian - bulk drugs &amp; formln</t>
        </is>
      </c>
      <c r="G18" s="31" t="inlineStr">
        <is>
          <t>smallcap</t>
        </is>
      </c>
      <c r="H18" s="32" t="n">
        <v>1878.23</v>
      </c>
      <c r="I18" s="32" t="n">
        <v>822.95</v>
      </c>
      <c r="J18" s="32" t="n">
        <v>-2.51</v>
      </c>
      <c r="K18" s="32" t="n">
        <v>167420</v>
      </c>
      <c r="L18" s="31" t="n">
        <v>87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76.34999999999999</v>
      </c>
      <c r="P18" s="32" t="n">
        <v>53.87</v>
      </c>
      <c r="Q18" s="32" t="n">
        <v>581.05</v>
      </c>
      <c r="R18" s="31" t="inlineStr">
        <is>
          <t>Near 52W High Breakout</t>
        </is>
      </c>
      <c r="S18" s="31" t="inlineStr">
        <is>
          <t>Nifty Pharma</t>
        </is>
      </c>
      <c r="T18" s="32" t="n">
        <v>11.77</v>
      </c>
      <c r="U18" s="32" t="n">
        <v>135.63</v>
      </c>
      <c r="V18" s="32" t="n">
        <v>110.81</v>
      </c>
      <c r="W18" s="32" t="n">
        <v>31.39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IF(B19=0,"",RANK(B19,$B$2:$B$343,0))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KPIL</t>
        </is>
      </c>
      <c r="D19" s="31" t="inlineStr">
        <is>
          <t>Kalpataru Projects International Ltd</t>
        </is>
      </c>
      <c r="E19" s="31" t="inlineStr">
        <is>
          <t>realty</t>
        </is>
      </c>
      <c r="F19" s="31" t="inlineStr">
        <is>
          <t>transmisson line towers / equipment</t>
        </is>
      </c>
      <c r="G19" s="31" t="inlineStr">
        <is>
          <t>largecap</t>
        </is>
      </c>
      <c r="H19" s="32" t="n">
        <v>22267.03</v>
      </c>
      <c r="I19" s="32" t="n">
        <v>1365.7</v>
      </c>
      <c r="J19" s="32" t="n">
        <v>4.74</v>
      </c>
      <c r="K19" s="32" t="n">
        <v>2428065</v>
      </c>
      <c r="L19" s="31" t="n">
        <v>38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66.45999999999999</v>
      </c>
      <c r="P19" s="32" t="n">
        <v>22.26</v>
      </c>
      <c r="Q19" s="32" t="n">
        <v>1113.1</v>
      </c>
      <c r="R19" s="31" t="inlineStr">
        <is>
          <t>Volume Spike &amp; Near 52W High Breakout</t>
        </is>
      </c>
      <c r="S19" s="31" t="inlineStr">
        <is>
          <t>Nifty Realty</t>
        </is>
      </c>
      <c r="T19" s="32" t="n">
        <v>-19.29</v>
      </c>
      <c r="U19" s="32" t="n">
        <v>18.63</v>
      </c>
      <c r="V19" s="32" t="n">
        <v>46.99</v>
      </c>
      <c r="W19" s="32" t="n">
        <v>9.800000000000001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Between 50% to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IF(B20=0,"",RANK(B20,$B$2:$B$343,0))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NRL</t>
        </is>
      </c>
      <c r="D20" s="31" t="inlineStr">
        <is>
          <t>Nupur Recyclers Ltd</t>
        </is>
      </c>
      <c r="E20" s="31" t="inlineStr">
        <is>
          <t>services</t>
        </is>
      </c>
      <c r="F20" s="31" t="inlineStr">
        <is>
          <t>trading</t>
        </is>
      </c>
      <c r="G20" s="31" t="inlineStr">
        <is>
          <t>smallcap</t>
        </is>
      </c>
      <c r="H20" s="32" t="n">
        <v>523.0599999999999</v>
      </c>
      <c r="I20" s="32" t="n">
        <v>78.36</v>
      </c>
      <c r="J20" s="32" t="n">
        <v>3.47</v>
      </c>
      <c r="K20" s="32" t="n">
        <v>145103</v>
      </c>
      <c r="L20" s="31" t="n">
        <v>56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73.02</v>
      </c>
      <c r="P20" s="32" t="n">
        <v>32.03</v>
      </c>
      <c r="Q20" s="32" t="n">
        <v>60.1</v>
      </c>
      <c r="R20" s="31" t="inlineStr">
        <is>
          <t>Near 52W High Breakout</t>
        </is>
      </c>
      <c r="S20" s="31" t="inlineStr">
        <is>
          <t>Nifty 50</t>
        </is>
      </c>
      <c r="T20" s="32" t="n">
        <v>-4.47</v>
      </c>
      <c r="U20" s="32" t="n">
        <v>3.15</v>
      </c>
      <c r="V20" s="32" t="n">
        <v>7.98</v>
      </c>
      <c r="W20" s="32" t="n">
        <v>15.28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20 to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IF(B21=0,"",RANK(B21,$B$2:$B$343,0))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MAYURUNIQ</t>
        </is>
      </c>
      <c r="D21" s="31" t="inlineStr">
        <is>
          <t>Mayur Uniquoters Ltd</t>
        </is>
      </c>
      <c r="E21" s="31" t="inlineStr">
        <is>
          <t>consumer discretionary</t>
        </is>
      </c>
      <c r="F21" s="31" t="inlineStr">
        <is>
          <t>leather / leather products</t>
        </is>
      </c>
      <c r="G21" s="31" t="inlineStr">
        <is>
          <t>smallcap</t>
        </is>
      </c>
      <c r="H21" s="32" t="n">
        <v>3463.61</v>
      </c>
      <c r="I21" s="32" t="n">
        <v>823.95</v>
      </c>
      <c r="J21" s="32" t="n">
        <v>3.37</v>
      </c>
      <c r="K21" s="32" t="n">
        <v>226343</v>
      </c>
      <c r="L21" s="31" t="n">
        <v>78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79.33</v>
      </c>
      <c r="P21" s="32" t="n">
        <v>40.58</v>
      </c>
      <c r="Q21" s="32" t="n">
        <v>647.21</v>
      </c>
      <c r="R21" s="31" t="inlineStr">
        <is>
          <t>Near 52W High Breakout</t>
        </is>
      </c>
      <c r="S21" s="31" t="inlineStr">
        <is>
          <t>Nifty 50</t>
        </is>
      </c>
      <c r="T21" s="32" t="n">
        <v>-4.47</v>
      </c>
      <c r="U21" s="32" t="n">
        <v>50.3</v>
      </c>
      <c r="V21" s="32" t="n">
        <v>57.33</v>
      </c>
      <c r="W21" s="32" t="n">
        <v>23.37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Between 50% to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IF(B22=0,"",RANK(B22,$B$2:$B$343,0))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CARYSIL</t>
        </is>
      </c>
      <c r="D22" s="31" t="inlineStr">
        <is>
          <t>Carysil Ltd</t>
        </is>
      </c>
      <c r="E22" s="31" t="inlineStr">
        <is>
          <t>consumer discretionary</t>
        </is>
      </c>
      <c r="F22" s="31" t="inlineStr">
        <is>
          <t>domestic appliances</t>
        </is>
      </c>
      <c r="G22" s="31" t="inlineStr">
        <is>
          <t>smallcap</t>
        </is>
      </c>
      <c r="H22" s="32" t="n">
        <v>3336.89</v>
      </c>
      <c r="I22" s="32" t="n">
        <v>1181.6</v>
      </c>
      <c r="J22" s="32" t="n">
        <v>0.72</v>
      </c>
      <c r="K22" s="32" t="n">
        <v>57117</v>
      </c>
      <c r="L22" s="31" t="n">
        <v>68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71.37</v>
      </c>
      <c r="P22" s="32" t="n">
        <v>23.35</v>
      </c>
      <c r="Q22" s="32" t="n">
        <v>889.83</v>
      </c>
      <c r="R22" s="31" t="inlineStr">
        <is>
          <t>Near 52W High Breakout</t>
        </is>
      </c>
      <c r="S22" s="31" t="inlineStr">
        <is>
          <t>Nifty 50</t>
        </is>
      </c>
      <c r="T22" s="32" t="n">
        <v>-4.47</v>
      </c>
      <c r="U22" s="32" t="n">
        <v>37.37</v>
      </c>
      <c r="V22" s="32" t="n">
        <v>43.81</v>
      </c>
      <c r="W22" s="32" t="n">
        <v>18.77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Between 50% to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IF(B23=0,"",RANK(B23,$B$2:$B$343,0))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SJS</t>
        </is>
      </c>
      <c r="D23" s="31" t="inlineStr">
        <is>
          <t>S J S Enterprises Ltd</t>
        </is>
      </c>
      <c r="E23" s="31" t="inlineStr">
        <is>
          <t>auto</t>
        </is>
      </c>
      <c r="F23" s="31" t="inlineStr">
        <is>
          <t>plastics products</t>
        </is>
      </c>
      <c r="G23" s="31" t="inlineStr">
        <is>
          <t>midcap</t>
        </is>
      </c>
      <c r="H23" s="32" t="n">
        <v>7051.45</v>
      </c>
      <c r="I23" s="32" t="n">
        <v>2219.5</v>
      </c>
      <c r="J23" s="32" t="n">
        <v>0.71</v>
      </c>
      <c r="K23" s="32" t="n">
        <v>110788</v>
      </c>
      <c r="L23" s="31" t="n">
        <v>73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66.78</v>
      </c>
      <c r="P23" s="32" t="n">
        <v>24.27</v>
      </c>
      <c r="Q23" s="32" t="n">
        <v>1741.8</v>
      </c>
      <c r="R23" s="31" t="inlineStr">
        <is>
          <t>Near 52W High Breakout</t>
        </is>
      </c>
      <c r="S23" s="31" t="inlineStr">
        <is>
          <t>Nifty Auto</t>
        </is>
      </c>
      <c r="T23" s="32" t="n">
        <v>13.57</v>
      </c>
      <c r="U23" s="32" t="n">
        <v>79.45</v>
      </c>
      <c r="V23" s="32" t="n">
        <v>58.01</v>
      </c>
      <c r="W23" s="32" t="n">
        <v>21.62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IF(B24=0,"",RANK(B24,$B$2:$B$343,0))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SANGHVIMOV</t>
        </is>
      </c>
      <c r="D24" s="31" t="inlineStr">
        <is>
          <t>Sanghvi Movers Limited</t>
        </is>
      </c>
      <c r="E24" s="31" t="inlineStr">
        <is>
          <t>miscellaneous</t>
        </is>
      </c>
      <c r="F24" s="31" t="inlineStr">
        <is>
          <t>miscellaneous</t>
        </is>
      </c>
      <c r="G24" s="31" t="inlineStr">
        <is>
          <t>smallcap</t>
        </is>
      </c>
      <c r="H24" s="32" t="n">
        <v>3643.55</v>
      </c>
      <c r="I24" s="32" t="n">
        <v>422.05</v>
      </c>
      <c r="J24" s="32" t="n">
        <v>0.29</v>
      </c>
      <c r="K24" s="32" t="n">
        <v>682636</v>
      </c>
      <c r="L24" s="31" t="n">
        <v>84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68.83</v>
      </c>
      <c r="P24" s="32" t="n">
        <v>21.33</v>
      </c>
      <c r="Q24" s="32" t="n">
        <v>309.74</v>
      </c>
      <c r="R24" s="31" t="inlineStr">
        <is>
          <t>Near 52W High Breakout</t>
        </is>
      </c>
      <c r="S24" s="31" t="inlineStr">
        <is>
          <t>Nifty 50</t>
        </is>
      </c>
      <c r="T24" s="32" t="n">
        <v>-4.47</v>
      </c>
      <c r="U24" s="32" t="n">
        <v>51.09</v>
      </c>
      <c r="V24" s="32" t="n">
        <v>58.16</v>
      </c>
      <c r="W24" s="32" t="n">
        <v>29.1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Between 50% to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IF(B25=0,"",RANK(B25,$B$2:$B$343,0))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MOTHERSON</t>
        </is>
      </c>
      <c r="D25" s="31" t="inlineStr">
        <is>
          <t>Samvardhana Motherson International Ltd</t>
        </is>
      </c>
      <c r="E25" s="31" t="inlineStr">
        <is>
          <t>auto</t>
        </is>
      </c>
      <c r="F25" s="31" t="inlineStr">
        <is>
          <t>auto ancillaries</t>
        </is>
      </c>
      <c r="G25" s="31" t="inlineStr">
        <is>
          <t>largecap</t>
        </is>
      </c>
      <c r="H25" s="32" t="n">
        <v>156332.4</v>
      </c>
      <c r="I25" s="32" t="n">
        <v>147.6</v>
      </c>
      <c r="J25" s="32" t="n">
        <v>-0.35</v>
      </c>
      <c r="K25" s="32" t="n">
        <v>10550367</v>
      </c>
      <c r="L25" s="31" t="n">
        <v>57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68.05</v>
      </c>
      <c r="P25" s="32" t="n">
        <v>23.03</v>
      </c>
      <c r="Q25" s="32" t="n">
        <v>118.64</v>
      </c>
      <c r="R25" s="31" t="inlineStr">
        <is>
          <t>Near 52W High Breakout</t>
        </is>
      </c>
      <c r="S25" s="31" t="inlineStr">
        <is>
          <t>Nifty Auto</t>
        </is>
      </c>
      <c r="T25" s="32" t="n">
        <v>13.57</v>
      </c>
      <c r="U25" s="32" t="n">
        <v>48.21</v>
      </c>
      <c r="V25" s="32" t="n">
        <v>30.5</v>
      </c>
      <c r="W25" s="32" t="n">
        <v>15.54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IF(B26=0,"",RANK(B26,$B$2:$B$343,0))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AMBIKCO</t>
        </is>
      </c>
      <c r="D26" s="31" t="inlineStr">
        <is>
          <t>Ambika Cotton Mills Limited</t>
        </is>
      </c>
      <c r="E26" s="31" t="inlineStr">
        <is>
          <t>textiles</t>
        </is>
      </c>
      <c r="F26" s="31" t="inlineStr">
        <is>
          <t>textiles - cotton/blended</t>
        </is>
      </c>
      <c r="G26" s="31" t="inlineStr">
        <is>
          <t>smallcap</t>
        </is>
      </c>
      <c r="H26" s="32" t="n">
        <v>936.61</v>
      </c>
      <c r="I26" s="32" t="n">
        <v>1626.7</v>
      </c>
      <c r="J26" s="32" t="n">
        <v>-0.57</v>
      </c>
      <c r="K26" s="32" t="n">
        <v>4716</v>
      </c>
      <c r="L26" s="31" t="n">
        <v>31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64.17</v>
      </c>
      <c r="P26" s="32" t="n">
        <v>24.47</v>
      </c>
      <c r="Q26" s="32" t="n">
        <v>1312.74</v>
      </c>
      <c r="R26" s="31" t="inlineStr">
        <is>
          <t>Near 52W High Breakout</t>
        </is>
      </c>
      <c r="S26" s="31" t="inlineStr">
        <is>
          <t>Nifty 50</t>
        </is>
      </c>
      <c r="T26" s="32" t="n">
        <v>-4.47</v>
      </c>
      <c r="U26" s="32" t="n">
        <v>10.72</v>
      </c>
      <c r="V26" s="32" t="n">
        <v>15.91</v>
      </c>
      <c r="W26" s="32" t="n">
        <v>8.42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IF(B27=0,"",RANK(B27,$B$2:$B$343,0))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IDEA</t>
        </is>
      </c>
      <c r="D27" s="31" t="inlineStr">
        <is>
          <t>Vodafone Idea Ltd</t>
        </is>
      </c>
      <c r="E27" s="31" t="inlineStr">
        <is>
          <t>telecom-service</t>
        </is>
      </c>
      <c r="F27" s="31" t="inlineStr">
        <is>
          <t>telecommunications - service provider</t>
        </is>
      </c>
      <c r="G27" s="31" t="inlineStr">
        <is>
          <t>largecap</t>
        </is>
      </c>
      <c r="H27" s="32" t="n">
        <v>161972.84</v>
      </c>
      <c r="I27" s="32" t="n">
        <v>14.62</v>
      </c>
      <c r="J27" s="32" t="n">
        <v>-2.21</v>
      </c>
      <c r="K27" s="32" t="n">
        <v>492429596</v>
      </c>
      <c r="L27" s="31" t="n">
        <v>88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72.05</v>
      </c>
      <c r="P27" s="32" t="n">
        <v>28.8</v>
      </c>
      <c r="Q27" s="32" t="n">
        <v>11.74</v>
      </c>
      <c r="R27" s="31" t="inlineStr">
        <is>
          <t>Near 52W High Breakout</t>
        </is>
      </c>
      <c r="S27" s="31" t="inlineStr">
        <is>
          <t>Nifty 500</t>
        </is>
      </c>
      <c r="T27" s="32" t="n">
        <v>-0.19</v>
      </c>
      <c r="U27" s="32" t="n">
        <v>122.87</v>
      </c>
      <c r="V27" s="32" t="n">
        <v>123.29</v>
      </c>
      <c r="W27" s="32" t="n">
        <v>32.32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Oligopoly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IF(B28=0,"",RANK(B28,$B$2:$B$343,0))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ATHERENERG</t>
        </is>
      </c>
      <c r="D28" s="31" t="inlineStr">
        <is>
          <t>Ather Energy Ltd</t>
        </is>
      </c>
      <c r="E28" s="31" t="inlineStr">
        <is>
          <t>auto</t>
        </is>
      </c>
      <c r="F28" s="31" t="inlineStr">
        <is>
          <t>automobiles - scooters and 3 - wheelers</t>
        </is>
      </c>
      <c r="G28" s="31" t="inlineStr">
        <is>
          <t>largecap</t>
        </is>
      </c>
      <c r="H28" s="32" t="n">
        <v>39315.84</v>
      </c>
      <c r="I28" s="32" t="n">
        <v>998.05</v>
      </c>
      <c r="J28" s="32" t="n">
        <v>-2.86</v>
      </c>
      <c r="K28" s="32" t="n">
        <v>2709802</v>
      </c>
      <c r="L28" s="31" t="n">
        <v>89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68.68000000000001</v>
      </c>
      <c r="P28" s="32" t="n">
        <v>50.08</v>
      </c>
      <c r="Q28" s="32" t="n">
        <v>789.46</v>
      </c>
      <c r="R28" s="31" t="inlineStr">
        <is>
          <t>Near 52W High Breakout</t>
        </is>
      </c>
      <c r="S28" s="31" t="inlineStr">
        <is>
          <t>Nifty Auto</t>
        </is>
      </c>
      <c r="T28" s="32" t="n">
        <v>13.57</v>
      </c>
      <c r="U28" s="32" t="n">
        <v>211.26</v>
      </c>
      <c r="V28" s="32" t="n">
        <v>174.08</v>
      </c>
      <c r="W28" s="32" t="n">
        <v>33.86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Negative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IF(B29=0,"",RANK(B29,$B$2:$B$343,0))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ADFFOODS</t>
        </is>
      </c>
      <c r="D29" s="31" t="inlineStr">
        <is>
          <t>Adf Foods Limited</t>
        </is>
      </c>
      <c r="E29" s="31" t="inlineStr">
        <is>
          <t>fmcg</t>
        </is>
      </c>
      <c r="F29" s="31" t="inlineStr">
        <is>
          <t>food - processing - indian</t>
        </is>
      </c>
      <c r="G29" s="31" t="inlineStr">
        <is>
          <t>smallcap</t>
        </is>
      </c>
      <c r="H29" s="32" t="n">
        <v>3102.55</v>
      </c>
      <c r="I29" s="32" t="n">
        <v>301.25</v>
      </c>
      <c r="J29" s="32" t="n">
        <v>6.67</v>
      </c>
      <c r="K29" s="32" t="n">
        <v>542649</v>
      </c>
      <c r="L29" s="31" t="n">
        <v>72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67.59999999999999</v>
      </c>
      <c r="P29" s="32" t="n">
        <v>31.25</v>
      </c>
      <c r="Q29" s="32" t="n">
        <v>219.38</v>
      </c>
      <c r="R29" s="31" t="inlineStr">
        <is>
          <t>Near 52W High Breakout</t>
        </is>
      </c>
      <c r="S29" s="31" t="inlineStr">
        <is>
          <t>Nifty FMCG</t>
        </is>
      </c>
      <c r="T29" s="32" t="n">
        <v>-9.130000000000001</v>
      </c>
      <c r="U29" s="32" t="n">
        <v>11.03</v>
      </c>
      <c r="V29" s="32" t="n">
        <v>22.19</v>
      </c>
      <c r="W29" s="32" t="n">
        <v>20.91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B2C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Less than 50%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IF(B30=0,"",RANK(B30,$B$2:$B$343,0))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GVPIL</t>
        </is>
      </c>
      <c r="D30" s="31" t="inlineStr">
        <is>
          <t>GE Power India Ltd</t>
        </is>
      </c>
      <c r="E30" s="31" t="inlineStr">
        <is>
          <t>realty</t>
        </is>
      </c>
      <c r="F30" s="31" t="inlineStr">
        <is>
          <t>engineering - turnkey services</t>
        </is>
      </c>
      <c r="G30" s="31" t="inlineStr">
        <is>
          <t>midcap</t>
        </is>
      </c>
      <c r="H30" s="32" t="n">
        <v>6561.4</v>
      </c>
      <c r="I30" s="32" t="n">
        <v>1024.8</v>
      </c>
      <c r="J30" s="32" t="n">
        <v>5</v>
      </c>
      <c r="K30" s="32" t="n">
        <v>382750</v>
      </c>
      <c r="L30" s="31" t="n">
        <v>98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90.12</v>
      </c>
      <c r="P30" s="32" t="n">
        <v>58.69</v>
      </c>
      <c r="Q30" s="32" t="n">
        <v>802.4</v>
      </c>
      <c r="R30" s="31" t="inlineStr">
        <is>
          <t>Near 52W High Breakout</t>
        </is>
      </c>
      <c r="S30" s="31" t="inlineStr">
        <is>
          <t>Nifty Realty</t>
        </is>
      </c>
      <c r="T30" s="32" t="n">
        <v>-19.29</v>
      </c>
      <c r="U30" s="32" t="n">
        <v>237.27</v>
      </c>
      <c r="V30" s="32" t="n">
        <v>317.89</v>
      </c>
      <c r="W30" s="32" t="n">
        <v>64.45999999999999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Duopoly That Cooperate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Shallow Cyclical (2 to 3 Years Growth)</t>
        </is>
      </c>
      <c r="AG30" s="31">
        <f>IF(AF30="Structural (10 Years Consistency)",10,IF(AF30="Shallow Cyclical (2 to 3 years growth)",5,0))</f>
        <v/>
      </c>
      <c r="AH30" s="31" t="inlineStr">
        <is>
          <t>Yes due to Product Mix change or Operating Leverage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B2C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Fully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only for next 1 to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Between 50% to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Between 0.7 to 1.2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IF(B31=0,"",RANK(B31,$B$2:$B$343,0))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SKMEGGPROD</t>
        </is>
      </c>
      <c r="D31" s="31" t="inlineStr">
        <is>
          <t>Skm Egg Products Export (india) Limited</t>
        </is>
      </c>
      <c r="E31" s="31" t="inlineStr">
        <is>
          <t>fmcg</t>
        </is>
      </c>
      <c r="F31" s="31" t="inlineStr">
        <is>
          <t>food - processing - indian</t>
        </is>
      </c>
      <c r="G31" s="31" t="inlineStr">
        <is>
          <t>smallcap</t>
        </is>
      </c>
      <c r="H31" s="32" t="n">
        <v>1242.41</v>
      </c>
      <c r="I31" s="32" t="n">
        <v>243.81</v>
      </c>
      <c r="J31" s="32" t="n">
        <v>3.34</v>
      </c>
      <c r="K31" s="32" t="n">
        <v>455482</v>
      </c>
      <c r="L31" s="31" t="n">
        <v>85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69.72</v>
      </c>
      <c r="P31" s="32" t="n">
        <v>22.1</v>
      </c>
      <c r="Q31" s="32" t="n">
        <v>171.78</v>
      </c>
      <c r="R31" s="31" t="inlineStr">
        <is>
          <t>Near 52W High Breakout</t>
        </is>
      </c>
      <c r="S31" s="31" t="inlineStr">
        <is>
          <t>Nifty FMCG</t>
        </is>
      </c>
      <c r="T31" s="32" t="n">
        <v>-9.130000000000001</v>
      </c>
      <c r="U31" s="32" t="n">
        <v>93.53</v>
      </c>
      <c r="V31" s="32" t="n">
        <v>112.98</v>
      </c>
      <c r="W31" s="32" t="n">
        <v>29.36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B2C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Less than 50%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IF(B32=0,"",RANK(B32,$B$2:$B$343,0))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AVTNPL</t>
        </is>
      </c>
      <c r="D32" s="31" t="inlineStr">
        <is>
          <t>Avt Natural Products Limited</t>
        </is>
      </c>
      <c r="E32" s="31" t="inlineStr">
        <is>
          <t>fmcg</t>
        </is>
      </c>
      <c r="F32" s="31" t="inlineStr">
        <is>
          <t>solvent extraction</t>
        </is>
      </c>
      <c r="G32" s="31" t="inlineStr">
        <is>
          <t>smallcap</t>
        </is>
      </c>
      <c r="H32" s="32" t="n">
        <v>1104.06</v>
      </c>
      <c r="I32" s="32" t="n">
        <v>73.29000000000001</v>
      </c>
      <c r="J32" s="32" t="n">
        <v>1.09</v>
      </c>
      <c r="K32" s="32" t="n">
        <v>109368</v>
      </c>
      <c r="L32" s="31" t="n">
        <v>30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61.08</v>
      </c>
      <c r="P32" s="32" t="n">
        <v>25.52</v>
      </c>
      <c r="Q32" s="32" t="n">
        <v>56.26</v>
      </c>
      <c r="R32" s="31" t="inlineStr">
        <is>
          <t>Near 52W High Breakout</t>
        </is>
      </c>
      <c r="S32" s="31" t="inlineStr">
        <is>
          <t>Nifty FMCG</t>
        </is>
      </c>
      <c r="T32" s="32" t="n">
        <v>-9.130000000000001</v>
      </c>
      <c r="U32" s="32" t="n">
        <v>13.63</v>
      </c>
      <c r="V32" s="32" t="n">
        <v>25.05</v>
      </c>
      <c r="W32" s="32" t="n">
        <v>8.390000000000001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B2C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Less than 50%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IF(B33=0,"",RANK(B33,$B$2:$B$343,0))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NINSYS</t>
        </is>
      </c>
      <c r="D33" s="31" t="inlineStr">
        <is>
          <t>NINtec Systems Ltd</t>
        </is>
      </c>
      <c r="E33" s="31" t="inlineStr">
        <is>
          <t>i.t</t>
        </is>
      </c>
      <c r="F33" s="31" t="inlineStr">
        <is>
          <t>computers - software - medium / small</t>
        </is>
      </c>
      <c r="G33" s="31" t="inlineStr">
        <is>
          <t>smallcap</t>
        </is>
      </c>
      <c r="H33" s="32" t="n">
        <v>1308.21</v>
      </c>
      <c r="I33" s="32" t="n">
        <v>704.8</v>
      </c>
      <c r="J33" s="32" t="n">
        <v>0.08</v>
      </c>
      <c r="K33" s="32" t="n">
        <v>4094</v>
      </c>
      <c r="L33" s="31" t="n">
        <v>96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79.11</v>
      </c>
      <c r="P33" s="32" t="n">
        <v>51.6</v>
      </c>
      <c r="Q33" s="32" t="n">
        <v>545.05</v>
      </c>
      <c r="R33" s="31" t="inlineStr">
        <is>
          <t>Near 52W High Breakout</t>
        </is>
      </c>
      <c r="S33" s="31" t="inlineStr">
        <is>
          <t>Nifty IT</t>
        </is>
      </c>
      <c r="T33" s="32" t="n">
        <v>-26.73</v>
      </c>
      <c r="U33" s="32" t="n">
        <v>56.4</v>
      </c>
      <c r="V33" s="32" t="n">
        <v>113.46</v>
      </c>
      <c r="W33" s="32" t="n">
        <v>49.46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Between 12 to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Between 50% to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IF(B34=0,"",RANK(B34,$B$2:$B$343,0))</f>
        <v/>
      </c>
      <c r="B34" s="32">
        <f>SUM(N34,Y34,AA34,AC34,AE34,AG34,AI34,AK34,AM34,AO34,AQ34,AS34,AU34,AW34,AY34,BA34,BC34,BE34,BG34,BI34,BK34,BM34,BO34,BQ34,BS34,BU34,BW34,BY34,CA34,CC34,CE34)</f>
        <v/>
      </c>
      <c r="C34" s="33" t="inlineStr">
        <is>
          <t>PGHL</t>
        </is>
      </c>
      <c r="D34" s="33" t="inlineStr">
        <is>
          <t>Procter &amp; Gamble Health Ltd</t>
        </is>
      </c>
      <c r="E34" s="31" t="inlineStr">
        <is>
          <t>healthcare</t>
        </is>
      </c>
      <c r="F34" s="31" t="inlineStr">
        <is>
          <t>pharmaceuticals - multinational</t>
        </is>
      </c>
      <c r="G34" s="31" t="inlineStr">
        <is>
          <t>midcap</t>
        </is>
      </c>
      <c r="H34" s="32" t="n">
        <v>10335.61</v>
      </c>
      <c r="I34" s="32" t="n">
        <v>6226.5</v>
      </c>
      <c r="J34" s="32" t="n">
        <v>0</v>
      </c>
      <c r="K34" s="32" t="n">
        <v>9395</v>
      </c>
      <c r="L34" s="31" t="n">
        <v>31</v>
      </c>
      <c r="M34" s="31" t="inlineStr">
        <is>
          <t>Underperforming</t>
        </is>
      </c>
      <c r="N34" s="32">
        <f>IF(M34="Underperforming",-5,IF(L34&gt;=95,15,IF(L34&gt;=90,10,IF(L34&gt;=80,5,0))))</f>
        <v/>
      </c>
      <c r="O34" s="32" t="n">
        <v>72.75</v>
      </c>
      <c r="P34" s="32" t="n">
        <v>39.96</v>
      </c>
      <c r="Q34" s="32" t="n">
        <v>5349.01</v>
      </c>
      <c r="R34" s="31" t="inlineStr">
        <is>
          <t>Near 52W High Breakout</t>
        </is>
      </c>
      <c r="S34" s="31" t="inlineStr">
        <is>
          <t>Nifty Pharma</t>
        </is>
      </c>
      <c r="T34" s="32" t="n">
        <v>11.77</v>
      </c>
      <c r="U34" s="32" t="n">
        <v>9.35</v>
      </c>
      <c r="V34" s="32" t="n">
        <v>-2.17</v>
      </c>
      <c r="W34" s="32" t="n">
        <v>8.42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IF(B35=0,"",RANK(B35,$B$2:$B$343,0))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SUPRIYA</t>
        </is>
      </c>
      <c r="D35" s="31" t="inlineStr">
        <is>
          <t>Supriya Lifescience Ltd</t>
        </is>
      </c>
      <c r="E35" s="31" t="inlineStr">
        <is>
          <t>healthcare</t>
        </is>
      </c>
      <c r="F35" s="31" t="inlineStr">
        <is>
          <t>pharmaceuticals - indian - bulk drugs &amp; formln</t>
        </is>
      </c>
      <c r="G35" s="31" t="inlineStr">
        <is>
          <t>midcap</t>
        </is>
      </c>
      <c r="H35" s="32" t="n">
        <v>7687.72</v>
      </c>
      <c r="I35" s="32" t="n">
        <v>946.9</v>
      </c>
      <c r="J35" s="32" t="n">
        <v>-0.87</v>
      </c>
      <c r="K35" s="32" t="n">
        <v>242340</v>
      </c>
      <c r="L35" s="31" t="n">
        <v>75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72.17</v>
      </c>
      <c r="P35" s="32" t="n">
        <v>35.54</v>
      </c>
      <c r="Q35" s="32" t="n">
        <v>742.33</v>
      </c>
      <c r="R35" s="31" t="inlineStr">
        <is>
          <t>Near 52W High Breakout</t>
        </is>
      </c>
      <c r="S35" s="31" t="inlineStr">
        <is>
          <t>Nifty Pharma</t>
        </is>
      </c>
      <c r="T35" s="32" t="n">
        <v>11.77</v>
      </c>
      <c r="U35" s="32" t="n">
        <v>39.09</v>
      </c>
      <c r="V35" s="32" t="n">
        <v>24.44</v>
      </c>
      <c r="W35" s="32" t="n">
        <v>22.32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Between 50% to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IF(B36=0,"",RANK(B36,$B$2:$B$343,0))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SENORES</t>
        </is>
      </c>
      <c r="D36" s="31" t="inlineStr">
        <is>
          <t>Senores Pharmaceuticals Ltd</t>
        </is>
      </c>
      <c r="E36" s="31" t="inlineStr">
        <is>
          <t>healthcare</t>
        </is>
      </c>
      <c r="F36" s="31" t="inlineStr">
        <is>
          <t>pharmaceuticals - indian - formulations</t>
        </is>
      </c>
      <c r="G36" s="31" t="inlineStr">
        <is>
          <t>midcap</t>
        </is>
      </c>
      <c r="H36" s="32" t="n">
        <v>5909.6</v>
      </c>
      <c r="I36" s="32" t="n">
        <v>1257.2</v>
      </c>
      <c r="J36" s="32" t="n">
        <v>-2.03</v>
      </c>
      <c r="K36" s="32" t="n">
        <v>244797</v>
      </c>
      <c r="L36" s="31" t="n">
        <v>91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73.95</v>
      </c>
      <c r="P36" s="32" t="n">
        <v>44.65</v>
      </c>
      <c r="Q36" s="32" t="n">
        <v>1000.22</v>
      </c>
      <c r="R36" s="31" t="inlineStr">
        <is>
          <t>Near 52W High Breakout</t>
        </is>
      </c>
      <c r="S36" s="31" t="inlineStr">
        <is>
          <t>Nifty Pharma</t>
        </is>
      </c>
      <c r="T36" s="32" t="n">
        <v>11.77</v>
      </c>
      <c r="U36" s="32" t="n">
        <v>141.7</v>
      </c>
      <c r="V36" s="32" t="n">
        <v>116.24</v>
      </c>
      <c r="W36" s="32" t="n">
        <v>35.58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Less than 50%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IF(B37=0,"",RANK(B37,$B$2:$B$343,0))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NGLFINE</t>
        </is>
      </c>
      <c r="D37" s="31" t="inlineStr">
        <is>
          <t>NGL Fine Chem Ltd</t>
        </is>
      </c>
      <c r="E37" s="31" t="inlineStr">
        <is>
          <t>healthcare</t>
        </is>
      </c>
      <c r="F37" s="31" t="inlineStr">
        <is>
          <t>pharmaceuticals - indian - bulk drugs</t>
        </is>
      </c>
      <c r="G37" s="31" t="inlineStr">
        <is>
          <t>smallcap</t>
        </is>
      </c>
      <c r="H37" s="32" t="n">
        <v>1920.93</v>
      </c>
      <c r="I37" s="32" t="n">
        <v>2976.7</v>
      </c>
      <c r="J37" s="32" t="n">
        <v>-4.26</v>
      </c>
      <c r="K37" s="32" t="n">
        <v>34309</v>
      </c>
      <c r="L37" s="31" t="n">
        <v>90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75.77</v>
      </c>
      <c r="P37" s="32" t="n">
        <v>65.51000000000001</v>
      </c>
      <c r="Q37" s="32" t="n">
        <v>2026.99</v>
      </c>
      <c r="R37" s="31" t="inlineStr">
        <is>
          <t>Near 52W High Breakout</t>
        </is>
      </c>
      <c r="S37" s="31" t="inlineStr">
        <is>
          <t>Nifty Pharma</t>
        </is>
      </c>
      <c r="T37" s="32" t="n">
        <v>11.77</v>
      </c>
      <c r="U37" s="32" t="n">
        <v>198.1</v>
      </c>
      <c r="V37" s="32" t="n">
        <v>166.7</v>
      </c>
      <c r="W37" s="32" t="n">
        <v>35.08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Between 50% to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IF(B38=0,"",RANK(B38,$B$2:$B$343,0))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MENONBE</t>
        </is>
      </c>
      <c r="D38" s="31" t="inlineStr">
        <is>
          <t>Menon Bearings Limited</t>
        </is>
      </c>
      <c r="E38" s="31" t="inlineStr">
        <is>
          <t>auto</t>
        </is>
      </c>
      <c r="F38" s="31" t="inlineStr">
        <is>
          <t>auto ancillaries</t>
        </is>
      </c>
      <c r="G38" s="31" t="inlineStr">
        <is>
          <t>smallcap</t>
        </is>
      </c>
      <c r="H38" s="32" t="n">
        <v>941.02</v>
      </c>
      <c r="I38" s="32" t="n">
        <v>177.33</v>
      </c>
      <c r="J38" s="32" t="n">
        <v>5.6</v>
      </c>
      <c r="K38" s="32" t="n">
        <v>445879</v>
      </c>
      <c r="L38" s="31" t="n">
        <v>71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73.73</v>
      </c>
      <c r="P38" s="32" t="n">
        <v>32.82</v>
      </c>
      <c r="Q38" s="32" t="n">
        <v>132.95</v>
      </c>
      <c r="R38" s="31" t="inlineStr">
        <is>
          <t>Near 52W High Breakout</t>
        </is>
      </c>
      <c r="S38" s="31" t="inlineStr">
        <is>
          <t>Nifty Auto</t>
        </is>
      </c>
      <c r="T38" s="32" t="n">
        <v>13.57</v>
      </c>
      <c r="U38" s="32" t="n">
        <v>49.28</v>
      </c>
      <c r="V38" s="32" t="n">
        <v>31.44</v>
      </c>
      <c r="W38" s="32" t="n">
        <v>20.59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Less than 50%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IF(B39=0,"",RANK(B39,$B$2:$B$343,0))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IDEAFORGE</t>
        </is>
      </c>
      <c r="D39" s="31" t="inlineStr">
        <is>
          <t>Ideaforge Technology Ltd</t>
        </is>
      </c>
      <c r="E39" s="31" t="inlineStr">
        <is>
          <t>aerospace &amp; defence</t>
        </is>
      </c>
      <c r="F39" s="31" t="inlineStr">
        <is>
          <t>engineering</t>
        </is>
      </c>
      <c r="G39" s="31" t="inlineStr">
        <is>
          <t>smallcap</t>
        </is>
      </c>
      <c r="H39" s="32" t="n">
        <v>3742.72</v>
      </c>
      <c r="I39" s="32" t="n">
        <v>908.05</v>
      </c>
      <c r="J39" s="32" t="n">
        <v>5</v>
      </c>
      <c r="K39" s="32" t="n">
        <v>249709</v>
      </c>
      <c r="L39" s="31" t="n">
        <v>93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73.25</v>
      </c>
      <c r="P39" s="32" t="n">
        <v>46.96</v>
      </c>
      <c r="Q39" s="32" t="n">
        <v>677.09</v>
      </c>
      <c r="R39" s="31" t="inlineStr">
        <is>
          <t>Near 52W High Breakout</t>
        </is>
      </c>
      <c r="S39" s="31" t="inlineStr">
        <is>
          <t>Nifty Infra</t>
        </is>
      </c>
      <c r="T39" s="32" t="n">
        <v>3.24</v>
      </c>
      <c r="U39" s="32" t="n">
        <v>58.28</v>
      </c>
      <c r="V39" s="32" t="n">
        <v>53.31</v>
      </c>
      <c r="W39" s="32" t="n">
        <v>41.12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Negative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IF(B40=0,"",RANK(B40,$B$2:$B$343,0))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BHAGYANGR</t>
        </is>
      </c>
      <c r="D40" s="31" t="inlineStr">
        <is>
          <t>Bhagyanagar India</t>
        </is>
      </c>
      <c r="E40" s="31" t="inlineStr">
        <is>
          <t>power &amp; utilities</t>
        </is>
      </c>
      <c r="F40" s="31" t="inlineStr">
        <is>
          <t>power generation and supply</t>
        </is>
      </c>
      <c r="G40" s="31" t="inlineStr">
        <is>
          <t>smallcap</t>
        </is>
      </c>
      <c r="H40" s="32" t="n">
        <v>1043.36</v>
      </c>
      <c r="I40" s="32" t="n">
        <v>342.4</v>
      </c>
      <c r="J40" s="32" t="n">
        <v>5</v>
      </c>
      <c r="K40" s="32" t="n">
        <v>179815</v>
      </c>
      <c r="L40" s="31" t="n">
        <v>98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78.72</v>
      </c>
      <c r="P40" s="32" t="n">
        <v>59.88</v>
      </c>
      <c r="Q40" s="32" t="n">
        <v>244.55</v>
      </c>
      <c r="R40" s="31" t="inlineStr">
        <is>
          <t>Near 52W High Breakout</t>
        </is>
      </c>
      <c r="S40" s="31" t="inlineStr">
        <is>
          <t>Nifty IT</t>
        </is>
      </c>
      <c r="T40" s="32" t="n">
        <v>-26.73</v>
      </c>
      <c r="U40" s="32" t="n">
        <v>336.35</v>
      </c>
      <c r="V40" s="32" t="n">
        <v>495.55</v>
      </c>
      <c r="W40" s="32" t="n">
        <v>68.20999999999999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Between 50% to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Between 0.7 to 1.2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IF(B41=0,"",RANK(B41,$B$2:$B$343,0))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UNIPARTS</t>
        </is>
      </c>
      <c r="D41" s="31" t="inlineStr">
        <is>
          <t>Uniparts India Ltd</t>
        </is>
      </c>
      <c r="E41" s="31" t="inlineStr">
        <is>
          <t>industrials</t>
        </is>
      </c>
      <c r="F41" s="31" t="inlineStr">
        <is>
          <t>engineering</t>
        </is>
      </c>
      <c r="G41" s="31" t="inlineStr">
        <is>
          <t>smallcap</t>
        </is>
      </c>
      <c r="H41" s="32" t="n">
        <v>2995.92</v>
      </c>
      <c r="I41" s="32" t="n">
        <v>670.3</v>
      </c>
      <c r="J41" s="32" t="n">
        <v>1</v>
      </c>
      <c r="K41" s="32" t="n">
        <v>115691</v>
      </c>
      <c r="L41" s="31" t="n">
        <v>80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74.73</v>
      </c>
      <c r="P41" s="32" t="n">
        <v>37.86</v>
      </c>
      <c r="Q41" s="32" t="n">
        <v>527.96</v>
      </c>
      <c r="R41" s="31" t="inlineStr">
        <is>
          <t>Near 52W High Breakout</t>
        </is>
      </c>
      <c r="S41" s="31" t="inlineStr">
        <is>
          <t>Nifty 50</t>
        </is>
      </c>
      <c r="T41" s="32" t="n">
        <v>-4.47</v>
      </c>
      <c r="U41" s="32" t="n">
        <v>94.66</v>
      </c>
      <c r="V41" s="32" t="n">
        <v>103.78</v>
      </c>
      <c r="W41" s="32" t="n">
        <v>25.05</v>
      </c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IF(B42=0,"",RANK(B42,$B$2:$B$343,0))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CIEINDIA</t>
        </is>
      </c>
      <c r="D42" s="31" t="inlineStr">
        <is>
          <t>CIE Automotive India Ltd</t>
        </is>
      </c>
      <c r="E42" s="31" t="inlineStr">
        <is>
          <t>industrials</t>
        </is>
      </c>
      <c r="F42" s="31" t="inlineStr">
        <is>
          <t>castings &amp; forgings</t>
        </is>
      </c>
      <c r="G42" s="31" t="inlineStr">
        <is>
          <t>midcap</t>
        </is>
      </c>
      <c r="H42" s="32" t="n">
        <v>17632.76</v>
      </c>
      <c r="I42" s="32" t="n">
        <v>469.35</v>
      </c>
      <c r="J42" s="32" t="n">
        <v>0.98</v>
      </c>
      <c r="K42" s="32" t="n">
        <v>280490</v>
      </c>
      <c r="L42" s="31" t="n">
        <v>3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57.12</v>
      </c>
      <c r="P42" s="32" t="n">
        <v>22.99</v>
      </c>
      <c r="Q42" s="32" t="n">
        <v>392.05</v>
      </c>
      <c r="R42" s="31" t="inlineStr">
        <is>
          <t>Near 52W High Breakout</t>
        </is>
      </c>
      <c r="S42" s="31" t="inlineStr">
        <is>
          <t>Nifty 50</t>
        </is>
      </c>
      <c r="T42" s="32" t="n">
        <v>-4.47</v>
      </c>
      <c r="U42" s="32" t="n">
        <v>6.11</v>
      </c>
      <c r="V42" s="32" t="n">
        <v>11.07</v>
      </c>
      <c r="W42" s="32" t="n">
        <v>2.16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IF(B43=0,"",RANK(B43,$B$2:$B$343,0))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NITINSPIN</t>
        </is>
      </c>
      <c r="D43" s="31" t="inlineStr">
        <is>
          <t>Nitin Spinners Limited</t>
        </is>
      </c>
      <c r="E43" s="31" t="inlineStr">
        <is>
          <t>textiles</t>
        </is>
      </c>
      <c r="F43" s="31" t="inlineStr">
        <is>
          <t>textiles - cotton/blended</t>
        </is>
      </c>
      <c r="G43" s="31" t="inlineStr">
        <is>
          <t>smallcap</t>
        </is>
      </c>
      <c r="H43" s="32" t="n">
        <v>3080.29</v>
      </c>
      <c r="I43" s="32" t="n">
        <v>549.75</v>
      </c>
      <c r="J43" s="32" t="n">
        <v>0.34</v>
      </c>
      <c r="K43" s="32" t="n">
        <v>106194</v>
      </c>
      <c r="L43" s="31" t="n">
        <v>71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77.77</v>
      </c>
      <c r="P43" s="32" t="n">
        <v>57.16</v>
      </c>
      <c r="Q43" s="32" t="n">
        <v>437.79</v>
      </c>
      <c r="R43" s="31" t="inlineStr">
        <is>
          <t>Near 52W High Breakout</t>
        </is>
      </c>
      <c r="S43" s="31" t="inlineStr">
        <is>
          <t>Nifty 50</t>
        </is>
      </c>
      <c r="T43" s="32" t="n">
        <v>-4.47</v>
      </c>
      <c r="U43" s="32" t="n">
        <v>49.76</v>
      </c>
      <c r="V43" s="32" t="n">
        <v>56.78</v>
      </c>
      <c r="W43" s="32" t="n">
        <v>20.04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Between 0.7 to 1.2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IF(B44=0,"",RANK(B44,$B$2:$B$343,0))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BELRISE</t>
        </is>
      </c>
      <c r="D44" s="31" t="inlineStr">
        <is>
          <t>Belrise Industries Ltd</t>
        </is>
      </c>
      <c r="E44" s="31" t="inlineStr">
        <is>
          <t>auto</t>
        </is>
      </c>
      <c r="F44" s="31" t="inlineStr">
        <is>
          <t>auto ancillaries</t>
        </is>
      </c>
      <c r="G44" s="31" t="inlineStr">
        <is>
          <t>largecap</t>
        </is>
      </c>
      <c r="H44" s="32" t="n">
        <v>21202.26</v>
      </c>
      <c r="I44" s="32" t="n">
        <v>237.43</v>
      </c>
      <c r="J44" s="32" t="n">
        <v>-0.35</v>
      </c>
      <c r="K44" s="32" t="n">
        <v>2735050</v>
      </c>
      <c r="L44" s="31" t="n">
        <v>80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72.66</v>
      </c>
      <c r="P44" s="32" t="n">
        <v>52.58</v>
      </c>
      <c r="Q44" s="32" t="n">
        <v>188.57</v>
      </c>
      <c r="R44" s="31" t="inlineStr">
        <is>
          <t>Near 52W High Breakout</t>
        </is>
      </c>
      <c r="S44" s="31" t="inlineStr">
        <is>
          <t>Nifty Auto</t>
        </is>
      </c>
      <c r="T44" s="32" t="n">
        <v>13.57</v>
      </c>
      <c r="U44" s="32" t="n">
        <v>133.73</v>
      </c>
      <c r="V44" s="32" t="n">
        <v>105.81</v>
      </c>
      <c r="W44" s="32" t="n">
        <v>25.13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Less than 12%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IF(B45=0,"",RANK(B45,$B$2:$B$343,0))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ADOR</t>
        </is>
      </c>
      <c r="D45" s="31" t="inlineStr">
        <is>
          <t>Ador Welding Ltd</t>
        </is>
      </c>
      <c r="E45" s="31" t="inlineStr">
        <is>
          <t>industrials</t>
        </is>
      </c>
      <c r="F45" s="31" t="inlineStr">
        <is>
          <t>electrodes - welding equipment</t>
        </is>
      </c>
      <c r="G45" s="31" t="inlineStr">
        <is>
          <t>smallcap</t>
        </is>
      </c>
      <c r="H45" s="32" t="n">
        <v>2049.7</v>
      </c>
      <c r="I45" s="32" t="n">
        <v>1168</v>
      </c>
      <c r="J45" s="32" t="n">
        <v>-0.83</v>
      </c>
      <c r="K45" s="32" t="n">
        <v>10153</v>
      </c>
      <c r="L45" s="31" t="n">
        <v>36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63.9</v>
      </c>
      <c r="P45" s="32" t="n">
        <v>23.29</v>
      </c>
      <c r="Q45" s="32" t="n">
        <v>910.3200000000001</v>
      </c>
      <c r="R45" s="31" t="inlineStr">
        <is>
          <t>Near 52W High Breakout</t>
        </is>
      </c>
      <c r="S45" s="31" t="inlineStr">
        <is>
          <t>Nifty 50</t>
        </is>
      </c>
      <c r="T45" s="32" t="n">
        <v>-4.47</v>
      </c>
      <c r="U45" s="32" t="n">
        <v>18.74</v>
      </c>
      <c r="V45" s="32" t="n">
        <v>24.3</v>
      </c>
      <c r="W45" s="32" t="n">
        <v>9.69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IF(B46=0,"",RANK(B46,$B$2:$B$343,0))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SHAILY</t>
        </is>
      </c>
      <c r="D46" s="31" t="inlineStr">
        <is>
          <t>Shaily Engineering Plastics Ltd</t>
        </is>
      </c>
      <c r="E46" s="31" t="inlineStr">
        <is>
          <t>plastic products</t>
        </is>
      </c>
      <c r="F46" s="31" t="inlineStr">
        <is>
          <t>plastics products</t>
        </is>
      </c>
      <c r="G46" s="31" t="inlineStr">
        <is>
          <t>midcap</t>
        </is>
      </c>
      <c r="H46" s="32" t="n">
        <v>13548.02</v>
      </c>
      <c r="I46" s="32" t="n">
        <v>2920.7</v>
      </c>
      <c r="J46" s="32" t="n">
        <v>-0.93</v>
      </c>
      <c r="K46" s="32" t="n">
        <v>205343</v>
      </c>
      <c r="L46" s="31" t="n">
        <v>60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64.17</v>
      </c>
      <c r="P46" s="32" t="n">
        <v>27.96</v>
      </c>
      <c r="Q46" s="32" t="n">
        <v>2193.47</v>
      </c>
      <c r="R46" s="31" t="inlineStr">
        <is>
          <t>Near 52W High Breakout</t>
        </is>
      </c>
      <c r="S46" s="31" t="inlineStr">
        <is>
          <t>Nifty 50</t>
        </is>
      </c>
      <c r="T46" s="32" t="n">
        <v>-4.47</v>
      </c>
      <c r="U46" s="32" t="n">
        <v>69.95999999999999</v>
      </c>
      <c r="V46" s="32" t="n">
        <v>77.92</v>
      </c>
      <c r="W46" s="32" t="n">
        <v>16.46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Between 1.5 to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IF(B47=0,"",RANK(B47,$B$2:$B$343,0))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VTL</t>
        </is>
      </c>
      <c r="D47" s="31" t="inlineStr">
        <is>
          <t>Vardhman Textiles Limited</t>
        </is>
      </c>
      <c r="E47" s="31" t="inlineStr">
        <is>
          <t>textiles</t>
        </is>
      </c>
      <c r="F47" s="31" t="inlineStr">
        <is>
          <t>textiles - cotton/blended</t>
        </is>
      </c>
      <c r="G47" s="31" t="inlineStr">
        <is>
          <t>midcap</t>
        </is>
      </c>
      <c r="H47" s="32" t="n">
        <v>18450.39</v>
      </c>
      <c r="I47" s="32" t="n">
        <v>631.85</v>
      </c>
      <c r="J47" s="32" t="n">
        <v>-0.93</v>
      </c>
      <c r="K47" s="32" t="n">
        <v>216547</v>
      </c>
      <c r="L47" s="31" t="n">
        <v>41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67.93000000000001</v>
      </c>
      <c r="P47" s="32" t="n">
        <v>52.59</v>
      </c>
      <c r="Q47" s="32" t="n">
        <v>496.19</v>
      </c>
      <c r="R47" s="31" t="inlineStr">
        <is>
          <t>Near 52W High Breakout</t>
        </is>
      </c>
      <c r="S47" s="31" t="inlineStr">
        <is>
          <t>Nifty 50</t>
        </is>
      </c>
      <c r="T47" s="32" t="n">
        <v>-4.47</v>
      </c>
      <c r="U47" s="32" t="n">
        <v>39.58</v>
      </c>
      <c r="V47" s="32" t="n">
        <v>46.11</v>
      </c>
      <c r="W47" s="32" t="n">
        <v>11.04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Less than 12%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IF(B48=0,"",RANK(B48,$B$2:$B$343,0))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PARAS</t>
        </is>
      </c>
      <c r="D48" s="31" t="inlineStr">
        <is>
          <t>Paras Defence and Space Technologies Ltd</t>
        </is>
      </c>
      <c r="E48" s="31" t="inlineStr">
        <is>
          <t>aerospace &amp; defence</t>
        </is>
      </c>
      <c r="F48" s="31" t="inlineStr">
        <is>
          <t>engineering</t>
        </is>
      </c>
      <c r="G48" s="31" t="inlineStr">
        <is>
          <t>midcap</t>
        </is>
      </c>
      <c r="H48" s="32" t="n">
        <v>8930.290000000001</v>
      </c>
      <c r="I48" s="32" t="n">
        <v>1089.35</v>
      </c>
      <c r="J48" s="32" t="n">
        <v>-1.7</v>
      </c>
      <c r="K48" s="32" t="n">
        <v>2442273</v>
      </c>
      <c r="L48" s="31" t="n">
        <v>79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72.2</v>
      </c>
      <c r="P48" s="32" t="n">
        <v>40.62</v>
      </c>
      <c r="Q48" s="32" t="n">
        <v>814.9400000000001</v>
      </c>
      <c r="R48" s="31" t="inlineStr">
        <is>
          <t>Near 52W High Breakout</t>
        </is>
      </c>
      <c r="S48" s="31" t="inlineStr">
        <is>
          <t>Nifty 50</t>
        </is>
      </c>
      <c r="T48" s="32" t="n">
        <v>-4.47</v>
      </c>
      <c r="U48" s="32" t="n">
        <v>31.81</v>
      </c>
      <c r="V48" s="32" t="n">
        <v>37.98</v>
      </c>
      <c r="W48" s="32" t="n">
        <v>24.29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Less than 50%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IF(B49=0,"",RANK(B49,$B$2:$B$343,0))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RUBYMILLS</t>
        </is>
      </c>
      <c r="D49" s="31" t="inlineStr">
        <is>
          <t>The Ruby Mills Limited</t>
        </is>
      </c>
      <c r="E49" s="31" t="inlineStr">
        <is>
          <t>textiles</t>
        </is>
      </c>
      <c r="F49" s="31" t="inlineStr">
        <is>
          <t>textiles - composite</t>
        </is>
      </c>
      <c r="G49" s="31" t="inlineStr">
        <is>
          <t>smallcap</t>
        </is>
      </c>
      <c r="H49" s="32" t="n">
        <v>1116.73</v>
      </c>
      <c r="I49" s="32" t="n">
        <v>321.8</v>
      </c>
      <c r="J49" s="32" t="n">
        <v>-3.64</v>
      </c>
      <c r="K49" s="32" t="n">
        <v>8918</v>
      </c>
      <c r="L49" s="31" t="n">
        <v>73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70.8</v>
      </c>
      <c r="P49" s="32" t="n">
        <v>41.79</v>
      </c>
      <c r="Q49" s="32" t="n">
        <v>252.02</v>
      </c>
      <c r="R49" s="31" t="inlineStr">
        <is>
          <t>Near 52W High Breakout</t>
        </is>
      </c>
      <c r="S49" s="31" t="inlineStr">
        <is>
          <t>Nifty 50</t>
        </is>
      </c>
      <c r="T49" s="32" t="n">
        <v>-4.47</v>
      </c>
      <c r="U49" s="32" t="n">
        <v>40.76</v>
      </c>
      <c r="V49" s="32" t="n">
        <v>47.35</v>
      </c>
      <c r="W49" s="32" t="n">
        <v>21.59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Less than 12%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IF(B50=0,"",RANK(B50,$B$2:$B$343,0))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RATEGAIN</t>
        </is>
      </c>
      <c r="D50" s="31" t="inlineStr">
        <is>
          <t>Rategain Travel Technologies Ltd</t>
        </is>
      </c>
      <c r="E50" s="31" t="inlineStr">
        <is>
          <t>i.t</t>
        </is>
      </c>
      <c r="F50" s="31" t="inlineStr">
        <is>
          <t>computers - software - medium / small</t>
        </is>
      </c>
      <c r="G50" s="31" t="inlineStr">
        <is>
          <t>midcap</t>
        </is>
      </c>
      <c r="H50" s="32" t="n">
        <v>9743.33</v>
      </c>
      <c r="I50" s="32" t="n">
        <v>844.35</v>
      </c>
      <c r="J50" s="32" t="n">
        <v>2.4</v>
      </c>
      <c r="K50" s="32" t="n">
        <v>624904</v>
      </c>
      <c r="L50" s="31" t="n">
        <v>90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76.44</v>
      </c>
      <c r="P50" s="32" t="n">
        <v>26.43</v>
      </c>
      <c r="Q50" s="32" t="n">
        <v>660.09</v>
      </c>
      <c r="R50" s="31" t="inlineStr">
        <is>
          <t>Near 52W High Breakout</t>
        </is>
      </c>
      <c r="S50" s="31" t="inlineStr">
        <is>
          <t>Nifty IT</t>
        </is>
      </c>
      <c r="T50" s="32" t="n">
        <v>-26.73</v>
      </c>
      <c r="U50" s="32" t="n">
        <v>95.02</v>
      </c>
      <c r="V50" s="32" t="n">
        <v>166.18</v>
      </c>
      <c r="W50" s="32" t="n">
        <v>34.86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Between 1.5 to 2</t>
        </is>
      </c>
      <c r="BU50" s="31">
        <f>IF(BT50="Above 2",0,IF(BT50="Between 1.5 to 2",5,IF(BT50="Less than 1.5",10,0)))</f>
        <v/>
      </c>
      <c r="BV50" s="31" t="inlineStr">
        <is>
          <t>Between 50% to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IF(B51=0,"",RANK(B51,$B$2:$B$343,0))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TINNARUBR</t>
        </is>
      </c>
      <c r="D51" s="31" t="inlineStr">
        <is>
          <t>Tinna Rubber &amp; Infrastructure Ltd</t>
        </is>
      </c>
      <c r="E51" s="31" t="inlineStr">
        <is>
          <t>fmcg</t>
        </is>
      </c>
      <c r="F51" s="31" t="inlineStr">
        <is>
          <t>miscellaneous</t>
        </is>
      </c>
      <c r="G51" s="31" t="inlineStr">
        <is>
          <t>smallcap</t>
        </is>
      </c>
      <c r="H51" s="32" t="n">
        <v>1559.89</v>
      </c>
      <c r="I51" s="32" t="n">
        <v>886.55</v>
      </c>
      <c r="J51" s="32" t="n">
        <v>2.39</v>
      </c>
      <c r="K51" s="32" t="n">
        <v>70242</v>
      </c>
      <c r="L51" s="31" t="n">
        <v>36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59.55</v>
      </c>
      <c r="P51" s="32" t="n">
        <v>22.33</v>
      </c>
      <c r="Q51" s="32" t="n">
        <v>635.12</v>
      </c>
      <c r="R51" s="31" t="inlineStr">
        <is>
          <t>Earnings / Momentum Support</t>
        </is>
      </c>
      <c r="S51" s="31" t="inlineStr">
        <is>
          <t>Nifty FMCG</t>
        </is>
      </c>
      <c r="T51" s="32" t="n">
        <v>-9.130000000000001</v>
      </c>
      <c r="U51" s="32" t="n">
        <v>-3.83</v>
      </c>
      <c r="V51" s="32" t="n">
        <v>5.84</v>
      </c>
      <c r="W51" s="32" t="n">
        <v>9.49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B2C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Between 50% to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IF(B52=0,"",RANK(B52,$B$2:$B$343,0))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INNOVACAP</t>
        </is>
      </c>
      <c r="D52" s="31" t="inlineStr">
        <is>
          <t>Innova Captab Ltd</t>
        </is>
      </c>
      <c r="E52" s="31" t="inlineStr">
        <is>
          <t>healthcare</t>
        </is>
      </c>
      <c r="F52" s="31" t="inlineStr">
        <is>
          <t>pharmaceuticals - indian - bulk drugs &amp; formln</t>
        </is>
      </c>
      <c r="G52" s="31" t="inlineStr">
        <is>
          <t>midcap</t>
        </is>
      </c>
      <c r="H52" s="32" t="n">
        <v>5424.64</v>
      </c>
      <c r="I52" s="32" t="n">
        <v>964.2</v>
      </c>
      <c r="J52" s="32" t="n">
        <v>1.71</v>
      </c>
      <c r="K52" s="32" t="n">
        <v>109749</v>
      </c>
      <c r="L52" s="31" t="n">
        <v>48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73.02</v>
      </c>
      <c r="P52" s="32" t="n">
        <v>31.94</v>
      </c>
      <c r="Q52" s="32" t="n">
        <v>763.42</v>
      </c>
      <c r="R52" s="31" t="inlineStr">
        <is>
          <t>Near 52W High Breakout</t>
        </is>
      </c>
      <c r="S52" s="31" t="inlineStr">
        <is>
          <t>Nifty Pharma</t>
        </is>
      </c>
      <c r="T52" s="32" t="n">
        <v>11.77</v>
      </c>
      <c r="U52" s="32" t="n">
        <v>14.09</v>
      </c>
      <c r="V52" s="32" t="n">
        <v>2.07</v>
      </c>
      <c r="W52" s="32" t="n">
        <v>12.86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Between 50% to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IF(B53=0,"",RANK(B53,$B$2:$B$343,0))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ASTERDM</t>
        </is>
      </c>
      <c r="D53" s="31" t="inlineStr">
        <is>
          <t>Aster DM Healthcare Ltd</t>
        </is>
      </c>
      <c r="E53" s="31" t="inlineStr">
        <is>
          <t>healthcare</t>
        </is>
      </c>
      <c r="F53" s="31" t="inlineStr">
        <is>
          <t>healthcare</t>
        </is>
      </c>
      <c r="G53" s="31" t="inlineStr">
        <is>
          <t>largecap</t>
        </is>
      </c>
      <c r="H53" s="32" t="n">
        <v>40760.58</v>
      </c>
      <c r="I53" s="32" t="n">
        <v>780.05</v>
      </c>
      <c r="J53" s="32" t="n">
        <v>-0.85</v>
      </c>
      <c r="K53" s="32" t="n">
        <v>440200</v>
      </c>
      <c r="L53" s="31" t="n">
        <v>47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64.37</v>
      </c>
      <c r="P53" s="32" t="n">
        <v>38.96</v>
      </c>
      <c r="Q53" s="32" t="n">
        <v>662.1900000000001</v>
      </c>
      <c r="R53" s="31" t="inlineStr">
        <is>
          <t>Near 52W High Breakout</t>
        </is>
      </c>
      <c r="S53" s="31" t="inlineStr">
        <is>
          <t>Nifty Pharma</t>
        </is>
      </c>
      <c r="T53" s="32" t="n">
        <v>11.77</v>
      </c>
      <c r="U53" s="32" t="n">
        <v>40.44</v>
      </c>
      <c r="V53" s="32" t="n">
        <v>25.64</v>
      </c>
      <c r="W53" s="32" t="n">
        <v>12.66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Between 1.5 to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IF(B54=0,"",RANK(B54,$B$2:$B$343,0))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PRECWIRE</t>
        </is>
      </c>
      <c r="D54" s="31" t="inlineStr">
        <is>
          <t>Precision Wires India Limited</t>
        </is>
      </c>
      <c r="E54" s="31" t="inlineStr">
        <is>
          <t>metals &amp; mining</t>
        </is>
      </c>
      <c r="F54" s="31" t="inlineStr">
        <is>
          <t>mining / minerals / metals</t>
        </is>
      </c>
      <c r="G54" s="31" t="inlineStr">
        <is>
          <t>midcap</t>
        </is>
      </c>
      <c r="H54" s="32" t="n">
        <v>7381.79</v>
      </c>
      <c r="I54" s="32" t="n">
        <v>423.25</v>
      </c>
      <c r="J54" s="32" t="n">
        <v>4.82</v>
      </c>
      <c r="K54" s="32" t="n">
        <v>632200</v>
      </c>
      <c r="L54" s="31" t="n">
        <v>83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66.91</v>
      </c>
      <c r="P54" s="32" t="n">
        <v>66.95</v>
      </c>
      <c r="Q54" s="32" t="n">
        <v>305.21</v>
      </c>
      <c r="R54" s="31" t="inlineStr">
        <is>
          <t>Near 52W High Breakout</t>
        </is>
      </c>
      <c r="S54" s="31" t="inlineStr">
        <is>
          <t>Nifty Metal</t>
        </is>
      </c>
      <c r="T54" s="32" t="n">
        <v>40.96</v>
      </c>
      <c r="U54" s="32" t="n">
        <v>140.61</v>
      </c>
      <c r="V54" s="32" t="n">
        <v>70.7</v>
      </c>
      <c r="W54" s="32" t="n">
        <v>28.25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Cyclical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Volatile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IF(B55=0,"",RANK(B55,$B$2:$B$343,0))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GOLDIAM</t>
        </is>
      </c>
      <c r="D55" s="31" t="inlineStr">
        <is>
          <t>Goldiam International Limited</t>
        </is>
      </c>
      <c r="E55" s="31" t="inlineStr">
        <is>
          <t>consumer discretionary</t>
        </is>
      </c>
      <c r="F55" s="31" t="inlineStr">
        <is>
          <t>diamond cutting / jewellery</t>
        </is>
      </c>
      <c r="G55" s="31" t="inlineStr">
        <is>
          <t>midcap</t>
        </is>
      </c>
      <c r="H55" s="32" t="n">
        <v>5295.85</v>
      </c>
      <c r="I55" s="32" t="n">
        <v>485.65</v>
      </c>
      <c r="J55" s="32" t="n">
        <v>3.55</v>
      </c>
      <c r="K55" s="32" t="n">
        <v>1470919</v>
      </c>
      <c r="L55" s="31" t="n">
        <v>77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65.67</v>
      </c>
      <c r="P55" s="32" t="n">
        <v>28.58</v>
      </c>
      <c r="Q55" s="32" t="n">
        <v>352.44</v>
      </c>
      <c r="R55" s="31" t="inlineStr">
        <is>
          <t>Near 52W High Breakout</t>
        </is>
      </c>
      <c r="S55" s="31" t="inlineStr">
        <is>
          <t>Nifty 50</t>
        </is>
      </c>
      <c r="T55" s="32" t="n">
        <v>-4.47</v>
      </c>
      <c r="U55" s="32" t="n">
        <v>41.38</v>
      </c>
      <c r="V55" s="32" t="n">
        <v>48</v>
      </c>
      <c r="W55" s="32" t="n">
        <v>23.32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Less than 50%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IF(B56=0,"",RANK(B56,$B$2:$B$343,0))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SIGMAADV</t>
        </is>
      </c>
      <c r="D56" s="31" t="inlineStr">
        <is>
          <t>Sigma Advanced System Ltd</t>
        </is>
      </c>
      <c r="E56" s="31" t="inlineStr">
        <is>
          <t>aerospace &amp; defence</t>
        </is>
      </c>
      <c r="F56" s="31" t="inlineStr">
        <is>
          <t>electronics - components</t>
        </is>
      </c>
      <c r="G56" s="31" t="inlineStr">
        <is>
          <t>midcap</t>
        </is>
      </c>
      <c r="H56" s="32" t="n">
        <v>8145.8</v>
      </c>
      <c r="I56" s="32" t="n">
        <v>475.1</v>
      </c>
      <c r="J56" s="32" t="n">
        <v>2.79</v>
      </c>
      <c r="K56" s="32" t="n">
        <v>249936</v>
      </c>
      <c r="L56" s="31" t="n">
        <v>99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84.88</v>
      </c>
      <c r="P56" s="32" t="n">
        <v>43.45</v>
      </c>
      <c r="Q56" s="32" t="n">
        <v>357.89</v>
      </c>
      <c r="R56" s="31" t="inlineStr">
        <is>
          <t>Near 52W High Breakout</t>
        </is>
      </c>
      <c r="S56" s="31" t="inlineStr">
        <is>
          <t>Nifty 50</t>
        </is>
      </c>
      <c r="T56" s="32" t="n">
        <v>-4.47</v>
      </c>
      <c r="U56" s="32" t="n">
        <v>456.13</v>
      </c>
      <c r="V56" s="32" t="n">
        <v>482.17</v>
      </c>
      <c r="W56" s="32" t="n">
        <v>88.90000000000001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Negative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Between 0.7 to 1.2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IF(B57=0,"",RANK(B57,$B$2:$B$343,0))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STLTECH</t>
        </is>
      </c>
      <c r="D57" s="31" t="inlineStr">
        <is>
          <t>Sterlite Technologies Limited</t>
        </is>
      </c>
      <c r="E57" s="31" t="inlineStr">
        <is>
          <t>industrials</t>
        </is>
      </c>
      <c r="F57" s="31" t="inlineStr">
        <is>
          <t>cables - telephone</t>
        </is>
      </c>
      <c r="G57" s="31" t="inlineStr">
        <is>
          <t>largecap</t>
        </is>
      </c>
      <c r="H57" s="32" t="n">
        <v>29717.51</v>
      </c>
      <c r="I57" s="32" t="n">
        <v>624.7</v>
      </c>
      <c r="J57" s="32" t="n">
        <v>2.61</v>
      </c>
      <c r="K57" s="32" t="n">
        <v>2436324</v>
      </c>
      <c r="L57" s="31" t="n">
        <v>99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89.01000000000001</v>
      </c>
      <c r="P57" s="32" t="n">
        <v>81.70999999999999</v>
      </c>
      <c r="Q57" s="32" t="n">
        <v>480.57</v>
      </c>
      <c r="R57" s="31" t="inlineStr">
        <is>
          <t>Near 52W High Breakout</t>
        </is>
      </c>
      <c r="S57" s="31" t="inlineStr">
        <is>
          <t>Nifty Infra</t>
        </is>
      </c>
      <c r="T57" s="32" t="n">
        <v>3.24</v>
      </c>
      <c r="U57" s="32" t="n">
        <v>489.62</v>
      </c>
      <c r="V57" s="32" t="n">
        <v>471.09</v>
      </c>
      <c r="W57" s="32" t="n">
        <v>109.82</v>
      </c>
      <c r="X57" s="31" t="inlineStr">
        <is>
          <t>Cyclical in an Upturn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Between 0.7 to 1.2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IF(B58=0,"",RANK(B58,$B$2:$B$343,0))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KENNAMET</t>
        </is>
      </c>
      <c r="D58" s="31" t="inlineStr">
        <is>
          <t>Kennametal India Ltd</t>
        </is>
      </c>
      <c r="E58" s="31" t="inlineStr">
        <is>
          <t>industrials</t>
        </is>
      </c>
      <c r="F58" s="31" t="inlineStr">
        <is>
          <t>castings &amp; forgings</t>
        </is>
      </c>
      <c r="G58" s="31" t="inlineStr">
        <is>
          <t>midcap</t>
        </is>
      </c>
      <c r="H58" s="32" t="n">
        <v>6554.13</v>
      </c>
      <c r="I58" s="32" t="n">
        <v>3032.8</v>
      </c>
      <c r="J58" s="32" t="n">
        <v>1.7</v>
      </c>
      <c r="K58" s="32" t="n">
        <v>18093</v>
      </c>
      <c r="L58" s="31" t="n">
        <v>53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67.27</v>
      </c>
      <c r="P58" s="32" t="n">
        <v>41.86</v>
      </c>
      <c r="Q58" s="32" t="n">
        <v>2396.75</v>
      </c>
      <c r="R58" s="31" t="inlineStr">
        <is>
          <t>Near 52W High Breakout</t>
        </is>
      </c>
      <c r="S58" s="31" t="inlineStr">
        <is>
          <t>Nifty Infra</t>
        </is>
      </c>
      <c r="T58" s="32" t="n">
        <v>3.24</v>
      </c>
      <c r="U58" s="32" t="n">
        <v>28.5</v>
      </c>
      <c r="V58" s="32" t="n">
        <v>24.46</v>
      </c>
      <c r="W58" s="32" t="n">
        <v>14.12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IF(B59=0,"",RANK(B59,$B$2:$B$343,0))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PTL</t>
        </is>
      </c>
      <c r="D59" s="31" t="inlineStr">
        <is>
          <t>Ptl Enterprises Limited</t>
        </is>
      </c>
      <c r="E59" s="31" t="inlineStr">
        <is>
          <t>miscellaneous</t>
        </is>
      </c>
      <c r="F59" s="31" t="inlineStr">
        <is>
          <t>miscellaneous</t>
        </is>
      </c>
      <c r="G59" s="31" t="inlineStr">
        <is>
          <t>smallcap</t>
        </is>
      </c>
      <c r="H59" s="32" t="n">
        <v>543.8</v>
      </c>
      <c r="I59" s="32" t="n">
        <v>41.45</v>
      </c>
      <c r="J59" s="32" t="n">
        <v>0.9</v>
      </c>
      <c r="K59" s="32" t="n">
        <v>36274</v>
      </c>
      <c r="L59" s="31" t="n">
        <v>8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61.92</v>
      </c>
      <c r="P59" s="32" t="n">
        <v>10.9</v>
      </c>
      <c r="Q59" s="32" t="n">
        <v>35.66</v>
      </c>
      <c r="R59" s="31" t="inlineStr">
        <is>
          <t>Near 52W High Breakout</t>
        </is>
      </c>
      <c r="S59" s="31" t="inlineStr">
        <is>
          <t>Nifty 50</t>
        </is>
      </c>
      <c r="T59" s="32" t="n">
        <v>-4.47</v>
      </c>
      <c r="U59" s="32" t="n">
        <v>8.49</v>
      </c>
      <c r="V59" s="32" t="n">
        <v>13.57</v>
      </c>
      <c r="W59" s="32" t="n">
        <v>3.72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0 to 20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IF(B60=0,"",RANK(B60,$B$2:$B$343,0))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PIDILITIND</t>
        </is>
      </c>
      <c r="D60" s="31" t="inlineStr">
        <is>
          <t>Pidilite Industries Limited</t>
        </is>
      </c>
      <c r="E60" s="31" t="inlineStr">
        <is>
          <t>chemicals</t>
        </is>
      </c>
      <c r="F60" s="31" t="inlineStr">
        <is>
          <t>chemicals</t>
        </is>
      </c>
      <c r="G60" s="31" t="inlineStr">
        <is>
          <t>largecap</t>
        </is>
      </c>
      <c r="H60" s="32" t="n">
        <v>159891.08</v>
      </c>
      <c r="I60" s="32" t="n">
        <v>1571.2</v>
      </c>
      <c r="J60" s="32" t="n">
        <v>0.01</v>
      </c>
      <c r="K60" s="32" t="n">
        <v>382140</v>
      </c>
      <c r="L60" s="31" t="n">
        <v>15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65.06</v>
      </c>
      <c r="P60" s="32" t="n">
        <v>20.88</v>
      </c>
      <c r="Q60" s="32" t="n">
        <v>1361.53</v>
      </c>
      <c r="R60" s="31" t="inlineStr">
        <is>
          <t>Near 52W High Breakout</t>
        </is>
      </c>
      <c r="S60" s="31" t="inlineStr">
        <is>
          <t>Nifty 500</t>
        </is>
      </c>
      <c r="T60" s="32" t="n">
        <v>-0.19</v>
      </c>
      <c r="U60" s="32" t="n">
        <v>7.03</v>
      </c>
      <c r="V60" s="32" t="n">
        <v>7.24</v>
      </c>
      <c r="W60" s="32" t="n">
        <v>5.15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Between 1.5 to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IF(B61=0,"",RANK(B61,$B$2:$B$343,0))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OCCLLTD</t>
        </is>
      </c>
      <c r="D61" s="31" t="inlineStr">
        <is>
          <t>OCCL Ltd</t>
        </is>
      </c>
      <c r="E61" s="31" t="inlineStr">
        <is>
          <t>chemicals</t>
        </is>
      </c>
      <c r="F61" s="31" t="inlineStr">
        <is>
          <t>chemicals</t>
        </is>
      </c>
      <c r="G61" s="31" t="inlineStr">
        <is>
          <t>smallcap</t>
        </is>
      </c>
      <c r="H61" s="32" t="n">
        <v>676.58</v>
      </c>
      <c r="I61" s="32" t="n">
        <v>135.28</v>
      </c>
      <c r="J61" s="32" t="n">
        <v>-0.13</v>
      </c>
      <c r="K61" s="32" t="n">
        <v>112742</v>
      </c>
      <c r="L61" s="31" t="n">
        <v>63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71.40000000000001</v>
      </c>
      <c r="P61" s="32" t="n">
        <v>23.33</v>
      </c>
      <c r="Q61" s="32" t="n">
        <v>97.93000000000001</v>
      </c>
      <c r="R61" s="31" t="inlineStr">
        <is>
          <t>Earnings / Momentum Support</t>
        </is>
      </c>
      <c r="S61" s="31" t="inlineStr">
        <is>
          <t>Nifty 50</t>
        </is>
      </c>
      <c r="T61" s="32" t="n">
        <v>-4.47</v>
      </c>
      <c r="U61" s="32" t="n">
        <v>14.44</v>
      </c>
      <c r="V61" s="32" t="n">
        <v>19.79</v>
      </c>
      <c r="W61" s="32" t="n">
        <v>17.14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IF(B62=0,"",RANK(B62,$B$2:$B$343,0))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SYRMA</t>
        </is>
      </c>
      <c r="D62" s="31" t="inlineStr">
        <is>
          <t>Syrma SGS Technology Ltd</t>
        </is>
      </c>
      <c r="E62" s="31" t="inlineStr">
        <is>
          <t>consumer discretionary</t>
        </is>
      </c>
      <c r="F62" s="31" t="inlineStr">
        <is>
          <t>electronics - components</t>
        </is>
      </c>
      <c r="G62" s="31" t="inlineStr">
        <is>
          <t>largecap</t>
        </is>
      </c>
      <c r="H62" s="32" t="n">
        <v>25089.17</v>
      </c>
      <c r="I62" s="32" t="n">
        <v>1299.3</v>
      </c>
      <c r="J62" s="32" t="n">
        <v>-0.14</v>
      </c>
      <c r="K62" s="32" t="n">
        <v>1094094</v>
      </c>
      <c r="L62" s="31" t="n">
        <v>92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75.59999999999999</v>
      </c>
      <c r="P62" s="32" t="n">
        <v>37.59</v>
      </c>
      <c r="Q62" s="32" t="n">
        <v>1017.5</v>
      </c>
      <c r="R62" s="31" t="inlineStr">
        <is>
          <t>Near 52W High Breakout</t>
        </is>
      </c>
      <c r="S62" s="31" t="inlineStr">
        <is>
          <t>Nifty 50</t>
        </is>
      </c>
      <c r="T62" s="32" t="n">
        <v>-4.47</v>
      </c>
      <c r="U62" s="32" t="n">
        <v>156.92</v>
      </c>
      <c r="V62" s="32" t="n">
        <v>168.95</v>
      </c>
      <c r="W62" s="32" t="n">
        <v>38.12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Between 1.5 to 2</t>
        </is>
      </c>
      <c r="BU62" s="31">
        <f>IF(BT62="Above 2",0,IF(BT62="Between 1.5 to 2",5,IF(BT62="Less than 1.5",10,0)))</f>
        <v/>
      </c>
      <c r="BV62" s="31" t="inlineStr">
        <is>
          <t>Between 50% to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IF(B63=0,"",RANK(B63,$B$2:$B$343,0))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CUMMINSIND</t>
        </is>
      </c>
      <c r="D63" s="31" t="inlineStr">
        <is>
          <t>Cummins India Limited</t>
        </is>
      </c>
      <c r="E63" s="31" t="inlineStr">
        <is>
          <t>industrials</t>
        </is>
      </c>
      <c r="F63" s="31" t="inlineStr">
        <is>
          <t>engines</t>
        </is>
      </c>
      <c r="G63" s="31" t="inlineStr">
        <is>
          <t>largecap</t>
        </is>
      </c>
      <c r="H63" s="32" t="n">
        <v>159500.88</v>
      </c>
      <c r="I63" s="32" t="n">
        <v>5723.5</v>
      </c>
      <c r="J63" s="32" t="n">
        <v>-0.53</v>
      </c>
      <c r="K63" s="32" t="n">
        <v>257257</v>
      </c>
      <c r="L63" s="31" t="n">
        <v>64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71.12</v>
      </c>
      <c r="P63" s="32" t="n">
        <v>42.67</v>
      </c>
      <c r="Q63" s="32" t="n">
        <v>4983.34</v>
      </c>
      <c r="R63" s="31" t="inlineStr">
        <is>
          <t>Near 52W High Breakout</t>
        </is>
      </c>
      <c r="S63" s="31" t="inlineStr">
        <is>
          <t>Nifty 500</t>
        </is>
      </c>
      <c r="T63" s="32" t="n">
        <v>-0.19</v>
      </c>
      <c r="U63" s="32" t="n">
        <v>77.40000000000001</v>
      </c>
      <c r="V63" s="32" t="n">
        <v>77.73999999999999</v>
      </c>
      <c r="W63" s="32" t="n">
        <v>17.43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Between 50% to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IF(B64=0,"",RANK(B64,$B$2:$B$343,0))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GOCLCORP</t>
        </is>
      </c>
      <c r="D64" s="31" t="inlineStr">
        <is>
          <t>Gocl Corporation Limited</t>
        </is>
      </c>
      <c r="E64" s="31" t="inlineStr">
        <is>
          <t>miscellaneous</t>
        </is>
      </c>
      <c r="F64" s="31" t="inlineStr">
        <is>
          <t>diversified - medium / small</t>
        </is>
      </c>
      <c r="G64" s="31" t="inlineStr">
        <is>
          <t>smallcap</t>
        </is>
      </c>
      <c r="H64" s="32" t="n">
        <v>2006.45</v>
      </c>
      <c r="I64" s="32" t="n">
        <v>402.2</v>
      </c>
      <c r="J64" s="32" t="n">
        <v>-0.63</v>
      </c>
      <c r="K64" s="32" t="n">
        <v>31471</v>
      </c>
      <c r="L64" s="31" t="n">
        <v>72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69.01000000000001</v>
      </c>
      <c r="P64" s="32" t="n">
        <v>27.88</v>
      </c>
      <c r="Q64" s="32" t="n">
        <v>306.64</v>
      </c>
      <c r="R64" s="31" t="inlineStr">
        <is>
          <t>Near 52W High Breakout</t>
        </is>
      </c>
      <c r="S64" s="31" t="inlineStr">
        <is>
          <t>Nifty 50</t>
        </is>
      </c>
      <c r="T64" s="32" t="n">
        <v>-4.47</v>
      </c>
      <c r="U64" s="32" t="n">
        <v>12.67</v>
      </c>
      <c r="V64" s="32" t="n">
        <v>17.95</v>
      </c>
      <c r="W64" s="32" t="n">
        <v>20.72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IF(B65=0,"",RANK(B65,$B$2:$B$343,0))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RISHABH</t>
        </is>
      </c>
      <c r="D65" s="31" t="inlineStr">
        <is>
          <t>Rishabh Instruments Ltd</t>
        </is>
      </c>
      <c r="E65" s="31" t="inlineStr">
        <is>
          <t>industrials</t>
        </is>
      </c>
      <c r="F65" s="31" t="inlineStr">
        <is>
          <t>electric equipment</t>
        </is>
      </c>
      <c r="G65" s="31" t="inlineStr">
        <is>
          <t>smallcap</t>
        </is>
      </c>
      <c r="H65" s="32" t="n">
        <v>2140.46</v>
      </c>
      <c r="I65" s="32" t="n">
        <v>551.15</v>
      </c>
      <c r="J65" s="32" t="n">
        <v>-0.75</v>
      </c>
      <c r="K65" s="32" t="n">
        <v>198097</v>
      </c>
      <c r="L65" s="31" t="n">
        <v>79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64.34999999999999</v>
      </c>
      <c r="P65" s="32" t="n">
        <v>30.53</v>
      </c>
      <c r="Q65" s="32" t="n">
        <v>395.49</v>
      </c>
      <c r="R65" s="31" t="inlineStr">
        <is>
          <t>Near 52W High Breakout</t>
        </is>
      </c>
      <c r="S65" s="31" t="inlineStr">
        <is>
          <t>Nifty Infra</t>
        </is>
      </c>
      <c r="T65" s="32" t="n">
        <v>3.24</v>
      </c>
      <c r="U65" s="32" t="n">
        <v>93.66</v>
      </c>
      <c r="V65" s="32" t="n">
        <v>87.56999999999999</v>
      </c>
      <c r="W65" s="32" t="n">
        <v>24.72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IF(B66=0,"",RANK(B66,$B$2:$B$343,0))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SIS</t>
        </is>
      </c>
      <c r="D66" s="31" t="inlineStr">
        <is>
          <t>Security &amp; Intelligence Services India</t>
        </is>
      </c>
      <c r="E66" s="31" t="inlineStr">
        <is>
          <t>miscellaneous</t>
        </is>
      </c>
      <c r="F66" s="31" t="inlineStr">
        <is>
          <t>miscellaneous</t>
        </is>
      </c>
      <c r="G66" s="31" t="inlineStr">
        <is>
          <t>midcap</t>
        </is>
      </c>
      <c r="H66" s="32" t="n">
        <v>6042.92</v>
      </c>
      <c r="I66" s="32" t="n">
        <v>423.4</v>
      </c>
      <c r="J66" s="32" t="n">
        <v>-1.02</v>
      </c>
      <c r="K66" s="32" t="n">
        <v>121562</v>
      </c>
      <c r="L66" s="31" t="n">
        <v>61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76.45</v>
      </c>
      <c r="P66" s="32" t="n">
        <v>41.22</v>
      </c>
      <c r="Q66" s="32" t="n">
        <v>337.97</v>
      </c>
      <c r="R66" s="31" t="inlineStr">
        <is>
          <t>Near 52W High Breakout</t>
        </is>
      </c>
      <c r="S66" s="31" t="inlineStr">
        <is>
          <t>Nifty 50</t>
        </is>
      </c>
      <c r="T66" s="32" t="n">
        <v>-4.47</v>
      </c>
      <c r="U66" s="32" t="n">
        <v>17.51</v>
      </c>
      <c r="V66" s="32" t="n">
        <v>23.01</v>
      </c>
      <c r="W66" s="32" t="n">
        <v>16.73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Between 0.7 to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IF(B67=0,"",RANK(B67,$B$2:$B$343,0))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AVALON</t>
        </is>
      </c>
      <c r="D67" s="31" t="inlineStr">
        <is>
          <t>Avalon Technologies Ltd</t>
        </is>
      </c>
      <c r="E67" s="31" t="inlineStr">
        <is>
          <t>consumer discretionary</t>
        </is>
      </c>
      <c r="F67" s="31" t="inlineStr">
        <is>
          <t>electronics - components</t>
        </is>
      </c>
      <c r="G67" s="31" t="inlineStr">
        <is>
          <t>midcap</t>
        </is>
      </c>
      <c r="H67" s="32" t="n">
        <v>11750.84</v>
      </c>
      <c r="I67" s="32" t="n">
        <v>1738.3</v>
      </c>
      <c r="J67" s="32" t="n">
        <v>-1.23</v>
      </c>
      <c r="K67" s="32" t="n">
        <v>240812</v>
      </c>
      <c r="L67" s="31" t="n">
        <v>91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77.5</v>
      </c>
      <c r="P67" s="32" t="n">
        <v>37.54</v>
      </c>
      <c r="Q67" s="32" t="n">
        <v>1289.35</v>
      </c>
      <c r="R67" s="31" t="inlineStr">
        <is>
          <t>Near 52W High Breakout</t>
        </is>
      </c>
      <c r="S67" s="31" t="inlineStr">
        <is>
          <t>Nifty 50</t>
        </is>
      </c>
      <c r="T67" s="32" t="n">
        <v>-4.47</v>
      </c>
      <c r="U67" s="32" t="n">
        <v>108.04</v>
      </c>
      <c r="V67" s="32" t="n">
        <v>117.78</v>
      </c>
      <c r="W67" s="32" t="n">
        <v>36.08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Less than 50%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IF(B68=0,"",RANK(B68,$B$2:$B$343,0))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PGIL</t>
        </is>
      </c>
      <c r="D68" s="31" t="inlineStr">
        <is>
          <t>Pearl Global Industries Limited</t>
        </is>
      </c>
      <c r="E68" s="31" t="inlineStr">
        <is>
          <t>consumer discretionary</t>
        </is>
      </c>
      <c r="F68" s="31" t="inlineStr">
        <is>
          <t>textiles - products</t>
        </is>
      </c>
      <c r="G68" s="31" t="inlineStr">
        <is>
          <t>midcap</t>
        </is>
      </c>
      <c r="H68" s="32" t="n">
        <v>7821.29</v>
      </c>
      <c r="I68" s="32" t="n">
        <v>1665.1</v>
      </c>
      <c r="J68" s="32" t="n">
        <v>-1.76</v>
      </c>
      <c r="K68" s="32" t="n">
        <v>61648</v>
      </c>
      <c r="L68" s="31" t="n">
        <v>18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56.17</v>
      </c>
      <c r="P68" s="32" t="n">
        <v>31.79</v>
      </c>
      <c r="Q68" s="32" t="n">
        <v>1213.2</v>
      </c>
      <c r="R68" s="31" t="inlineStr">
        <is>
          <t>Earnings / Momentum Support</t>
        </is>
      </c>
      <c r="S68" s="31" t="inlineStr">
        <is>
          <t>Nifty 50</t>
        </is>
      </c>
      <c r="T68" s="32" t="n">
        <v>-4.47</v>
      </c>
      <c r="U68" s="32" t="n">
        <v>12.82</v>
      </c>
      <c r="V68" s="32" t="n">
        <v>18.1</v>
      </c>
      <c r="W68" s="32" t="n">
        <v>5.55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IF(B69=0,"",RANK(B69,$B$2:$B$343,0))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CEIGALL</t>
        </is>
      </c>
      <c r="D69" s="31" t="inlineStr">
        <is>
          <t>Ceigall India Ltd</t>
        </is>
      </c>
      <c r="E69" s="31" t="inlineStr">
        <is>
          <t>realty</t>
        </is>
      </c>
      <c r="F69" s="31" t="inlineStr">
        <is>
          <t>construction</t>
        </is>
      </c>
      <c r="G69" s="31" t="inlineStr">
        <is>
          <t>midcap</t>
        </is>
      </c>
      <c r="H69" s="32" t="n">
        <v>6570.14</v>
      </c>
      <c r="I69" s="32" t="n">
        <v>370.35</v>
      </c>
      <c r="J69" s="32" t="n">
        <v>-1.8</v>
      </c>
      <c r="K69" s="32" t="n">
        <v>345290</v>
      </c>
      <c r="L69" s="31" t="n">
        <v>63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69.81999999999999</v>
      </c>
      <c r="P69" s="32" t="n">
        <v>45.92</v>
      </c>
      <c r="Q69" s="32" t="n">
        <v>296.76</v>
      </c>
      <c r="R69" s="31" t="inlineStr">
        <is>
          <t>Near 52W High Breakout</t>
        </is>
      </c>
      <c r="S69" s="31" t="inlineStr">
        <is>
          <t>Nifty Realty</t>
        </is>
      </c>
      <c r="T69" s="32" t="n">
        <v>-19.29</v>
      </c>
      <c r="U69" s="32" t="n">
        <v>51.87</v>
      </c>
      <c r="V69" s="32" t="n">
        <v>88.17</v>
      </c>
      <c r="W69" s="32" t="n">
        <v>17.26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Negative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IF(B70=0,"",RANK(B70,$B$2:$B$343,0))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MODISONLTD</t>
        </is>
      </c>
      <c r="D70" s="31" t="inlineStr">
        <is>
          <t>Modison Ltd</t>
        </is>
      </c>
      <c r="E70" s="31" t="inlineStr">
        <is>
          <t>industrials</t>
        </is>
      </c>
      <c r="F70" s="31" t="inlineStr">
        <is>
          <t>electric equipment</t>
        </is>
      </c>
      <c r="G70" s="31" t="inlineStr">
        <is>
          <t>smallcap</t>
        </is>
      </c>
      <c r="H70" s="32" t="n">
        <v>973.01</v>
      </c>
      <c r="I70" s="32" t="n">
        <v>291.55</v>
      </c>
      <c r="J70" s="32" t="n">
        <v>-2.77</v>
      </c>
      <c r="K70" s="32" t="n">
        <v>113834</v>
      </c>
      <c r="L70" s="31" t="n">
        <v>95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68.08</v>
      </c>
      <c r="P70" s="32" t="n">
        <v>38.47</v>
      </c>
      <c r="Q70" s="32" t="n">
        <v>272.83</v>
      </c>
      <c r="R70" s="31" t="inlineStr">
        <is>
          <t>Earnings / Momentum Support</t>
        </is>
      </c>
      <c r="S70" s="31" t="inlineStr">
        <is>
          <t>Nifty 50</t>
        </is>
      </c>
      <c r="T70" s="32" t="n">
        <v>-4.47</v>
      </c>
      <c r="U70" s="32" t="n">
        <v>88.90000000000001</v>
      </c>
      <c r="V70" s="32" t="n">
        <v>97.75</v>
      </c>
      <c r="W70" s="32" t="n">
        <v>48.82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IF(B71=0,"",RANK(B71,$B$2:$B$343,0))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RAIN</t>
        </is>
      </c>
      <c r="D71" s="31" t="inlineStr">
        <is>
          <t>Rain Industries Limited</t>
        </is>
      </c>
      <c r="E71" s="31" t="inlineStr">
        <is>
          <t>miscellaneous</t>
        </is>
      </c>
      <c r="F71" s="31" t="inlineStr">
        <is>
          <t>miscellaneous</t>
        </is>
      </c>
      <c r="G71" s="31" t="inlineStr">
        <is>
          <t>midcap</t>
        </is>
      </c>
      <c r="H71" s="32" t="n">
        <v>6988.59</v>
      </c>
      <c r="I71" s="32" t="n">
        <v>194.22</v>
      </c>
      <c r="J71" s="32" t="n">
        <v>-6.53</v>
      </c>
      <c r="K71" s="32" t="n">
        <v>11234542</v>
      </c>
      <c r="L71" s="31" t="n">
        <v>82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70.67</v>
      </c>
      <c r="P71" s="32" t="n">
        <v>25.42</v>
      </c>
      <c r="Q71" s="32" t="n">
        <v>145.48</v>
      </c>
      <c r="R71" s="31" t="inlineStr">
        <is>
          <t>Near 52W High Breakout</t>
        </is>
      </c>
      <c r="S71" s="31" t="inlineStr">
        <is>
          <t>Nifty 50</t>
        </is>
      </c>
      <c r="T71" s="32" t="n">
        <v>-4.47</v>
      </c>
      <c r="U71" s="32" t="n">
        <v>38.14</v>
      </c>
      <c r="V71" s="32" t="n">
        <v>44.61</v>
      </c>
      <c r="W71" s="32" t="n">
        <v>26.5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More than 1.2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IF(B72=0,"",RANK(B72,$B$2:$B$343,0))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SPARC</t>
        </is>
      </c>
      <c r="D72" s="31" t="inlineStr">
        <is>
          <t>Sun Pharma Advanced Research Company Limited</t>
        </is>
      </c>
      <c r="E72" s="31" t="inlineStr">
        <is>
          <t>healthcare</t>
        </is>
      </c>
      <c r="F72" s="31" t="inlineStr">
        <is>
          <t>miscellaneous</t>
        </is>
      </c>
      <c r="G72" s="31" t="inlineStr">
        <is>
          <t>midcap</t>
        </is>
      </c>
      <c r="H72" s="32" t="n">
        <v>7432.52</v>
      </c>
      <c r="I72" s="32" t="n">
        <v>238.41</v>
      </c>
      <c r="J72" s="32" t="n">
        <v>4.1</v>
      </c>
      <c r="K72" s="32" t="n">
        <v>3212926</v>
      </c>
      <c r="L72" s="31" t="n">
        <v>92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78.84</v>
      </c>
      <c r="P72" s="32" t="n">
        <v>49.97</v>
      </c>
      <c r="Q72" s="32" t="n">
        <v>171.19</v>
      </c>
      <c r="R72" s="31" t="inlineStr">
        <is>
          <t>Near 52W High Breakout</t>
        </is>
      </c>
      <c r="S72" s="31" t="inlineStr">
        <is>
          <t>Nifty Pharma</t>
        </is>
      </c>
      <c r="T72" s="32" t="n">
        <v>11.77</v>
      </c>
      <c r="U72" s="32" t="n">
        <v>52.17</v>
      </c>
      <c r="V72" s="32" t="n">
        <v>36.14</v>
      </c>
      <c r="W72" s="32" t="n">
        <v>37.04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Annuity, Lower One Time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Negative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IF(B73=0,"",RANK(B73,$B$2:$B$343,0))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SHILPAMED</t>
        </is>
      </c>
      <c r="D73" s="31" t="inlineStr">
        <is>
          <t>Shilpa Medicare Limited</t>
        </is>
      </c>
      <c r="E73" s="31" t="inlineStr">
        <is>
          <t>healthcare</t>
        </is>
      </c>
      <c r="F73" s="31" t="inlineStr">
        <is>
          <t>pharmaceuticals - indian - formulations</t>
        </is>
      </c>
      <c r="G73" s="31" t="inlineStr">
        <is>
          <t>midcap</t>
        </is>
      </c>
      <c r="H73" s="32" t="n">
        <v>10419.62</v>
      </c>
      <c r="I73" s="32" t="n">
        <v>552.45</v>
      </c>
      <c r="J73" s="32" t="n">
        <v>3.7</v>
      </c>
      <c r="K73" s="32" t="n">
        <v>1073301</v>
      </c>
      <c r="L73" s="31" t="n">
        <v>76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80.02</v>
      </c>
      <c r="P73" s="32" t="n">
        <v>49.64</v>
      </c>
      <c r="Q73" s="32" t="n">
        <v>430.96</v>
      </c>
      <c r="R73" s="31" t="inlineStr">
        <is>
          <t>Near 52W High Breakout</t>
        </is>
      </c>
      <c r="S73" s="31" t="inlineStr">
        <is>
          <t>Nifty Pharma</t>
        </is>
      </c>
      <c r="T73" s="32" t="n">
        <v>11.77</v>
      </c>
      <c r="U73" s="32" t="n">
        <v>25.64</v>
      </c>
      <c r="V73" s="32" t="n">
        <v>12.41</v>
      </c>
      <c r="W73" s="32" t="n">
        <v>22.77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IF(B74=0,"",RANK(B74,$B$2:$B$343,0))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CAPLIPOINT</t>
        </is>
      </c>
      <c r="D74" s="31" t="inlineStr">
        <is>
          <t>Caplin Point Laboratories Limited</t>
        </is>
      </c>
      <c r="E74" s="31" t="inlineStr">
        <is>
          <t>healthcare</t>
        </is>
      </c>
      <c r="F74" s="31" t="inlineStr">
        <is>
          <t>pharmaceuticals - indian - formulations</t>
        </is>
      </c>
      <c r="G74" s="31" t="inlineStr">
        <is>
          <t>midcap</t>
        </is>
      </c>
      <c r="H74" s="32" t="n">
        <v>17973.73</v>
      </c>
      <c r="I74" s="32" t="n">
        <v>2377.8</v>
      </c>
      <c r="J74" s="32" t="n">
        <v>0.5600000000000001</v>
      </c>
      <c r="K74" s="32" t="n">
        <v>101405</v>
      </c>
      <c r="L74" s="31" t="n">
        <v>57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74.26000000000001</v>
      </c>
      <c r="P74" s="32" t="n">
        <v>25.58</v>
      </c>
      <c r="Q74" s="32" t="n">
        <v>1984.47</v>
      </c>
      <c r="R74" s="31" t="inlineStr">
        <is>
          <t>Near 52W High Breakout</t>
        </is>
      </c>
      <c r="S74" s="31" t="inlineStr">
        <is>
          <t>Nifty Pharma</t>
        </is>
      </c>
      <c r="T74" s="32" t="n">
        <v>11.77</v>
      </c>
      <c r="U74" s="32" t="n">
        <v>16.63</v>
      </c>
      <c r="V74" s="32" t="n">
        <v>4.34</v>
      </c>
      <c r="W74" s="32" t="n">
        <v>15.45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Between 12 to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Between 50% to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IF(B75=0,"",RANK(B75,$B$2:$B$343,0))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THYROCARE</t>
        </is>
      </c>
      <c r="D75" s="31" t="inlineStr">
        <is>
          <t>Thyrocare Technologies Limited</t>
        </is>
      </c>
      <c r="E75" s="31" t="inlineStr">
        <is>
          <t>healthcare</t>
        </is>
      </c>
      <c r="F75" s="31" t="inlineStr">
        <is>
          <t>healthcare</t>
        </is>
      </c>
      <c r="G75" s="31" t="inlineStr">
        <is>
          <t>midcap</t>
        </is>
      </c>
      <c r="H75" s="32" t="n">
        <v>8524.889999999999</v>
      </c>
      <c r="I75" s="32" t="n">
        <v>533.6</v>
      </c>
      <c r="J75" s="32" t="n">
        <v>-0.37</v>
      </c>
      <c r="K75" s="32" t="n">
        <v>262934</v>
      </c>
      <c r="L75" s="31" t="n">
        <v>76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69.56999999999999</v>
      </c>
      <c r="P75" s="32" t="n">
        <v>29.47</v>
      </c>
      <c r="Q75" s="32" t="n">
        <v>404.44</v>
      </c>
      <c r="R75" s="31" t="inlineStr">
        <is>
          <t>Near 52W High Breakout</t>
        </is>
      </c>
      <c r="S75" s="31" t="inlineStr">
        <is>
          <t>Nifty Pharma</t>
        </is>
      </c>
      <c r="T75" s="32" t="n">
        <v>11.77</v>
      </c>
      <c r="U75" s="32" t="n">
        <v>61.95</v>
      </c>
      <c r="V75" s="32" t="n">
        <v>44.89</v>
      </c>
      <c r="W75" s="32" t="n">
        <v>22.95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IF(B76=0,"",RANK(B76,$B$2:$B$343,0))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LAURUSLABS</t>
        </is>
      </c>
      <c r="D76" s="31" t="inlineStr">
        <is>
          <t>Laurus Labs Limited</t>
        </is>
      </c>
      <c r="E76" s="31" t="inlineStr">
        <is>
          <t>healthcare</t>
        </is>
      </c>
      <c r="F76" s="31" t="inlineStr">
        <is>
          <t>pharmaceuticals - indian - bulk drugs &amp; formln</t>
        </is>
      </c>
      <c r="G76" s="31" t="inlineStr">
        <is>
          <t>largecap</t>
        </is>
      </c>
      <c r="H76" s="32" t="n">
        <v>74991.48</v>
      </c>
      <c r="I76" s="32" t="n">
        <v>1376.4</v>
      </c>
      <c r="J76" s="32" t="n">
        <v>-0.91</v>
      </c>
      <c r="K76" s="32" t="n">
        <v>3447151</v>
      </c>
      <c r="L76" s="31" t="n">
        <v>81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70.72</v>
      </c>
      <c r="P76" s="32" t="n">
        <v>36.07</v>
      </c>
      <c r="Q76" s="32" t="n">
        <v>1223.39</v>
      </c>
      <c r="R76" s="31" t="inlineStr">
        <is>
          <t>Near 52W High Breakout</t>
        </is>
      </c>
      <c r="S76" s="31" t="inlineStr">
        <is>
          <t>Nifty Pharma</t>
        </is>
      </c>
      <c r="T76" s="32" t="n">
        <v>11.77</v>
      </c>
      <c r="U76" s="32" t="n">
        <v>111.81</v>
      </c>
      <c r="V76" s="32" t="n">
        <v>89.5</v>
      </c>
      <c r="W76" s="32" t="n">
        <v>25.8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Between 12 to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IF(B77=0,"",RANK(B77,$B$2:$B$343,0))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KEI</t>
        </is>
      </c>
      <c r="D77" s="31" t="inlineStr">
        <is>
          <t>Kei Industries Limited</t>
        </is>
      </c>
      <c r="E77" s="31" t="inlineStr">
        <is>
          <t>industrials</t>
        </is>
      </c>
      <c r="F77" s="31" t="inlineStr">
        <is>
          <t>cables - power</t>
        </is>
      </c>
      <c r="G77" s="31" t="inlineStr">
        <is>
          <t>largecap</t>
        </is>
      </c>
      <c r="H77" s="32" t="n">
        <v>52202.7</v>
      </c>
      <c r="I77" s="32" t="n">
        <v>5386.5</v>
      </c>
      <c r="J77" s="32" t="n">
        <v>-1.36</v>
      </c>
      <c r="K77" s="32" t="n">
        <v>163833</v>
      </c>
      <c r="L77" s="31" t="n">
        <v>56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67.53</v>
      </c>
      <c r="P77" s="32" t="n">
        <v>23.58</v>
      </c>
      <c r="Q77" s="32" t="n">
        <v>4356.61</v>
      </c>
      <c r="R77" s="31" t="inlineStr">
        <is>
          <t>Near 52W High Breakout</t>
        </is>
      </c>
      <c r="S77" s="31" t="inlineStr">
        <is>
          <t>Nifty Energy</t>
        </is>
      </c>
      <c r="T77" s="32" t="n">
        <v>12.12</v>
      </c>
      <c r="U77" s="32" t="n">
        <v>50.87</v>
      </c>
      <c r="V77" s="32" t="n">
        <v>34.56</v>
      </c>
      <c r="W77" s="32" t="n">
        <v>14.92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Fully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Yes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Yes, More Than 10%</t>
        </is>
      </c>
      <c r="CE77" s="31">
        <f>IF(CD77="Yes, more than 10%",-10,IF(CD77="No",10,0))</f>
        <v/>
      </c>
    </row>
    <row r="78">
      <c r="A78" s="31">
        <f>IF(B78=0,"",RANK(B78,$B$2:$B$343,0))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MMTC</t>
        </is>
      </c>
      <c r="D78" s="31" t="inlineStr">
        <is>
          <t>Mmtc Limited</t>
        </is>
      </c>
      <c r="E78" s="31" t="inlineStr">
        <is>
          <t>services</t>
        </is>
      </c>
      <c r="F78" s="31" t="inlineStr">
        <is>
          <t>trading</t>
        </is>
      </c>
      <c r="G78" s="31" t="inlineStr">
        <is>
          <t>midcap</t>
        </is>
      </c>
      <c r="H78" s="32" t="n">
        <v>10528.5</v>
      </c>
      <c r="I78" s="32" t="n">
        <v>75.73999999999999</v>
      </c>
      <c r="J78" s="32" t="n">
        <v>7.91</v>
      </c>
      <c r="K78" s="32" t="n">
        <v>114146838</v>
      </c>
      <c r="L78" s="31" t="n">
        <v>32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63.72</v>
      </c>
      <c r="P78" s="32" t="n">
        <v>15.71</v>
      </c>
      <c r="Q78" s="32" t="n">
        <v>55.56</v>
      </c>
      <c r="R78" s="31" t="inlineStr">
        <is>
          <t>Volume Spike &amp; Near 52W High Breakout</t>
        </is>
      </c>
      <c r="S78" s="31" t="inlineStr">
        <is>
          <t>Nifty 50</t>
        </is>
      </c>
      <c r="T78" s="32" t="n">
        <v>-4.47</v>
      </c>
      <c r="U78" s="32" t="n">
        <v>12.41</v>
      </c>
      <c r="V78" s="32" t="n">
        <v>17.67</v>
      </c>
      <c r="W78" s="32" t="n">
        <v>8.59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0 to 20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IF(B79=0,"",RANK(B79,$B$2:$B$343,0))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HARSHA</t>
        </is>
      </c>
      <c r="D79" s="31" t="inlineStr">
        <is>
          <t>Harsha Engineers International Ltd</t>
        </is>
      </c>
      <c r="E79" s="31" t="inlineStr">
        <is>
          <t>industrials</t>
        </is>
      </c>
      <c r="F79" s="31" t="inlineStr">
        <is>
          <t>engineering</t>
        </is>
      </c>
      <c r="G79" s="31" t="inlineStr">
        <is>
          <t>smallcap</t>
        </is>
      </c>
      <c r="H79" s="32" t="n">
        <v>3822.03</v>
      </c>
      <c r="I79" s="32" t="n">
        <v>436.7</v>
      </c>
      <c r="J79" s="32" t="n">
        <v>4.03</v>
      </c>
      <c r="K79" s="32" t="n">
        <v>464282</v>
      </c>
      <c r="L79" s="31" t="n">
        <v>35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62.48</v>
      </c>
      <c r="P79" s="32" t="n">
        <v>31.59</v>
      </c>
      <c r="Q79" s="32" t="n">
        <v>339.83</v>
      </c>
      <c r="R79" s="31" t="inlineStr">
        <is>
          <t>Near 52W High Breakout</t>
        </is>
      </c>
      <c r="S79" s="31" t="inlineStr">
        <is>
          <t>Nifty 50</t>
        </is>
      </c>
      <c r="T79" s="32" t="n">
        <v>-4.47</v>
      </c>
      <c r="U79" s="32" t="n">
        <v>13.76</v>
      </c>
      <c r="V79" s="32" t="n">
        <v>19.08</v>
      </c>
      <c r="W79" s="32" t="n">
        <v>9.23</v>
      </c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Less than 50%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IF(B80=0,"",RANK(B80,$B$2:$B$343,0))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HSCL</t>
        </is>
      </c>
      <c r="D80" s="31" t="inlineStr">
        <is>
          <t>Himadri Speciality Chemical Limited</t>
        </is>
      </c>
      <c r="E80" s="31" t="inlineStr">
        <is>
          <t>chemicals</t>
        </is>
      </c>
      <c r="F80" s="31" t="inlineStr">
        <is>
          <t>chemicals</t>
        </is>
      </c>
      <c r="G80" s="31" t="inlineStr">
        <is>
          <t>largecap</t>
        </is>
      </c>
      <c r="H80" s="32" t="n">
        <v>33748.79</v>
      </c>
      <c r="I80" s="32" t="n">
        <v>689.2</v>
      </c>
      <c r="J80" s="32" t="n">
        <v>3.03</v>
      </c>
      <c r="K80" s="32" t="n">
        <v>12041950</v>
      </c>
      <c r="L80" s="31" t="n">
        <v>74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73.70999999999999</v>
      </c>
      <c r="P80" s="32" t="n">
        <v>32.44</v>
      </c>
      <c r="Q80" s="32" t="n">
        <v>530.5599999999999</v>
      </c>
      <c r="R80" s="31" t="inlineStr">
        <is>
          <t>Near 52W High Breakout</t>
        </is>
      </c>
      <c r="S80" s="31" t="inlineStr">
        <is>
          <t>Nifty 50</t>
        </is>
      </c>
      <c r="T80" s="32" t="n">
        <v>-4.47</v>
      </c>
      <c r="U80" s="32" t="n">
        <v>57.03</v>
      </c>
      <c r="V80" s="32" t="n">
        <v>64.38</v>
      </c>
      <c r="W80" s="32" t="n">
        <v>21.77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Between 1.5 to 2</t>
        </is>
      </c>
      <c r="BU80" s="31">
        <f>IF(BT80="Above 2",0,IF(BT80="Between 1.5 to 2",5,IF(BT80="Less than 1.5",10,0)))</f>
        <v/>
      </c>
      <c r="BV80" s="31" t="inlineStr">
        <is>
          <t>Less than 50%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IF(B81=0,"",RANK(B81,$B$2:$B$343,0))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GRINDWELL</t>
        </is>
      </c>
      <c r="D81" s="31" t="inlineStr">
        <is>
          <t>Grindwell Norton Limited</t>
        </is>
      </c>
      <c r="E81" s="31" t="inlineStr">
        <is>
          <t>industrials</t>
        </is>
      </c>
      <c r="F81" s="31" t="inlineStr">
        <is>
          <t>abrasives and grinding wheels</t>
        </is>
      </c>
      <c r="G81" s="31" t="inlineStr">
        <is>
          <t>largecap</t>
        </is>
      </c>
      <c r="H81" s="32" t="n">
        <v>22399.76</v>
      </c>
      <c r="I81" s="32" t="n">
        <v>2047.3</v>
      </c>
      <c r="J81" s="32" t="n">
        <v>1.2</v>
      </c>
      <c r="K81" s="32" t="n">
        <v>91035</v>
      </c>
      <c r="L81" s="31" t="n">
        <v>57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68.48</v>
      </c>
      <c r="P81" s="32" t="n">
        <v>30.51</v>
      </c>
      <c r="Q81" s="32" t="n">
        <v>1660.35</v>
      </c>
      <c r="R81" s="31" t="inlineStr">
        <is>
          <t>Near 52W High Breakout</t>
        </is>
      </c>
      <c r="S81" s="31" t="inlineStr">
        <is>
          <t>Nifty Infra</t>
        </is>
      </c>
      <c r="T81" s="32" t="n">
        <v>3.24</v>
      </c>
      <c r="U81" s="32" t="n">
        <v>24.93</v>
      </c>
      <c r="V81" s="32" t="n">
        <v>21.01</v>
      </c>
      <c r="W81" s="32" t="n">
        <v>15.43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Between 1.5 to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IF(B82=0,"",RANK(B82,$B$2:$B$343,0))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ADANIPORTS</t>
        </is>
      </c>
      <c r="D82" s="31" t="inlineStr">
        <is>
          <t>Adani Ports And Special Economic Zone Limited</t>
        </is>
      </c>
      <c r="E82" s="31" t="inlineStr">
        <is>
          <t>transportation</t>
        </is>
      </c>
      <c r="F82" s="31" t="inlineStr">
        <is>
          <t>miscellaneous</t>
        </is>
      </c>
      <c r="G82" s="31" t="inlineStr">
        <is>
          <t>largecap</t>
        </is>
      </c>
      <c r="H82" s="32" t="n">
        <v>415818.54</v>
      </c>
      <c r="I82" s="32" t="n">
        <v>1822</v>
      </c>
      <c r="J82" s="32" t="n">
        <v>0.95</v>
      </c>
      <c r="K82" s="32" t="n">
        <v>2215994</v>
      </c>
      <c r="L82" s="31" t="n">
        <v>52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71.70999999999999</v>
      </c>
      <c r="P82" s="32" t="n">
        <v>28.24</v>
      </c>
      <c r="Q82" s="32" t="n">
        <v>1553.62</v>
      </c>
      <c r="R82" s="31" t="inlineStr">
        <is>
          <t>Near 52W High Breakout</t>
        </is>
      </c>
      <c r="S82" s="31" t="inlineStr">
        <is>
          <t>Nifty 50</t>
        </is>
      </c>
      <c r="T82" s="32" t="n">
        <v>-4.47</v>
      </c>
      <c r="U82" s="32" t="n">
        <v>35.6</v>
      </c>
      <c r="V82" s="32" t="n">
        <v>41.95</v>
      </c>
      <c r="W82" s="32" t="n">
        <v>13.97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Less than 12%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IF(B83=0,"",RANK(B83,$B$2:$B$343,0))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GRWRHITECH</t>
        </is>
      </c>
      <c r="D83" s="31" t="inlineStr">
        <is>
          <t>Garware Hi Tech Films Ltd</t>
        </is>
      </c>
      <c r="E83" s="31" t="inlineStr">
        <is>
          <t>industrials</t>
        </is>
      </c>
      <c r="F83" s="31" t="inlineStr">
        <is>
          <t>packaging</t>
        </is>
      </c>
      <c r="G83" s="31" t="inlineStr">
        <is>
          <t>midcap</t>
        </is>
      </c>
      <c r="H83" s="32" t="n">
        <v>14684.03</v>
      </c>
      <c r="I83" s="32" t="n">
        <v>6380.5</v>
      </c>
      <c r="J83" s="32" t="n">
        <v>0.95</v>
      </c>
      <c r="K83" s="32" t="n">
        <v>128065</v>
      </c>
      <c r="L83" s="31" t="n">
        <v>84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75.64</v>
      </c>
      <c r="P83" s="32" t="n">
        <v>30.65</v>
      </c>
      <c r="Q83" s="32" t="n">
        <v>4787.26</v>
      </c>
      <c r="R83" s="31" t="inlineStr">
        <is>
          <t>Near 52W High Breakout</t>
        </is>
      </c>
      <c r="S83" s="31" t="inlineStr">
        <is>
          <t>Nifty 50</t>
        </is>
      </c>
      <c r="T83" s="32" t="n">
        <v>-4.47</v>
      </c>
      <c r="U83" s="32" t="n">
        <v>58.94</v>
      </c>
      <c r="V83" s="32" t="n">
        <v>66.38</v>
      </c>
      <c r="W83" s="32" t="n">
        <v>28.37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Between 50% to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IF(B84=0,"",RANK(B84,$B$2:$B$343,0))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KERNEX</t>
        </is>
      </c>
      <c r="D84" s="31" t="inlineStr">
        <is>
          <t>Kernex Microsystems (india) Limited</t>
        </is>
      </c>
      <c r="E84" s="31" t="inlineStr">
        <is>
          <t>consumer discretionary</t>
        </is>
      </c>
      <c r="F84" s="31" t="inlineStr">
        <is>
          <t>electronics - components</t>
        </is>
      </c>
      <c r="G84" s="31" t="inlineStr">
        <is>
          <t>smallcap</t>
        </is>
      </c>
      <c r="H84" s="32" t="n">
        <v>3422.99</v>
      </c>
      <c r="I84" s="32" t="n">
        <v>2055</v>
      </c>
      <c r="J84" s="32" t="n">
        <v>0.87</v>
      </c>
      <c r="K84" s="32" t="n">
        <v>178781</v>
      </c>
      <c r="L84" s="31" t="n">
        <v>93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74.38</v>
      </c>
      <c r="P84" s="32" t="n">
        <v>34.31</v>
      </c>
      <c r="Q84" s="32" t="n">
        <v>1542.16</v>
      </c>
      <c r="R84" s="31" t="inlineStr">
        <is>
          <t>Near 52W High Breakout</t>
        </is>
      </c>
      <c r="S84" s="31" t="inlineStr">
        <is>
          <t>Nifty 50</t>
        </is>
      </c>
      <c r="T84" s="32" t="n">
        <v>-4.47</v>
      </c>
      <c r="U84" s="32" t="n">
        <v>71.51000000000001</v>
      </c>
      <c r="V84" s="32" t="n">
        <v>79.54000000000001</v>
      </c>
      <c r="W84" s="32" t="n">
        <v>41.39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Negative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IF(B85=0,"",RANK(B85,$B$2:$B$343,0))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SKIPPER</t>
        </is>
      </c>
      <c r="D85" s="31" t="inlineStr">
        <is>
          <t>Skipper Limited</t>
        </is>
      </c>
      <c r="E85" s="31" t="inlineStr">
        <is>
          <t>industrials</t>
        </is>
      </c>
      <c r="F85" s="31" t="inlineStr">
        <is>
          <t>engineering</t>
        </is>
      </c>
      <c r="G85" s="31" t="inlineStr">
        <is>
          <t>midcap</t>
        </is>
      </c>
      <c r="H85" s="32" t="n">
        <v>6206.33</v>
      </c>
      <c r="I85" s="32" t="n">
        <v>554.2</v>
      </c>
      <c r="J85" s="32" t="n">
        <v>0.82</v>
      </c>
      <c r="K85" s="32" t="n">
        <v>453850</v>
      </c>
      <c r="L85" s="31" t="n">
        <v>65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69.04000000000001</v>
      </c>
      <c r="P85" s="32" t="n">
        <v>33.1</v>
      </c>
      <c r="Q85" s="32" t="n">
        <v>422.35</v>
      </c>
      <c r="R85" s="31" t="inlineStr">
        <is>
          <t>Near 52W High Breakout</t>
        </is>
      </c>
      <c r="S85" s="31" t="inlineStr">
        <is>
          <t>Nifty 50</t>
        </is>
      </c>
      <c r="T85" s="32" t="n">
        <v>-4.47</v>
      </c>
      <c r="U85" s="32" t="n">
        <v>14.89</v>
      </c>
      <c r="V85" s="32" t="n">
        <v>20.27</v>
      </c>
      <c r="W85" s="32" t="n">
        <v>17.86</v>
      </c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Less than 50%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IF(B86=0,"",RANK(B86,$B$2:$B$343,0))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RRKABEL</t>
        </is>
      </c>
      <c r="D86" s="31" t="inlineStr">
        <is>
          <t>R R Kabel Ltd</t>
        </is>
      </c>
      <c r="E86" s="31" t="inlineStr">
        <is>
          <t>industrials</t>
        </is>
      </c>
      <c r="F86" s="31" t="inlineStr">
        <is>
          <t>cables - power</t>
        </is>
      </c>
      <c r="G86" s="31" t="inlineStr">
        <is>
          <t>largecap</t>
        </is>
      </c>
      <c r="H86" s="32" t="n">
        <v>24740.7</v>
      </c>
      <c r="I86" s="32" t="n">
        <v>2201.1</v>
      </c>
      <c r="J86" s="32" t="n">
        <v>0.63</v>
      </c>
      <c r="K86" s="32" t="n">
        <v>1037972</v>
      </c>
      <c r="L86" s="31" t="n">
        <v>80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75.66</v>
      </c>
      <c r="P86" s="32" t="n">
        <v>40.18</v>
      </c>
      <c r="Q86" s="32" t="n">
        <v>1761.65</v>
      </c>
      <c r="R86" s="31" t="inlineStr">
        <is>
          <t>Near 52W High Breakout</t>
        </is>
      </c>
      <c r="S86" s="31" t="inlineStr">
        <is>
          <t>Nifty Energy</t>
        </is>
      </c>
      <c r="T86" s="32" t="n">
        <v>12.12</v>
      </c>
      <c r="U86" s="32" t="n">
        <v>68.40000000000001</v>
      </c>
      <c r="V86" s="32" t="n">
        <v>50.19</v>
      </c>
      <c r="W86" s="32" t="n">
        <v>25.01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Between 1.5 to 2</t>
        </is>
      </c>
      <c r="BU86" s="31">
        <f>IF(BT86="Above 2",0,IF(BT86="Between 1.5 to 2",5,IF(BT86="Less than 1.5",10,0)))</f>
        <v/>
      </c>
      <c r="BV86" s="31" t="inlineStr">
        <is>
          <t>Less than 50%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IF(B87=0,"",RANK(B87,$B$2:$B$343,0))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ASIANPAINT</t>
        </is>
      </c>
      <c r="D87" s="31" t="inlineStr">
        <is>
          <t>Asian Paints Limited</t>
        </is>
      </c>
      <c r="E87" s="31" t="inlineStr">
        <is>
          <t>building materials</t>
        </is>
      </c>
      <c r="F87" s="31" t="inlineStr">
        <is>
          <t>paints / varnishes</t>
        </is>
      </c>
      <c r="G87" s="31" t="inlineStr">
        <is>
          <t>largecap</t>
        </is>
      </c>
      <c r="H87" s="32" t="n">
        <v>262753.05</v>
      </c>
      <c r="I87" s="32" t="n">
        <v>2748.1</v>
      </c>
      <c r="J87" s="32" t="n">
        <v>0.32</v>
      </c>
      <c r="K87" s="32" t="n">
        <v>962931</v>
      </c>
      <c r="L87" s="31" t="n">
        <v>39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63.52</v>
      </c>
      <c r="P87" s="32" t="n">
        <v>20.43</v>
      </c>
      <c r="Q87" s="32" t="n">
        <v>2330.78</v>
      </c>
      <c r="R87" s="31" t="inlineStr">
        <is>
          <t>Earnings / Momentum Support</t>
        </is>
      </c>
      <c r="S87" s="31" t="inlineStr">
        <is>
          <t>Nifty Infra</t>
        </is>
      </c>
      <c r="T87" s="32" t="n">
        <v>3.24</v>
      </c>
      <c r="U87" s="32" t="n">
        <v>20.42</v>
      </c>
      <c r="V87" s="32" t="n">
        <v>16.63</v>
      </c>
      <c r="W87" s="32" t="n">
        <v>10.07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IF(B88=0,"",RANK(B88,$B$2:$B$343,0))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WELCORP</t>
        </is>
      </c>
      <c r="D88" s="31" t="inlineStr">
        <is>
          <t>Welspun Corp Limited</t>
        </is>
      </c>
      <c r="E88" s="31" t="inlineStr">
        <is>
          <t>industrials</t>
        </is>
      </c>
      <c r="F88" s="31" t="inlineStr">
        <is>
          <t>steel - large</t>
        </is>
      </c>
      <c r="G88" s="31" t="inlineStr">
        <is>
          <t>largecap</t>
        </is>
      </c>
      <c r="H88" s="32" t="n">
        <v>36395.2</v>
      </c>
      <c r="I88" s="32" t="n">
        <v>1373.8</v>
      </c>
      <c r="J88" s="32" t="n">
        <v>-0.43</v>
      </c>
      <c r="K88" s="32" t="n">
        <v>438543</v>
      </c>
      <c r="L88" s="31" t="n">
        <v>81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77.98999999999999</v>
      </c>
      <c r="P88" s="32" t="n">
        <v>52.9</v>
      </c>
      <c r="Q88" s="32" t="n">
        <v>1148.41</v>
      </c>
      <c r="R88" s="31" t="inlineStr">
        <is>
          <t>Near 52W High Breakout</t>
        </is>
      </c>
      <c r="S88" s="31" t="inlineStr">
        <is>
          <t>Nifty Metal</t>
        </is>
      </c>
      <c r="T88" s="32" t="n">
        <v>40.96</v>
      </c>
      <c r="U88" s="32" t="n">
        <v>50.94</v>
      </c>
      <c r="V88" s="32" t="n">
        <v>7.08</v>
      </c>
      <c r="W88" s="32" t="n">
        <v>26.1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Less than 12%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IF(B89=0,"",RANK(B89,$B$2:$B$343,0))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ARVIND</t>
        </is>
      </c>
      <c r="D89" s="31" t="inlineStr">
        <is>
          <t>Arvind Limited</t>
        </is>
      </c>
      <c r="E89" s="31" t="inlineStr">
        <is>
          <t>textiles</t>
        </is>
      </c>
      <c r="F89" s="31" t="inlineStr">
        <is>
          <t>textiles - cotton/blended</t>
        </is>
      </c>
      <c r="G89" s="31" t="inlineStr">
        <is>
          <t>midcap</t>
        </is>
      </c>
      <c r="H89" s="32" t="n">
        <v>13071.66</v>
      </c>
      <c r="I89" s="32" t="n">
        <v>496.4</v>
      </c>
      <c r="J89" s="32" t="n">
        <v>-0.46</v>
      </c>
      <c r="K89" s="32" t="n">
        <v>607918</v>
      </c>
      <c r="L89" s="31" t="n">
        <v>59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76.67</v>
      </c>
      <c r="P89" s="32" t="n">
        <v>41.88</v>
      </c>
      <c r="Q89" s="32" t="n">
        <v>398.68</v>
      </c>
      <c r="R89" s="31" t="inlineStr">
        <is>
          <t>Near 52W High Breakout</t>
        </is>
      </c>
      <c r="S89" s="31" t="inlineStr">
        <is>
          <t>Nifty 50</t>
        </is>
      </c>
      <c r="T89" s="32" t="n">
        <v>-4.47</v>
      </c>
      <c r="U89" s="32" t="n">
        <v>43.53</v>
      </c>
      <c r="V89" s="32" t="n">
        <v>50.25</v>
      </c>
      <c r="W89" s="32" t="n">
        <v>16.23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Less than 12%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IF(B90=0,"",RANK(B90,$B$2:$B$343,0))</f>
        <v/>
      </c>
      <c r="B90" s="32">
        <f>SUM(N90,Y90,AA90,AC90,AE90,AG90,AI90,AK90,AM90,AO90,AQ90,AS90,AU90,AW90,AY90,BA90,BC90,BE90,BG90,BI90,BK90,BM90,BO90,BQ90,BS90,BU90,BW90,BY90,CA90,CC90,CE90)</f>
        <v/>
      </c>
      <c r="C90" s="33" t="inlineStr">
        <is>
          <t>GANESHBE</t>
        </is>
      </c>
      <c r="D90" s="33" t="inlineStr">
        <is>
          <t>Ganesh Benzoplast Ltd</t>
        </is>
      </c>
      <c r="E90" s="31" t="inlineStr">
        <is>
          <t>miscellaneous</t>
        </is>
      </c>
      <c r="F90" s="31" t="inlineStr">
        <is>
          <t>miscellaneous</t>
        </is>
      </c>
      <c r="G90" s="31" t="inlineStr">
        <is>
          <t>smallcap</t>
        </is>
      </c>
      <c r="H90" s="32" t="n">
        <v>758.98</v>
      </c>
      <c r="I90" s="32" t="n">
        <v>104.67</v>
      </c>
      <c r="J90" s="32" t="n">
        <v>-0.72</v>
      </c>
      <c r="K90" s="32" t="n">
        <v>298193</v>
      </c>
      <c r="L90" s="31" t="n">
        <v>39</v>
      </c>
      <c r="M90" s="31" t="inlineStr">
        <is>
          <t>Underperforming</t>
        </is>
      </c>
      <c r="N90" s="32">
        <f>IF(M90="Underperforming",-5,IF(L90&gt;=95,15,IF(L90&gt;=90,10,IF(L90&gt;=80,5,0))))</f>
        <v/>
      </c>
      <c r="O90" s="32" t="n">
        <v>60.34</v>
      </c>
      <c r="P90" s="32" t="n">
        <v>24.99</v>
      </c>
      <c r="Q90" s="32" t="n">
        <v>82.84</v>
      </c>
      <c r="R90" s="31" t="inlineStr">
        <is>
          <t>Earnings / Momentum Support</t>
        </is>
      </c>
      <c r="S90" s="31" t="inlineStr">
        <is>
          <t>Nifty Energy</t>
        </is>
      </c>
      <c r="T90" s="32" t="n">
        <v>12.12</v>
      </c>
      <c r="U90" s="32" t="n">
        <v>6.83</v>
      </c>
      <c r="V90" s="32" t="n">
        <v>-4.72</v>
      </c>
      <c r="W90" s="32" t="n">
        <v>10.07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IF(B91=0,"",RANK(B91,$B$2:$B$343,0))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DIVGIITTS</t>
        </is>
      </c>
      <c r="D91" s="31" t="inlineStr">
        <is>
          <t>Divgi Torqtransfer Systems Ltd</t>
        </is>
      </c>
      <c r="E91" s="31" t="inlineStr">
        <is>
          <t>auto</t>
        </is>
      </c>
      <c r="F91" s="31" t="inlineStr">
        <is>
          <t>auto ancillaries</t>
        </is>
      </c>
      <c r="G91" s="31" t="inlineStr">
        <is>
          <t>smallcap</t>
        </is>
      </c>
      <c r="H91" s="32" t="n">
        <v>2658.27</v>
      </c>
      <c r="I91" s="32" t="n">
        <v>862.05</v>
      </c>
      <c r="J91" s="32" t="n">
        <v>-0.82</v>
      </c>
      <c r="K91" s="32" t="n">
        <v>66741</v>
      </c>
      <c r="L91" s="31" t="n">
        <v>49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64.13</v>
      </c>
      <c r="P91" s="32" t="n">
        <v>28.55</v>
      </c>
      <c r="Q91" s="32" t="n">
        <v>636.04</v>
      </c>
      <c r="R91" s="31" t="inlineStr">
        <is>
          <t>Near 52W High Breakout</t>
        </is>
      </c>
      <c r="S91" s="31" t="inlineStr">
        <is>
          <t>Nifty Auto</t>
        </is>
      </c>
      <c r="T91" s="32" t="n">
        <v>13.57</v>
      </c>
      <c r="U91" s="32" t="n">
        <v>45.37</v>
      </c>
      <c r="V91" s="32" t="n">
        <v>28.01</v>
      </c>
      <c r="W91" s="32" t="n">
        <v>13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Between 50% to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IF(B92=0,"",RANK(B92,$B$2:$B$343,0))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NRBBEARING</t>
        </is>
      </c>
      <c r="D92" s="31" t="inlineStr">
        <is>
          <t>Nrb Bearing Limited</t>
        </is>
      </c>
      <c r="E92" s="31" t="inlineStr">
        <is>
          <t>industrials</t>
        </is>
      </c>
      <c r="F92" s="31" t="inlineStr">
        <is>
          <t>bearings</t>
        </is>
      </c>
      <c r="G92" s="31" t="inlineStr">
        <is>
          <t>smallcap</t>
        </is>
      </c>
      <c r="H92" s="32" t="n">
        <v>4168.16</v>
      </c>
      <c r="I92" s="32" t="n">
        <v>425.85</v>
      </c>
      <c r="J92" s="32" t="n">
        <v>-0.98</v>
      </c>
      <c r="K92" s="32" t="n">
        <v>365398</v>
      </c>
      <c r="L92" s="31" t="n">
        <v>83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78.98999999999999</v>
      </c>
      <c r="P92" s="32" t="n">
        <v>33.01</v>
      </c>
      <c r="Q92" s="32" t="n">
        <v>332.74</v>
      </c>
      <c r="R92" s="31" t="inlineStr">
        <is>
          <t>Near 52W High Breakout</t>
        </is>
      </c>
      <c r="S92" s="31" t="inlineStr">
        <is>
          <t>Nifty 50</t>
        </is>
      </c>
      <c r="T92" s="32" t="n">
        <v>-4.47</v>
      </c>
      <c r="U92" s="32" t="n">
        <v>53.03</v>
      </c>
      <c r="V92" s="32" t="n">
        <v>60.19</v>
      </c>
      <c r="W92" s="32" t="n">
        <v>27.98</v>
      </c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IF(B93=0,"",RANK(B93,$B$2:$B$343,0))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HITECHCORP</t>
        </is>
      </c>
      <c r="D93" s="31" t="inlineStr">
        <is>
          <t>Hitech Corporation</t>
        </is>
      </c>
      <c r="E93" s="31" t="inlineStr">
        <is>
          <t>industrials</t>
        </is>
      </c>
      <c r="F93" s="31" t="inlineStr">
        <is>
          <t>packaging</t>
        </is>
      </c>
      <c r="G93" s="31" t="inlineStr">
        <is>
          <t>smallcap</t>
        </is>
      </c>
      <c r="H93" s="32" t="n">
        <v>530.9</v>
      </c>
      <c r="I93" s="32" t="n">
        <v>306</v>
      </c>
      <c r="J93" s="32" t="n">
        <v>-1</v>
      </c>
      <c r="K93" s="32" t="n">
        <v>30213</v>
      </c>
      <c r="L93" s="31" t="n">
        <v>94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78.95999999999999</v>
      </c>
      <c r="P93" s="32" t="n">
        <v>36.82</v>
      </c>
      <c r="Q93" s="32" t="n">
        <v>235.12</v>
      </c>
      <c r="R93" s="31" t="inlineStr">
        <is>
          <t>Near 52W High Breakout</t>
        </is>
      </c>
      <c r="S93" s="31" t="inlineStr">
        <is>
          <t>Nifty 50</t>
        </is>
      </c>
      <c r="T93" s="32" t="n">
        <v>-4.47</v>
      </c>
      <c r="U93" s="32" t="n">
        <v>70.41</v>
      </c>
      <c r="V93" s="32" t="n">
        <v>78.39</v>
      </c>
      <c r="W93" s="32" t="n">
        <v>42.74</v>
      </c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Above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Between 50% to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IF(B94=0,"",RANK(B94,$B$2:$B$343,0))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SANGAMIND</t>
        </is>
      </c>
      <c r="D94" s="31" t="inlineStr">
        <is>
          <t>Sangam (india) Limited</t>
        </is>
      </c>
      <c r="E94" s="31" t="inlineStr">
        <is>
          <t>textiles</t>
        </is>
      </c>
      <c r="F94" s="31" t="inlineStr">
        <is>
          <t>textiles - spinning - synthetic / blended</t>
        </is>
      </c>
      <c r="G94" s="31" t="inlineStr">
        <is>
          <t>smallcap</t>
        </is>
      </c>
      <c r="H94" s="32" t="n">
        <v>2671.11</v>
      </c>
      <c r="I94" s="32" t="n">
        <v>526.25</v>
      </c>
      <c r="J94" s="32" t="n">
        <v>-1.01</v>
      </c>
      <c r="K94" s="32" t="n">
        <v>25971</v>
      </c>
      <c r="L94" s="31" t="n">
        <v>32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61.59</v>
      </c>
      <c r="P94" s="32" t="n">
        <v>31.63</v>
      </c>
      <c r="Q94" s="32" t="n">
        <v>421.66</v>
      </c>
      <c r="R94" s="31" t="inlineStr">
        <is>
          <t>Near 52W High Breakout</t>
        </is>
      </c>
      <c r="S94" s="31" t="inlineStr">
        <is>
          <t>Nifty 50</t>
        </is>
      </c>
      <c r="T94" s="32" t="n">
        <v>-4.47</v>
      </c>
      <c r="U94" s="32" t="n">
        <v>21.99</v>
      </c>
      <c r="V94" s="32" t="n">
        <v>27.7</v>
      </c>
      <c r="W94" s="32" t="n">
        <v>8.529999999999999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Between 0.7 to 1.2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IF(B95=0,"",RANK(B95,$B$2:$B$343,0))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SHRIPISTON</t>
        </is>
      </c>
      <c r="D95" s="31" t="inlineStr">
        <is>
          <t>Shriram Pistons &amp; Rings Limited</t>
        </is>
      </c>
      <c r="E95" s="31" t="inlineStr">
        <is>
          <t>auto</t>
        </is>
      </c>
      <c r="F95" s="31" t="inlineStr">
        <is>
          <t>auto ancillaries</t>
        </is>
      </c>
      <c r="G95" s="31" t="inlineStr">
        <is>
          <t>midcap</t>
        </is>
      </c>
      <c r="H95" s="32" t="n">
        <v>16483</v>
      </c>
      <c r="I95" s="32" t="n">
        <v>3695.8</v>
      </c>
      <c r="J95" s="32" t="n">
        <v>-1.23</v>
      </c>
      <c r="K95" s="32" t="n">
        <v>68650</v>
      </c>
      <c r="L95" s="31" t="n">
        <v>50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62.44</v>
      </c>
      <c r="P95" s="32" t="n">
        <v>28.85</v>
      </c>
      <c r="Q95" s="32" t="n">
        <v>2907.4</v>
      </c>
      <c r="R95" s="31" t="inlineStr">
        <is>
          <t>Near 52W High Breakout</t>
        </is>
      </c>
      <c r="S95" s="31" t="inlineStr">
        <is>
          <t>Nifty Auto</t>
        </is>
      </c>
      <c r="T95" s="32" t="n">
        <v>13.57</v>
      </c>
      <c r="U95" s="32" t="n">
        <v>57.23</v>
      </c>
      <c r="V95" s="32" t="n">
        <v>38.45</v>
      </c>
      <c r="W95" s="32" t="n">
        <v>13.42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Less than 12%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IF(B96=0,"",RANK(B96,$B$2:$B$343,0))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CEMPRO</t>
        </is>
      </c>
      <c r="D96" s="31" t="inlineStr">
        <is>
          <t>Cemindia Projects Ltd</t>
        </is>
      </c>
      <c r="E96" s="31" t="inlineStr">
        <is>
          <t>realty</t>
        </is>
      </c>
      <c r="F96" s="31" t="inlineStr">
        <is>
          <t>construction</t>
        </is>
      </c>
      <c r="G96" s="31" t="inlineStr">
        <is>
          <t>largecap</t>
        </is>
      </c>
      <c r="H96" s="32" t="n">
        <v>20245.17</v>
      </c>
      <c r="I96" s="32" t="n">
        <v>1162.2</v>
      </c>
      <c r="J96" s="32" t="n">
        <v>-1.38</v>
      </c>
      <c r="K96" s="32" t="n">
        <v>302591</v>
      </c>
      <c r="L96" s="31" t="n">
        <v>93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76.7</v>
      </c>
      <c r="P96" s="32" t="n">
        <v>39.36</v>
      </c>
      <c r="Q96" s="32" t="n">
        <v>874.02</v>
      </c>
      <c r="R96" s="31" t="inlineStr">
        <is>
          <t>Near 52W High Breakout</t>
        </is>
      </c>
      <c r="S96" s="31" t="inlineStr">
        <is>
          <t>Nifty Realty</t>
        </is>
      </c>
      <c r="T96" s="32" t="n">
        <v>-19.29</v>
      </c>
      <c r="U96" s="32" t="n">
        <v>44.94</v>
      </c>
      <c r="V96" s="32" t="n">
        <v>79.59</v>
      </c>
      <c r="W96" s="32" t="n">
        <v>39.8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Less than 50%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IF(B97=0,"",RANK(B97,$B$2:$B$343,0))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SPORTKING</t>
        </is>
      </c>
      <c r="D97" s="31" t="inlineStr">
        <is>
          <t>Sportking India Ltd</t>
        </is>
      </c>
      <c r="E97" s="31" t="inlineStr">
        <is>
          <t>textiles</t>
        </is>
      </c>
      <c r="F97" s="31" t="inlineStr">
        <is>
          <t>textiles - spinning - synthetic / blended</t>
        </is>
      </c>
      <c r="G97" s="31" t="inlineStr">
        <is>
          <t>smallcap</t>
        </is>
      </c>
      <c r="H97" s="32" t="n">
        <v>2331.64</v>
      </c>
      <c r="I97" s="32" t="n">
        <v>180.72</v>
      </c>
      <c r="J97" s="32" t="n">
        <v>-1.51</v>
      </c>
      <c r="K97" s="32" t="n">
        <v>147285</v>
      </c>
      <c r="L97" s="31" t="n">
        <v>79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79.06</v>
      </c>
      <c r="P97" s="32" t="n">
        <v>57.62</v>
      </c>
      <c r="Q97" s="32" t="n">
        <v>136.3</v>
      </c>
      <c r="R97" s="31" t="inlineStr">
        <is>
          <t>Near 52W High Breakout</t>
        </is>
      </c>
      <c r="S97" s="31" t="inlineStr">
        <is>
          <t>Nifty 50</t>
        </is>
      </c>
      <c r="T97" s="32" t="n">
        <v>-4.47</v>
      </c>
      <c r="U97" s="32" t="n">
        <v>70.51000000000001</v>
      </c>
      <c r="V97" s="32" t="n">
        <v>78.5</v>
      </c>
      <c r="W97" s="32" t="n">
        <v>24.6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Above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Less than 12%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IF(B98=0,"",RANK(B98,$B$2:$B$343,0))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ICIL</t>
        </is>
      </c>
      <c r="D98" s="31" t="inlineStr">
        <is>
          <t>Indo Count Industries Limited</t>
        </is>
      </c>
      <c r="E98" s="31" t="inlineStr">
        <is>
          <t>textiles</t>
        </is>
      </c>
      <c r="F98" s="31" t="inlineStr">
        <is>
          <t>textiles - cotton/blended</t>
        </is>
      </c>
      <c r="G98" s="31" t="inlineStr">
        <is>
          <t>midcap</t>
        </is>
      </c>
      <c r="H98" s="32" t="n">
        <v>6923.98</v>
      </c>
      <c r="I98" s="32" t="n">
        <v>343.85</v>
      </c>
      <c r="J98" s="32" t="n">
        <v>-1.64</v>
      </c>
      <c r="K98" s="32" t="n">
        <v>243955</v>
      </c>
      <c r="L98" s="31" t="n">
        <v>60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64.33</v>
      </c>
      <c r="P98" s="32" t="n">
        <v>27.93</v>
      </c>
      <c r="Q98" s="32" t="n">
        <v>251.55</v>
      </c>
      <c r="R98" s="31" t="inlineStr">
        <is>
          <t>Near 52W High Breakout</t>
        </is>
      </c>
      <c r="S98" s="31" t="inlineStr">
        <is>
          <t>Nifty 50</t>
        </is>
      </c>
      <c r="T98" s="32" t="n">
        <v>-4.47</v>
      </c>
      <c r="U98" s="32" t="n">
        <v>27.48</v>
      </c>
      <c r="V98" s="32" t="n">
        <v>33.45</v>
      </c>
      <c r="W98" s="32" t="n">
        <v>16.43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IF(B99=0,"",RANK(B99,$B$2:$B$343,0))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POWERMECH</t>
        </is>
      </c>
      <c r="D99" s="31" t="inlineStr">
        <is>
          <t>Power Mech Projects Limited</t>
        </is>
      </c>
      <c r="E99" s="31" t="inlineStr">
        <is>
          <t>realty</t>
        </is>
      </c>
      <c r="F99" s="31" t="inlineStr">
        <is>
          <t>engineering - turnkey services</t>
        </is>
      </c>
      <c r="G99" s="31" t="inlineStr">
        <is>
          <t>midcap</t>
        </is>
      </c>
      <c r="H99" s="32" t="n">
        <v>9017.92</v>
      </c>
      <c r="I99" s="32" t="n">
        <v>2780.6</v>
      </c>
      <c r="J99" s="32" t="n">
        <v>-2.51</v>
      </c>
      <c r="K99" s="32" t="n">
        <v>136107</v>
      </c>
      <c r="L99" s="31" t="n">
        <v>29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64.18000000000001</v>
      </c>
      <c r="P99" s="32" t="n">
        <v>20.26</v>
      </c>
      <c r="Q99" s="32" t="n">
        <v>2141.97</v>
      </c>
      <c r="R99" s="31" t="inlineStr">
        <is>
          <t>Earnings / Momentum Support</t>
        </is>
      </c>
      <c r="S99" s="31" t="inlineStr">
        <is>
          <t>Nifty Realty</t>
        </is>
      </c>
      <c r="T99" s="32" t="n">
        <v>-19.29</v>
      </c>
      <c r="U99" s="32" t="n">
        <v>-8.609999999999999</v>
      </c>
      <c r="V99" s="32" t="n">
        <v>13.23</v>
      </c>
      <c r="W99" s="32" t="n">
        <v>8.109999999999999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No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Less than 1.5</t>
        </is>
      </c>
      <c r="BU99" s="31">
        <f>IF(BT99="Above 2",0,IF(BT99="Between 1.5 to 2",5,IF(BT99="Less than 1.5",10,0)))</f>
        <v/>
      </c>
      <c r="BV99" s="31" t="inlineStr">
        <is>
          <t>Between 50% to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IF(B100=0,"",RANK(B100,$B$2:$B$343,0))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SANDHAR</t>
        </is>
      </c>
      <c r="D100" s="31" t="inlineStr">
        <is>
          <t>Sandhar Technologies Limited</t>
        </is>
      </c>
      <c r="E100" s="31" t="inlineStr">
        <is>
          <t>auto</t>
        </is>
      </c>
      <c r="F100" s="31" t="inlineStr">
        <is>
          <t>auto ancillaries</t>
        </is>
      </c>
      <c r="G100" s="31" t="inlineStr">
        <is>
          <t>smallcap</t>
        </is>
      </c>
      <c r="H100" s="32" t="n">
        <v>4256.09</v>
      </c>
      <c r="I100" s="32" t="n">
        <v>688.95</v>
      </c>
      <c r="J100" s="32" t="n">
        <v>-2.57</v>
      </c>
      <c r="K100" s="32" t="n">
        <v>300340</v>
      </c>
      <c r="L100" s="31" t="n">
        <v>58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67.79000000000001</v>
      </c>
      <c r="P100" s="32" t="n">
        <v>23.42</v>
      </c>
      <c r="Q100" s="32" t="n">
        <v>530.6</v>
      </c>
      <c r="R100" s="31" t="inlineStr">
        <is>
          <t>Near 52W High Breakout</t>
        </is>
      </c>
      <c r="S100" s="31" t="inlineStr">
        <is>
          <t>Nifty Auto</t>
        </is>
      </c>
      <c r="T100" s="32" t="n">
        <v>13.57</v>
      </c>
      <c r="U100" s="32" t="n">
        <v>25.39</v>
      </c>
      <c r="V100" s="32" t="n">
        <v>10.41</v>
      </c>
      <c r="W100" s="32" t="n">
        <v>15.83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Less than 50%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Between 0.7 to 1.2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IF(B101=0,"",RANK(B101,$B$2:$B$343,0))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ORCHPHARMA</t>
        </is>
      </c>
      <c r="D101" s="31" t="inlineStr">
        <is>
          <t>Orchid Pharma Ltd</t>
        </is>
      </c>
      <c r="E101" s="31" t="inlineStr">
        <is>
          <t>healthcare</t>
        </is>
      </c>
      <c r="F101" s="31" t="inlineStr">
        <is>
          <t>pharmaceuticals - indian - bulk drugs &amp; formln</t>
        </is>
      </c>
      <c r="G101" s="31" t="inlineStr">
        <is>
          <t>smallcap</t>
        </is>
      </c>
      <c r="H101" s="32" t="n">
        <v>4873.35</v>
      </c>
      <c r="I101" s="32" t="n">
        <v>1048.15</v>
      </c>
      <c r="J101" s="32" t="n">
        <v>9.09</v>
      </c>
      <c r="K101" s="32" t="n">
        <v>777149</v>
      </c>
      <c r="L101" s="31" t="n">
        <v>90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77.41</v>
      </c>
      <c r="P101" s="32" t="n">
        <v>36.27</v>
      </c>
      <c r="Q101" s="32" t="n">
        <v>805</v>
      </c>
      <c r="R101" s="31" t="inlineStr">
        <is>
          <t>Volume Spike &amp; Near 52W High Breakout</t>
        </is>
      </c>
      <c r="S101" s="31" t="inlineStr">
        <is>
          <t>Nifty Pharma</t>
        </is>
      </c>
      <c r="T101" s="32" t="n">
        <v>11.77</v>
      </c>
      <c r="U101" s="32" t="n">
        <v>51.95</v>
      </c>
      <c r="V101" s="32" t="n">
        <v>35.94</v>
      </c>
      <c r="W101" s="32" t="n">
        <v>35.08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Yes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Annuity, Lower One Time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Above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IF(B102=0,"",RANK(B102,$B$2:$B$343,0))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APOLLO</t>
        </is>
      </c>
      <c r="D102" s="31" t="inlineStr">
        <is>
          <t>Apollo Micro Systems Ltd</t>
        </is>
      </c>
      <c r="E102" s="31" t="inlineStr">
        <is>
          <t>aerospace &amp; defence</t>
        </is>
      </c>
      <c r="F102" s="31" t="inlineStr">
        <is>
          <t>electronics - components</t>
        </is>
      </c>
      <c r="G102" s="31" t="inlineStr">
        <is>
          <t>midcap</t>
        </is>
      </c>
      <c r="H102" s="32" t="n">
        <v>15065.24</v>
      </c>
      <c r="I102" s="32" t="n">
        <v>435.45</v>
      </c>
      <c r="J102" s="32" t="n">
        <v>3.27</v>
      </c>
      <c r="K102" s="32" t="n">
        <v>23201520</v>
      </c>
      <c r="L102" s="31" t="n">
        <v>96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74.23</v>
      </c>
      <c r="P102" s="32" t="n">
        <v>37.21</v>
      </c>
      <c r="Q102" s="32" t="n">
        <v>314.81</v>
      </c>
      <c r="R102" s="31" t="inlineStr">
        <is>
          <t>Near 52W High Breakout</t>
        </is>
      </c>
      <c r="S102" s="31" t="inlineStr">
        <is>
          <t>Nifty 50</t>
        </is>
      </c>
      <c r="T102" s="32" t="n">
        <v>-4.47</v>
      </c>
      <c r="U102" s="32" t="n">
        <v>124.01</v>
      </c>
      <c r="V102" s="32" t="n">
        <v>134.5</v>
      </c>
      <c r="W102" s="32" t="n">
        <v>53.61</v>
      </c>
      <c r="X102" s="31" t="inlineStr">
        <is>
          <t>Cyclical in an Upturn</t>
        </is>
      </c>
      <c r="Y102" s="31">
        <f>IF(X102="Growing Industry",10,IF(X102="Cyclical in an Upturn",5,0))</f>
        <v/>
      </c>
      <c r="Z102" s="31" t="inlineStr">
        <is>
          <t>Oligopoly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Cyclical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B2C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Fully One Time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Above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Yes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Between 1.5 to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IF(B103=0,"",RANK(B103,$B$2:$B$343,0))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AURUM</t>
        </is>
      </c>
      <c r="D103" s="31" t="inlineStr">
        <is>
          <t>Aurum Proptech Ltd</t>
        </is>
      </c>
      <c r="E103" s="31" t="inlineStr">
        <is>
          <t>i.t</t>
        </is>
      </c>
      <c r="F103" s="31" t="inlineStr">
        <is>
          <t>computers - software - medium / small</t>
        </is>
      </c>
      <c r="G103" s="31" t="inlineStr">
        <is>
          <t>smallcap</t>
        </is>
      </c>
      <c r="H103" s="32" t="n">
        <v>1474.07</v>
      </c>
      <c r="I103" s="32" t="n">
        <v>197.41</v>
      </c>
      <c r="J103" s="32" t="n">
        <v>2.66</v>
      </c>
      <c r="K103" s="32" t="n">
        <v>357276</v>
      </c>
      <c r="L103" s="31" t="n">
        <v>9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61.39</v>
      </c>
      <c r="P103" s="32" t="n">
        <v>20.04</v>
      </c>
      <c r="Q103" s="32" t="n">
        <v>153.16</v>
      </c>
      <c r="R103" s="31" t="inlineStr">
        <is>
          <t>Near 52W High Breakout</t>
        </is>
      </c>
      <c r="S103" s="31" t="inlineStr">
        <is>
          <t>Nifty IT</t>
        </is>
      </c>
      <c r="T103" s="32" t="n">
        <v>-26.73</v>
      </c>
      <c r="U103" s="32" t="n">
        <v>1.8</v>
      </c>
      <c r="V103" s="32" t="n">
        <v>38.94</v>
      </c>
      <c r="W103" s="32" t="n">
        <v>3.97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Annuity, Lower One Time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Between 50% to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IF(B104=0,"",RANK(B104,$B$2:$B$343,0))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SBCL</t>
        </is>
      </c>
      <c r="D104" s="31" t="inlineStr">
        <is>
          <t>Shivalik Bimetal Controls Ltd</t>
        </is>
      </c>
      <c r="E104" s="31" t="inlineStr">
        <is>
          <t>metals &amp; mining</t>
        </is>
      </c>
      <c r="F104" s="31" t="inlineStr">
        <is>
          <t>mining / minerals / metals</t>
        </is>
      </c>
      <c r="G104" s="31" t="inlineStr">
        <is>
          <t>smallcap</t>
        </is>
      </c>
      <c r="H104" s="32" t="n">
        <v>4180.62</v>
      </c>
      <c r="I104" s="32" t="n">
        <v>740.6</v>
      </c>
      <c r="J104" s="32" t="n">
        <v>2.05</v>
      </c>
      <c r="K104" s="32" t="n">
        <v>418823</v>
      </c>
      <c r="L104" s="31" t="n">
        <v>85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70.45999999999999</v>
      </c>
      <c r="P104" s="32" t="n">
        <v>36.3</v>
      </c>
      <c r="Q104" s="32" t="n">
        <v>549.77</v>
      </c>
      <c r="R104" s="31" t="inlineStr">
        <is>
          <t>Near 52W High Breakout</t>
        </is>
      </c>
      <c r="S104" s="31" t="inlineStr">
        <is>
          <t>Nifty Metal</t>
        </is>
      </c>
      <c r="T104" s="32" t="n">
        <v>40.96</v>
      </c>
      <c r="U104" s="32" t="n">
        <v>53.1</v>
      </c>
      <c r="V104" s="32" t="n">
        <v>8.609999999999999</v>
      </c>
      <c r="W104" s="32" t="n">
        <v>30.18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Monopoly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Shallow Cyclical (2 to 3 Years Growth)</t>
        </is>
      </c>
      <c r="AG104" s="31">
        <f>IF(AF104="Structural (10 Years Consistency)",10,IF(AF104="Shallow Cyclical (2 to 3 years growth)",5,0))</f>
        <v/>
      </c>
      <c r="AH104" s="31" t="inlineStr">
        <is>
          <t>Yes due to Product Mix change or Operating Leverage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Fully One Time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Yes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Between 1.5 to 2</t>
        </is>
      </c>
      <c r="BU104" s="31">
        <f>IF(BT104="Above 2",0,IF(BT104="Between 1.5 to 2",5,IF(BT104="Less than 1.5",10,0)))</f>
        <v/>
      </c>
      <c r="BV104" s="31" t="inlineStr">
        <is>
          <t>Less than 50%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IF(B105=0,"",RANK(B105,$B$2:$B$343,0))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PANACEABIO</t>
        </is>
      </c>
      <c r="D105" s="31" t="inlineStr">
        <is>
          <t>Panacea Biotec Limited</t>
        </is>
      </c>
      <c r="E105" s="31" t="inlineStr">
        <is>
          <t>healthcare</t>
        </is>
      </c>
      <c r="F105" s="31" t="inlineStr">
        <is>
          <t>pharmaceuticals - indian - bulk drugs &amp; formln</t>
        </is>
      </c>
      <c r="G105" s="31" t="inlineStr">
        <is>
          <t>smallcap</t>
        </is>
      </c>
      <c r="H105" s="32" t="n">
        <v>3312.44</v>
      </c>
      <c r="I105" s="32" t="n">
        <v>544.95</v>
      </c>
      <c r="J105" s="32" t="n">
        <v>0.77</v>
      </c>
      <c r="K105" s="32" t="n">
        <v>328429</v>
      </c>
      <c r="L105" s="31" t="n">
        <v>73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76.09999999999999</v>
      </c>
      <c r="P105" s="32" t="n">
        <v>28.02</v>
      </c>
      <c r="Q105" s="32" t="n">
        <v>374.85</v>
      </c>
      <c r="R105" s="31" t="inlineStr">
        <is>
          <t>Near 52W High Breakout</t>
        </is>
      </c>
      <c r="S105" s="31" t="inlineStr">
        <is>
          <t>Nifty Pharma</t>
        </is>
      </c>
      <c r="T105" s="32" t="n">
        <v>11.77</v>
      </c>
      <c r="U105" s="32" t="n">
        <v>27.91</v>
      </c>
      <c r="V105" s="32" t="n">
        <v>14.43</v>
      </c>
      <c r="W105" s="32" t="n">
        <v>21.37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Yes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Annuity, Lower One Time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Above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Less than 12%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Less than 1.5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IF(B106=0,"",RANK(B106,$B$2:$B$343,0))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ABDL</t>
        </is>
      </c>
      <c r="D106" s="31" t="inlineStr">
        <is>
          <t>Allied Blenders &amp; Distillers Ltd</t>
        </is>
      </c>
      <c r="E106" s="31" t="inlineStr">
        <is>
          <t>fmcg</t>
        </is>
      </c>
      <c r="F106" s="31" t="inlineStr">
        <is>
          <t>breweries &amp; distilleries</t>
        </is>
      </c>
      <c r="G106" s="31" t="inlineStr">
        <is>
          <t>midcap</t>
        </is>
      </c>
      <c r="H106" s="32" t="n">
        <v>17561.6</v>
      </c>
      <c r="I106" s="32" t="n">
        <v>629.75</v>
      </c>
      <c r="J106" s="32" t="n">
        <v>0.3</v>
      </c>
      <c r="K106" s="32" t="n">
        <v>245552</v>
      </c>
      <c r="L106" s="31" t="n">
        <v>78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61.04</v>
      </c>
      <c r="P106" s="32" t="n">
        <v>20.57</v>
      </c>
      <c r="Q106" s="32" t="n">
        <v>489.7</v>
      </c>
      <c r="R106" s="31" t="inlineStr">
        <is>
          <t>Near 52W High Breakout</t>
        </is>
      </c>
      <c r="S106" s="31" t="inlineStr">
        <is>
          <t>Nifty FMCG</t>
        </is>
      </c>
      <c r="T106" s="32" t="n">
        <v>-9.130000000000001</v>
      </c>
      <c r="U106" s="32" t="n">
        <v>50.24</v>
      </c>
      <c r="V106" s="32" t="n">
        <v>65.34</v>
      </c>
      <c r="W106" s="32" t="n">
        <v>23.68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B2C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Annuity, Lower One Time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Less than 12%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Between 50% to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IF(B107=0,"",RANK(B107,$B$2:$B$343,0))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VBL</t>
        </is>
      </c>
      <c r="D107" s="31" t="inlineStr">
        <is>
          <t>Varun Beverages Limited</t>
        </is>
      </c>
      <c r="E107" s="31" t="inlineStr">
        <is>
          <t>fmcg</t>
        </is>
      </c>
      <c r="F107" s="31" t="inlineStr">
        <is>
          <t>food - processing - indian</t>
        </is>
      </c>
      <c r="G107" s="31" t="inlineStr">
        <is>
          <t>largecap</t>
        </is>
      </c>
      <c r="H107" s="32" t="n">
        <v>182971.31</v>
      </c>
      <c r="I107" s="32" t="n">
        <v>541.05</v>
      </c>
      <c r="J107" s="32" t="n">
        <v>0.01</v>
      </c>
      <c r="K107" s="32" t="n">
        <v>3831572</v>
      </c>
      <c r="L107" s="31" t="n">
        <v>42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64.88</v>
      </c>
      <c r="P107" s="32" t="n">
        <v>27.61</v>
      </c>
      <c r="Q107" s="32" t="n">
        <v>451.26</v>
      </c>
      <c r="R107" s="31" t="inlineStr">
        <is>
          <t>Near 52W High Breakout</t>
        </is>
      </c>
      <c r="S107" s="31" t="inlineStr">
        <is>
          <t>Nifty FMCG</t>
        </is>
      </c>
      <c r="T107" s="32" t="n">
        <v>-9.130000000000001</v>
      </c>
      <c r="U107" s="32" t="n">
        <v>18.09</v>
      </c>
      <c r="V107" s="32" t="n">
        <v>29.96</v>
      </c>
      <c r="W107" s="32" t="n">
        <v>11.59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Duopoly That Cooperate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Shallow Cyclical (2 to 3 Years Growth)</t>
        </is>
      </c>
      <c r="AG107" s="31">
        <f>IF(AF107="Structural (10 Years Consistency)",10,IF(AF107="Shallow Cyclical (2 to 3 years growth)",5,0))</f>
        <v/>
      </c>
      <c r="AH107" s="31" t="inlineStr">
        <is>
          <t>Yes due to Product Mix change or Operating Leverage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B2C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Fully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only for next 1 to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Above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Between 50% to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Between 0.7 to 1.2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IF(B108=0,"",RANK(B108,$B$2:$B$343,0))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SUVEN</t>
        </is>
      </c>
      <c r="D108" s="31" t="inlineStr">
        <is>
          <t>Suven Life Sciences Limited</t>
        </is>
      </c>
      <c r="E108" s="31" t="inlineStr">
        <is>
          <t>healthcare</t>
        </is>
      </c>
      <c r="F108" s="31" t="inlineStr">
        <is>
          <t>miscellaneous</t>
        </is>
      </c>
      <c r="G108" s="31" t="inlineStr">
        <is>
          <t>midcap</t>
        </is>
      </c>
      <c r="H108" s="32" t="n">
        <v>7116.5</v>
      </c>
      <c r="I108" s="32" t="n">
        <v>269.85</v>
      </c>
      <c r="J108" s="32" t="n">
        <v>0</v>
      </c>
      <c r="K108" s="32" t="n">
        <v>2265922</v>
      </c>
      <c r="L108" s="31" t="n">
        <v>86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66.51000000000001</v>
      </c>
      <c r="P108" s="32" t="n">
        <v>35.39</v>
      </c>
      <c r="Q108" s="32" t="n">
        <v>194.25</v>
      </c>
      <c r="R108" s="31" t="inlineStr">
        <is>
          <t>Earnings / Momentum Support</t>
        </is>
      </c>
      <c r="S108" s="31" t="inlineStr">
        <is>
          <t>Nifty Pharma</t>
        </is>
      </c>
      <c r="T108" s="32" t="n">
        <v>11.77</v>
      </c>
      <c r="U108" s="32" t="n">
        <v>18.72</v>
      </c>
      <c r="V108" s="32" t="n">
        <v>6.22</v>
      </c>
      <c r="W108" s="32" t="n">
        <v>31.2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Yes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No</t>
        </is>
      </c>
      <c r="AQ108" s="31">
        <f>IF(AP108="Yes",10,0)</f>
        <v/>
      </c>
      <c r="AR108" s="31" t="inlineStr">
        <is>
          <t>Higher Annuity, Lower One Time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IF(B109=0,"",RANK(B109,$B$2:$B$343,0))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SAILIFE</t>
        </is>
      </c>
      <c r="D109" s="31" t="inlineStr">
        <is>
          <t>Sai Life Sciences Ltd</t>
        </is>
      </c>
      <c r="E109" s="31" t="inlineStr">
        <is>
          <t>healthcare</t>
        </is>
      </c>
      <c r="F109" s="31" t="inlineStr">
        <is>
          <t>pharmaceuticals - indian - bulk drugs &amp; formln</t>
        </is>
      </c>
      <c r="G109" s="31" t="inlineStr">
        <is>
          <t>largecap</t>
        </is>
      </c>
      <c r="H109" s="32" t="n">
        <v>25580.81</v>
      </c>
      <c r="I109" s="32" t="n">
        <v>1206.3</v>
      </c>
      <c r="J109" s="32" t="n">
        <v>-0.13</v>
      </c>
      <c r="K109" s="32" t="n">
        <v>337709</v>
      </c>
      <c r="L109" s="31" t="n">
        <v>52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70.22</v>
      </c>
      <c r="P109" s="32" t="n">
        <v>28.89</v>
      </c>
      <c r="Q109" s="32" t="n">
        <v>976.67</v>
      </c>
      <c r="R109" s="31" t="inlineStr">
        <is>
          <t>Near 52W High Breakout</t>
        </is>
      </c>
      <c r="S109" s="31" t="inlineStr">
        <is>
          <t>Nifty Pharma</t>
        </is>
      </c>
      <c r="T109" s="32" t="n">
        <v>11.77</v>
      </c>
      <c r="U109" s="32" t="n">
        <v>57.63</v>
      </c>
      <c r="V109" s="32" t="n">
        <v>41.03</v>
      </c>
      <c r="W109" s="32" t="n">
        <v>14.01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Yes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Annuity, Lower One Time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Between 12 to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IF(B110=0,"",RANK(B110,$B$2:$B$343,0))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HNDFDS</t>
        </is>
      </c>
      <c r="D110" s="31" t="inlineStr">
        <is>
          <t>Hindustan Foods Ltd</t>
        </is>
      </c>
      <c r="E110" s="31" t="inlineStr">
        <is>
          <t>fmcg</t>
        </is>
      </c>
      <c r="F110" s="31" t="inlineStr">
        <is>
          <t>diversified - large</t>
        </is>
      </c>
      <c r="G110" s="31" t="inlineStr">
        <is>
          <t>midcap</t>
        </is>
      </c>
      <c r="H110" s="32" t="n">
        <v>6663.5</v>
      </c>
      <c r="I110" s="32" t="n">
        <v>553.55</v>
      </c>
      <c r="J110" s="32" t="n">
        <v>-0.74</v>
      </c>
      <c r="K110" s="32" t="n">
        <v>44916</v>
      </c>
      <c r="L110" s="31" t="n">
        <v>10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60.44</v>
      </c>
      <c r="P110" s="32" t="n">
        <v>21.64</v>
      </c>
      <c r="Q110" s="32" t="n">
        <v>457.31</v>
      </c>
      <c r="R110" s="31" t="inlineStr">
        <is>
          <t>Near 52W High Breakout</t>
        </is>
      </c>
      <c r="S110" s="31" t="inlineStr">
        <is>
          <t>Nifty FMCG</t>
        </is>
      </c>
      <c r="T110" s="32" t="n">
        <v>-9.130000000000001</v>
      </c>
      <c r="U110" s="32" t="n">
        <v>3.95</v>
      </c>
      <c r="V110" s="32" t="n">
        <v>14.4</v>
      </c>
      <c r="W110" s="32" t="n">
        <v>4.03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B2C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Annuity, Lower One Time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Less than 50%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Between 0.7 to 1.2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IF(B111=0,"",RANK(B111,$B$2:$B$343,0))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3" t="inlineStr">
        <is>
          <t>MARKSANS</t>
        </is>
      </c>
      <c r="D111" s="33" t="inlineStr">
        <is>
          <t>Marksans Pharma Limited</t>
        </is>
      </c>
      <c r="E111" s="31" t="inlineStr">
        <is>
          <t>healthcare</t>
        </is>
      </c>
      <c r="F111" s="31" t="inlineStr">
        <is>
          <t>pharmaceuticals - indian - formulations</t>
        </is>
      </c>
      <c r="G111" s="31" t="inlineStr">
        <is>
          <t>midcap</t>
        </is>
      </c>
      <c r="H111" s="32" t="n">
        <v>11318.22</v>
      </c>
      <c r="I111" s="32" t="n">
        <v>247.13</v>
      </c>
      <c r="J111" s="32" t="n">
        <v>-1.05</v>
      </c>
      <c r="K111" s="32" t="n">
        <v>1983633</v>
      </c>
      <c r="L111" s="31" t="n">
        <v>43</v>
      </c>
      <c r="M111" s="31" t="inlineStr">
        <is>
          <t>Underperforming</t>
        </is>
      </c>
      <c r="N111" s="32">
        <f>IF(M111="Underperforming",-5,IF(L111&gt;=95,15,IF(L111&gt;=90,10,IF(L111&gt;=80,5,0))))</f>
        <v/>
      </c>
      <c r="O111" s="32" t="n">
        <v>68.98999999999999</v>
      </c>
      <c r="P111" s="32" t="n">
        <v>32.26</v>
      </c>
      <c r="Q111" s="32" t="n">
        <v>195.07</v>
      </c>
      <c r="R111" s="31" t="inlineStr">
        <is>
          <t>Earnings / Momentum Support</t>
        </is>
      </c>
      <c r="S111" s="31" t="inlineStr">
        <is>
          <t>Nifty Pharma</t>
        </is>
      </c>
      <c r="T111" s="32" t="n">
        <v>11.77</v>
      </c>
      <c r="U111" s="32" t="n">
        <v>3.33</v>
      </c>
      <c r="V111" s="32" t="n">
        <v>-7.55</v>
      </c>
      <c r="W111" s="32" t="n">
        <v>12.13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Yes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No</t>
        </is>
      </c>
      <c r="AQ111" s="31">
        <f>IF(AP111="Yes",10,0)</f>
        <v/>
      </c>
      <c r="AR111" s="31" t="inlineStr">
        <is>
          <t>Higher Annuity, Lower One Time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Less than 1.5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IF(B112=0,"",RANK(B112,$B$2:$B$343,0))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3" t="inlineStr">
        <is>
          <t>SOLARA</t>
        </is>
      </c>
      <c r="D112" s="33" t="inlineStr">
        <is>
          <t>Solara Active Pharma Sciences Ltd</t>
        </is>
      </c>
      <c r="E112" s="31" t="inlineStr">
        <is>
          <t>healthcare</t>
        </is>
      </c>
      <c r="F112" s="31" t="inlineStr">
        <is>
          <t>pharmaceuticals - indian - bulk drugs &amp; formln</t>
        </is>
      </c>
      <c r="G112" s="31" t="inlineStr">
        <is>
          <t>smallcap</t>
        </is>
      </c>
      <c r="H112" s="32" t="n">
        <v>2896.21</v>
      </c>
      <c r="I112" s="32" t="n">
        <v>589.15</v>
      </c>
      <c r="J112" s="32" t="n">
        <v>-2</v>
      </c>
      <c r="K112" s="32" t="n">
        <v>210850</v>
      </c>
      <c r="L112" s="31" t="n">
        <v>40</v>
      </c>
      <c r="M112" s="31" t="inlineStr">
        <is>
          <t>Underperforming</t>
        </is>
      </c>
      <c r="N112" s="32">
        <f>IF(M112="Underperforming",-5,IF(L112&gt;=95,15,IF(L112&gt;=90,10,IF(L112&gt;=80,5,0))))</f>
        <v/>
      </c>
      <c r="O112" s="32" t="n">
        <v>59.13</v>
      </c>
      <c r="P112" s="32" t="n">
        <v>23.6</v>
      </c>
      <c r="Q112" s="32" t="n">
        <v>450.04</v>
      </c>
      <c r="R112" s="31" t="inlineStr">
        <is>
          <t>Earnings / Momentum Support</t>
        </is>
      </c>
      <c r="S112" s="31" t="inlineStr">
        <is>
          <t>Nifty Pharma</t>
        </is>
      </c>
      <c r="T112" s="32" t="n">
        <v>11.77</v>
      </c>
      <c r="U112" s="32" t="n">
        <v>11.17</v>
      </c>
      <c r="V112" s="32" t="n">
        <v>-0.54</v>
      </c>
      <c r="W112" s="32" t="n">
        <v>10.51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Yes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No</t>
        </is>
      </c>
      <c r="AQ112" s="31">
        <f>IF(AP112="Yes",10,0)</f>
        <v/>
      </c>
      <c r="AR112" s="31" t="inlineStr">
        <is>
          <t>Higher Annuity, Lower One Time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Less than 1.5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IF(B113=0,"",RANK(B113,$B$2:$B$343,0))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ASHIANA</t>
        </is>
      </c>
      <c r="D113" s="31" t="inlineStr">
        <is>
          <t>Ashiana Housing Limited</t>
        </is>
      </c>
      <c r="E113" s="31" t="inlineStr">
        <is>
          <t>realty</t>
        </is>
      </c>
      <c r="F113" s="31" t="inlineStr">
        <is>
          <t>construction</t>
        </is>
      </c>
      <c r="G113" s="31" t="inlineStr">
        <is>
          <t>smallcap</t>
        </is>
      </c>
      <c r="H113" s="32" t="n">
        <v>3660.11</v>
      </c>
      <c r="I113" s="32" t="n">
        <v>389.1</v>
      </c>
      <c r="J113" s="32" t="n">
        <v>6.87</v>
      </c>
      <c r="K113" s="32" t="n">
        <v>259051</v>
      </c>
      <c r="L113" s="31" t="n">
        <v>34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66.09999999999999</v>
      </c>
      <c r="P113" s="32" t="n">
        <v>28.22</v>
      </c>
      <c r="Q113" s="32" t="n">
        <v>302.62</v>
      </c>
      <c r="R113" s="31" t="inlineStr">
        <is>
          <t>Near 52W High Breakout</t>
        </is>
      </c>
      <c r="S113" s="31" t="inlineStr">
        <is>
          <t>Nifty Realty</t>
        </is>
      </c>
      <c r="T113" s="32" t="n">
        <v>-19.29</v>
      </c>
      <c r="U113" s="32" t="n">
        <v>13.87</v>
      </c>
      <c r="V113" s="32" t="n">
        <v>41.09</v>
      </c>
      <c r="W113" s="32" t="n">
        <v>9.039999999999999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Less than 12%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IF(B114=0,"",RANK(B114,$B$2:$B$343,0))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JAYBARMARU</t>
        </is>
      </c>
      <c r="D114" s="31" t="inlineStr">
        <is>
          <t>Jay Bharat Maruti Limited</t>
        </is>
      </c>
      <c r="E114" s="31" t="inlineStr">
        <is>
          <t>auto</t>
        </is>
      </c>
      <c r="F114" s="31" t="inlineStr">
        <is>
          <t>auto ancillaries</t>
        </is>
      </c>
      <c r="G114" s="31" t="inlineStr">
        <is>
          <t>smallcap</t>
        </is>
      </c>
      <c r="H114" s="32" t="n">
        <v>1722.47</v>
      </c>
      <c r="I114" s="32" t="n">
        <v>167.68</v>
      </c>
      <c r="J114" s="32" t="n">
        <v>5.38</v>
      </c>
      <c r="K114" s="32" t="n">
        <v>5101072</v>
      </c>
      <c r="L114" s="31" t="n">
        <v>93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75.43000000000001</v>
      </c>
      <c r="P114" s="32" t="n">
        <v>20.69</v>
      </c>
      <c r="Q114" s="32" t="n">
        <v>125.17</v>
      </c>
      <c r="R114" s="31" t="inlineStr">
        <is>
          <t>Near 52W High Breakout</t>
        </is>
      </c>
      <c r="S114" s="31" t="inlineStr">
        <is>
          <t>Nifty Auto</t>
        </is>
      </c>
      <c r="T114" s="32" t="n">
        <v>13.57</v>
      </c>
      <c r="U114" s="32" t="n">
        <v>119.59</v>
      </c>
      <c r="V114" s="32" t="n">
        <v>93.36</v>
      </c>
      <c r="W114" s="32" t="n">
        <v>41.4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Above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Blue sky scenario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Between 50% to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Between 0.7 to 1.2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IF(B115=0,"",RANK(B115,$B$2:$B$343,0))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HFCL</t>
        </is>
      </c>
      <c r="D115" s="31" t="inlineStr">
        <is>
          <t>HFCL Ltd</t>
        </is>
      </c>
      <c r="E115" s="31" t="inlineStr">
        <is>
          <t>telecom</t>
        </is>
      </c>
      <c r="F115" s="31" t="inlineStr">
        <is>
          <t>cables - telephone</t>
        </is>
      </c>
      <c r="G115" s="31" t="inlineStr">
        <is>
          <t>largecap</t>
        </is>
      </c>
      <c r="H115" s="32" t="n">
        <v>27619.72</v>
      </c>
      <c r="I115" s="32" t="n">
        <v>188.98</v>
      </c>
      <c r="J115" s="32" t="n">
        <v>4.73</v>
      </c>
      <c r="K115" s="32" t="n">
        <v>34029890</v>
      </c>
      <c r="L115" s="31" t="n">
        <v>97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82.19</v>
      </c>
      <c r="P115" s="32" t="n">
        <v>51.54</v>
      </c>
      <c r="Q115" s="32" t="n">
        <v>142.16</v>
      </c>
      <c r="R115" s="31" t="inlineStr">
        <is>
          <t>Near 52W High Breakout</t>
        </is>
      </c>
      <c r="S115" s="31" t="inlineStr">
        <is>
          <t>Nifty Infra</t>
        </is>
      </c>
      <c r="T115" s="32" t="n">
        <v>3.24</v>
      </c>
      <c r="U115" s="32" t="n">
        <v>131.58</v>
      </c>
      <c r="V115" s="32" t="n">
        <v>124.31</v>
      </c>
      <c r="W115" s="32" t="n">
        <v>63.93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Oligopoly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Yes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Above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Negative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IF(B116=0,"",RANK(B116,$B$2:$B$343,0))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PARACABLES</t>
        </is>
      </c>
      <c r="D116" s="31" t="inlineStr">
        <is>
          <t>Paramount Communications Limited</t>
        </is>
      </c>
      <c r="E116" s="31" t="inlineStr">
        <is>
          <t>industrials</t>
        </is>
      </c>
      <c r="F116" s="31" t="inlineStr">
        <is>
          <t>cables - power</t>
        </is>
      </c>
      <c r="G116" s="31" t="inlineStr">
        <is>
          <t>smallcap</t>
        </is>
      </c>
      <c r="H116" s="32" t="n">
        <v>1955.48</v>
      </c>
      <c r="I116" s="32" t="n">
        <v>66.73</v>
      </c>
      <c r="J116" s="32" t="n">
        <v>4.15</v>
      </c>
      <c r="K116" s="32" t="n">
        <v>2922201</v>
      </c>
      <c r="L116" s="31" t="n">
        <v>84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71.76000000000001</v>
      </c>
      <c r="P116" s="32" t="n">
        <v>35.02</v>
      </c>
      <c r="Q116" s="32" t="n">
        <v>47.21</v>
      </c>
      <c r="R116" s="31" t="inlineStr">
        <is>
          <t>Near 52W High Breakout</t>
        </is>
      </c>
      <c r="S116" s="31" t="inlineStr">
        <is>
          <t>Nifty Energy</t>
        </is>
      </c>
      <c r="T116" s="32" t="n">
        <v>12.12</v>
      </c>
      <c r="U116" s="32" t="n">
        <v>23</v>
      </c>
      <c r="V116" s="32" t="n">
        <v>9.710000000000001</v>
      </c>
      <c r="W116" s="32" t="n">
        <v>28.92</v>
      </c>
      <c r="X116" s="31" t="inlineStr">
        <is>
          <t>Cyclical in an Upturn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Less than 12%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IF(B117=0,"",RANK(B117,$B$2:$B$343,0))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AETHER</t>
        </is>
      </c>
      <c r="D117" s="31" t="inlineStr">
        <is>
          <t>Aether Industries Ltd</t>
        </is>
      </c>
      <c r="E117" s="31" t="inlineStr">
        <is>
          <t>chemicals</t>
        </is>
      </c>
      <c r="F117" s="31" t="inlineStr">
        <is>
          <t>chemicals</t>
        </is>
      </c>
      <c r="G117" s="31" t="inlineStr">
        <is>
          <t>midcap</t>
        </is>
      </c>
      <c r="H117" s="32" t="n">
        <v>15252.87</v>
      </c>
      <c r="I117" s="32" t="n">
        <v>1177.7</v>
      </c>
      <c r="J117" s="32" t="n">
        <v>2.44</v>
      </c>
      <c r="K117" s="32" t="n">
        <v>433202</v>
      </c>
      <c r="L117" s="31" t="n">
        <v>39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60.87</v>
      </c>
      <c r="P117" s="32" t="n">
        <v>49.87</v>
      </c>
      <c r="Q117" s="32" t="n">
        <v>936.13</v>
      </c>
      <c r="R117" s="31" t="inlineStr">
        <is>
          <t>Near 52W High Breakout</t>
        </is>
      </c>
      <c r="S117" s="31" t="inlineStr">
        <is>
          <t>Nifty 50</t>
        </is>
      </c>
      <c r="T117" s="32" t="n">
        <v>-4.47</v>
      </c>
      <c r="U117" s="32" t="n">
        <v>51.82</v>
      </c>
      <c r="V117" s="32" t="n">
        <v>58.93</v>
      </c>
      <c r="W117" s="32" t="n">
        <v>10.09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Less than 12%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Less than 50%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IF(B118=0,"",RANK(B118,$B$2:$B$343,0))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FINEORG</t>
        </is>
      </c>
      <c r="D118" s="31" t="inlineStr">
        <is>
          <t>Fine Organic Industries Ltd</t>
        </is>
      </c>
      <c r="E118" s="31" t="inlineStr">
        <is>
          <t>chemicals</t>
        </is>
      </c>
      <c r="F118" s="31" t="inlineStr">
        <is>
          <t>chemicals</t>
        </is>
      </c>
      <c r="G118" s="31" t="inlineStr">
        <is>
          <t>midcap</t>
        </is>
      </c>
      <c r="H118" s="32" t="n">
        <v>15096.97</v>
      </c>
      <c r="I118" s="32" t="n">
        <v>5037.8</v>
      </c>
      <c r="J118" s="32" t="n">
        <v>2.31</v>
      </c>
      <c r="K118" s="32" t="n">
        <v>21986</v>
      </c>
      <c r="L118" s="31" t="n">
        <v>21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62.99</v>
      </c>
      <c r="P118" s="32" t="n">
        <v>11.25</v>
      </c>
      <c r="Q118" s="32" t="n">
        <v>4098.67</v>
      </c>
      <c r="R118" s="31" t="inlineStr">
        <is>
          <t>Near 52W High Breakout</t>
        </is>
      </c>
      <c r="S118" s="31" t="inlineStr">
        <is>
          <t>Nifty 50</t>
        </is>
      </c>
      <c r="T118" s="32" t="n">
        <v>-4.47</v>
      </c>
      <c r="U118" s="32" t="n">
        <v>11.12</v>
      </c>
      <c r="V118" s="32" t="n">
        <v>16.32</v>
      </c>
      <c r="W118" s="32" t="n">
        <v>6.33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0 to 20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Between 1.5 to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IF(B119=0,"",RANK(B119,$B$2:$B$343,0))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ASTRAMICRO</t>
        </is>
      </c>
      <c r="D119" s="31" t="inlineStr">
        <is>
          <t>Astra Microwave Products Limited</t>
        </is>
      </c>
      <c r="E119" s="31" t="inlineStr">
        <is>
          <t>aerospace &amp; defence</t>
        </is>
      </c>
      <c r="F119" s="31" t="inlineStr">
        <is>
          <t>telecommunications - equipment</t>
        </is>
      </c>
      <c r="G119" s="31" t="inlineStr">
        <is>
          <t>midcap</t>
        </is>
      </c>
      <c r="H119" s="32" t="n">
        <v>13842.98</v>
      </c>
      <c r="I119" s="32" t="n">
        <v>1480.1</v>
      </c>
      <c r="J119" s="32" t="n">
        <v>1.52</v>
      </c>
      <c r="K119" s="32" t="n">
        <v>661269</v>
      </c>
      <c r="L119" s="31" t="n">
        <v>76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77.5</v>
      </c>
      <c r="P119" s="32" t="n">
        <v>32.31</v>
      </c>
      <c r="Q119" s="32" t="n">
        <v>1172.46</v>
      </c>
      <c r="R119" s="31" t="inlineStr">
        <is>
          <t>Near 52W High Breakout</t>
        </is>
      </c>
      <c r="S119" s="31" t="inlineStr">
        <is>
          <t>Nifty 50</t>
        </is>
      </c>
      <c r="T119" s="32" t="n">
        <v>-4.47</v>
      </c>
      <c r="U119" s="32" t="n">
        <v>33.88</v>
      </c>
      <c r="V119" s="32" t="n">
        <v>40.14</v>
      </c>
      <c r="W119" s="32" t="n">
        <v>22.64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Oligopoly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Yes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Above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Between 1.5 to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IF(B120=0,"",RANK(B120,$B$2:$B$343,0))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DATAPATTNS</t>
        </is>
      </c>
      <c r="D120" s="31" t="inlineStr">
        <is>
          <t>Data Patterns (India) Ltd</t>
        </is>
      </c>
      <c r="E120" s="31" t="inlineStr">
        <is>
          <t>aerospace &amp; defence</t>
        </is>
      </c>
      <c r="F120" s="31" t="inlineStr">
        <is>
          <t>electronics - components</t>
        </is>
      </c>
      <c r="G120" s="31" t="inlineStr">
        <is>
          <t>largecap</t>
        </is>
      </c>
      <c r="H120" s="32" t="n">
        <v>24775.71</v>
      </c>
      <c r="I120" s="32" t="n">
        <v>4477.3</v>
      </c>
      <c r="J120" s="32" t="n">
        <v>1.17</v>
      </c>
      <c r="K120" s="32" t="n">
        <v>860440</v>
      </c>
      <c r="L120" s="31" t="n">
        <v>66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71.88</v>
      </c>
      <c r="P120" s="32" t="n">
        <v>29.72</v>
      </c>
      <c r="Q120" s="32" t="n">
        <v>3332.23</v>
      </c>
      <c r="R120" s="31" t="inlineStr">
        <is>
          <t>Near 52W High Breakout</t>
        </is>
      </c>
      <c r="S120" s="31" t="inlineStr">
        <is>
          <t>Nifty 50</t>
        </is>
      </c>
      <c r="T120" s="32" t="n">
        <v>-4.47</v>
      </c>
      <c r="U120" s="32" t="n">
        <v>51.83</v>
      </c>
      <c r="V120" s="32" t="n">
        <v>58.94</v>
      </c>
      <c r="W120" s="32" t="n">
        <v>17.98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Blue sky scenario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Less than 50%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IF(B121=0,"",RANK(B121,$B$2:$B$343,0))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PHOENIXLTD</t>
        </is>
      </c>
      <c r="D121" s="31" t="inlineStr">
        <is>
          <t>The Phoenix Mills Limited</t>
        </is>
      </c>
      <c r="E121" s="31" t="inlineStr">
        <is>
          <t>realty</t>
        </is>
      </c>
      <c r="F121" s="31" t="inlineStr">
        <is>
          <t>construction</t>
        </is>
      </c>
      <c r="G121" s="31" t="inlineStr">
        <is>
          <t>largecap</t>
        </is>
      </c>
      <c r="H121" s="32" t="n">
        <v>66051.53999999999</v>
      </c>
      <c r="I121" s="32" t="n">
        <v>1868.2</v>
      </c>
      <c r="J121" s="32" t="n">
        <v>1.15</v>
      </c>
      <c r="K121" s="32" t="n">
        <v>1134388</v>
      </c>
      <c r="L121" s="31" t="n">
        <v>27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60.55</v>
      </c>
      <c r="P121" s="32" t="n">
        <v>12.72</v>
      </c>
      <c r="Q121" s="32" t="n">
        <v>1542.33</v>
      </c>
      <c r="R121" s="31" t="inlineStr">
        <is>
          <t>Near 52W High Breakout</t>
        </is>
      </c>
      <c r="S121" s="31" t="inlineStr">
        <is>
          <t>Nifty Realty</t>
        </is>
      </c>
      <c r="T121" s="32" t="n">
        <v>-19.29</v>
      </c>
      <c r="U121" s="32" t="n">
        <v>15.78</v>
      </c>
      <c r="V121" s="32" t="n">
        <v>43.46</v>
      </c>
      <c r="W121" s="32" t="n">
        <v>7.96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0 to 20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Less than 1.5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IF(B122=0,"",RANK(B122,$B$2:$B$343,0))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3" t="inlineStr">
        <is>
          <t>GREENPLY</t>
        </is>
      </c>
      <c r="D122" s="33" t="inlineStr">
        <is>
          <t>Greenply Industries Limited</t>
        </is>
      </c>
      <c r="E122" s="31" t="inlineStr">
        <is>
          <t>building materials</t>
        </is>
      </c>
      <c r="F122" s="31" t="inlineStr">
        <is>
          <t>miscellaneous</t>
        </is>
      </c>
      <c r="G122" s="31" t="inlineStr">
        <is>
          <t>smallcap</t>
        </is>
      </c>
      <c r="H122" s="32" t="n">
        <v>3669.62</v>
      </c>
      <c r="I122" s="32" t="n">
        <v>296.68</v>
      </c>
      <c r="J122" s="32" t="n">
        <v>0.98</v>
      </c>
      <c r="K122" s="32" t="n">
        <v>170912</v>
      </c>
      <c r="L122" s="31" t="n">
        <v>48</v>
      </c>
      <c r="M122" s="31" t="inlineStr">
        <is>
          <t>Underperforming</t>
        </is>
      </c>
      <c r="N122" s="32">
        <f>IF(M122="Underperforming",-5,IF(L122&gt;=95,15,IF(L122&gt;=90,10,IF(L122&gt;=80,5,0))))</f>
        <v/>
      </c>
      <c r="O122" s="32" t="n">
        <v>63.56</v>
      </c>
      <c r="P122" s="32" t="n">
        <v>27.89</v>
      </c>
      <c r="Q122" s="32" t="n">
        <v>222.46</v>
      </c>
      <c r="R122" s="31" t="inlineStr">
        <is>
          <t>Earnings / Momentum Support</t>
        </is>
      </c>
      <c r="S122" s="31" t="inlineStr">
        <is>
          <t>Nifty Infra</t>
        </is>
      </c>
      <c r="T122" s="32" t="n">
        <v>3.24</v>
      </c>
      <c r="U122" s="32" t="n">
        <v>-6.14</v>
      </c>
      <c r="V122" s="32" t="n">
        <v>-9.09</v>
      </c>
      <c r="W122" s="32" t="n">
        <v>12.88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No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Less than 1.5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IF(B123=0,"",RANK(B123,$B$2:$B$343,0))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USHAMART</t>
        </is>
      </c>
      <c r="D123" s="31" t="inlineStr">
        <is>
          <t>Usha Martin Limited</t>
        </is>
      </c>
      <c r="E123" s="31" t="inlineStr">
        <is>
          <t>metals &amp; mining</t>
        </is>
      </c>
      <c r="F123" s="31" t="inlineStr">
        <is>
          <t>steel - medium / small</t>
        </is>
      </c>
      <c r="G123" s="31" t="inlineStr">
        <is>
          <t>midcap</t>
        </is>
      </c>
      <c r="H123" s="32" t="n">
        <v>15083.21</v>
      </c>
      <c r="I123" s="32" t="n">
        <v>499.2</v>
      </c>
      <c r="J123" s="32" t="n">
        <v>0.86</v>
      </c>
      <c r="K123" s="32" t="n">
        <v>266100</v>
      </c>
      <c r="L123" s="31" t="n">
        <v>59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64.69</v>
      </c>
      <c r="P123" s="32" t="n">
        <v>33.91</v>
      </c>
      <c r="Q123" s="32" t="n">
        <v>416.32</v>
      </c>
      <c r="R123" s="31" t="inlineStr">
        <is>
          <t>Near 52W High Breakout</t>
        </is>
      </c>
      <c r="S123" s="31" t="inlineStr">
        <is>
          <t>Nifty Metal</t>
        </is>
      </c>
      <c r="T123" s="32" t="n">
        <v>40.96</v>
      </c>
      <c r="U123" s="32" t="n">
        <v>59.74</v>
      </c>
      <c r="V123" s="32" t="n">
        <v>13.33</v>
      </c>
      <c r="W123" s="32" t="n">
        <v>16.04</v>
      </c>
      <c r="X123" s="31" t="inlineStr">
        <is>
          <t>Cyclical in an Upturn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Cyclical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Volatile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Less than 1.5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IF(B124=0,"",RANK(B124,$B$2:$B$343,0))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3" t="inlineStr">
        <is>
          <t>WSTCSTPAPR</t>
        </is>
      </c>
      <c r="D124" s="33" t="inlineStr">
        <is>
          <t>West Coast Paper Mills Limited</t>
        </is>
      </c>
      <c r="E124" s="31" t="inlineStr">
        <is>
          <t>building materials</t>
        </is>
      </c>
      <c r="F124" s="31" t="inlineStr">
        <is>
          <t>paper</t>
        </is>
      </c>
      <c r="G124" s="31" t="inlineStr">
        <is>
          <t>smallcap</t>
        </is>
      </c>
      <c r="H124" s="32" t="n">
        <v>3371.47</v>
      </c>
      <c r="I124" s="32" t="n">
        <v>514.55</v>
      </c>
      <c r="J124" s="32" t="n">
        <v>0.8</v>
      </c>
      <c r="K124" s="32" t="n">
        <v>136064</v>
      </c>
      <c r="L124" s="31" t="n">
        <v>15</v>
      </c>
      <c r="M124" s="31" t="inlineStr">
        <is>
          <t>Underperforming</t>
        </is>
      </c>
      <c r="N124" s="32">
        <f>IF(M124="Underperforming",-5,IF(L124&gt;=95,15,IF(L124&gt;=90,10,IF(L124&gt;=80,5,0))))</f>
        <v/>
      </c>
      <c r="O124" s="32" t="n">
        <v>59.58</v>
      </c>
      <c r="P124" s="32" t="n">
        <v>29.15</v>
      </c>
      <c r="Q124" s="32" t="n">
        <v>407.67</v>
      </c>
      <c r="R124" s="31" t="inlineStr">
        <is>
          <t>Earnings / Momentum Support</t>
        </is>
      </c>
      <c r="S124" s="31" t="inlineStr">
        <is>
          <t>Nifty Infra</t>
        </is>
      </c>
      <c r="T124" s="32" t="n">
        <v>3.24</v>
      </c>
      <c r="U124" s="32" t="n">
        <v>3.25</v>
      </c>
      <c r="V124" s="32" t="n">
        <v>0</v>
      </c>
      <c r="W124" s="32" t="n">
        <v>4.94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Between 12 to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Less than 1.5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IF(B125=0,"",RANK(B125,$B$2:$B$343,0))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3" t="inlineStr">
        <is>
          <t>MIDHANI</t>
        </is>
      </c>
      <c r="D125" s="33" t="inlineStr">
        <is>
          <t>Mishra Dhatu Nigam Ltd</t>
        </is>
      </c>
      <c r="E125" s="31" t="inlineStr">
        <is>
          <t>aerospace &amp; defence</t>
        </is>
      </c>
      <c r="F125" s="31" t="inlineStr">
        <is>
          <t>steel - medium / small</t>
        </is>
      </c>
      <c r="G125" s="31" t="inlineStr">
        <is>
          <t>midcap</t>
        </is>
      </c>
      <c r="H125" s="32" t="n">
        <v>8174.58</v>
      </c>
      <c r="I125" s="32" t="n">
        <v>439.05</v>
      </c>
      <c r="J125" s="32" t="n">
        <v>0.62</v>
      </c>
      <c r="K125" s="32" t="n">
        <v>795675</v>
      </c>
      <c r="L125" s="31" t="n">
        <v>38</v>
      </c>
      <c r="M125" s="31" t="inlineStr">
        <is>
          <t>Underperforming</t>
        </is>
      </c>
      <c r="N125" s="32">
        <f>IF(M125="Underperforming",-5,IF(L125&gt;=95,15,IF(L125&gt;=90,10,IF(L125&gt;=80,5,0))))</f>
        <v/>
      </c>
      <c r="O125" s="32" t="n">
        <v>66.70999999999999</v>
      </c>
      <c r="P125" s="32" t="n">
        <v>26.83</v>
      </c>
      <c r="Q125" s="32" t="n">
        <v>332.63</v>
      </c>
      <c r="R125" s="31" t="inlineStr">
        <is>
          <t>Near 52W High Breakout</t>
        </is>
      </c>
      <c r="S125" s="31" t="inlineStr">
        <is>
          <t>Nifty Metal</t>
        </is>
      </c>
      <c r="T125" s="32" t="n">
        <v>40.96</v>
      </c>
      <c r="U125" s="32" t="n">
        <v>-0.7</v>
      </c>
      <c r="V125" s="32" t="n">
        <v>-29.55</v>
      </c>
      <c r="W125" s="32" t="n">
        <v>10.03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Between 1.5 to 2</t>
        </is>
      </c>
      <c r="BU125" s="31">
        <f>IF(BT125="Above 2",0,IF(BT125="Between 1.5 to 2",5,IF(BT125="Less than 1.5",10,0)))</f>
        <v/>
      </c>
      <c r="BV125" s="31" t="inlineStr">
        <is>
          <t>Between 50% to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IF(B126=0,"",RANK(B126,$B$2:$B$343,0))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RPEL</t>
        </is>
      </c>
      <c r="D126" s="31" t="inlineStr">
        <is>
          <t>Raghav Productivity Enhancers Ltd</t>
        </is>
      </c>
      <c r="E126" s="31" t="inlineStr">
        <is>
          <t>building materials</t>
        </is>
      </c>
      <c r="F126" s="31" t="inlineStr">
        <is>
          <t>refractories / intermediates</t>
        </is>
      </c>
      <c r="G126" s="31" t="inlineStr">
        <is>
          <t>midcap</t>
        </is>
      </c>
      <c r="H126" s="32" t="n">
        <v>5508.98</v>
      </c>
      <c r="I126" s="32" t="n">
        <v>1203.4</v>
      </c>
      <c r="J126" s="32" t="n">
        <v>0.29</v>
      </c>
      <c r="K126" s="32" t="n">
        <v>192096</v>
      </c>
      <c r="L126" s="31" t="n">
        <v>90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77.54000000000001</v>
      </c>
      <c r="P126" s="32" t="n">
        <v>32.05</v>
      </c>
      <c r="Q126" s="32" t="n">
        <v>934.35</v>
      </c>
      <c r="R126" s="31" t="inlineStr">
        <is>
          <t>Near 52W High Breakout</t>
        </is>
      </c>
      <c r="S126" s="31" t="inlineStr">
        <is>
          <t>Nifty Infra</t>
        </is>
      </c>
      <c r="T126" s="32" t="n">
        <v>3.24</v>
      </c>
      <c r="U126" s="32" t="n">
        <v>71.43000000000001</v>
      </c>
      <c r="V126" s="32" t="n">
        <v>66.04000000000001</v>
      </c>
      <c r="W126" s="32" t="n">
        <v>35.34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Above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Less than 50%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IF(B127=0,"",RANK(B127,$B$2:$B$343,0))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CENTUM</t>
        </is>
      </c>
      <c r="D127" s="31" t="inlineStr">
        <is>
          <t>Centum Electronics Limited</t>
        </is>
      </c>
      <c r="E127" s="31" t="inlineStr">
        <is>
          <t>consumer discretionary</t>
        </is>
      </c>
      <c r="F127" s="31" t="inlineStr">
        <is>
          <t>electronics - components</t>
        </is>
      </c>
      <c r="G127" s="31" t="inlineStr">
        <is>
          <t>midcap</t>
        </is>
      </c>
      <c r="H127" s="32" t="n">
        <v>5345.96</v>
      </c>
      <c r="I127" s="32" t="n">
        <v>3627.8</v>
      </c>
      <c r="J127" s="32" t="n">
        <v>0.03</v>
      </c>
      <c r="K127" s="32" t="n">
        <v>28721</v>
      </c>
      <c r="L127" s="31" t="n">
        <v>60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69.13</v>
      </c>
      <c r="P127" s="32" t="n">
        <v>57.85</v>
      </c>
      <c r="Q127" s="32" t="n">
        <v>2657.94</v>
      </c>
      <c r="R127" s="31" t="inlineStr">
        <is>
          <t>Near 52W High Breakout</t>
        </is>
      </c>
      <c r="S127" s="31" t="inlineStr">
        <is>
          <t>Nifty Infra</t>
        </is>
      </c>
      <c r="T127" s="32" t="n">
        <v>3.24</v>
      </c>
      <c r="U127" s="32" t="n">
        <v>60.23</v>
      </c>
      <c r="V127" s="32" t="n">
        <v>55.2</v>
      </c>
      <c r="W127" s="32" t="n">
        <v>16.4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Less than 12%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Less than 50%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IF(B128=0,"",RANK(B128,$B$2:$B$343,0))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ADANIGREEN</t>
        </is>
      </c>
      <c r="D128" s="31" t="inlineStr">
        <is>
          <t>Adani Green Energy Ltd</t>
        </is>
      </c>
      <c r="E128" s="31" t="inlineStr">
        <is>
          <t>power &amp; utilities</t>
        </is>
      </c>
      <c r="F128" s="31" t="inlineStr">
        <is>
          <t>power generation and supply</t>
        </is>
      </c>
      <c r="G128" s="31" t="inlineStr">
        <is>
          <t>largecap</t>
        </is>
      </c>
      <c r="H128" s="32" t="n">
        <v>244210.34</v>
      </c>
      <c r="I128" s="32" t="n">
        <v>1482.5</v>
      </c>
      <c r="J128" s="32" t="n">
        <v>-0.01</v>
      </c>
      <c r="K128" s="32" t="n">
        <v>1251445</v>
      </c>
      <c r="L128" s="31" t="n">
        <v>82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72.34999999999999</v>
      </c>
      <c r="P128" s="32" t="n">
        <v>40.67</v>
      </c>
      <c r="Q128" s="32" t="n">
        <v>1217.52</v>
      </c>
      <c r="R128" s="31" t="inlineStr">
        <is>
          <t>Near 52W High Breakout</t>
        </is>
      </c>
      <c r="S128" s="31" t="inlineStr">
        <is>
          <t>Nifty IT</t>
        </is>
      </c>
      <c r="T128" s="32" t="n">
        <v>-26.73</v>
      </c>
      <c r="U128" s="32" t="n">
        <v>56.43</v>
      </c>
      <c r="V128" s="32" t="n">
        <v>113.51</v>
      </c>
      <c r="W128" s="32" t="n">
        <v>27.18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More than 1.2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IF(B129=0,"",RANK(B129,$B$2:$B$343,0))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BOSCHLTD</t>
        </is>
      </c>
      <c r="D129" s="31" t="inlineStr">
        <is>
          <t>Bosch Limited</t>
        </is>
      </c>
      <c r="E129" s="31" t="inlineStr">
        <is>
          <t>auto</t>
        </is>
      </c>
      <c r="F129" s="31" t="inlineStr">
        <is>
          <t>auto ancillaries</t>
        </is>
      </c>
      <c r="G129" s="31" t="inlineStr">
        <is>
          <t>largecap</t>
        </is>
      </c>
      <c r="H129" s="32" t="n">
        <v>115231.65</v>
      </c>
      <c r="I129" s="32" t="n">
        <v>39045</v>
      </c>
      <c r="J129" s="32" t="n">
        <v>-0.06</v>
      </c>
      <c r="K129" s="32" t="n">
        <v>22828</v>
      </c>
      <c r="L129" s="31" t="n">
        <v>41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59.03</v>
      </c>
      <c r="P129" s="32" t="n">
        <v>20.59</v>
      </c>
      <c r="Q129" s="32" t="n">
        <v>32143.82</v>
      </c>
      <c r="R129" s="31" t="inlineStr">
        <is>
          <t>Near 52W High Breakout</t>
        </is>
      </c>
      <c r="S129" s="31" t="inlineStr">
        <is>
          <t>Nifty Auto</t>
        </is>
      </c>
      <c r="T129" s="32" t="n">
        <v>13.57</v>
      </c>
      <c r="U129" s="32" t="n">
        <v>22.56</v>
      </c>
      <c r="V129" s="32" t="n">
        <v>7.92</v>
      </c>
      <c r="W129" s="32" t="n">
        <v>11.35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Blue sky scenario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Less than 12%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IF(B130=0,"",RANK(B130,$B$2:$B$343,0))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AARTIIND</t>
        </is>
      </c>
      <c r="D130" s="31" t="inlineStr">
        <is>
          <t>Aarti Industries Limited</t>
        </is>
      </c>
      <c r="E130" s="31" t="inlineStr">
        <is>
          <t>chemicals</t>
        </is>
      </c>
      <c r="F130" s="31" t="inlineStr">
        <is>
          <t>chemicals</t>
        </is>
      </c>
      <c r="G130" s="31" t="inlineStr">
        <is>
          <t>midcap</t>
        </is>
      </c>
      <c r="H130" s="32" t="n">
        <v>18062.64</v>
      </c>
      <c r="I130" s="32" t="n">
        <v>496.7</v>
      </c>
      <c r="J130" s="32" t="n">
        <v>-0.29</v>
      </c>
      <c r="K130" s="32" t="n">
        <v>3795978</v>
      </c>
      <c r="L130" s="31" t="n">
        <v>21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62.08</v>
      </c>
      <c r="P130" s="32" t="n">
        <v>20.94</v>
      </c>
      <c r="Q130" s="32" t="n">
        <v>399.89</v>
      </c>
      <c r="R130" s="31" t="inlineStr">
        <is>
          <t>Volume Spike &amp; Near 52W High Breakout</t>
        </is>
      </c>
      <c r="S130" s="31" t="inlineStr">
        <is>
          <t>Nifty 50</t>
        </is>
      </c>
      <c r="T130" s="32" t="n">
        <v>-4.47</v>
      </c>
      <c r="U130" s="32" t="n">
        <v>12.85</v>
      </c>
      <c r="V130" s="32" t="n">
        <v>18.14</v>
      </c>
      <c r="W130" s="32" t="n">
        <v>6.28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Less than 1.5</t>
        </is>
      </c>
      <c r="BU130" s="31">
        <f>IF(BT130="Above 2",0,IF(BT130="Between 1.5 to 2",5,IF(BT130="Less than 1.5",10,0)))</f>
        <v/>
      </c>
      <c r="BV130" s="31" t="inlineStr">
        <is>
          <t>Between 50% to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Between 0.7 to 1.2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IF(B131=0,"",RANK(B131,$B$2:$B$343,0))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3" t="inlineStr">
        <is>
          <t>SFL</t>
        </is>
      </c>
      <c r="D131" s="33" t="inlineStr">
        <is>
          <t>Sheela Foam Limited</t>
        </is>
      </c>
      <c r="E131" s="31" t="inlineStr">
        <is>
          <t>consumer discretionary</t>
        </is>
      </c>
      <c r="F131" s="31" t="inlineStr">
        <is>
          <t>miscellaneous</t>
        </is>
      </c>
      <c r="G131" s="31" t="inlineStr">
        <is>
          <t>midcap</t>
        </is>
      </c>
      <c r="H131" s="32" t="n">
        <v>7714.12</v>
      </c>
      <c r="I131" s="32" t="n">
        <v>703.45</v>
      </c>
      <c r="J131" s="32" t="n">
        <v>-0.87</v>
      </c>
      <c r="K131" s="32" t="n">
        <v>127932</v>
      </c>
      <c r="L131" s="31" t="n">
        <v>26</v>
      </c>
      <c r="M131" s="31" t="inlineStr">
        <is>
          <t>Underperforming</t>
        </is>
      </c>
      <c r="N131" s="32">
        <f>IF(M131="Underperforming",-5,IF(L131&gt;=95,15,IF(L131&gt;=90,10,IF(L131&gt;=80,5,0))))</f>
        <v/>
      </c>
      <c r="O131" s="32" t="n">
        <v>66</v>
      </c>
      <c r="P131" s="32" t="n">
        <v>21.06</v>
      </c>
      <c r="Q131" s="32" t="n">
        <v>542.21</v>
      </c>
      <c r="R131" s="31" t="inlineStr">
        <is>
          <t>Near 52W High Breakout</t>
        </is>
      </c>
      <c r="S131" s="31" t="inlineStr">
        <is>
          <t>Nifty 50</t>
        </is>
      </c>
      <c r="T131" s="32" t="n">
        <v>-4.47</v>
      </c>
      <c r="U131" s="32" t="n">
        <v>-5.2</v>
      </c>
      <c r="V131" s="32" t="n">
        <v>-0.76</v>
      </c>
      <c r="W131" s="32" t="n">
        <v>7.72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IF(B132=0,"",RANK(B132,$B$2:$B$343,0))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3" t="inlineStr">
        <is>
          <t>NIBE</t>
        </is>
      </c>
      <c r="D132" s="33" t="inlineStr">
        <is>
          <t>NIBE Ltd</t>
        </is>
      </c>
      <c r="E132" s="31" t="inlineStr">
        <is>
          <t>aerospace &amp; defence</t>
        </is>
      </c>
      <c r="F132" s="31" t="inlineStr">
        <is>
          <t>engineering</t>
        </is>
      </c>
      <c r="G132" s="31" t="inlineStr">
        <is>
          <t>smallcap</t>
        </is>
      </c>
      <c r="H132" s="32" t="n">
        <v>2452.31</v>
      </c>
      <c r="I132" s="32" t="n">
        <v>1619</v>
      </c>
      <c r="J132" s="32" t="n">
        <v>-1.36</v>
      </c>
      <c r="K132" s="32" t="n">
        <v>112856</v>
      </c>
      <c r="L132" s="31" t="n">
        <v>63</v>
      </c>
      <c r="M132" s="31" t="inlineStr">
        <is>
          <t>Underperforming</t>
        </is>
      </c>
      <c r="N132" s="32">
        <f>IF(M132="Underperforming",-5,IF(L132&gt;=95,15,IF(L132&gt;=90,10,IF(L132&gt;=80,5,0))))</f>
        <v/>
      </c>
      <c r="O132" s="32" t="n">
        <v>69.75</v>
      </c>
      <c r="P132" s="32" t="n">
        <v>21.6</v>
      </c>
      <c r="Q132" s="32" t="n">
        <v>1155.38</v>
      </c>
      <c r="R132" s="31" t="inlineStr">
        <is>
          <t>Near 52W High Breakout</t>
        </is>
      </c>
      <c r="S132" s="31" t="inlineStr">
        <is>
          <t>Nifty 50</t>
        </is>
      </c>
      <c r="T132" s="32" t="n">
        <v>-4.47</v>
      </c>
      <c r="U132" s="32" t="n">
        <v>-4.84</v>
      </c>
      <c r="V132" s="32" t="n">
        <v>-0.39</v>
      </c>
      <c r="W132" s="32" t="n">
        <v>17.26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IF(B133=0,"",RANK(B133,$B$2:$B$343,0))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FIEMIND</t>
        </is>
      </c>
      <c r="D133" s="31" t="inlineStr">
        <is>
          <t>Fiem Industries Limited</t>
        </is>
      </c>
      <c r="E133" s="31" t="inlineStr">
        <is>
          <t>auto</t>
        </is>
      </c>
      <c r="F133" s="31" t="inlineStr">
        <is>
          <t>auto ancillaries</t>
        </is>
      </c>
      <c r="G133" s="31" t="inlineStr">
        <is>
          <t>midcap</t>
        </is>
      </c>
      <c r="H133" s="32" t="n">
        <v>6281.98</v>
      </c>
      <c r="I133" s="32" t="n">
        <v>2354.4</v>
      </c>
      <c r="J133" s="32" t="n">
        <v>-1.36</v>
      </c>
      <c r="K133" s="32" t="n">
        <v>47089</v>
      </c>
      <c r="L133" s="31" t="n">
        <v>33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61.03</v>
      </c>
      <c r="P133" s="32" t="n">
        <v>17.2</v>
      </c>
      <c r="Q133" s="32" t="n">
        <v>1898.35</v>
      </c>
      <c r="R133" s="31" t="inlineStr">
        <is>
          <t>Near 52W High Breakout</t>
        </is>
      </c>
      <c r="S133" s="31" t="inlineStr">
        <is>
          <t>Nifty Auto</t>
        </is>
      </c>
      <c r="T133" s="32" t="n">
        <v>13.57</v>
      </c>
      <c r="U133" s="32" t="n">
        <v>26.54</v>
      </c>
      <c r="V133" s="32" t="n">
        <v>11.42</v>
      </c>
      <c r="W133" s="32" t="n">
        <v>8.84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0 to 20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Less than 1.5</t>
        </is>
      </c>
      <c r="BU133" s="31">
        <f>IF(BT133="Above 2",0,IF(BT133="Between 1.5 to 2",5,IF(BT133="Less than 1.5",10,0)))</f>
        <v/>
      </c>
      <c r="BV133" s="31" t="inlineStr">
        <is>
          <t>Less than 50%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IF(B134=0,"",RANK(B134,$B$2:$B$343,0))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3" t="inlineStr">
        <is>
          <t>ZFCVINDIA</t>
        </is>
      </c>
      <c r="D134" s="33" t="inlineStr">
        <is>
          <t>ZF Commercial Vehicle Control System India Ltd</t>
        </is>
      </c>
      <c r="E134" s="31" t="inlineStr">
        <is>
          <t>auto</t>
        </is>
      </c>
      <c r="F134" s="31" t="inlineStr">
        <is>
          <t>auto ancillaries</t>
        </is>
      </c>
      <c r="G134" s="31" t="inlineStr">
        <is>
          <t>largecap</t>
        </is>
      </c>
      <c r="H134" s="32" t="n">
        <v>28625.88</v>
      </c>
      <c r="I134" s="32" t="n">
        <v>14881</v>
      </c>
      <c r="J134" s="32" t="n">
        <v>-1.4</v>
      </c>
      <c r="K134" s="32" t="n">
        <v>16995</v>
      </c>
      <c r="L134" s="31" t="n">
        <v>12</v>
      </c>
      <c r="M134" s="31" t="inlineStr">
        <is>
          <t>Underperforming</t>
        </is>
      </c>
      <c r="N134" s="32">
        <f>IF(M134="Underperforming",-5,IF(L134&gt;=95,15,IF(L134&gt;=90,10,IF(L134&gt;=80,5,0))))</f>
        <v/>
      </c>
      <c r="O134" s="32" t="n">
        <v>55</v>
      </c>
      <c r="P134" s="32" t="n">
        <v>24.37</v>
      </c>
      <c r="Q134" s="32" t="n">
        <v>12160.26</v>
      </c>
      <c r="R134" s="31" t="inlineStr">
        <is>
          <t>Earnings / Momentum Support</t>
        </is>
      </c>
      <c r="S134" s="31" t="inlineStr">
        <is>
          <t>Nifty Auto</t>
        </is>
      </c>
      <c r="T134" s="32" t="n">
        <v>13.57</v>
      </c>
      <c r="U134" s="32" t="n">
        <v>12.83</v>
      </c>
      <c r="V134" s="32" t="n">
        <v>-0.65</v>
      </c>
      <c r="W134" s="32" t="n">
        <v>4.45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No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Less than 1.5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IF(B135=0,"",RANK(B135,$B$2:$B$343,0))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HONASA</t>
        </is>
      </c>
      <c r="D135" s="31" t="inlineStr">
        <is>
          <t>Honasa Consumer Ltd</t>
        </is>
      </c>
      <c r="E135" s="31" t="inlineStr">
        <is>
          <t>services</t>
        </is>
      </c>
      <c r="F135" s="31" t="inlineStr">
        <is>
          <t>trading</t>
        </is>
      </c>
      <c r="G135" s="31" t="inlineStr">
        <is>
          <t>midcap</t>
        </is>
      </c>
      <c r="H135" s="32" t="n">
        <v>13247.43</v>
      </c>
      <c r="I135" s="32" t="n">
        <v>400.4</v>
      </c>
      <c r="J135" s="32" t="n">
        <v>-1.66</v>
      </c>
      <c r="K135" s="32" t="n">
        <v>854746</v>
      </c>
      <c r="L135" s="31" t="n">
        <v>55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69.38</v>
      </c>
      <c r="P135" s="32" t="n">
        <v>34.55</v>
      </c>
      <c r="Q135" s="32" t="n">
        <v>334.42</v>
      </c>
      <c r="R135" s="31" t="inlineStr">
        <is>
          <t>Near 52W High Breakout</t>
        </is>
      </c>
      <c r="S135" s="31" t="inlineStr">
        <is>
          <t>Nifty 50</t>
        </is>
      </c>
      <c r="T135" s="32" t="n">
        <v>-4.47</v>
      </c>
      <c r="U135" s="32" t="n">
        <v>33.18</v>
      </c>
      <c r="V135" s="32" t="n">
        <v>39.41</v>
      </c>
      <c r="W135" s="32" t="n">
        <v>14.76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Between 50% to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IF(B136=0,"",RANK(B136,$B$2:$B$343,0))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RSWM</t>
        </is>
      </c>
      <c r="D136" s="31" t="inlineStr">
        <is>
          <t>Rswm Limited</t>
        </is>
      </c>
      <c r="E136" s="31" t="inlineStr">
        <is>
          <t>textiles</t>
        </is>
      </c>
      <c r="F136" s="31" t="inlineStr">
        <is>
          <t>textiles - cotton/blended</t>
        </is>
      </c>
      <c r="G136" s="31" t="inlineStr">
        <is>
          <t>smallcap</t>
        </is>
      </c>
      <c r="H136" s="32" t="n">
        <v>974.2</v>
      </c>
      <c r="I136" s="32" t="n">
        <v>203.33</v>
      </c>
      <c r="J136" s="32" t="n">
        <v>-1.69</v>
      </c>
      <c r="K136" s="32" t="n">
        <v>117974</v>
      </c>
      <c r="L136" s="31" t="n">
        <v>62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67.48</v>
      </c>
      <c r="P136" s="32" t="n">
        <v>26.28</v>
      </c>
      <c r="Q136" s="32" t="n">
        <v>158.08</v>
      </c>
      <c r="R136" s="31" t="inlineStr">
        <is>
          <t>Near 52W High Breakout</t>
        </is>
      </c>
      <c r="S136" s="31" t="inlineStr">
        <is>
          <t>Nifty 50</t>
        </is>
      </c>
      <c r="T136" s="32" t="n">
        <v>-4.47</v>
      </c>
      <c r="U136" s="32" t="n">
        <v>20.71</v>
      </c>
      <c r="V136" s="32" t="n">
        <v>26.37</v>
      </c>
      <c r="W136" s="32" t="n">
        <v>16.85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Less than 1.5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More than 1.2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IF(B137=0,"",RANK(B137,$B$2:$B$343,0))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SPAL</t>
        </is>
      </c>
      <c r="D137" s="31" t="inlineStr">
        <is>
          <t>S. P. Apparels Limited</t>
        </is>
      </c>
      <c r="E137" s="31" t="inlineStr">
        <is>
          <t>consumer discretionary</t>
        </is>
      </c>
      <c r="F137" s="31" t="inlineStr">
        <is>
          <t>textiles - products</t>
        </is>
      </c>
      <c r="G137" s="31" t="inlineStr">
        <is>
          <t>smallcap</t>
        </is>
      </c>
      <c r="H137" s="32" t="n">
        <v>2181.68</v>
      </c>
      <c r="I137" s="32" t="n">
        <v>848.25</v>
      </c>
      <c r="J137" s="32" t="n">
        <v>-2.26</v>
      </c>
      <c r="K137" s="32" t="n">
        <v>361317</v>
      </c>
      <c r="L137" s="31" t="n">
        <v>14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63.89</v>
      </c>
      <c r="P137" s="32" t="n">
        <v>22.65</v>
      </c>
      <c r="Q137" s="32" t="n">
        <v>640.84</v>
      </c>
      <c r="R137" s="31" t="inlineStr">
        <is>
          <t>Volume Spike &amp; Near 52W High Breakout</t>
        </is>
      </c>
      <c r="S137" s="31" t="inlineStr">
        <is>
          <t>Nifty 50</t>
        </is>
      </c>
      <c r="T137" s="32" t="n">
        <v>-4.47</v>
      </c>
      <c r="U137" s="32" t="n">
        <v>3.53</v>
      </c>
      <c r="V137" s="32" t="n">
        <v>8.380000000000001</v>
      </c>
      <c r="W137" s="32" t="n">
        <v>4.83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Less than 12%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IF(B138=0,"",RANK(B138,$B$2:$B$343,0))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SASKEN</t>
        </is>
      </c>
      <c r="D138" s="31" t="inlineStr">
        <is>
          <t>Sasken Communication Technologies Limited</t>
        </is>
      </c>
      <c r="E138" s="31" t="inlineStr">
        <is>
          <t>i.t</t>
        </is>
      </c>
      <c r="F138" s="31" t="inlineStr">
        <is>
          <t>computers - software - medium / small</t>
        </is>
      </c>
      <c r="G138" s="31" t="inlineStr">
        <is>
          <t>smallcap</t>
        </is>
      </c>
      <c r="H138" s="32" t="n">
        <v>3225.91</v>
      </c>
      <c r="I138" s="32" t="n">
        <v>2188.4</v>
      </c>
      <c r="J138" s="32" t="n">
        <v>3.02</v>
      </c>
      <c r="K138" s="32" t="n">
        <v>41929</v>
      </c>
      <c r="L138" s="31" t="n">
        <v>87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72.95</v>
      </c>
      <c r="P138" s="32" t="n">
        <v>34.11</v>
      </c>
      <c r="Q138" s="32" t="n">
        <v>1658.13</v>
      </c>
      <c r="R138" s="31" t="inlineStr">
        <is>
          <t>Near 52W High Breakout</t>
        </is>
      </c>
      <c r="S138" s="31" t="inlineStr">
        <is>
          <t>Nifty IT</t>
        </is>
      </c>
      <c r="T138" s="32" t="n">
        <v>-26.73</v>
      </c>
      <c r="U138" s="32" t="n">
        <v>59.55</v>
      </c>
      <c r="V138" s="32" t="n">
        <v>117.77</v>
      </c>
      <c r="W138" s="32" t="n">
        <v>31.99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Annuity, Lower One Time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Blue sky scenario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Negative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IF(B139=0,"",RANK(B139,$B$2:$B$343,0))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VADILALIND</t>
        </is>
      </c>
      <c r="D139" s="31" t="inlineStr">
        <is>
          <t>Vadilal Industries Limited</t>
        </is>
      </c>
      <c r="E139" s="31" t="inlineStr">
        <is>
          <t>fmcg</t>
        </is>
      </c>
      <c r="F139" s="31" t="inlineStr">
        <is>
          <t>food - processing - indian</t>
        </is>
      </c>
      <c r="G139" s="31" t="inlineStr">
        <is>
          <t>smallcap</t>
        </is>
      </c>
      <c r="H139" s="32" t="n">
        <v>4331.75</v>
      </c>
      <c r="I139" s="32" t="n">
        <v>6178</v>
      </c>
      <c r="J139" s="32" t="n">
        <v>2.51</v>
      </c>
      <c r="K139" s="32" t="n">
        <v>28247</v>
      </c>
      <c r="L139" s="31" t="n">
        <v>40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67.84999999999999</v>
      </c>
      <c r="P139" s="32" t="n">
        <v>15.18</v>
      </c>
      <c r="Q139" s="32" t="n">
        <v>4802.35</v>
      </c>
      <c r="R139" s="31" t="inlineStr">
        <is>
          <t>Near 52W High Breakout</t>
        </is>
      </c>
      <c r="S139" s="31" t="inlineStr">
        <is>
          <t>Nifty FMCG</t>
        </is>
      </c>
      <c r="T139" s="32" t="n">
        <v>-9.130000000000001</v>
      </c>
      <c r="U139" s="32" t="n">
        <v>12.02</v>
      </c>
      <c r="V139" s="32" t="n">
        <v>23.27</v>
      </c>
      <c r="W139" s="32" t="n">
        <v>10.83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B2C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Annuity, Lower One Time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0 to 20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Between 50% to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IF(B140=0,"",RANK(B140,$B$2:$B$343,0))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3" t="inlineStr">
        <is>
          <t>RAINBOW</t>
        </is>
      </c>
      <c r="D140" s="33" t="inlineStr">
        <is>
          <t>Rainbow Childrens Medicare Ltd</t>
        </is>
      </c>
      <c r="E140" s="31" t="inlineStr">
        <is>
          <t>healthcare</t>
        </is>
      </c>
      <c r="F140" s="31" t="inlineStr">
        <is>
          <t>healthcare</t>
        </is>
      </c>
      <c r="G140" s="31" t="inlineStr">
        <is>
          <t>midcap</t>
        </is>
      </c>
      <c r="H140" s="32" t="n">
        <v>14407.18</v>
      </c>
      <c r="I140" s="32" t="n">
        <v>1422.7</v>
      </c>
      <c r="J140" s="32" t="n">
        <v>0.29</v>
      </c>
      <c r="K140" s="32" t="n">
        <v>101004</v>
      </c>
      <c r="L140" s="31" t="n">
        <v>20</v>
      </c>
      <c r="M140" s="31" t="inlineStr">
        <is>
          <t>Underperforming</t>
        </is>
      </c>
      <c r="N140" s="32">
        <f>IF(M140="Underperforming",-5,IF(L140&gt;=95,15,IF(L140&gt;=90,10,IF(L140&gt;=80,5,0))))</f>
        <v/>
      </c>
      <c r="O140" s="32" t="n">
        <v>64.98999999999999</v>
      </c>
      <c r="P140" s="32" t="n">
        <v>25.72</v>
      </c>
      <c r="Q140" s="32" t="n">
        <v>1195.52</v>
      </c>
      <c r="R140" s="31" t="inlineStr">
        <is>
          <t>Earnings / Momentum Support</t>
        </is>
      </c>
      <c r="S140" s="31" t="inlineStr">
        <is>
          <t>Nifty Pharma</t>
        </is>
      </c>
      <c r="T140" s="32" t="n">
        <v>11.77</v>
      </c>
      <c r="U140" s="32" t="n">
        <v>-1.84</v>
      </c>
      <c r="V140" s="32" t="n">
        <v>-12.18</v>
      </c>
      <c r="W140" s="32" t="n">
        <v>6.14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Yes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No</t>
        </is>
      </c>
      <c r="AQ140" s="31">
        <f>IF(AP140="Yes",10,0)</f>
        <v/>
      </c>
      <c r="AR140" s="31" t="inlineStr">
        <is>
          <t>Higher Annuity, Lower One Time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IF(B141=0,"",RANK(B141,$B$2:$B$343,0))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DBOL</t>
        </is>
      </c>
      <c r="D141" s="31" t="inlineStr">
        <is>
          <t>Dhampur Bio Organics Ltd</t>
        </is>
      </c>
      <c r="E141" s="31" t="inlineStr">
        <is>
          <t>fmcg</t>
        </is>
      </c>
      <c r="F141" s="31" t="inlineStr">
        <is>
          <t>sugar</t>
        </is>
      </c>
      <c r="G141" s="31" t="inlineStr">
        <is>
          <t>smallcap</t>
        </is>
      </c>
      <c r="H141" s="32" t="n">
        <v>762.59</v>
      </c>
      <c r="I141" s="32" t="n">
        <v>114.86</v>
      </c>
      <c r="J141" s="32" t="n">
        <v>-0.01</v>
      </c>
      <c r="K141" s="32" t="n">
        <v>28866</v>
      </c>
      <c r="L141" s="31" t="n">
        <v>45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59.44</v>
      </c>
      <c r="P141" s="32" t="n">
        <v>48.45</v>
      </c>
      <c r="Q141" s="32" t="n">
        <v>94.54000000000001</v>
      </c>
      <c r="R141" s="31" t="inlineStr">
        <is>
          <t>Earnings / Momentum Support</t>
        </is>
      </c>
      <c r="S141" s="31" t="inlineStr">
        <is>
          <t>Nifty FMCG</t>
        </is>
      </c>
      <c r="T141" s="32" t="n">
        <v>-9.130000000000001</v>
      </c>
      <c r="U141" s="32" t="n">
        <v>48.81</v>
      </c>
      <c r="V141" s="32" t="n">
        <v>63.76</v>
      </c>
      <c r="W141" s="32" t="n">
        <v>12.44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B2C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Annuity, Lower One Time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Above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Less than 12%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Between 0.7 to 1.2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IF(B142=0,"",RANK(B142,$B$2:$B$343,0))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TATATECH</t>
        </is>
      </c>
      <c r="D142" s="31" t="inlineStr">
        <is>
          <t>Tata Technologies Ltd</t>
        </is>
      </c>
      <c r="E142" s="31" t="inlineStr">
        <is>
          <t>i.t</t>
        </is>
      </c>
      <c r="F142" s="31" t="inlineStr">
        <is>
          <t>computers - software - medium / small</t>
        </is>
      </c>
      <c r="G142" s="31" t="inlineStr">
        <is>
          <t>largecap</t>
        </is>
      </c>
      <c r="H142" s="32" t="n">
        <v>31337.54</v>
      </c>
      <c r="I142" s="32" t="n">
        <v>769.95</v>
      </c>
      <c r="J142" s="32" t="n">
        <v>-0.25</v>
      </c>
      <c r="K142" s="32" t="n">
        <v>735803</v>
      </c>
      <c r="L142" s="31" t="n">
        <v>45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71.28</v>
      </c>
      <c r="P142" s="32" t="n">
        <v>35.05</v>
      </c>
      <c r="Q142" s="32" t="n">
        <v>638.87</v>
      </c>
      <c r="R142" s="31" t="inlineStr">
        <is>
          <t>Near 52W High Breakout</t>
        </is>
      </c>
      <c r="S142" s="31" t="inlineStr">
        <is>
          <t>Nifty IT</t>
        </is>
      </c>
      <c r="T142" s="32" t="n">
        <v>-26.73</v>
      </c>
      <c r="U142" s="32" t="n">
        <v>10.68</v>
      </c>
      <c r="V142" s="32" t="n">
        <v>51.06</v>
      </c>
      <c r="W142" s="32" t="n">
        <v>12.46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Annuity, Lower One Time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Less than 12%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IF(B143=0,"",RANK(B143,$B$2:$B$343,0))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VSTIND</t>
        </is>
      </c>
      <c r="D143" s="31" t="inlineStr">
        <is>
          <t>Vst Industries Limited</t>
        </is>
      </c>
      <c r="E143" s="31" t="inlineStr">
        <is>
          <t>fmcg</t>
        </is>
      </c>
      <c r="F143" s="31" t="inlineStr">
        <is>
          <t>cigarettes</t>
        </is>
      </c>
      <c r="G143" s="31" t="inlineStr">
        <is>
          <t>smallcap</t>
        </is>
      </c>
      <c r="H143" s="32" t="n">
        <v>4413.84</v>
      </c>
      <c r="I143" s="32" t="n">
        <v>258.95</v>
      </c>
      <c r="J143" s="32" t="n">
        <v>-0.35</v>
      </c>
      <c r="K143" s="32" t="n">
        <v>236068</v>
      </c>
      <c r="L143" s="31" t="n">
        <v>9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56.19</v>
      </c>
      <c r="P143" s="32" t="n">
        <v>27.8</v>
      </c>
      <c r="Q143" s="32" t="n">
        <v>222.41</v>
      </c>
      <c r="R143" s="31" t="inlineStr">
        <is>
          <t>Earnings / Momentum Support</t>
        </is>
      </c>
      <c r="S143" s="31" t="inlineStr">
        <is>
          <t>Nifty FMCG</t>
        </is>
      </c>
      <c r="T143" s="32" t="n">
        <v>-9.130000000000001</v>
      </c>
      <c r="U143" s="32" t="n">
        <v>-5.4</v>
      </c>
      <c r="V143" s="32" t="n">
        <v>4.1</v>
      </c>
      <c r="W143" s="32" t="n">
        <v>3.79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B2C</t>
        </is>
      </c>
      <c r="AO143" s="31">
        <f>IF(AN143="B2C",10,IF(AN143="B2B",5,0))</f>
        <v/>
      </c>
      <c r="AP143" s="31" t="inlineStr">
        <is>
          <t>No</t>
        </is>
      </c>
      <c r="AQ143" s="31">
        <f>IF(AP143="Yes",10,0)</f>
        <v/>
      </c>
      <c r="AR143" s="31" t="inlineStr">
        <is>
          <t>Higher Annuity, Lower One Time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Less than 50%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IF(B144=0,"",RANK(B144,$B$2:$B$343,0))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HESTERBIO</t>
        </is>
      </c>
      <c r="D144" s="31" t="inlineStr">
        <is>
          <t>Hester Biosciences Limited</t>
        </is>
      </c>
      <c r="E144" s="31" t="inlineStr">
        <is>
          <t>healthcare</t>
        </is>
      </c>
      <c r="F144" s="31" t="inlineStr">
        <is>
          <t>pharmaceuticals - indian - formulations</t>
        </is>
      </c>
      <c r="G144" s="31" t="inlineStr">
        <is>
          <t>smallcap</t>
        </is>
      </c>
      <c r="H144" s="32" t="n">
        <v>1758.03</v>
      </c>
      <c r="I144" s="32" t="n">
        <v>2054.4</v>
      </c>
      <c r="J144" s="32" t="n">
        <v>-0.59</v>
      </c>
      <c r="K144" s="32" t="n">
        <v>5742</v>
      </c>
      <c r="L144" s="31" t="n">
        <v>56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70.58</v>
      </c>
      <c r="P144" s="32" t="n">
        <v>37.44</v>
      </c>
      <c r="Q144" s="32" t="n">
        <v>1593.32</v>
      </c>
      <c r="R144" s="31" t="inlineStr">
        <is>
          <t>Earnings / Momentum Support</t>
        </is>
      </c>
      <c r="S144" s="31" t="inlineStr">
        <is>
          <t>Nifty Pharma</t>
        </is>
      </c>
      <c r="T144" s="32" t="n">
        <v>11.77</v>
      </c>
      <c r="U144" s="32" t="n">
        <v>17.88</v>
      </c>
      <c r="V144" s="32" t="n">
        <v>5.46</v>
      </c>
      <c r="W144" s="32" t="n">
        <v>15.39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Yes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Annuity, Lower One Time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IF(B145=0,"",RANK(B145,$B$2:$B$343,0))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BLSE</t>
        </is>
      </c>
      <c r="D145" s="31" t="inlineStr">
        <is>
          <t>BLS E-Services Ltd</t>
        </is>
      </c>
      <c r="E145" s="31" t="inlineStr">
        <is>
          <t>i.t</t>
        </is>
      </c>
      <c r="F145" s="31" t="inlineStr">
        <is>
          <t>computers - software - medium / small</t>
        </is>
      </c>
      <c r="G145" s="31" t="inlineStr">
        <is>
          <t>smallcap</t>
        </is>
      </c>
      <c r="H145" s="32" t="n">
        <v>2128.31</v>
      </c>
      <c r="I145" s="32" t="n">
        <v>228.03</v>
      </c>
      <c r="J145" s="32" t="n">
        <v>-2.66</v>
      </c>
      <c r="K145" s="32" t="n">
        <v>188216</v>
      </c>
      <c r="L145" s="31" t="n">
        <v>69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68.16</v>
      </c>
      <c r="P145" s="32" t="n">
        <v>21.52</v>
      </c>
      <c r="Q145" s="32" t="n">
        <v>178.1</v>
      </c>
      <c r="R145" s="31" t="inlineStr">
        <is>
          <t>Near 52W High Breakout</t>
        </is>
      </c>
      <c r="S145" s="31" t="inlineStr">
        <is>
          <t>Nifty IT</t>
        </is>
      </c>
      <c r="T145" s="32" t="n">
        <v>-26.73</v>
      </c>
      <c r="U145" s="32" t="n">
        <v>21.31</v>
      </c>
      <c r="V145" s="32" t="n">
        <v>65.58</v>
      </c>
      <c r="W145" s="32" t="n">
        <v>19.09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Annuity, Lower One Time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Less than 12%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Between 50% to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IF(B146=0,"",RANK(B146,$B$2:$B$343,0))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XPROINDIA</t>
        </is>
      </c>
      <c r="D146" s="31" t="inlineStr">
        <is>
          <t>Xpro India Limited</t>
        </is>
      </c>
      <c r="E146" s="31" t="inlineStr">
        <is>
          <t>industrials</t>
        </is>
      </c>
      <c r="F146" s="31" t="inlineStr">
        <is>
          <t>packaging</t>
        </is>
      </c>
      <c r="G146" s="31" t="inlineStr">
        <is>
          <t>smallcap</t>
        </is>
      </c>
      <c r="H146" s="32" t="n">
        <v>2839.92</v>
      </c>
      <c r="I146" s="32" t="n">
        <v>1393.8</v>
      </c>
      <c r="J146" s="32" t="n">
        <v>15.19</v>
      </c>
      <c r="K146" s="32" t="n">
        <v>974366</v>
      </c>
      <c r="L146" s="31" t="n">
        <v>44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68.34999999999999</v>
      </c>
      <c r="P146" s="32" t="n">
        <v>21.54</v>
      </c>
      <c r="Q146" s="32" t="n">
        <v>1048.01</v>
      </c>
      <c r="R146" s="31" t="inlineStr">
        <is>
          <t>Volume Spike &amp; Near 52W High Breakout</t>
        </is>
      </c>
      <c r="S146" s="31" t="inlineStr">
        <is>
          <t>Nifty 50</t>
        </is>
      </c>
      <c r="T146" s="32" t="n">
        <v>-4.47</v>
      </c>
      <c r="U146" s="32" t="n">
        <v>16.21</v>
      </c>
      <c r="V146" s="32" t="n">
        <v>21.66</v>
      </c>
      <c r="W146" s="32" t="n">
        <v>12.19</v>
      </c>
      <c r="X146" s="31" t="inlineStr">
        <is>
          <t>Cyclical in an Upturn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Between 1.5 to 2</t>
        </is>
      </c>
      <c r="BU146" s="31">
        <f>IF(BT146="Above 2",0,IF(BT146="Between 1.5 to 2",5,IF(BT146="Less than 1.5",10,0)))</f>
        <v/>
      </c>
      <c r="BV146" s="31" t="inlineStr">
        <is>
          <t>Less than 50%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IF(B147=0,"",RANK(B147,$B$2:$B$343,0))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PREMEXPLN</t>
        </is>
      </c>
      <c r="D147" s="31" t="inlineStr">
        <is>
          <t>Premier Explosives Limited</t>
        </is>
      </c>
      <c r="E147" s="31" t="inlineStr">
        <is>
          <t>aerospace &amp; defence</t>
        </is>
      </c>
      <c r="F147" s="31" t="inlineStr">
        <is>
          <t>chemicals</t>
        </is>
      </c>
      <c r="G147" s="31" t="inlineStr">
        <is>
          <t>smallcap</t>
        </is>
      </c>
      <c r="H147" s="32" t="n">
        <v>3673.5</v>
      </c>
      <c r="I147" s="32" t="n">
        <v>737.8</v>
      </c>
      <c r="J147" s="32" t="n">
        <v>7.98</v>
      </c>
      <c r="K147" s="32" t="n">
        <v>3134401</v>
      </c>
      <c r="L147" s="31" t="n">
        <v>74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70.97</v>
      </c>
      <c r="P147" s="32" t="n">
        <v>21.46</v>
      </c>
      <c r="Q147" s="32" t="n">
        <v>526.46</v>
      </c>
      <c r="R147" s="31" t="inlineStr">
        <is>
          <t>Near 52W High Breakout</t>
        </is>
      </c>
      <c r="S147" s="31" t="inlineStr">
        <is>
          <t>Nifty IT</t>
        </is>
      </c>
      <c r="T147" s="32" t="n">
        <v>-26.73</v>
      </c>
      <c r="U147" s="32" t="n">
        <v>24.56</v>
      </c>
      <c r="V147" s="32" t="n">
        <v>70.01000000000001</v>
      </c>
      <c r="W147" s="32" t="n">
        <v>22.01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Less than 1.5</t>
        </is>
      </c>
      <c r="BU147" s="31">
        <f>IF(BT147="Above 2",0,IF(BT147="Between 1.5 to 2",5,IF(BT147="Less than 1.5",10,0)))</f>
        <v/>
      </c>
      <c r="BV147" s="31" t="inlineStr">
        <is>
          <t>Negative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IF(B148=0,"",RANK(B148,$B$2:$B$343,0))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WABAG</t>
        </is>
      </c>
      <c r="D148" s="31" t="inlineStr">
        <is>
          <t>Va Tech Wabag Limited</t>
        </is>
      </c>
      <c r="E148" s="31" t="inlineStr">
        <is>
          <t>realty</t>
        </is>
      </c>
      <c r="F148" s="31" t="inlineStr">
        <is>
          <t>engineering - turnkey services</t>
        </is>
      </c>
      <c r="G148" s="31" t="inlineStr">
        <is>
          <t>midcap</t>
        </is>
      </c>
      <c r="H148" s="32" t="n">
        <v>10150.86</v>
      </c>
      <c r="I148" s="32" t="n">
        <v>1754.3</v>
      </c>
      <c r="J148" s="32" t="n">
        <v>7.69</v>
      </c>
      <c r="K148" s="32" t="n">
        <v>2871543</v>
      </c>
      <c r="L148" s="31" t="n">
        <v>51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71.40000000000001</v>
      </c>
      <c r="P148" s="32" t="n">
        <v>15.24</v>
      </c>
      <c r="Q148" s="32" t="n">
        <v>1396.7</v>
      </c>
      <c r="R148" s="31" t="inlineStr">
        <is>
          <t>Volume Spike &amp; Near 52W High Breakout</t>
        </is>
      </c>
      <c r="S148" s="31" t="inlineStr">
        <is>
          <t>Nifty Realty</t>
        </is>
      </c>
      <c r="T148" s="32" t="n">
        <v>-19.29</v>
      </c>
      <c r="U148" s="32" t="n">
        <v>19.31</v>
      </c>
      <c r="V148" s="32" t="n">
        <v>47.83</v>
      </c>
      <c r="W148" s="32" t="n">
        <v>13.68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0 to 20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Less than 1.5</t>
        </is>
      </c>
      <c r="BU148" s="31">
        <f>IF(BT148="Above 2",0,IF(BT148="Between 1.5 to 2",5,IF(BT148="Less than 1.5",10,0)))</f>
        <v/>
      </c>
      <c r="BV148" s="31" t="inlineStr">
        <is>
          <t>Less than 50%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IF(B149=0,"",RANK(B149,$B$2:$B$343,0))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MTARTECH</t>
        </is>
      </c>
      <c r="D149" s="31" t="inlineStr">
        <is>
          <t>MTAR Technologies Ltd</t>
        </is>
      </c>
      <c r="E149" s="31" t="inlineStr">
        <is>
          <t>aerospace &amp; defence</t>
        </is>
      </c>
      <c r="F149" s="31" t="inlineStr">
        <is>
          <t>engineering</t>
        </is>
      </c>
      <c r="G149" s="31" t="inlineStr">
        <is>
          <t>largecap</t>
        </is>
      </c>
      <c r="H149" s="32" t="n">
        <v>22589.84</v>
      </c>
      <c r="I149" s="32" t="n">
        <v>7698.5</v>
      </c>
      <c r="J149" s="32" t="n">
        <v>4.83</v>
      </c>
      <c r="K149" s="32" t="n">
        <v>3188367</v>
      </c>
      <c r="L149" s="31" t="n">
        <v>98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78.08</v>
      </c>
      <c r="P149" s="32" t="n">
        <v>63.04</v>
      </c>
      <c r="Q149" s="32" t="n">
        <v>5791.48</v>
      </c>
      <c r="R149" s="31" t="inlineStr">
        <is>
          <t>Near 52W High Breakout</t>
        </is>
      </c>
      <c r="S149" s="31" t="inlineStr">
        <is>
          <t>Nifty 50</t>
        </is>
      </c>
      <c r="T149" s="32" t="n">
        <v>-4.47</v>
      </c>
      <c r="U149" s="32" t="n">
        <v>348.45</v>
      </c>
      <c r="V149" s="32" t="n">
        <v>369.45</v>
      </c>
      <c r="W149" s="32" t="n">
        <v>64.45999999999999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Above 40</t>
        </is>
      </c>
      <c r="AY149" s="31">
        <f>IF(AX149="Above 40",20,IF(AX149="20 to 40",10,IF(AX149="0 to 20",-5,0)))</f>
        <v/>
      </c>
      <c r="AZ149" s="31" t="inlineStr">
        <is>
          <t>Above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Negative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Blue sky scenario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Yes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IF(B150=0,"",RANK(B150,$B$2:$B$343,0))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FCL</t>
        </is>
      </c>
      <c r="D150" s="31" t="inlineStr">
        <is>
          <t>Fineotex Chemical Limited</t>
        </is>
      </c>
      <c r="E150" s="31" t="inlineStr">
        <is>
          <t>chemicals</t>
        </is>
      </c>
      <c r="F150" s="31" t="inlineStr">
        <is>
          <t>chemicals</t>
        </is>
      </c>
      <c r="G150" s="31" t="inlineStr">
        <is>
          <t>smallcap</t>
        </is>
      </c>
      <c r="H150" s="32" t="n">
        <v>4832.68</v>
      </c>
      <c r="I150" s="32" t="n">
        <v>43.3</v>
      </c>
      <c r="J150" s="32" t="n">
        <v>4.34</v>
      </c>
      <c r="K150" s="32" t="n">
        <v>19755871</v>
      </c>
      <c r="L150" s="31" t="n">
        <v>90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76.18000000000001</v>
      </c>
      <c r="P150" s="32" t="n">
        <v>33.87</v>
      </c>
      <c r="Q150" s="32" t="n">
        <v>32.18</v>
      </c>
      <c r="R150" s="31" t="inlineStr">
        <is>
          <t>Near 52W High Breakout</t>
        </is>
      </c>
      <c r="S150" s="31" t="inlineStr">
        <is>
          <t>Nifty 50</t>
        </is>
      </c>
      <c r="T150" s="32" t="n">
        <v>-4.47</v>
      </c>
      <c r="U150" s="32" t="n">
        <v>56.68</v>
      </c>
      <c r="V150" s="32" t="n">
        <v>64.02</v>
      </c>
      <c r="W150" s="32" t="n">
        <v>35.14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Above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Negative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IF(B151=0,"",RANK(B151,$B$2:$B$343,0))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AVL</t>
        </is>
      </c>
      <c r="D151" s="31" t="inlineStr">
        <is>
          <t>Aditya Vision Ltd</t>
        </is>
      </c>
      <c r="E151" s="31" t="inlineStr">
        <is>
          <t>consumer discretionary</t>
        </is>
      </c>
      <c r="F151" s="31" t="inlineStr">
        <is>
          <t>trading</t>
        </is>
      </c>
      <c r="G151" s="31" t="inlineStr">
        <is>
          <t>midcap</t>
        </is>
      </c>
      <c r="H151" s="32" t="n">
        <v>7327.29</v>
      </c>
      <c r="I151" s="32" t="n">
        <v>590.9</v>
      </c>
      <c r="J151" s="32" t="n">
        <v>4.14</v>
      </c>
      <c r="K151" s="32" t="n">
        <v>621174</v>
      </c>
      <c r="L151" s="31" t="n">
        <v>70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64.39</v>
      </c>
      <c r="P151" s="32" t="n">
        <v>23.01</v>
      </c>
      <c r="Q151" s="32" t="n">
        <v>465.29</v>
      </c>
      <c r="R151" s="31" t="inlineStr">
        <is>
          <t>Near 52W High Breakout</t>
        </is>
      </c>
      <c r="S151" s="31" t="inlineStr">
        <is>
          <t>Nifty 50</t>
        </is>
      </c>
      <c r="T151" s="32" t="n">
        <v>-4.47</v>
      </c>
      <c r="U151" s="32" t="n">
        <v>66.68000000000001</v>
      </c>
      <c r="V151" s="32" t="n">
        <v>74.48999999999999</v>
      </c>
      <c r="W151" s="32" t="n">
        <v>19.77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Blue sky scenario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Between 1.5 to 2</t>
        </is>
      </c>
      <c r="BU151" s="31">
        <f>IF(BT151="Above 2",0,IF(BT151="Between 1.5 to 2",5,IF(BT151="Less than 1.5",10,0)))</f>
        <v/>
      </c>
      <c r="BV151" s="31" t="inlineStr">
        <is>
          <t>Less than 50%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Between 0.7 to 1.2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IF(B152=0,"",RANK(B152,$B$2:$B$343,0))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ZENTEC</t>
        </is>
      </c>
      <c r="D152" s="31" t="inlineStr">
        <is>
          <t>Zen Technologies Limited</t>
        </is>
      </c>
      <c r="E152" s="31" t="inlineStr">
        <is>
          <t>aerospace &amp; defence</t>
        </is>
      </c>
      <c r="F152" s="31" t="inlineStr">
        <is>
          <t>miscellaneous</t>
        </is>
      </c>
      <c r="G152" s="31" t="inlineStr">
        <is>
          <t>midcap</t>
        </is>
      </c>
      <c r="H152" s="32" t="n">
        <v>16153.85</v>
      </c>
      <c r="I152" s="32" t="n">
        <v>1854.7</v>
      </c>
      <c r="J152" s="32" t="n">
        <v>3.67</v>
      </c>
      <c r="K152" s="32" t="n">
        <v>1094995</v>
      </c>
      <c r="L152" s="31" t="n">
        <v>23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70</v>
      </c>
      <c r="P152" s="32" t="n">
        <v>24.58</v>
      </c>
      <c r="Q152" s="32" t="n">
        <v>1425.53</v>
      </c>
      <c r="R152" s="31" t="inlineStr">
        <is>
          <t>Near 52W High Breakout</t>
        </is>
      </c>
      <c r="S152" s="31" t="inlineStr">
        <is>
          <t>Nifty 50</t>
        </is>
      </c>
      <c r="T152" s="32" t="n">
        <v>-4.47</v>
      </c>
      <c r="U152" s="32" t="n">
        <v>-2.23</v>
      </c>
      <c r="V152" s="32" t="n">
        <v>2.35</v>
      </c>
      <c r="W152" s="32" t="n">
        <v>7.11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Less than 12%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IF(B153=0,"",RANK(B153,$B$2:$B$343,0))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JAMNAAUTO</t>
        </is>
      </c>
      <c r="D153" s="31" t="inlineStr">
        <is>
          <t>Jamna Auto Industries Limited</t>
        </is>
      </c>
      <c r="E153" s="31" t="inlineStr">
        <is>
          <t>auto</t>
        </is>
      </c>
      <c r="F153" s="31" t="inlineStr">
        <is>
          <t>auto ancillaries</t>
        </is>
      </c>
      <c r="G153" s="31" t="inlineStr">
        <is>
          <t>smallcap</t>
        </is>
      </c>
      <c r="H153" s="32" t="n">
        <v>4994.79</v>
      </c>
      <c r="I153" s="32" t="n">
        <v>128.5</v>
      </c>
      <c r="J153" s="32" t="n">
        <v>2.83</v>
      </c>
      <c r="K153" s="32" t="n">
        <v>3788686</v>
      </c>
      <c r="L153" s="31" t="n">
        <v>38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54.53</v>
      </c>
      <c r="P153" s="32" t="n">
        <v>13.67</v>
      </c>
      <c r="Q153" s="32" t="n">
        <v>97.11</v>
      </c>
      <c r="R153" s="31" t="inlineStr">
        <is>
          <t>Earnings / Momentum Support</t>
        </is>
      </c>
      <c r="S153" s="31" t="inlineStr">
        <is>
          <t>Nifty Auto</t>
        </is>
      </c>
      <c r="T153" s="32" t="n">
        <v>13.57</v>
      </c>
      <c r="U153" s="32" t="n">
        <v>46.72</v>
      </c>
      <c r="V153" s="32" t="n">
        <v>29.2</v>
      </c>
      <c r="W153" s="32" t="n">
        <v>9.92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No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0 to 20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Less than 1.5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IF(B154=0,"",RANK(B154,$B$2:$B$343,0))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IGPL</t>
        </is>
      </c>
      <c r="D154" s="31" t="inlineStr">
        <is>
          <t>Ig Petrochemicals Limited</t>
        </is>
      </c>
      <c r="E154" s="31" t="inlineStr">
        <is>
          <t>chemicals</t>
        </is>
      </c>
      <c r="F154" s="31" t="inlineStr">
        <is>
          <t>chemicals</t>
        </is>
      </c>
      <c r="G154" s="31" t="inlineStr">
        <is>
          <t>smallcap</t>
        </is>
      </c>
      <c r="H154" s="32" t="n">
        <v>1343.58</v>
      </c>
      <c r="I154" s="32" t="n">
        <v>447.1</v>
      </c>
      <c r="J154" s="32" t="n">
        <v>2.48</v>
      </c>
      <c r="K154" s="32" t="n">
        <v>24342</v>
      </c>
      <c r="L154" s="31" t="n">
        <v>6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58.17</v>
      </c>
      <c r="P154" s="32" t="n">
        <v>20.97</v>
      </c>
      <c r="Q154" s="32" t="n">
        <v>359.96</v>
      </c>
      <c r="R154" s="31" t="inlineStr">
        <is>
          <t>Earnings / Momentum Support</t>
        </is>
      </c>
      <c r="S154" s="31" t="inlineStr">
        <is>
          <t>Nifty IT</t>
        </is>
      </c>
      <c r="T154" s="32" t="n">
        <v>-26.73</v>
      </c>
      <c r="U154" s="32" t="n">
        <v>-1.27</v>
      </c>
      <c r="V154" s="32" t="n">
        <v>34.76</v>
      </c>
      <c r="W154" s="32" t="n">
        <v>3.33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IF(B155=0,"",RANK(B155,$B$2:$B$343,0))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WALCHANNAG</t>
        </is>
      </c>
      <c r="D155" s="31" t="inlineStr">
        <is>
          <t>Walchandnagar Industries Limited</t>
        </is>
      </c>
      <c r="E155" s="31" t="inlineStr">
        <is>
          <t>industrials</t>
        </is>
      </c>
      <c r="F155" s="31" t="inlineStr">
        <is>
          <t>engineering</t>
        </is>
      </c>
      <c r="G155" s="31" t="inlineStr">
        <is>
          <t>smallcap</t>
        </is>
      </c>
      <c r="H155" s="32" t="n">
        <v>1776.11</v>
      </c>
      <c r="I155" s="32" t="n">
        <v>264.95</v>
      </c>
      <c r="J155" s="32" t="n">
        <v>1.2</v>
      </c>
      <c r="K155" s="32" t="n">
        <v>2262447</v>
      </c>
      <c r="L155" s="31" t="n">
        <v>78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66.18000000000001</v>
      </c>
      <c r="P155" s="32" t="n">
        <v>28.59</v>
      </c>
      <c r="Q155" s="32" t="n">
        <v>184.09</v>
      </c>
      <c r="R155" s="31" t="inlineStr">
        <is>
          <t>Near 52W High Breakout</t>
        </is>
      </c>
      <c r="S155" s="31" t="inlineStr">
        <is>
          <t>Nifty Infra</t>
        </is>
      </c>
      <c r="T155" s="32" t="n">
        <v>3.24</v>
      </c>
      <c r="U155" s="32" t="n">
        <v>17.5</v>
      </c>
      <c r="V155" s="32" t="n">
        <v>13.81</v>
      </c>
      <c r="W155" s="32" t="n">
        <v>23.95</v>
      </c>
      <c r="X155" s="31" t="inlineStr">
        <is>
          <t>Cyclical in an Upturn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Less than 1.5</t>
        </is>
      </c>
      <c r="BU155" s="31">
        <f>IF(BT155="Above 2",0,IF(BT155="Between 1.5 to 2",5,IF(BT155="Less than 1.5",10,0)))</f>
        <v/>
      </c>
      <c r="BV155" s="31" t="inlineStr">
        <is>
          <t>Negative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IF(B156=0,"",RANK(B156,$B$2:$B$343,0))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APARINDS</t>
        </is>
      </c>
      <c r="D156" s="31" t="inlineStr">
        <is>
          <t>Apar Industries Limited</t>
        </is>
      </c>
      <c r="E156" s="31" t="inlineStr">
        <is>
          <t>industrials</t>
        </is>
      </c>
      <c r="F156" s="31" t="inlineStr">
        <is>
          <t>electric equipment</t>
        </is>
      </c>
      <c r="G156" s="31" t="inlineStr">
        <is>
          <t>largecap</t>
        </is>
      </c>
      <c r="H156" s="32" t="n">
        <v>64213.07</v>
      </c>
      <c r="I156" s="32" t="n">
        <v>16168</v>
      </c>
      <c r="J156" s="32" t="n">
        <v>1.14</v>
      </c>
      <c r="K156" s="32" t="n">
        <v>207124</v>
      </c>
      <c r="L156" s="31" t="n">
        <v>86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79.23999999999999</v>
      </c>
      <c r="P156" s="32" t="n">
        <v>42</v>
      </c>
      <c r="Q156" s="32" t="n">
        <v>12719.27</v>
      </c>
      <c r="R156" s="31" t="inlineStr">
        <is>
          <t>Near 52W High Breakout</t>
        </is>
      </c>
      <c r="S156" s="31" t="inlineStr">
        <is>
          <t>Nifty 50</t>
        </is>
      </c>
      <c r="T156" s="32" t="n">
        <v>-4.47</v>
      </c>
      <c r="U156" s="32" t="n">
        <v>105.38</v>
      </c>
      <c r="V156" s="32" t="n">
        <v>114.99</v>
      </c>
      <c r="W156" s="32" t="n">
        <v>31.22</v>
      </c>
      <c r="X156" s="31" t="inlineStr">
        <is>
          <t>Cyclical in an Upturn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Above 40</t>
        </is>
      </c>
      <c r="AY156" s="31">
        <f>IF(AX156="Above 40",20,IF(AX156="20 to 40",10,IF(AX156="0 to 20",-5,0)))</f>
        <v/>
      </c>
      <c r="AZ156" s="31" t="inlineStr">
        <is>
          <t>Above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Less than 12%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Between 50% to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IF(B157=0,"",RANK(B157,$B$2:$B$343,0))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BOROSCI</t>
        </is>
      </c>
      <c r="D157" s="31" t="inlineStr">
        <is>
          <t>Borosil Scientific Ltd</t>
        </is>
      </c>
      <c r="E157" s="31" t="inlineStr">
        <is>
          <t>building materials</t>
        </is>
      </c>
      <c r="F157" s="31" t="inlineStr">
        <is>
          <t>glass &amp; glass products</t>
        </is>
      </c>
      <c r="G157" s="31" t="inlineStr">
        <is>
          <t>smallcap</t>
        </is>
      </c>
      <c r="H157" s="32" t="n">
        <v>1364.27</v>
      </c>
      <c r="I157" s="32" t="n">
        <v>155.03</v>
      </c>
      <c r="J157" s="32" t="n">
        <v>1.08</v>
      </c>
      <c r="K157" s="32" t="n">
        <v>279364</v>
      </c>
      <c r="L157" s="31" t="n">
        <v>53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70.67</v>
      </c>
      <c r="P157" s="32" t="n">
        <v>23.95</v>
      </c>
      <c r="Q157" s="32" t="n">
        <v>118.43</v>
      </c>
      <c r="R157" s="31" t="inlineStr">
        <is>
          <t>Earnings / Momentum Support</t>
        </is>
      </c>
      <c r="S157" s="31" t="inlineStr">
        <is>
          <t>Nifty Infra</t>
        </is>
      </c>
      <c r="T157" s="32" t="n">
        <v>3.24</v>
      </c>
      <c r="U157" s="32" t="n">
        <v>12</v>
      </c>
      <c r="V157" s="32" t="n">
        <v>8.48</v>
      </c>
      <c r="W157" s="32" t="n">
        <v>14.06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Between 50% to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IF(B158=0,"",RANK(B158,$B$2:$B$343,0))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KIRLPNU</t>
        </is>
      </c>
      <c r="D158" s="31" t="inlineStr">
        <is>
          <t>Kirloskar Pneumatic Company Ltd</t>
        </is>
      </c>
      <c r="E158" s="31" t="inlineStr">
        <is>
          <t>industrials</t>
        </is>
      </c>
      <c r="F158" s="31" t="inlineStr">
        <is>
          <t>compressors / drilling equipment</t>
        </is>
      </c>
      <c r="G158" s="31" t="inlineStr">
        <is>
          <t>midcap</t>
        </is>
      </c>
      <c r="H158" s="32" t="n">
        <v>10582.99</v>
      </c>
      <c r="I158" s="32" t="n">
        <v>1646.2</v>
      </c>
      <c r="J158" s="32" t="n">
        <v>1.04</v>
      </c>
      <c r="K158" s="32" t="n">
        <v>94251</v>
      </c>
      <c r="L158" s="31" t="n">
        <v>66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76.70999999999999</v>
      </c>
      <c r="P158" s="32" t="n">
        <v>38.91</v>
      </c>
      <c r="Q158" s="32" t="n">
        <v>1310.97</v>
      </c>
      <c r="R158" s="31" t="inlineStr">
        <is>
          <t>Near 52W High Breakout</t>
        </is>
      </c>
      <c r="S158" s="31" t="inlineStr">
        <is>
          <t>Nifty 50</t>
        </is>
      </c>
      <c r="T158" s="32" t="n">
        <v>-4.47</v>
      </c>
      <c r="U158" s="32" t="n">
        <v>23.34</v>
      </c>
      <c r="V158" s="32" t="n">
        <v>29.12</v>
      </c>
      <c r="W158" s="32" t="n">
        <v>18.28</v>
      </c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Above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Less than 1.5</t>
        </is>
      </c>
      <c r="BU158" s="31">
        <f>IF(BT158="Above 2",0,IF(BT158="Between 1.5 to 2",5,IF(BT158="Less than 1.5",10,0)))</f>
        <v/>
      </c>
      <c r="BV158" s="31" t="inlineStr">
        <is>
          <t>Between 50% to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IF(B159=0,"",RANK(B159,$B$2:$B$343,0))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GMRAIRPORT</t>
        </is>
      </c>
      <c r="D159" s="31" t="inlineStr">
        <is>
          <t>GMR Airports Ltd</t>
        </is>
      </c>
      <c r="E159" s="31" t="inlineStr">
        <is>
          <t>miscellaneous</t>
        </is>
      </c>
      <c r="F159" s="31" t="inlineStr">
        <is>
          <t>miscellaneous</t>
        </is>
      </c>
      <c r="G159" s="31" t="inlineStr">
        <is>
          <t>largecap</t>
        </is>
      </c>
      <c r="H159" s="32" t="n">
        <v>112622.04</v>
      </c>
      <c r="I159" s="32" t="n">
        <v>107.51</v>
      </c>
      <c r="J159" s="32" t="n">
        <v>0.8</v>
      </c>
      <c r="K159" s="32" t="n">
        <v>30369058</v>
      </c>
      <c r="L159" s="31" t="n">
        <v>39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62.7</v>
      </c>
      <c r="P159" s="32" t="n">
        <v>13.83</v>
      </c>
      <c r="Q159" s="32" t="n">
        <v>87.77</v>
      </c>
      <c r="R159" s="31" t="inlineStr">
        <is>
          <t>Near 52W High Breakout</t>
        </is>
      </c>
      <c r="S159" s="31" t="inlineStr">
        <is>
          <t>Nifty 50</t>
        </is>
      </c>
      <c r="T159" s="32" t="n">
        <v>-4.47</v>
      </c>
      <c r="U159" s="32" t="n">
        <v>32.78</v>
      </c>
      <c r="V159" s="32" t="n">
        <v>38.99</v>
      </c>
      <c r="W159" s="32" t="n">
        <v>10.13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0 to 20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Blue sky scenario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IF(B160=0,"",RANK(B160,$B$2:$B$343,0))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CGPOWER</t>
        </is>
      </c>
      <c r="D160" s="31" t="inlineStr">
        <is>
          <t>CG Power and Industrial Solutions Ltd</t>
        </is>
      </c>
      <c r="E160" s="31" t="inlineStr">
        <is>
          <t>industrials</t>
        </is>
      </c>
      <c r="F160" s="31" t="inlineStr">
        <is>
          <t>electric equipment</t>
        </is>
      </c>
      <c r="G160" s="31" t="inlineStr">
        <is>
          <t>largecap</t>
        </is>
      </c>
      <c r="H160" s="32" t="n">
        <v>147333.88</v>
      </c>
      <c r="I160" s="32" t="n">
        <v>940.7</v>
      </c>
      <c r="J160" s="32" t="n">
        <v>0.5600000000000001</v>
      </c>
      <c r="K160" s="32" t="n">
        <v>2475717</v>
      </c>
      <c r="L160" s="31" t="n">
        <v>57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70.98999999999999</v>
      </c>
      <c r="P160" s="32" t="n">
        <v>27.85</v>
      </c>
      <c r="Q160" s="32" t="n">
        <v>778.49</v>
      </c>
      <c r="R160" s="31" t="inlineStr">
        <is>
          <t>Near 52W High Breakout</t>
        </is>
      </c>
      <c r="S160" s="31" t="inlineStr">
        <is>
          <t>Nifty 50</t>
        </is>
      </c>
      <c r="T160" s="32" t="n">
        <v>-4.47</v>
      </c>
      <c r="U160" s="32" t="n">
        <v>36.98</v>
      </c>
      <c r="V160" s="32" t="n">
        <v>43.4</v>
      </c>
      <c r="W160" s="32" t="n">
        <v>15.43</v>
      </c>
      <c r="X160" s="31" t="inlineStr">
        <is>
          <t>Cyclical in an Upturn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Blue sky scenario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Less than 50%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IF(B161=0,"",RANK(B161,$B$2:$B$343,0))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AIAENG</t>
        </is>
      </c>
      <c r="D161" s="31" t="inlineStr">
        <is>
          <t>Aia Engineering Limited</t>
        </is>
      </c>
      <c r="E161" s="31" t="inlineStr">
        <is>
          <t>industrials</t>
        </is>
      </c>
      <c r="F161" s="31" t="inlineStr">
        <is>
          <t>castings &amp; forgings</t>
        </is>
      </c>
      <c r="G161" s="31" t="inlineStr">
        <is>
          <t>largecap</t>
        </is>
      </c>
      <c r="H161" s="32" t="n">
        <v>41706.74</v>
      </c>
      <c r="I161" s="32" t="n">
        <v>4491.4</v>
      </c>
      <c r="J161" s="32" t="n">
        <v>0.5</v>
      </c>
      <c r="K161" s="32" t="n">
        <v>42546</v>
      </c>
      <c r="L161" s="31" t="n">
        <v>54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64.14</v>
      </c>
      <c r="P161" s="32" t="n">
        <v>19.08</v>
      </c>
      <c r="Q161" s="32" t="n">
        <v>3769.58</v>
      </c>
      <c r="R161" s="31" t="inlineStr">
        <is>
          <t>Near 52W High Breakout</t>
        </is>
      </c>
      <c r="S161" s="31" t="inlineStr">
        <is>
          <t>Nifty 50</t>
        </is>
      </c>
      <c r="T161" s="32" t="n">
        <v>-4.47</v>
      </c>
      <c r="U161" s="32" t="n">
        <v>38.09</v>
      </c>
      <c r="V161" s="32" t="n">
        <v>44.55</v>
      </c>
      <c r="W161" s="32" t="n">
        <v>14.27</v>
      </c>
      <c r="X161" s="31" t="inlineStr">
        <is>
          <t>Cyclical in an Upturn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0 to 20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Blue sky scenario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Less than 1.5</t>
        </is>
      </c>
      <c r="BU161" s="31">
        <f>IF(BT161="Above 2",0,IF(BT161="Between 1.5 to 2",5,IF(BT161="Less than 1.5",10,0)))</f>
        <v/>
      </c>
      <c r="BV161" s="31" t="inlineStr">
        <is>
          <t>Less than 50%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IF(B162=0,"",RANK(B162,$B$2:$B$343,0))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POLYCAB</t>
        </is>
      </c>
      <c r="D162" s="31" t="inlineStr">
        <is>
          <t>Polycab India Ltd</t>
        </is>
      </c>
      <c r="E162" s="31" t="inlineStr">
        <is>
          <t>industrials</t>
        </is>
      </c>
      <c r="F162" s="31" t="inlineStr">
        <is>
          <t>cables - power</t>
        </is>
      </c>
      <c r="G162" s="31" t="inlineStr">
        <is>
          <t>largecap</t>
        </is>
      </c>
      <c r="H162" s="32" t="n">
        <v>143866.07</v>
      </c>
      <c r="I162" s="32" t="n">
        <v>9591.5</v>
      </c>
      <c r="J162" s="32" t="n">
        <v>0.37</v>
      </c>
      <c r="K162" s="32" t="n">
        <v>339718</v>
      </c>
      <c r="L162" s="31" t="n">
        <v>64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68.25</v>
      </c>
      <c r="P162" s="32" t="n">
        <v>26.15</v>
      </c>
      <c r="Q162" s="32" t="n">
        <v>8176.29</v>
      </c>
      <c r="R162" s="31" t="inlineStr">
        <is>
          <t>Near 52W High Breakout</t>
        </is>
      </c>
      <c r="S162" s="31" t="inlineStr">
        <is>
          <t>Nifty Energy</t>
        </is>
      </c>
      <c r="T162" s="32" t="n">
        <v>12.12</v>
      </c>
      <c r="U162" s="32" t="n">
        <v>60.74</v>
      </c>
      <c r="V162" s="32" t="n">
        <v>43.36</v>
      </c>
      <c r="W162" s="32" t="n">
        <v>17.79</v>
      </c>
      <c r="X162" s="31" t="inlineStr">
        <is>
          <t>Cyclical in an Upturn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Blue sky scenario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Less than 12%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IF(B163=0,"",RANK(B163,$B$2:$B$343,0))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STOVEKRAFT</t>
        </is>
      </c>
      <c r="D163" s="31" t="inlineStr">
        <is>
          <t>Stove Kraft Ltd</t>
        </is>
      </c>
      <c r="E163" s="31" t="inlineStr">
        <is>
          <t>consumer discretionary</t>
        </is>
      </c>
      <c r="F163" s="31" t="inlineStr">
        <is>
          <t>domestic appliances</t>
        </is>
      </c>
      <c r="G163" s="31" t="inlineStr">
        <is>
          <t>smallcap</t>
        </is>
      </c>
      <c r="H163" s="32" t="n">
        <v>2183.59</v>
      </c>
      <c r="I163" s="32" t="n">
        <v>661.25</v>
      </c>
      <c r="J163" s="32" t="n">
        <v>0.26</v>
      </c>
      <c r="K163" s="32" t="n">
        <v>88874</v>
      </c>
      <c r="L163" s="31" t="n">
        <v>43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65.91</v>
      </c>
      <c r="P163" s="32" t="n">
        <v>24.92</v>
      </c>
      <c r="Q163" s="32" t="n">
        <v>501.36</v>
      </c>
      <c r="R163" s="31" t="inlineStr">
        <is>
          <t>Earnings / Momentum Support</t>
        </is>
      </c>
      <c r="S163" s="31" t="inlineStr">
        <is>
          <t>Nifty 50</t>
        </is>
      </c>
      <c r="T163" s="32" t="n">
        <v>-4.47</v>
      </c>
      <c r="U163" s="32" t="n">
        <v>17.9</v>
      </c>
      <c r="V163" s="32" t="n">
        <v>23.42</v>
      </c>
      <c r="W163" s="32" t="n">
        <v>11.87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IF(B164=0,"",RANK(B164,$B$2:$B$343,0))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CARBORUNIV</t>
        </is>
      </c>
      <c r="D164" s="31" t="inlineStr">
        <is>
          <t>Carborundum Universal Limited</t>
        </is>
      </c>
      <c r="E164" s="31" t="inlineStr">
        <is>
          <t>industrials</t>
        </is>
      </c>
      <c r="F164" s="31" t="inlineStr">
        <is>
          <t>abrasives and grinding wheels</t>
        </is>
      </c>
      <c r="G164" s="31" t="inlineStr">
        <is>
          <t>largecap</t>
        </is>
      </c>
      <c r="H164" s="32" t="n">
        <v>20304.6</v>
      </c>
      <c r="I164" s="32" t="n">
        <v>1065.5</v>
      </c>
      <c r="J164" s="32" t="n">
        <v>-0.04</v>
      </c>
      <c r="K164" s="32" t="n">
        <v>86279</v>
      </c>
      <c r="L164" s="31" t="n">
        <v>45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65.5</v>
      </c>
      <c r="P164" s="32" t="n">
        <v>33.34</v>
      </c>
      <c r="Q164" s="32" t="n">
        <v>893.49</v>
      </c>
      <c r="R164" s="31" t="inlineStr">
        <is>
          <t>Near 52W High Breakout</t>
        </is>
      </c>
      <c r="S164" s="31" t="inlineStr">
        <is>
          <t>Nifty 50</t>
        </is>
      </c>
      <c r="T164" s="32" t="n">
        <v>-4.47</v>
      </c>
      <c r="U164" s="32" t="n">
        <v>14.13</v>
      </c>
      <c r="V164" s="32" t="n">
        <v>19.47</v>
      </c>
      <c r="W164" s="32" t="n">
        <v>12.38</v>
      </c>
      <c r="X164" s="31" t="inlineStr">
        <is>
          <t>Cyclical in an Upturn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Between 50% to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IF(B165=0,"",RANK(B165,$B$2:$B$343,0))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CRAFTSMAN</t>
        </is>
      </c>
      <c r="D165" s="31" t="inlineStr">
        <is>
          <t>Craftsman Automation Ltd</t>
        </is>
      </c>
      <c r="E165" s="31" t="inlineStr">
        <is>
          <t>auto</t>
        </is>
      </c>
      <c r="F165" s="31" t="inlineStr">
        <is>
          <t>auto ancillaries</t>
        </is>
      </c>
      <c r="G165" s="31" t="inlineStr">
        <is>
          <t>largecap</t>
        </is>
      </c>
      <c r="H165" s="32" t="n">
        <v>22273.96</v>
      </c>
      <c r="I165" s="32" t="n">
        <v>9326</v>
      </c>
      <c r="J165" s="32" t="n">
        <v>-0.12</v>
      </c>
      <c r="K165" s="32" t="n">
        <v>86572</v>
      </c>
      <c r="L165" s="31" t="n">
        <v>72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67.59</v>
      </c>
      <c r="P165" s="32" t="n">
        <v>36.85</v>
      </c>
      <c r="Q165" s="32" t="n">
        <v>7330.34</v>
      </c>
      <c r="R165" s="31" t="inlineStr">
        <is>
          <t>Near 52W High Breakout</t>
        </is>
      </c>
      <c r="S165" s="31" t="inlineStr">
        <is>
          <t>Nifty Auto</t>
        </is>
      </c>
      <c r="T165" s="32" t="n">
        <v>13.57</v>
      </c>
      <c r="U165" s="32" t="n">
        <v>80.89</v>
      </c>
      <c r="V165" s="32" t="n">
        <v>59.28</v>
      </c>
      <c r="W165" s="32" t="n">
        <v>20.67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Blue sky scenario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Less than 1.5</t>
        </is>
      </c>
      <c r="BU165" s="31">
        <f>IF(BT165="Above 2",0,IF(BT165="Between 1.5 to 2",5,IF(BT165="Less than 1.5",10,0)))</f>
        <v/>
      </c>
      <c r="BV165" s="31" t="inlineStr">
        <is>
          <t>Less than 50% and Borrowings are increasing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Between 0.7 to 1.2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IF(B166=0,"",RANK(B166,$B$2:$B$343,0))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PRIVISCL</t>
        </is>
      </c>
      <c r="D166" s="31" t="inlineStr">
        <is>
          <t>Privi Speciality Chemicals Ltd</t>
        </is>
      </c>
      <c r="E166" s="31" t="inlineStr">
        <is>
          <t>chemicals</t>
        </is>
      </c>
      <c r="F166" s="31" t="inlineStr">
        <is>
          <t>chemicals</t>
        </is>
      </c>
      <c r="G166" s="31" t="inlineStr">
        <is>
          <t>midcap</t>
        </is>
      </c>
      <c r="H166" s="32" t="n">
        <v>13551.24</v>
      </c>
      <c r="I166" s="32" t="n">
        <v>3453.7</v>
      </c>
      <c r="J166" s="32" t="n">
        <v>-0.44</v>
      </c>
      <c r="K166" s="32" t="n">
        <v>43728</v>
      </c>
      <c r="L166" s="31" t="n">
        <v>44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62.2</v>
      </c>
      <c r="P166" s="32" t="n">
        <v>19.14</v>
      </c>
      <c r="Q166" s="32" t="n">
        <v>2812.78</v>
      </c>
      <c r="R166" s="31" t="inlineStr">
        <is>
          <t>Near 52W High Breakout</t>
        </is>
      </c>
      <c r="S166" s="31" t="inlineStr">
        <is>
          <t>Nifty 50</t>
        </is>
      </c>
      <c r="T166" s="32" t="n">
        <v>-4.47</v>
      </c>
      <c r="U166" s="32" t="n">
        <v>47.72</v>
      </c>
      <c r="V166" s="32" t="n">
        <v>54.63</v>
      </c>
      <c r="W166" s="32" t="n">
        <v>12.32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0 to 20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Blue sky scenario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Less than 1.5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Between 0.7 to 1.2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IF(B167=0,"",RANK(B167,$B$2:$B$343,0))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JNKINDIA</t>
        </is>
      </c>
      <c r="D167" s="31" t="inlineStr">
        <is>
          <t>JNK India Ltd</t>
        </is>
      </c>
      <c r="E167" s="31" t="inlineStr">
        <is>
          <t>realty</t>
        </is>
      </c>
      <c r="F167" s="31" t="inlineStr">
        <is>
          <t>engineering - turnkey services</t>
        </is>
      </c>
      <c r="G167" s="31" t="inlineStr">
        <is>
          <t>smallcap</t>
        </is>
      </c>
      <c r="H167" s="32" t="n">
        <v>2774.75</v>
      </c>
      <c r="I167" s="32" t="n">
        <v>492.35</v>
      </c>
      <c r="J167" s="32" t="n">
        <v>-0.72</v>
      </c>
      <c r="K167" s="32" t="n">
        <v>478564</v>
      </c>
      <c r="L167" s="31" t="n">
        <v>91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74.77</v>
      </c>
      <c r="P167" s="32" t="n">
        <v>32.47</v>
      </c>
      <c r="Q167" s="32" t="n">
        <v>359.81</v>
      </c>
      <c r="R167" s="31" t="inlineStr">
        <is>
          <t>Near 52W High Breakout</t>
        </is>
      </c>
      <c r="S167" s="31" t="inlineStr">
        <is>
          <t>Nifty Realty</t>
        </is>
      </c>
      <c r="T167" s="32" t="n">
        <v>-19.29</v>
      </c>
      <c r="U167" s="32" t="n">
        <v>36.8</v>
      </c>
      <c r="V167" s="32" t="n">
        <v>69.5</v>
      </c>
      <c r="W167" s="32" t="n">
        <v>35.83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Negative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IF(B168=0,"",RANK(B168,$B$2:$B$343,0))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MINDACORP</t>
        </is>
      </c>
      <c r="D168" s="31" t="inlineStr">
        <is>
          <t>Minda Corporation Limited</t>
        </is>
      </c>
      <c r="E168" s="31" t="inlineStr">
        <is>
          <t>auto</t>
        </is>
      </c>
      <c r="F168" s="31" t="inlineStr">
        <is>
          <t>auto ancillaries</t>
        </is>
      </c>
      <c r="G168" s="31" t="inlineStr">
        <is>
          <t>midcap</t>
        </is>
      </c>
      <c r="H168" s="32" t="n">
        <v>15840.21</v>
      </c>
      <c r="I168" s="32" t="n">
        <v>657.1</v>
      </c>
      <c r="J168" s="32" t="n">
        <v>-0.82</v>
      </c>
      <c r="K168" s="32" t="n">
        <v>412328</v>
      </c>
      <c r="L168" s="31" t="n">
        <v>47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66.64</v>
      </c>
      <c r="P168" s="32" t="n">
        <v>19.66</v>
      </c>
      <c r="Q168" s="32" t="n">
        <v>527.21</v>
      </c>
      <c r="R168" s="31" t="inlineStr">
        <is>
          <t>Near 52W High Breakout</t>
        </is>
      </c>
      <c r="S168" s="31" t="inlineStr">
        <is>
          <t>Nifty Auto</t>
        </is>
      </c>
      <c r="T168" s="32" t="n">
        <v>13.57</v>
      </c>
      <c r="U168" s="32" t="n">
        <v>30.46</v>
      </c>
      <c r="V168" s="32" t="n">
        <v>14.88</v>
      </c>
      <c r="W168" s="32" t="n">
        <v>12.68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0 to 20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Blue sky scenario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IF(B169=0,"",RANK(B169,$B$2:$B$343,0))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UNIVCABLES</t>
        </is>
      </c>
      <c r="D169" s="31" t="inlineStr">
        <is>
          <t>Universal Cables Limited</t>
        </is>
      </c>
      <c r="E169" s="31" t="inlineStr">
        <is>
          <t>industrials</t>
        </is>
      </c>
      <c r="F169" s="31" t="inlineStr">
        <is>
          <t>cables - power</t>
        </is>
      </c>
      <c r="G169" s="31" t="inlineStr">
        <is>
          <t>smallcap</t>
        </is>
      </c>
      <c r="H169" s="32" t="n">
        <v>4173.85</v>
      </c>
      <c r="I169" s="32" t="n">
        <v>1191.7</v>
      </c>
      <c r="J169" s="32" t="n">
        <v>-0.9399999999999999</v>
      </c>
      <c r="K169" s="32" t="n">
        <v>462857</v>
      </c>
      <c r="L169" s="31" t="n">
        <v>86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66.77</v>
      </c>
      <c r="P169" s="32" t="n">
        <v>39.33</v>
      </c>
      <c r="Q169" s="32" t="n">
        <v>841.79</v>
      </c>
      <c r="R169" s="31" t="inlineStr">
        <is>
          <t>Near 52W High Breakout</t>
        </is>
      </c>
      <c r="S169" s="31" t="inlineStr">
        <is>
          <t>Nifty Energy</t>
        </is>
      </c>
      <c r="T169" s="32" t="n">
        <v>12.12</v>
      </c>
      <c r="U169" s="32" t="n">
        <v>74.86</v>
      </c>
      <c r="V169" s="32" t="n">
        <v>55.96</v>
      </c>
      <c r="W169" s="32" t="n">
        <v>31.2</v>
      </c>
      <c r="X169" s="31" t="inlineStr">
        <is>
          <t>Cyclical in an Upturn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Blue sky scenario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Less than 12%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Less than 50%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IF(B170=0,"",RANK(B170,$B$2:$B$343,0))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JSWDULUX</t>
        </is>
      </c>
      <c r="D170" s="31" t="inlineStr">
        <is>
          <t>JSW Dulux Ltd</t>
        </is>
      </c>
      <c r="E170" s="31" t="inlineStr">
        <is>
          <t>building materials</t>
        </is>
      </c>
      <c r="F170" s="31" t="inlineStr">
        <is>
          <t>paints / varnishes</t>
        </is>
      </c>
      <c r="G170" s="31" t="inlineStr">
        <is>
          <t>midcap</t>
        </is>
      </c>
      <c r="H170" s="32" t="n">
        <v>14766.9</v>
      </c>
      <c r="I170" s="32" t="n">
        <v>3201.7</v>
      </c>
      <c r="J170" s="32" t="n">
        <v>-1.26</v>
      </c>
      <c r="K170" s="32" t="n">
        <v>11565</v>
      </c>
      <c r="L170" s="31" t="n">
        <v>11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57.61</v>
      </c>
      <c r="P170" s="32" t="n">
        <v>17.68</v>
      </c>
      <c r="Q170" s="32" t="n">
        <v>2653.9</v>
      </c>
      <c r="R170" s="31" t="inlineStr">
        <is>
          <t>Earnings / Momentum Support</t>
        </is>
      </c>
      <c r="S170" s="31" t="inlineStr">
        <is>
          <t>Nifty Infra</t>
        </is>
      </c>
      <c r="T170" s="32" t="n">
        <v>3.24</v>
      </c>
      <c r="U170" s="32" t="n">
        <v>8.76</v>
      </c>
      <c r="V170" s="32" t="n">
        <v>5.34</v>
      </c>
      <c r="W170" s="32" t="n">
        <v>4.3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0 to 20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Less than 1.5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IF(B171=0,"",RANK(B171,$B$2:$B$343,0))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AEROFLEX</t>
        </is>
      </c>
      <c r="D171" s="31" t="inlineStr">
        <is>
          <t>Aeroflex Industries Ltd</t>
        </is>
      </c>
      <c r="E171" s="31" t="inlineStr">
        <is>
          <t>metals &amp; mining</t>
        </is>
      </c>
      <c r="F171" s="31" t="inlineStr">
        <is>
          <t>steel - medium / small</t>
        </is>
      </c>
      <c r="G171" s="31" t="inlineStr">
        <is>
          <t>midcap</t>
        </is>
      </c>
      <c r="H171" s="32" t="n">
        <v>6325.41</v>
      </c>
      <c r="I171" s="32" t="n">
        <v>471.7</v>
      </c>
      <c r="J171" s="32" t="n">
        <v>-1.32</v>
      </c>
      <c r="K171" s="32" t="n">
        <v>2678346</v>
      </c>
      <c r="L171" s="31" t="n">
        <v>94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75.09999999999999</v>
      </c>
      <c r="P171" s="32" t="n">
        <v>60.98</v>
      </c>
      <c r="Q171" s="32" t="n">
        <v>334.93</v>
      </c>
      <c r="R171" s="31" t="inlineStr">
        <is>
          <t>Near 52W High Breakout</t>
        </is>
      </c>
      <c r="S171" s="31" t="inlineStr">
        <is>
          <t>Nifty Metal</t>
        </is>
      </c>
      <c r="T171" s="32" t="n">
        <v>40.96</v>
      </c>
      <c r="U171" s="32" t="n">
        <v>131.03</v>
      </c>
      <c r="V171" s="32" t="n">
        <v>63.9</v>
      </c>
      <c r="W171" s="32" t="n">
        <v>43.86</v>
      </c>
      <c r="X171" s="31" t="inlineStr">
        <is>
          <t>Cyclical in an Upturn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Cyclical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Volatile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Above 40</t>
        </is>
      </c>
      <c r="AY171" s="31">
        <f>IF(AX171="Above 40",20,IF(AX171="20 to 40",10,IF(AX171="0 to 20",-5,0)))</f>
        <v/>
      </c>
      <c r="AZ171" s="31" t="inlineStr">
        <is>
          <t>Above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Blue sky scenario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Between 1.5 to 2</t>
        </is>
      </c>
      <c r="BU171" s="31">
        <f>IF(BT171="Above 2",0,IF(BT171="Between 1.5 to 2",5,IF(BT171="Less than 1.5",10,0)))</f>
        <v/>
      </c>
      <c r="BV171" s="31" t="inlineStr">
        <is>
          <t>Between 50% to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IF(B172=0,"",RANK(B172,$B$2:$B$343,0))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WELENT</t>
        </is>
      </c>
      <c r="D172" s="31" t="inlineStr">
        <is>
          <t>Welspun Enterprises Limited</t>
        </is>
      </c>
      <c r="E172" s="31" t="inlineStr">
        <is>
          <t>realty</t>
        </is>
      </c>
      <c r="F172" s="31" t="inlineStr">
        <is>
          <t>construction</t>
        </is>
      </c>
      <c r="G172" s="31" t="inlineStr">
        <is>
          <t>midcap</t>
        </is>
      </c>
      <c r="H172" s="32" t="n">
        <v>7756.02</v>
      </c>
      <c r="I172" s="32" t="n">
        <v>552.95</v>
      </c>
      <c r="J172" s="32" t="n">
        <v>-1.32</v>
      </c>
      <c r="K172" s="32" t="n">
        <v>131545</v>
      </c>
      <c r="L172" s="31" t="n">
        <v>23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62.81</v>
      </c>
      <c r="P172" s="32" t="n">
        <v>13.55</v>
      </c>
      <c r="Q172" s="32" t="n">
        <v>437.58</v>
      </c>
      <c r="R172" s="31" t="inlineStr">
        <is>
          <t>Near 52W High Breakout</t>
        </is>
      </c>
      <c r="S172" s="31" t="inlineStr">
        <is>
          <t>Nifty Realty</t>
        </is>
      </c>
      <c r="T172" s="32" t="n">
        <v>-19.29</v>
      </c>
      <c r="U172" s="32" t="n">
        <v>11.47</v>
      </c>
      <c r="V172" s="32" t="n">
        <v>38.12</v>
      </c>
      <c r="W172" s="32" t="n">
        <v>6.75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0 to 20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Less than 1.5</t>
        </is>
      </c>
      <c r="BU172" s="31">
        <f>IF(BT172="Above 2",0,IF(BT172="Between 1.5 to 2",5,IF(BT172="Less than 1.5",10,0)))</f>
        <v/>
      </c>
      <c r="BV172" s="31" t="inlineStr">
        <is>
          <t>Less than 50%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IF(B173=0,"",RANK(B173,$B$2:$B$343,0))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PSPPROJECT</t>
        </is>
      </c>
      <c r="D173" s="31" t="inlineStr">
        <is>
          <t>PSP Projects Ltd</t>
        </is>
      </c>
      <c r="E173" s="31" t="inlineStr">
        <is>
          <t>realty</t>
        </is>
      </c>
      <c r="F173" s="31" t="inlineStr">
        <is>
          <t>construction</t>
        </is>
      </c>
      <c r="G173" s="31" t="inlineStr">
        <is>
          <t>smallcap</t>
        </is>
      </c>
      <c r="H173" s="32" t="n">
        <v>3652.4</v>
      </c>
      <c r="I173" s="32" t="n">
        <v>907.8</v>
      </c>
      <c r="J173" s="32" t="n">
        <v>-1.47</v>
      </c>
      <c r="K173" s="32" t="n">
        <v>62820</v>
      </c>
      <c r="L173" s="31" t="n">
        <v>54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62.42</v>
      </c>
      <c r="P173" s="32" t="n">
        <v>23.51</v>
      </c>
      <c r="Q173" s="32" t="n">
        <v>680.92</v>
      </c>
      <c r="R173" s="31" t="inlineStr">
        <is>
          <t>Earnings / Momentum Support</t>
        </is>
      </c>
      <c r="S173" s="31" t="inlineStr">
        <is>
          <t>Nifty Realty</t>
        </is>
      </c>
      <c r="T173" s="32" t="n">
        <v>-19.29</v>
      </c>
      <c r="U173" s="32" t="n">
        <v>23.64</v>
      </c>
      <c r="V173" s="32" t="n">
        <v>53.2</v>
      </c>
      <c r="W173" s="32" t="n">
        <v>14.21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IF(B174=0,"",RANK(B174,$B$2:$B$343,0))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QPOWER</t>
        </is>
      </c>
      <c r="D174" s="31" t="inlineStr">
        <is>
          <t>Quality Power Electrical Equipments Ltd</t>
        </is>
      </c>
      <c r="E174" s="31" t="inlineStr">
        <is>
          <t>industrials</t>
        </is>
      </c>
      <c r="F174" s="31" t="inlineStr">
        <is>
          <t>electric equipment</t>
        </is>
      </c>
      <c r="G174" s="31" t="inlineStr">
        <is>
          <t>midcap</t>
        </is>
      </c>
      <c r="H174" s="32" t="n">
        <v>9929.110000000001</v>
      </c>
      <c r="I174" s="32" t="n">
        <v>1247.9</v>
      </c>
      <c r="J174" s="32" t="n">
        <v>-2.67</v>
      </c>
      <c r="K174" s="32" t="n">
        <v>187409</v>
      </c>
      <c r="L174" s="31" t="n">
        <v>88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62.49</v>
      </c>
      <c r="P174" s="32" t="n">
        <v>26.57</v>
      </c>
      <c r="Q174" s="32" t="n">
        <v>993.2</v>
      </c>
      <c r="R174" s="31" t="inlineStr">
        <is>
          <t>Earnings / Momentum Support</t>
        </is>
      </c>
      <c r="S174" s="31" t="inlineStr">
        <is>
          <t>Nifty 50</t>
        </is>
      </c>
      <c r="T174" s="32" t="n">
        <v>-4.47</v>
      </c>
      <c r="U174" s="32" t="n">
        <v>118.25</v>
      </c>
      <c r="V174" s="32" t="n">
        <v>128.47</v>
      </c>
      <c r="W174" s="32" t="n">
        <v>32.73</v>
      </c>
      <c r="X174" s="31" t="inlineStr">
        <is>
          <t>Cyclical in an Upturn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Less than 50%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IF(B175=0,"",RANK(B175,$B$2:$B$343,0))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UFBL</t>
        </is>
      </c>
      <c r="D175" s="31" t="inlineStr">
        <is>
          <t>United Foodbrands Ltd</t>
        </is>
      </c>
      <c r="E175" s="31" t="inlineStr">
        <is>
          <t>consumer discretionary</t>
        </is>
      </c>
      <c r="F175" s="31" t="inlineStr">
        <is>
          <t>hotels</t>
        </is>
      </c>
      <c r="G175" s="31" t="inlineStr">
        <is>
          <t>smallcap</t>
        </is>
      </c>
      <c r="H175" s="32" t="n">
        <v>2403.62</v>
      </c>
      <c r="I175" s="32" t="n">
        <v>593.2</v>
      </c>
      <c r="J175" s="32" t="n">
        <v>-3.54</v>
      </c>
      <c r="K175" s="32" t="n">
        <v>259668</v>
      </c>
      <c r="L175" s="31" t="n">
        <v>96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81.56</v>
      </c>
      <c r="P175" s="32" t="n">
        <v>39.58</v>
      </c>
      <c r="Q175" s="32" t="n">
        <v>432.6</v>
      </c>
      <c r="R175" s="31" t="inlineStr">
        <is>
          <t>Near 52W High Breakout</t>
        </is>
      </c>
      <c r="S175" s="31" t="inlineStr">
        <is>
          <t>Nifty 50</t>
        </is>
      </c>
      <c r="T175" s="32" t="n">
        <v>-4.47</v>
      </c>
      <c r="U175" s="32" t="n">
        <v>87.34</v>
      </c>
      <c r="V175" s="32" t="n">
        <v>96.11</v>
      </c>
      <c r="W175" s="32" t="n">
        <v>57.41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Above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More than 1.2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IF(B176=0,"",RANK(B176,$B$2:$B$343,0))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LALPATHLAB</t>
        </is>
      </c>
      <c r="D176" s="31" t="inlineStr">
        <is>
          <t>Dr. Lal Path Labs Ltd.</t>
        </is>
      </c>
      <c r="E176" s="31" t="inlineStr">
        <is>
          <t>healthcare</t>
        </is>
      </c>
      <c r="F176" s="31" t="inlineStr">
        <is>
          <t>healthcare</t>
        </is>
      </c>
      <c r="G176" s="31" t="inlineStr">
        <is>
          <t>largecap</t>
        </is>
      </c>
      <c r="H176" s="32" t="n">
        <v>27076.89</v>
      </c>
      <c r="I176" s="32" t="n">
        <v>1642</v>
      </c>
      <c r="J176" s="32" t="n">
        <v>1.61</v>
      </c>
      <c r="K176" s="32" t="n">
        <v>8683111</v>
      </c>
      <c r="L176" s="31" t="n">
        <v>34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62.15</v>
      </c>
      <c r="P176" s="32" t="n">
        <v>25.07</v>
      </c>
      <c r="Q176" s="32" t="n">
        <v>1314.85</v>
      </c>
      <c r="R176" s="31" t="inlineStr">
        <is>
          <t>Volume Spike / Accumulation</t>
        </is>
      </c>
      <c r="S176" s="31" t="inlineStr">
        <is>
          <t>Nifty Pharma</t>
        </is>
      </c>
      <c r="T176" s="32" t="n">
        <v>11.77</v>
      </c>
      <c r="U176" s="32" t="n">
        <v>13.51</v>
      </c>
      <c r="V176" s="32" t="n">
        <v>1.56</v>
      </c>
      <c r="W176" s="32" t="n">
        <v>9.02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Yes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Annuity, Lower One Time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Less than 12%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IF(B177=0,"",RANK(B177,$B$2:$B$343,0))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VIJAYA</t>
        </is>
      </c>
      <c r="D177" s="31" t="inlineStr">
        <is>
          <t>Vijaya Diagnostic Centre Ltd</t>
        </is>
      </c>
      <c r="E177" s="31" t="inlineStr">
        <is>
          <t>healthcare</t>
        </is>
      </c>
      <c r="F177" s="31" t="inlineStr">
        <is>
          <t>healthcare</t>
        </is>
      </c>
      <c r="G177" s="31" t="inlineStr">
        <is>
          <t>midcap</t>
        </is>
      </c>
      <c r="H177" s="32" t="n">
        <v>13203.71</v>
      </c>
      <c r="I177" s="32" t="n">
        <v>1298.6</v>
      </c>
      <c r="J177" s="32" t="n">
        <v>1.2</v>
      </c>
      <c r="K177" s="32" t="n">
        <v>294177</v>
      </c>
      <c r="L177" s="31" t="n">
        <v>63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63.7</v>
      </c>
      <c r="P177" s="32" t="n">
        <v>34.88</v>
      </c>
      <c r="Q177" s="32" t="n">
        <v>1090.13</v>
      </c>
      <c r="R177" s="31" t="inlineStr">
        <is>
          <t>Earnings / Momentum Support</t>
        </is>
      </c>
      <c r="S177" s="31" t="inlineStr">
        <is>
          <t>Nifty Pharma</t>
        </is>
      </c>
      <c r="T177" s="32" t="n">
        <v>11.77</v>
      </c>
      <c r="U177" s="32" t="n">
        <v>39.88</v>
      </c>
      <c r="V177" s="32" t="n">
        <v>25.14</v>
      </c>
      <c r="W177" s="32" t="n">
        <v>17.21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Yes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Annuity, Lower One Time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IF(B178=0,"",RANK(B178,$B$2:$B$343,0))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SAREGAMA</t>
        </is>
      </c>
      <c r="D178" s="31" t="inlineStr">
        <is>
          <t>Saregama India Limited</t>
        </is>
      </c>
      <c r="E178" s="31" t="inlineStr">
        <is>
          <t>media</t>
        </is>
      </c>
      <c r="F178" s="31" t="inlineStr">
        <is>
          <t>entertainment / electronic media software</t>
        </is>
      </c>
      <c r="G178" s="31" t="inlineStr">
        <is>
          <t>midcap</t>
        </is>
      </c>
      <c r="H178" s="32" t="n">
        <v>8919.370000000001</v>
      </c>
      <c r="I178" s="32" t="n">
        <v>464.55</v>
      </c>
      <c r="J178" s="32" t="n">
        <v>0.42</v>
      </c>
      <c r="K178" s="32" t="n">
        <v>609168</v>
      </c>
      <c r="L178" s="31" t="n">
        <v>26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66.64</v>
      </c>
      <c r="P178" s="32" t="n">
        <v>24.83</v>
      </c>
      <c r="Q178" s="32" t="n">
        <v>368.81</v>
      </c>
      <c r="R178" s="31" t="inlineStr">
        <is>
          <t>Earnings / Momentum Support</t>
        </is>
      </c>
      <c r="S178" s="31" t="inlineStr">
        <is>
          <t>Nifty IT</t>
        </is>
      </c>
      <c r="T178" s="32" t="n">
        <v>-26.73</v>
      </c>
      <c r="U178" s="32" t="n">
        <v>-6.02</v>
      </c>
      <c r="V178" s="32" t="n">
        <v>28.26</v>
      </c>
      <c r="W178" s="32" t="n">
        <v>7.75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No</t>
        </is>
      </c>
      <c r="AQ178" s="31">
        <f>IF(AP178="Yes",10,0)</f>
        <v/>
      </c>
      <c r="AR178" s="31" t="inlineStr">
        <is>
          <t>Higher Annuity, Lower One Time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Yes</t>
        </is>
      </c>
      <c r="BS178" s="31">
        <f>IF(BR178="NO",5,0)</f>
        <v/>
      </c>
      <c r="BT178" s="31" t="inlineStr">
        <is>
          <t>Between 1.5 to 2</t>
        </is>
      </c>
      <c r="BU178" s="31">
        <f>IF(BT178="Above 2",0,IF(BT178="Between 1.5 to 2",5,IF(BT178="Less than 1.5",10,0)))</f>
        <v/>
      </c>
      <c r="BV178" s="31" t="inlineStr">
        <is>
          <t>Less than 50%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IF(B179=0,"",RANK(B179,$B$2:$B$343,0))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3" t="inlineStr">
        <is>
          <t>AKUMS</t>
        </is>
      </c>
      <c r="D179" s="33" t="inlineStr">
        <is>
          <t>Akums Drugs &amp; Pharmaceuticals Ltd</t>
        </is>
      </c>
      <c r="E179" s="31" t="inlineStr">
        <is>
          <t>healthcare</t>
        </is>
      </c>
      <c r="F179" s="31" t="inlineStr">
        <is>
          <t>pharmaceuticals - indian - bulk drugs &amp; formln</t>
        </is>
      </c>
      <c r="G179" s="31" t="inlineStr">
        <is>
          <t>midcap</t>
        </is>
      </c>
      <c r="H179" s="32" t="n">
        <v>9757.639999999999</v>
      </c>
      <c r="I179" s="32" t="n">
        <v>596.85</v>
      </c>
      <c r="J179" s="32" t="n">
        <v>-3.73</v>
      </c>
      <c r="K179" s="32" t="n">
        <v>311260</v>
      </c>
      <c r="L179" s="31" t="n">
        <v>25</v>
      </c>
      <c r="M179" s="31" t="inlineStr">
        <is>
          <t>Underperforming</t>
        </is>
      </c>
      <c r="N179" s="32">
        <f>IF(M179="Underperforming",-5,IF(L179&gt;=95,15,IF(L179&gt;=90,10,IF(L179&gt;=80,5,0))))</f>
        <v/>
      </c>
      <c r="O179" s="32" t="n">
        <v>65.43000000000001</v>
      </c>
      <c r="P179" s="32" t="n">
        <v>39.07</v>
      </c>
      <c r="Q179" s="32" t="n">
        <v>497.65</v>
      </c>
      <c r="R179" s="31" t="inlineStr">
        <is>
          <t>Near 52W High Breakout</t>
        </is>
      </c>
      <c r="S179" s="31" t="inlineStr">
        <is>
          <t>Nifty Pharma</t>
        </is>
      </c>
      <c r="T179" s="32" t="n">
        <v>11.77</v>
      </c>
      <c r="U179" s="32" t="n">
        <v>9.98</v>
      </c>
      <c r="V179" s="32" t="n">
        <v>-1.61</v>
      </c>
      <c r="W179" s="32" t="n">
        <v>7.51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Yes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Annuity, Lower One Time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Less than 12%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IF(B180=0,"",RANK(B180,$B$2:$B$343,0))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INOXINDIA</t>
        </is>
      </c>
      <c r="D180" s="31" t="inlineStr">
        <is>
          <t>Inox India Ltd</t>
        </is>
      </c>
      <c r="E180" s="31" t="inlineStr">
        <is>
          <t>industrials</t>
        </is>
      </c>
      <c r="F180" s="31" t="inlineStr">
        <is>
          <t>packaging</t>
        </is>
      </c>
      <c r="G180" s="31" t="inlineStr">
        <is>
          <t>midcap</t>
        </is>
      </c>
      <c r="H180" s="32" t="n">
        <v>16213.99</v>
      </c>
      <c r="I180" s="32" t="n">
        <v>1839.6</v>
      </c>
      <c r="J180" s="32" t="n">
        <v>2.98</v>
      </c>
      <c r="K180" s="32" t="n">
        <v>566883</v>
      </c>
      <c r="L180" s="31" t="n">
        <v>75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82.34999999999999</v>
      </c>
      <c r="P180" s="32" t="n">
        <v>56.99</v>
      </c>
      <c r="Q180" s="32" t="n">
        <v>1430.24</v>
      </c>
      <c r="R180" s="31" t="inlineStr">
        <is>
          <t>Near 52W High Breakout</t>
        </is>
      </c>
      <c r="S180" s="31" t="inlineStr">
        <is>
          <t>Nifty 50</t>
        </is>
      </c>
      <c r="T180" s="32" t="n">
        <v>-4.47</v>
      </c>
      <c r="U180" s="32" t="n">
        <v>55.68</v>
      </c>
      <c r="V180" s="32" t="n">
        <v>62.97</v>
      </c>
      <c r="W180" s="32" t="n">
        <v>22.46</v>
      </c>
      <c r="X180" s="31" t="inlineStr">
        <is>
          <t>Cyclical in an Upturn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Above 40</t>
        </is>
      </c>
      <c r="AY180" s="31">
        <f>IF(AX180="Above 40",20,IF(AX180="20 to 40",10,IF(AX180="0 to 20",-5,0)))</f>
        <v/>
      </c>
      <c r="AZ180" s="31" t="inlineStr">
        <is>
          <t>Above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Blue sky scenario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Between 12 to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Yes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Less than 50%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IF(B181=0,"",RANK(B181,$B$2:$B$343,0))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TIRUPATIFL</t>
        </is>
      </c>
      <c r="D181" s="31" t="inlineStr">
        <is>
          <t>Tirupati Forge Ltd</t>
        </is>
      </c>
      <c r="E181" s="31" t="inlineStr">
        <is>
          <t>industrials</t>
        </is>
      </c>
      <c r="F181" s="31" t="inlineStr">
        <is>
          <t>castings &amp; forgings</t>
        </is>
      </c>
      <c r="G181" s="31" t="inlineStr">
        <is>
          <t>smallcap</t>
        </is>
      </c>
      <c r="H181" s="32" t="n">
        <v>604.35</v>
      </c>
      <c r="I181" s="32" t="n">
        <v>47.75</v>
      </c>
      <c r="J181" s="32" t="n">
        <v>2.07</v>
      </c>
      <c r="K181" s="32" t="n">
        <v>252202</v>
      </c>
      <c r="L181" s="31" t="n">
        <v>14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60.86</v>
      </c>
      <c r="P181" s="32" t="n">
        <v>30.61</v>
      </c>
      <c r="Q181" s="32" t="n">
        <v>32.66</v>
      </c>
      <c r="R181" s="31" t="inlineStr">
        <is>
          <t>Near 52W High Breakout</t>
        </is>
      </c>
      <c r="S181" s="31" t="inlineStr">
        <is>
          <t>Nifty 50</t>
        </is>
      </c>
      <c r="T181" s="32" t="n">
        <v>-4.47</v>
      </c>
      <c r="U181" s="32" t="n">
        <v>12.67</v>
      </c>
      <c r="V181" s="32" t="n">
        <v>17.95</v>
      </c>
      <c r="W181" s="32" t="n">
        <v>4.83</v>
      </c>
      <c r="X181" s="31" t="inlineStr">
        <is>
          <t>Cyclical in an Upturn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Less than 12%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IF(B182=0,"",RANK(B182,$B$2:$B$343,0))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HONAUT</t>
        </is>
      </c>
      <c r="D182" s="31" t="inlineStr">
        <is>
          <t>Honeywell Automation India Limited</t>
        </is>
      </c>
      <c r="E182" s="31" t="inlineStr">
        <is>
          <t>consumer discretionary</t>
        </is>
      </c>
      <c r="F182" s="31" t="inlineStr">
        <is>
          <t>electronics - components</t>
        </is>
      </c>
      <c r="G182" s="31" t="inlineStr">
        <is>
          <t>largecap</t>
        </is>
      </c>
      <c r="H182" s="32" t="n">
        <v>31745.49</v>
      </c>
      <c r="I182" s="32" t="n">
        <v>36620</v>
      </c>
      <c r="J182" s="32" t="n">
        <v>1.99</v>
      </c>
      <c r="K182" s="32" t="n">
        <v>4462</v>
      </c>
      <c r="L182" s="31" t="n">
        <v>22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61.16</v>
      </c>
      <c r="P182" s="32" t="n">
        <v>23.03</v>
      </c>
      <c r="Q182" s="32" t="n">
        <v>29729.08</v>
      </c>
      <c r="R182" s="31" t="inlineStr">
        <is>
          <t>Earnings / Momentum Support</t>
        </is>
      </c>
      <c r="S182" s="31" t="inlineStr">
        <is>
          <t>Nifty 50</t>
        </is>
      </c>
      <c r="T182" s="32" t="n">
        <v>-4.47</v>
      </c>
      <c r="U182" s="32" t="n">
        <v>-2.1</v>
      </c>
      <c r="V182" s="32" t="n">
        <v>2.48</v>
      </c>
      <c r="W182" s="32" t="n">
        <v>6.53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No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Between 12 to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IF(B183=0,"",RANK(B183,$B$2:$B$343,0))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MUNJALAU</t>
        </is>
      </c>
      <c r="D183" s="31" t="inlineStr">
        <is>
          <t>Munjal Auto Industries Limited</t>
        </is>
      </c>
      <c r="E183" s="31" t="inlineStr">
        <is>
          <t>auto</t>
        </is>
      </c>
      <c r="F183" s="31" t="inlineStr">
        <is>
          <t>auto ancillaries</t>
        </is>
      </c>
      <c r="G183" s="31" t="inlineStr">
        <is>
          <t>smallcap</t>
        </is>
      </c>
      <c r="H183" s="32" t="n">
        <v>973.2</v>
      </c>
      <c r="I183" s="32" t="n">
        <v>98.79000000000001</v>
      </c>
      <c r="J183" s="32" t="n">
        <v>1.51</v>
      </c>
      <c r="K183" s="32" t="n">
        <v>378310</v>
      </c>
      <c r="L183" s="31" t="n">
        <v>53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68.16</v>
      </c>
      <c r="P183" s="32" t="n">
        <v>24.3</v>
      </c>
      <c r="Q183" s="32" t="n">
        <v>74.98</v>
      </c>
      <c r="R183" s="31" t="inlineStr">
        <is>
          <t>Earnings / Momentum Support</t>
        </is>
      </c>
      <c r="S183" s="31" t="inlineStr">
        <is>
          <t>Nifty Auto</t>
        </is>
      </c>
      <c r="T183" s="32" t="n">
        <v>13.57</v>
      </c>
      <c r="U183" s="32" t="n">
        <v>33.99</v>
      </c>
      <c r="V183" s="32" t="n">
        <v>17.98</v>
      </c>
      <c r="W183" s="32" t="n">
        <v>14.06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Less than 1.5</t>
        </is>
      </c>
      <c r="BU183" s="31">
        <f>IF(BT183="Above 2",0,IF(BT183="Between 1.5 to 2",5,IF(BT183="Less than 1.5",10,0)))</f>
        <v/>
      </c>
      <c r="BV183" s="31" t="inlineStr">
        <is>
          <t>Less than 50%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Between 0.7 to 1.2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IF(B184=0,"",RANK(B184,$B$2:$B$343,0))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PREMIERENE</t>
        </is>
      </c>
      <c r="D184" s="31" t="inlineStr">
        <is>
          <t>Premier Energies Ltd</t>
        </is>
      </c>
      <c r="E184" s="31" t="inlineStr">
        <is>
          <t>services</t>
        </is>
      </c>
      <c r="F184" s="31" t="inlineStr">
        <is>
          <t>trading</t>
        </is>
      </c>
      <c r="G184" s="31" t="inlineStr">
        <is>
          <t>largecap</t>
        </is>
      </c>
      <c r="H184" s="32" t="n">
        <v>47356.03</v>
      </c>
      <c r="I184" s="32" t="n">
        <v>1055.3</v>
      </c>
      <c r="J184" s="32" t="n">
        <v>0.95</v>
      </c>
      <c r="K184" s="32" t="n">
        <v>1566623</v>
      </c>
      <c r="L184" s="31" t="n">
        <v>19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61.21</v>
      </c>
      <c r="P184" s="32" t="n">
        <v>17.37</v>
      </c>
      <c r="Q184" s="32" t="n">
        <v>854.89</v>
      </c>
      <c r="R184" s="31" t="inlineStr">
        <is>
          <t>Near 52W High Breakout</t>
        </is>
      </c>
      <c r="S184" s="31" t="inlineStr">
        <is>
          <t>Nifty 50</t>
        </is>
      </c>
      <c r="T184" s="32" t="n">
        <v>-4.47</v>
      </c>
      <c r="U184" s="32" t="n">
        <v>2.77</v>
      </c>
      <c r="V184" s="32" t="n">
        <v>7.58</v>
      </c>
      <c r="W184" s="32" t="n">
        <v>5.69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0 to 20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No</t>
        </is>
      </c>
      <c r="BS184" s="31">
        <f>IF(BR184="NO",5,0)</f>
        <v/>
      </c>
      <c r="BT184" s="31" t="inlineStr">
        <is>
          <t>Less than 1.5</t>
        </is>
      </c>
      <c r="BU184" s="31">
        <f>IF(BT184="Above 2",0,IF(BT184="Between 1.5 to 2",5,IF(BT184="Less than 1.5",10,0)))</f>
        <v/>
      </c>
      <c r="BV184" s="31" t="inlineStr">
        <is>
          <t>Between 50% to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Between 0.7 to 1.2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IF(B185=0,"",RANK(B185,$B$2:$B$343,0))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3" t="inlineStr">
        <is>
          <t>JINDALSAW</t>
        </is>
      </c>
      <c r="D185" s="33" t="inlineStr">
        <is>
          <t>Jindal Saw Limited</t>
        </is>
      </c>
      <c r="E185" s="31" t="inlineStr">
        <is>
          <t>industrials</t>
        </is>
      </c>
      <c r="F185" s="31" t="inlineStr">
        <is>
          <t>steel - large</t>
        </is>
      </c>
      <c r="G185" s="31" t="inlineStr">
        <is>
          <t>midcap</t>
        </is>
      </c>
      <c r="H185" s="32" t="n">
        <v>15751.73</v>
      </c>
      <c r="I185" s="32" t="n">
        <v>247.91</v>
      </c>
      <c r="J185" s="32" t="n">
        <v>0.65</v>
      </c>
      <c r="K185" s="32" t="n">
        <v>2822994</v>
      </c>
      <c r="L185" s="31" t="n">
        <v>32</v>
      </c>
      <c r="M185" s="31" t="inlineStr">
        <is>
          <t>Underperforming</t>
        </is>
      </c>
      <c r="N185" s="32">
        <f>IF(M185="Underperforming",-5,IF(L185&gt;=95,15,IF(L185&gt;=90,10,IF(L185&gt;=80,5,0))))</f>
        <v/>
      </c>
      <c r="O185" s="32" t="n">
        <v>61.66</v>
      </c>
      <c r="P185" s="32" t="n">
        <v>30.61</v>
      </c>
      <c r="Q185" s="32" t="n">
        <v>184.9</v>
      </c>
      <c r="R185" s="31" t="inlineStr">
        <is>
          <t>Near 52W High Breakout</t>
        </is>
      </c>
      <c r="S185" s="31" t="inlineStr">
        <is>
          <t>Nifty Metal</t>
        </is>
      </c>
      <c r="T185" s="32" t="n">
        <v>40.96</v>
      </c>
      <c r="U185" s="32" t="n">
        <v>4.46</v>
      </c>
      <c r="V185" s="32" t="n">
        <v>-25.89</v>
      </c>
      <c r="W185" s="32" t="n">
        <v>8.57</v>
      </c>
      <c r="X185" s="31" t="inlineStr">
        <is>
          <t>Cyclical in an Upturn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Less than 12%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IF(B186=0,"",RANK(B186,$B$2:$B$343,0))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FILATEX</t>
        </is>
      </c>
      <c r="D186" s="31" t="inlineStr">
        <is>
          <t>Filatex India Limited</t>
        </is>
      </c>
      <c r="E186" s="31" t="inlineStr">
        <is>
          <t>textiles</t>
        </is>
      </c>
      <c r="F186" s="31" t="inlineStr">
        <is>
          <t>textiles - manmade</t>
        </is>
      </c>
      <c r="G186" s="31" t="inlineStr">
        <is>
          <t>smallcap</t>
        </is>
      </c>
      <c r="H186" s="32" t="n">
        <v>2353.95</v>
      </c>
      <c r="I186" s="32" t="n">
        <v>53.17</v>
      </c>
      <c r="J186" s="32" t="n">
        <v>0.3</v>
      </c>
      <c r="K186" s="32" t="n">
        <v>1740331</v>
      </c>
      <c r="L186" s="31" t="n">
        <v>27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60.87</v>
      </c>
      <c r="P186" s="32" t="n">
        <v>17.84</v>
      </c>
      <c r="Q186" s="32" t="n">
        <v>39.21</v>
      </c>
      <c r="R186" s="31" t="inlineStr">
        <is>
          <t>Earnings / Momentum Support</t>
        </is>
      </c>
      <c r="S186" s="31" t="inlineStr">
        <is>
          <t>Nifty 50</t>
        </is>
      </c>
      <c r="T186" s="32" t="n">
        <v>-4.47</v>
      </c>
      <c r="U186" s="32" t="n">
        <v>1.34</v>
      </c>
      <c r="V186" s="32" t="n">
        <v>6.08</v>
      </c>
      <c r="W186" s="32" t="n">
        <v>7.83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0 to 20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Between 12 to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Less than 1.5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IF(B187=0,"",RANK(B187,$B$2:$B$343,0))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MGEL</t>
        </is>
      </c>
      <c r="D187" s="31" t="inlineStr">
        <is>
          <t>Mangalam Global Enterprise Ltd</t>
        </is>
      </c>
      <c r="E187" s="31" t="inlineStr">
        <is>
          <t>services</t>
        </is>
      </c>
      <c r="F187" s="31" t="inlineStr">
        <is>
          <t>trading</t>
        </is>
      </c>
      <c r="G187" s="31" t="inlineStr">
        <is>
          <t>smallcap</t>
        </is>
      </c>
      <c r="H187" s="32" t="n">
        <v>541.79</v>
      </c>
      <c r="I187" s="32" t="n">
        <v>16.39</v>
      </c>
      <c r="J187" s="32" t="n">
        <v>-0.3</v>
      </c>
      <c r="K187" s="32" t="n">
        <v>122957</v>
      </c>
      <c r="L187" s="31" t="n">
        <v>62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66.06999999999999</v>
      </c>
      <c r="P187" s="32" t="n">
        <v>29.41</v>
      </c>
      <c r="Q187" s="32" t="n">
        <v>11.65</v>
      </c>
      <c r="R187" s="31" t="inlineStr">
        <is>
          <t>Earnings / Momentum Support</t>
        </is>
      </c>
      <c r="S187" s="31" t="inlineStr">
        <is>
          <t>Nifty 50</t>
        </is>
      </c>
      <c r="T187" s="32" t="n">
        <v>-4.47</v>
      </c>
      <c r="U187" s="32" t="n">
        <v>11.87</v>
      </c>
      <c r="V187" s="32" t="n">
        <v>17.11</v>
      </c>
      <c r="W187" s="32" t="n">
        <v>16.89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No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Between 0.7 to 1.2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IF(B188=0,"",RANK(B188,$B$2:$B$343,0))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THERMAX</t>
        </is>
      </c>
      <c r="D188" s="31" t="inlineStr">
        <is>
          <t>Thermax Limited</t>
        </is>
      </c>
      <c r="E188" s="31" t="inlineStr">
        <is>
          <t>industrials</t>
        </is>
      </c>
      <c r="F188" s="31" t="inlineStr">
        <is>
          <t>electric equipment</t>
        </is>
      </c>
      <c r="G188" s="31" t="inlineStr">
        <is>
          <t>largecap</t>
        </is>
      </c>
      <c r="H188" s="32" t="n">
        <v>56492</v>
      </c>
      <c r="I188" s="32" t="n">
        <v>4714.6</v>
      </c>
      <c r="J188" s="32" t="n">
        <v>-0.5600000000000001</v>
      </c>
      <c r="K188" s="32" t="n">
        <v>91904</v>
      </c>
      <c r="L188" s="31" t="n">
        <v>64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70.33</v>
      </c>
      <c r="P188" s="32" t="n">
        <v>41.06</v>
      </c>
      <c r="Q188" s="32" t="n">
        <v>4026.81</v>
      </c>
      <c r="R188" s="31" t="inlineStr">
        <is>
          <t>Earnings / Momentum Support</t>
        </is>
      </c>
      <c r="S188" s="31" t="inlineStr">
        <is>
          <t>Nifty 50</t>
        </is>
      </c>
      <c r="T188" s="32" t="n">
        <v>-4.47</v>
      </c>
      <c r="U188" s="32" t="n">
        <v>38.28</v>
      </c>
      <c r="V188" s="32" t="n">
        <v>44.76</v>
      </c>
      <c r="W188" s="32" t="n">
        <v>17.68</v>
      </c>
      <c r="X188" s="31" t="inlineStr">
        <is>
          <t>Cyclical in an Upturn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Above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Between 12 to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Between 50% to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IF(B189=0,"",RANK(B189,$B$2:$B$343,0))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WHEELS</t>
        </is>
      </c>
      <c r="D189" s="31" t="inlineStr">
        <is>
          <t>Wheels India Limited</t>
        </is>
      </c>
      <c r="E189" s="31" t="inlineStr">
        <is>
          <t>auto</t>
        </is>
      </c>
      <c r="F189" s="31" t="inlineStr">
        <is>
          <t>auto ancillaries</t>
        </is>
      </c>
      <c r="G189" s="31" t="inlineStr">
        <is>
          <t>smallcap</t>
        </is>
      </c>
      <c r="H189" s="32" t="n">
        <v>3929.07</v>
      </c>
      <c r="I189" s="32" t="n">
        <v>1597.7</v>
      </c>
      <c r="J189" s="32" t="n">
        <v>-0.65</v>
      </c>
      <c r="K189" s="32" t="n">
        <v>121414</v>
      </c>
      <c r="L189" s="31" t="n">
        <v>84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70.89</v>
      </c>
      <c r="P189" s="32" t="n">
        <v>53.69</v>
      </c>
      <c r="Q189" s="32" t="n">
        <v>1281.07</v>
      </c>
      <c r="R189" s="31" t="inlineStr">
        <is>
          <t>Near 52W High Breakout</t>
        </is>
      </c>
      <c r="S189" s="31" t="inlineStr">
        <is>
          <t>Nifty Auto</t>
        </is>
      </c>
      <c r="T189" s="32" t="n">
        <v>13.57</v>
      </c>
      <c r="U189" s="32" t="n">
        <v>113.52</v>
      </c>
      <c r="V189" s="32" t="n">
        <v>88.01000000000001</v>
      </c>
      <c r="W189" s="32" t="n">
        <v>29.03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Above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Negative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Blue sky scenario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Less than 12%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IF(B190=0,"",RANK(B190,$B$2:$B$343,0))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PASUPTAC</t>
        </is>
      </c>
      <c r="D190" s="31" t="inlineStr">
        <is>
          <t>Pasupati Acrylon Ltd</t>
        </is>
      </c>
      <c r="E190" s="31" t="inlineStr">
        <is>
          <t>textiles</t>
        </is>
      </c>
      <c r="F190" s="31" t="inlineStr">
        <is>
          <t>textiles - manmade</t>
        </is>
      </c>
      <c r="G190" s="31" t="inlineStr">
        <is>
          <t>smallcap</t>
        </is>
      </c>
      <c r="H190" s="32" t="n">
        <v>613.95</v>
      </c>
      <c r="I190" s="32" t="n">
        <v>68.13</v>
      </c>
      <c r="J190" s="32" t="n">
        <v>-1.09</v>
      </c>
      <c r="K190" s="32" t="n">
        <v>76894</v>
      </c>
      <c r="L190" s="31" t="n">
        <v>70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64.77</v>
      </c>
      <c r="P190" s="32" t="n">
        <v>34.55</v>
      </c>
      <c r="Q190" s="32" t="n">
        <v>52.7</v>
      </c>
      <c r="R190" s="31" t="inlineStr">
        <is>
          <t>Earnings / Momentum Support</t>
        </is>
      </c>
      <c r="S190" s="31" t="inlineStr">
        <is>
          <t>Nifty 50</t>
        </is>
      </c>
      <c r="T190" s="32" t="n">
        <v>-4.47</v>
      </c>
      <c r="U190" s="32" t="n">
        <v>38.84</v>
      </c>
      <c r="V190" s="32" t="n">
        <v>45.34</v>
      </c>
      <c r="W190" s="32" t="n">
        <v>19.64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Less than 50%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IF(B191=0,"",RANK(B191,$B$2:$B$343,0))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ELGIEQUIP</t>
        </is>
      </c>
      <c r="D191" s="31" t="inlineStr">
        <is>
          <t>Elgi Equipments Limited</t>
        </is>
      </c>
      <c r="E191" s="31" t="inlineStr">
        <is>
          <t>industrials</t>
        </is>
      </c>
      <c r="F191" s="31" t="inlineStr">
        <is>
          <t>compressors / drilling equipment</t>
        </is>
      </c>
      <c r="G191" s="31" t="inlineStr">
        <is>
          <t>midcap</t>
        </is>
      </c>
      <c r="H191" s="32" t="n">
        <v>19293.42</v>
      </c>
      <c r="I191" s="32" t="n">
        <v>601.3</v>
      </c>
      <c r="J191" s="32" t="n">
        <v>-1.23</v>
      </c>
      <c r="K191" s="32" t="n">
        <v>297925</v>
      </c>
      <c r="L191" s="31" t="n">
        <v>33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64.34999999999999</v>
      </c>
      <c r="P191" s="32" t="n">
        <v>16.95</v>
      </c>
      <c r="Q191" s="32" t="n">
        <v>486.43</v>
      </c>
      <c r="R191" s="31" t="inlineStr">
        <is>
          <t>Near 52W High Breakout</t>
        </is>
      </c>
      <c r="S191" s="31" t="inlineStr">
        <is>
          <t>Nifty 50</t>
        </is>
      </c>
      <c r="T191" s="32" t="n">
        <v>-4.47</v>
      </c>
      <c r="U191" s="32" t="n">
        <v>18.31</v>
      </c>
      <c r="V191" s="32" t="n">
        <v>23.85</v>
      </c>
      <c r="W191" s="32" t="n">
        <v>9.01</v>
      </c>
      <c r="X191" s="31" t="inlineStr">
        <is>
          <t>Cyclical in an Upturn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0 to 20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Between 1.5 to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IF(B192=0,"",RANK(B192,$B$2:$B$343,0))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KDDL</t>
        </is>
      </c>
      <c r="D192" s="31" t="inlineStr">
        <is>
          <t>Kddl Limited</t>
        </is>
      </c>
      <c r="E192" s="31" t="inlineStr">
        <is>
          <t>consumer discretionary</t>
        </is>
      </c>
      <c r="F192" s="31" t="inlineStr">
        <is>
          <t>miscellaneous</t>
        </is>
      </c>
      <c r="G192" s="31" t="inlineStr">
        <is>
          <t>smallcap</t>
        </is>
      </c>
      <c r="H192" s="32" t="n">
        <v>3519.07</v>
      </c>
      <c r="I192" s="32" t="n">
        <v>2825.5</v>
      </c>
      <c r="J192" s="32" t="n">
        <v>-1.25</v>
      </c>
      <c r="K192" s="32" t="n">
        <v>14535</v>
      </c>
      <c r="L192" s="31" t="n">
        <v>24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59.79</v>
      </c>
      <c r="P192" s="32" t="n">
        <v>17.14</v>
      </c>
      <c r="Q192" s="32" t="n">
        <v>2133.77</v>
      </c>
      <c r="R192" s="31" t="inlineStr">
        <is>
          <t>Near 52W High Breakout</t>
        </is>
      </c>
      <c r="S192" s="31" t="inlineStr">
        <is>
          <t>Nifty 50</t>
        </is>
      </c>
      <c r="T192" s="32" t="n">
        <v>-4.47</v>
      </c>
      <c r="U192" s="32" t="n">
        <v>4.08</v>
      </c>
      <c r="V192" s="32" t="n">
        <v>8.949999999999999</v>
      </c>
      <c r="W192" s="32" t="n">
        <v>7.42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0 to 20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Between 1.5 to 2</t>
        </is>
      </c>
      <c r="BU192" s="31">
        <f>IF(BT192="Above 2",0,IF(BT192="Between 1.5 to 2",5,IF(BT192="Less than 1.5",10,0)))</f>
        <v/>
      </c>
      <c r="BV192" s="31" t="inlineStr">
        <is>
          <t>Less than 50%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IF(B193=0,"",RANK(B193,$B$2:$B$343,0))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3" t="inlineStr">
        <is>
          <t>EXIDEIND</t>
        </is>
      </c>
      <c r="D193" s="33" t="inlineStr">
        <is>
          <t>Exide Industries Limited</t>
        </is>
      </c>
      <c r="E193" s="31" t="inlineStr">
        <is>
          <t>auto</t>
        </is>
      </c>
      <c r="F193" s="31" t="inlineStr">
        <is>
          <t>auto ancillaries</t>
        </is>
      </c>
      <c r="G193" s="31" t="inlineStr">
        <is>
          <t>largecap</t>
        </is>
      </c>
      <c r="H193" s="32" t="n">
        <v>33562.25</v>
      </c>
      <c r="I193" s="32" t="n">
        <v>388.55</v>
      </c>
      <c r="J193" s="32" t="n">
        <v>-1.6</v>
      </c>
      <c r="K193" s="32" t="n">
        <v>1129917</v>
      </c>
      <c r="L193" s="31" t="n">
        <v>25</v>
      </c>
      <c r="M193" s="31" t="inlineStr">
        <is>
          <t>Underperforming</t>
        </is>
      </c>
      <c r="N193" s="32">
        <f>IF(M193="Underperforming",-5,IF(L193&gt;=95,15,IF(L193&gt;=90,10,IF(L193&gt;=80,5,0))))</f>
        <v/>
      </c>
      <c r="O193" s="32" t="n">
        <v>61.16</v>
      </c>
      <c r="P193" s="32" t="n">
        <v>29.5</v>
      </c>
      <c r="Q193" s="32" t="n">
        <v>330.37</v>
      </c>
      <c r="R193" s="31" t="inlineStr">
        <is>
          <t>Earnings / Momentum Support</t>
        </is>
      </c>
      <c r="S193" s="31" t="inlineStr">
        <is>
          <t>Nifty Auto</t>
        </is>
      </c>
      <c r="T193" s="32" t="n">
        <v>13.57</v>
      </c>
      <c r="U193" s="32" t="n">
        <v>2.72</v>
      </c>
      <c r="V193" s="32" t="n">
        <v>-9.550000000000001</v>
      </c>
      <c r="W193" s="32" t="n">
        <v>7.46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No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Between 12 to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IF(B194=0,"",RANK(B194,$B$2:$B$343,0))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SPECTRUM</t>
        </is>
      </c>
      <c r="D194" s="31" t="inlineStr">
        <is>
          <t>Spectrum Electrical Industries Ltd</t>
        </is>
      </c>
      <c r="E194" s="31" t="inlineStr">
        <is>
          <t>industrials</t>
        </is>
      </c>
      <c r="F194" s="31" t="inlineStr">
        <is>
          <t>electric equipment</t>
        </is>
      </c>
      <c r="G194" s="31" t="inlineStr">
        <is>
          <t>smallcap</t>
        </is>
      </c>
      <c r="H194" s="32" t="n">
        <v>2511.7</v>
      </c>
      <c r="I194" s="32" t="n">
        <v>1564.2</v>
      </c>
      <c r="J194" s="32" t="n">
        <v>-2.14</v>
      </c>
      <c r="K194" s="32" t="n">
        <v>8780</v>
      </c>
      <c r="L194" s="31" t="n">
        <v>8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56.77</v>
      </c>
      <c r="P194" s="32" t="n">
        <v>28.24</v>
      </c>
      <c r="Q194" s="32" t="n">
        <v>1226.06</v>
      </c>
      <c r="R194" s="31" t="inlineStr">
        <is>
          <t>Earnings / Momentum Support</t>
        </is>
      </c>
      <c r="S194" s="31" t="inlineStr">
        <is>
          <t>Nifty 50</t>
        </is>
      </c>
      <c r="T194" s="32" t="n">
        <v>-4.47</v>
      </c>
      <c r="U194" s="32" t="n">
        <v>7.19</v>
      </c>
      <c r="V194" s="32" t="n">
        <v>12.21</v>
      </c>
      <c r="W194" s="32" t="n">
        <v>3.72</v>
      </c>
      <c r="X194" s="31" t="inlineStr">
        <is>
          <t>Cyclical in an Upturn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Less than 1.5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Between 0.7 to 1.2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IF(B195=0,"",RANK(B195,$B$2:$B$343,0))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CHENNPETRO</t>
        </is>
      </c>
      <c r="D195" s="31" t="inlineStr">
        <is>
          <t>Chennai Petroleum Corporation Limited</t>
        </is>
      </c>
      <c r="E195" s="31" t="inlineStr">
        <is>
          <t>energy</t>
        </is>
      </c>
      <c r="F195" s="31" t="inlineStr">
        <is>
          <t>refineries</t>
        </is>
      </c>
      <c r="G195" s="31" t="inlineStr">
        <is>
          <t>midcap</t>
        </is>
      </c>
      <c r="H195" s="32" t="n">
        <v>18027.21</v>
      </c>
      <c r="I195" s="32" t="n">
        <v>1183.4</v>
      </c>
      <c r="J195" s="32" t="n">
        <v>-2.25</v>
      </c>
      <c r="K195" s="32" t="n">
        <v>634808</v>
      </c>
      <c r="L195" s="31" t="n">
        <v>60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62.91</v>
      </c>
      <c r="P195" s="32" t="n">
        <v>45.67</v>
      </c>
      <c r="Q195" s="32" t="n">
        <v>877.34</v>
      </c>
      <c r="R195" s="31" t="inlineStr">
        <is>
          <t>Near 52W High Breakout</t>
        </is>
      </c>
      <c r="S195" s="31" t="inlineStr">
        <is>
          <t>Nifty Energy</t>
        </is>
      </c>
      <c r="T195" s="32" t="n">
        <v>12.12</v>
      </c>
      <c r="U195" s="32" t="n">
        <v>89.84</v>
      </c>
      <c r="V195" s="32" t="n">
        <v>69.31</v>
      </c>
      <c r="W195" s="32" t="n">
        <v>16.34</v>
      </c>
      <c r="X195" s="31" t="inlineStr">
        <is>
          <t>Cyclical in an Upturn</t>
        </is>
      </c>
      <c r="Y195" s="31">
        <f>IF(X195="Growing Industry",10,IF(X195="Cyclical in an Upturn",5,0))</f>
        <v/>
      </c>
      <c r="Z195" s="31" t="inlineStr">
        <is>
          <t>Oligopoly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Yes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Cyclical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Volatile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Above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Blue sky scenario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Between 50% to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IF(B196=0,"",RANK(B196,$B$2:$B$343,0))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3" t="inlineStr">
        <is>
          <t>GUFICBIO</t>
        </is>
      </c>
      <c r="D196" s="33" t="inlineStr">
        <is>
          <t>Gufic Biosciences Limited</t>
        </is>
      </c>
      <c r="E196" s="31" t="inlineStr">
        <is>
          <t>healthcare</t>
        </is>
      </c>
      <c r="F196" s="31" t="inlineStr">
        <is>
          <t>pharmaceuticals - indian - bulk drugs &amp; formln</t>
        </is>
      </c>
      <c r="G196" s="31" t="inlineStr">
        <is>
          <t>smallcap</t>
        </is>
      </c>
      <c r="H196" s="32" t="n">
        <v>3614.18</v>
      </c>
      <c r="I196" s="32" t="n">
        <v>370</v>
      </c>
      <c r="J196" s="32" t="n">
        <v>2.66</v>
      </c>
      <c r="K196" s="32" t="n">
        <v>118082</v>
      </c>
      <c r="L196" s="31" t="n">
        <v>23</v>
      </c>
      <c r="M196" s="31" t="inlineStr">
        <is>
          <t>Underperforming</t>
        </is>
      </c>
      <c r="N196" s="32">
        <f>IF(M196="Underperforming",-5,IF(L196&gt;=95,15,IF(L196&gt;=90,10,IF(L196&gt;=80,5,0))))</f>
        <v/>
      </c>
      <c r="O196" s="32" t="n">
        <v>64.98</v>
      </c>
      <c r="P196" s="32" t="n">
        <v>23.68</v>
      </c>
      <c r="Q196" s="32" t="n">
        <v>287.2</v>
      </c>
      <c r="R196" s="31" t="inlineStr">
        <is>
          <t>Near 52W High Breakout</t>
        </is>
      </c>
      <c r="S196" s="31" t="inlineStr">
        <is>
          <t>Nifty Pharma</t>
        </is>
      </c>
      <c r="T196" s="32" t="n">
        <v>11.77</v>
      </c>
      <c r="U196" s="32" t="n">
        <v>4.03</v>
      </c>
      <c r="V196" s="32" t="n">
        <v>-6.93</v>
      </c>
      <c r="W196" s="32" t="n">
        <v>6.82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Yes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Annuity, Lower One Time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Less than 50%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IF(B197=0,"",RANK(B197,$B$2:$B$343,0))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HMVL</t>
        </is>
      </c>
      <c r="D197" s="31" t="inlineStr">
        <is>
          <t>Hindustan Media Ventures Limited</t>
        </is>
      </c>
      <c r="E197" s="31" t="inlineStr">
        <is>
          <t>media</t>
        </is>
      </c>
      <c r="F197" s="31" t="inlineStr">
        <is>
          <t>entertainment / electronic media software</t>
        </is>
      </c>
      <c r="G197" s="31" t="inlineStr">
        <is>
          <t>smallcap</t>
        </is>
      </c>
      <c r="H197" s="32" t="n">
        <v>607.05</v>
      </c>
      <c r="I197" s="32" t="n">
        <v>84.26000000000001</v>
      </c>
      <c r="J197" s="32" t="n">
        <v>2.26</v>
      </c>
      <c r="K197" s="32" t="n">
        <v>131871</v>
      </c>
      <c r="L197" s="31" t="n">
        <v>27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66.09</v>
      </c>
      <c r="P197" s="32" t="n">
        <v>28.46</v>
      </c>
      <c r="Q197" s="32" t="n">
        <v>63.1</v>
      </c>
      <c r="R197" s="31" t="inlineStr">
        <is>
          <t>Earnings / Momentum Support</t>
        </is>
      </c>
      <c r="S197" s="31" t="inlineStr">
        <is>
          <t>Nifty IT</t>
        </is>
      </c>
      <c r="T197" s="32" t="n">
        <v>-26.73</v>
      </c>
      <c r="U197" s="32" t="n">
        <v>-0.77</v>
      </c>
      <c r="V197" s="32" t="n">
        <v>35.44</v>
      </c>
      <c r="W197" s="32" t="n">
        <v>7.86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Annuity, Lower One Time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Less than 12%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No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Between 50% to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IF(B198=0,"",RANK(B198,$B$2:$B$343,0))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STAR</t>
        </is>
      </c>
      <c r="D198" s="31" t="inlineStr">
        <is>
          <t>Strides Shasun Limited</t>
        </is>
      </c>
      <c r="E198" s="31" t="inlineStr">
        <is>
          <t>healthcare</t>
        </is>
      </c>
      <c r="F198" s="31" t="inlineStr">
        <is>
          <t>pharmaceuticals - indian - bulk drugs &amp; formln</t>
        </is>
      </c>
      <c r="G198" s="31" t="inlineStr">
        <is>
          <t>midcap</t>
        </is>
      </c>
      <c r="H198" s="32" t="n">
        <v>10003.5</v>
      </c>
      <c r="I198" s="32" t="n">
        <v>1102.7</v>
      </c>
      <c r="J198" s="32" t="n">
        <v>1.6</v>
      </c>
      <c r="K198" s="32" t="n">
        <v>175546</v>
      </c>
      <c r="L198" s="31" t="n">
        <v>40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61.56</v>
      </c>
      <c r="P198" s="32" t="n">
        <v>30.09</v>
      </c>
      <c r="Q198" s="32" t="n">
        <v>883.78</v>
      </c>
      <c r="R198" s="31" t="inlineStr">
        <is>
          <t>Near 52W High Breakout</t>
        </is>
      </c>
      <c r="S198" s="31" t="inlineStr">
        <is>
          <t>Nifty Pharma</t>
        </is>
      </c>
      <c r="T198" s="32" t="n">
        <v>11.77</v>
      </c>
      <c r="U198" s="32" t="n">
        <v>33.97</v>
      </c>
      <c r="V198" s="32" t="n">
        <v>19.86</v>
      </c>
      <c r="W198" s="32" t="n">
        <v>10.77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Yes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Annuity, Lower One Time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Negative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Less than 1.5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IF(B199=0,"",RANK(B199,$B$2:$B$343,0))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BALRAMCHIN</t>
        </is>
      </c>
      <c r="D199" s="31" t="inlineStr">
        <is>
          <t>Balrampur Chini Mills Limited</t>
        </is>
      </c>
      <c r="E199" s="31" t="inlineStr">
        <is>
          <t>fmcg</t>
        </is>
      </c>
      <c r="F199" s="31" t="inlineStr">
        <is>
          <t>sugar</t>
        </is>
      </c>
      <c r="G199" s="31" t="inlineStr">
        <is>
          <t>midcap</t>
        </is>
      </c>
      <c r="H199" s="32" t="n">
        <v>11653.5</v>
      </c>
      <c r="I199" s="32" t="n">
        <v>559.05</v>
      </c>
      <c r="J199" s="32" t="n">
        <v>1.35</v>
      </c>
      <c r="K199" s="32" t="n">
        <v>292397</v>
      </c>
      <c r="L199" s="31" t="n">
        <v>4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67.26000000000001</v>
      </c>
      <c r="P199" s="32" t="n">
        <v>20.38</v>
      </c>
      <c r="Q199" s="32" t="n">
        <v>452.41</v>
      </c>
      <c r="R199" s="31" t="inlineStr">
        <is>
          <t>Earnings / Momentum Support</t>
        </is>
      </c>
      <c r="S199" s="31" t="inlineStr">
        <is>
          <t>Nifty FMCG</t>
        </is>
      </c>
      <c r="T199" s="32" t="n">
        <v>-9.130000000000001</v>
      </c>
      <c r="U199" s="32" t="n">
        <v>-5.27</v>
      </c>
      <c r="V199" s="32" t="n">
        <v>4.24</v>
      </c>
      <c r="W199" s="32" t="n">
        <v>2.67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B2C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Annuity, Lower One Time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Less than 12%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Between 0.7 to 1.2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IF(B200=0,"",RANK(B200,$B$2:$B$343,0))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DIAMONDYD</t>
        </is>
      </c>
      <c r="D200" s="31" t="inlineStr">
        <is>
          <t>Prataap Snacks Ltd</t>
        </is>
      </c>
      <c r="E200" s="31" t="inlineStr">
        <is>
          <t>fmcg</t>
        </is>
      </c>
      <c r="F200" s="31" t="inlineStr">
        <is>
          <t>food - processing - indian</t>
        </is>
      </c>
      <c r="G200" s="31" t="inlineStr">
        <is>
          <t>smallcap</t>
        </is>
      </c>
      <c r="H200" s="32" t="n">
        <v>2667.64</v>
      </c>
      <c r="I200" s="32" t="n">
        <v>1128.6</v>
      </c>
      <c r="J200" s="32" t="n">
        <v>1.13</v>
      </c>
      <c r="K200" s="32" t="n">
        <v>14497</v>
      </c>
      <c r="L200" s="31" t="n">
        <v>28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59.46</v>
      </c>
      <c r="P200" s="32" t="n">
        <v>20.25</v>
      </c>
      <c r="Q200" s="32" t="n">
        <v>926.1799999999999</v>
      </c>
      <c r="R200" s="31" t="inlineStr">
        <is>
          <t>Earnings / Momentum Support</t>
        </is>
      </c>
      <c r="S200" s="31" t="inlineStr">
        <is>
          <t>Nifty FMCG</t>
        </is>
      </c>
      <c r="T200" s="32" t="n">
        <v>-9.130000000000001</v>
      </c>
      <c r="U200" s="32" t="n">
        <v>11.37</v>
      </c>
      <c r="V200" s="32" t="n">
        <v>22.56</v>
      </c>
      <c r="W200" s="32" t="n">
        <v>8.07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Headwind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B2C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Annuity, Lower One Time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Between 50% to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IF(B201=0,"",RANK(B201,$B$2:$B$343,0))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3" t="inlineStr">
        <is>
          <t>ZIMLAB</t>
        </is>
      </c>
      <c r="D201" s="33" t="inlineStr">
        <is>
          <t>Zim Laboratories Ltd</t>
        </is>
      </c>
      <c r="E201" s="31" t="inlineStr">
        <is>
          <t>healthcare</t>
        </is>
      </c>
      <c r="F201" s="31" t="inlineStr">
        <is>
          <t>pharmaceuticals - indian - bulk drugs &amp; formln</t>
        </is>
      </c>
      <c r="G201" s="31" t="inlineStr">
        <is>
          <t>smallcap</t>
        </is>
      </c>
      <c r="H201" s="32" t="n">
        <v>598.24</v>
      </c>
      <c r="I201" s="32" t="n">
        <v>111.23</v>
      </c>
      <c r="J201" s="32" t="n">
        <v>-0.53</v>
      </c>
      <c r="K201" s="32" t="n">
        <v>30930</v>
      </c>
      <c r="L201" s="31" t="n">
        <v>65</v>
      </c>
      <c r="M201" s="31" t="inlineStr">
        <is>
          <t>Underperforming</t>
        </is>
      </c>
      <c r="N201" s="32">
        <f>IF(M201="Underperforming",-5,IF(L201&gt;=95,15,IF(L201&gt;=90,10,IF(L201&gt;=80,5,0))))</f>
        <v/>
      </c>
      <c r="O201" s="32" t="n">
        <v>72.12</v>
      </c>
      <c r="P201" s="32" t="n">
        <v>46.63</v>
      </c>
      <c r="Q201" s="32" t="n">
        <v>82.44</v>
      </c>
      <c r="R201" s="31" t="inlineStr">
        <is>
          <t>Earnings / Momentum Support</t>
        </is>
      </c>
      <c r="S201" s="31" t="inlineStr">
        <is>
          <t>Nifty Pharma</t>
        </is>
      </c>
      <c r="T201" s="32" t="n">
        <v>11.77</v>
      </c>
      <c r="U201" s="32" t="n">
        <v>4.73</v>
      </c>
      <c r="V201" s="32" t="n">
        <v>-6.31</v>
      </c>
      <c r="W201" s="32" t="n">
        <v>17.85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Yes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Annuity, Lower One Time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Above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Less than 12%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IF(B202=0,"",RANK(B202,$B$2:$B$343,0))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ZYDUSLIFE</t>
        </is>
      </c>
      <c r="D202" s="31" t="inlineStr">
        <is>
          <t>Zydus Lifesciences Ltd</t>
        </is>
      </c>
      <c r="E202" s="31" t="inlineStr">
        <is>
          <t>healthcare</t>
        </is>
      </c>
      <c r="F202" s="31" t="inlineStr">
        <is>
          <t>pharmaceuticals - indian - bulk drugs &amp; formln</t>
        </is>
      </c>
      <c r="G202" s="31" t="inlineStr">
        <is>
          <t>largecap</t>
        </is>
      </c>
      <c r="H202" s="32" t="n">
        <v>109488.32</v>
      </c>
      <c r="I202" s="32" t="n">
        <v>1078.7</v>
      </c>
      <c r="J202" s="32" t="n">
        <v>-0.86</v>
      </c>
      <c r="K202" s="32" t="n">
        <v>1049320</v>
      </c>
      <c r="L202" s="31" t="n">
        <v>25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66.62</v>
      </c>
      <c r="P202" s="32" t="n">
        <v>22.52</v>
      </c>
      <c r="Q202" s="32" t="n">
        <v>942.87</v>
      </c>
      <c r="R202" s="31" t="inlineStr">
        <is>
          <t>Near 52W High Breakout</t>
        </is>
      </c>
      <c r="S202" s="31" t="inlineStr">
        <is>
          <t>Nifty Pharma</t>
        </is>
      </c>
      <c r="T202" s="32" t="n">
        <v>11.77</v>
      </c>
      <c r="U202" s="32" t="n">
        <v>14</v>
      </c>
      <c r="V202" s="32" t="n">
        <v>1.99</v>
      </c>
      <c r="W202" s="32" t="n">
        <v>7.48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Yes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Annuity, Lower One Time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Less than 12%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Less than 50%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IF(B203=0,"",RANK(B203,$B$2:$B$343,0))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APOLLOHOSP</t>
        </is>
      </c>
      <c r="D203" s="31" t="inlineStr">
        <is>
          <t>Apollo Hospitals Enterprise Limited</t>
        </is>
      </c>
      <c r="E203" s="31" t="inlineStr">
        <is>
          <t>healthcare</t>
        </is>
      </c>
      <c r="F203" s="31" t="inlineStr">
        <is>
          <t>healthcare</t>
        </is>
      </c>
      <c r="G203" s="31" t="inlineStr">
        <is>
          <t>largecap</t>
        </is>
      </c>
      <c r="H203" s="32" t="n">
        <v>121764.04</v>
      </c>
      <c r="I203" s="32" t="n">
        <v>8390.5</v>
      </c>
      <c r="J203" s="32" t="n">
        <v>-0.92</v>
      </c>
      <c r="K203" s="32" t="n">
        <v>263172</v>
      </c>
      <c r="L203" s="31" t="n">
        <v>22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63.6</v>
      </c>
      <c r="P203" s="32" t="n">
        <v>14.28</v>
      </c>
      <c r="Q203" s="32" t="n">
        <v>7429.19</v>
      </c>
      <c r="R203" s="31" t="inlineStr">
        <is>
          <t>Near 52W High Breakout</t>
        </is>
      </c>
      <c r="S203" s="31" t="inlineStr">
        <is>
          <t>Nifty Pharma</t>
        </is>
      </c>
      <c r="T203" s="32" t="n">
        <v>11.77</v>
      </c>
      <c r="U203" s="32" t="n">
        <v>19.1</v>
      </c>
      <c r="V203" s="32" t="n">
        <v>6.55</v>
      </c>
      <c r="W203" s="32" t="n">
        <v>6.7</v>
      </c>
      <c r="X203" s="31" t="inlineStr">
        <is>
          <t>Cyclical in an Upturn</t>
        </is>
      </c>
      <c r="Y203" s="31">
        <f>IF(X203="Growing Industry",10,IF(X203="Cyclical in an Upturn",5,0))</f>
        <v/>
      </c>
      <c r="Z203" s="31" t="inlineStr">
        <is>
          <t>Oligopoly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Cyclical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B2C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Fully One Time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Above 40</t>
        </is>
      </c>
      <c r="AY203" s="31">
        <f>IF(AX203="Above 40",20,IF(AX203="20 to 40",10,IF(AX203="0 to 20",-5,0)))</f>
        <v/>
      </c>
      <c r="AZ203" s="31" t="inlineStr">
        <is>
          <t>Above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Yes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Between 1.5 to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IF(B204=0,"",RANK(B204,$B$2:$B$343,0))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ORBTEXP</t>
        </is>
      </c>
      <c r="D204" s="31" t="inlineStr">
        <is>
          <t>Orbit Exports Limited</t>
        </is>
      </c>
      <c r="E204" s="31" t="inlineStr">
        <is>
          <t>textiles</t>
        </is>
      </c>
      <c r="F204" s="31" t="inlineStr">
        <is>
          <t>textiles - processing</t>
        </is>
      </c>
      <c r="G204" s="31" t="inlineStr">
        <is>
          <t>smallcap</t>
        </is>
      </c>
      <c r="H204" s="32" t="n">
        <v>506.5</v>
      </c>
      <c r="I204" s="32" t="n">
        <v>229.16</v>
      </c>
      <c r="J204" s="32" t="n">
        <v>19.95</v>
      </c>
      <c r="K204" s="32" t="n">
        <v>313547</v>
      </c>
      <c r="L204" s="31" t="n">
        <v>68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70.88</v>
      </c>
      <c r="P204" s="32" t="n">
        <v>19.84</v>
      </c>
      <c r="Q204" s="32" t="n">
        <v>171.81</v>
      </c>
      <c r="R204" s="31" t="inlineStr">
        <is>
          <t>Volume Spike / Accumulation</t>
        </is>
      </c>
      <c r="S204" s="31" t="inlineStr">
        <is>
          <t>Nifty 50</t>
        </is>
      </c>
      <c r="T204" s="32" t="n">
        <v>-4.47</v>
      </c>
      <c r="U204" s="32" t="n">
        <v>30.51</v>
      </c>
      <c r="V204" s="32" t="n">
        <v>36.62</v>
      </c>
      <c r="W204" s="32" t="n">
        <v>18.89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0 to 20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Less than 12%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IF(B205=0,"",RANK(B205,$B$2:$B$343,0))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LLOYDSENGG</t>
        </is>
      </c>
      <c r="D205" s="31" t="inlineStr">
        <is>
          <t>Lloyds Engineering Works Ltd</t>
        </is>
      </c>
      <c r="E205" s="31" t="inlineStr">
        <is>
          <t>industrials</t>
        </is>
      </c>
      <c r="F205" s="31" t="inlineStr">
        <is>
          <t>engineering</t>
        </is>
      </c>
      <c r="G205" s="31" t="inlineStr">
        <is>
          <t>midcap</t>
        </is>
      </c>
      <c r="H205" s="32" t="n">
        <v>10560.39</v>
      </c>
      <c r="I205" s="32" t="n">
        <v>79.94</v>
      </c>
      <c r="J205" s="32" t="n">
        <v>12.04</v>
      </c>
      <c r="K205" s="32" t="n">
        <v>100068323</v>
      </c>
      <c r="L205" s="31" t="n">
        <v>87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72.23</v>
      </c>
      <c r="P205" s="32" t="n">
        <v>29.88</v>
      </c>
      <c r="Q205" s="32" t="n">
        <v>60.12</v>
      </c>
      <c r="R205" s="31" t="inlineStr">
        <is>
          <t>Volume Spike &amp; Near 52W High Breakout</t>
        </is>
      </c>
      <c r="S205" s="31" t="inlineStr">
        <is>
          <t>Nifty 50</t>
        </is>
      </c>
      <c r="T205" s="32" t="n">
        <v>-4.47</v>
      </c>
      <c r="U205" s="32" t="n">
        <v>40.03</v>
      </c>
      <c r="V205" s="32" t="n">
        <v>46.59</v>
      </c>
      <c r="W205" s="32" t="n">
        <v>32.08</v>
      </c>
      <c r="X205" s="31" t="inlineStr">
        <is>
          <t>Cyclical in an Upturn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Negative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IF(B206=0,"",RANK(B206,$B$2:$B$343,0))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MARINE</t>
        </is>
      </c>
      <c r="D206" s="31" t="inlineStr">
        <is>
          <t>Marine Electricals (India) Ltd</t>
        </is>
      </c>
      <c r="E206" s="31" t="inlineStr">
        <is>
          <t>industrials</t>
        </is>
      </c>
      <c r="F206" s="31" t="inlineStr">
        <is>
          <t>electric equipment</t>
        </is>
      </c>
      <c r="G206" s="31" t="inlineStr">
        <is>
          <t>smallcap</t>
        </is>
      </c>
      <c r="H206" s="32" t="n">
        <v>605.11</v>
      </c>
      <c r="I206" s="32" t="n">
        <v>261.55</v>
      </c>
      <c r="J206" s="32" t="n">
        <v>6.04</v>
      </c>
      <c r="K206" s="32" t="n">
        <v>1820380</v>
      </c>
      <c r="L206" s="31" t="n">
        <v>64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62.12</v>
      </c>
      <c r="P206" s="32" t="n">
        <v>25.14</v>
      </c>
      <c r="Q206" s="32" t="n">
        <v>193.96</v>
      </c>
      <c r="R206" s="31" t="inlineStr">
        <is>
          <t>Near 52W High Breakout</t>
        </is>
      </c>
      <c r="S206" s="31" t="inlineStr">
        <is>
          <t>Nifty 50</t>
        </is>
      </c>
      <c r="T206" s="32" t="n">
        <v>-4.47</v>
      </c>
      <c r="U206" s="32" t="n">
        <v>25.24</v>
      </c>
      <c r="V206" s="32" t="n">
        <v>31.1</v>
      </c>
      <c r="W206" s="32" t="n">
        <v>17.63</v>
      </c>
      <c r="X206" s="31" t="inlineStr">
        <is>
          <t>Cyclical in an Upturn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Between 1.5 to 2</t>
        </is>
      </c>
      <c r="BU206" s="31">
        <f>IF(BT206="Above 2",0,IF(BT206="Between 1.5 to 2",5,IF(BT206="Less than 1.5",10,0)))</f>
        <v/>
      </c>
      <c r="BV206" s="31" t="inlineStr">
        <is>
          <t>Negative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IF(B207=0,"",RANK(B207,$B$2:$B$343,0))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SOTL</t>
        </is>
      </c>
      <c r="D207" s="31" t="inlineStr">
        <is>
          <t>Savita Oil Technologies Limited</t>
        </is>
      </c>
      <c r="E207" s="31" t="inlineStr">
        <is>
          <t>energy</t>
        </is>
      </c>
      <c r="F207" s="31" t="inlineStr">
        <is>
          <t>petrochemicals</t>
        </is>
      </c>
      <c r="G207" s="31" t="inlineStr">
        <is>
          <t>smallcap</t>
        </is>
      </c>
      <c r="H207" s="32" t="n">
        <v>3959.71</v>
      </c>
      <c r="I207" s="32" t="n">
        <v>605.75</v>
      </c>
      <c r="J207" s="32" t="n">
        <v>4.88</v>
      </c>
      <c r="K207" s="32" t="n">
        <v>634073</v>
      </c>
      <c r="L207" s="31" t="n">
        <v>83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77.72</v>
      </c>
      <c r="P207" s="32" t="n">
        <v>31.45</v>
      </c>
      <c r="Q207" s="32" t="n">
        <v>464.45</v>
      </c>
      <c r="R207" s="31" t="inlineStr">
        <is>
          <t>Near 52W High Breakout</t>
        </is>
      </c>
      <c r="S207" s="31" t="inlineStr">
        <is>
          <t>Nifty Energy</t>
        </is>
      </c>
      <c r="T207" s="32" t="n">
        <v>12.12</v>
      </c>
      <c r="U207" s="32" t="n">
        <v>47.63</v>
      </c>
      <c r="V207" s="32" t="n">
        <v>31.67</v>
      </c>
      <c r="W207" s="32" t="n">
        <v>27.26</v>
      </c>
      <c r="X207" s="31" t="inlineStr">
        <is>
          <t>Cyclical in an Upturn</t>
        </is>
      </c>
      <c r="Y207" s="31">
        <f>IF(X207="Growing Industry",10,IF(X207="Cyclical in an Upturn",5,0))</f>
        <v/>
      </c>
      <c r="Z207" s="31" t="inlineStr">
        <is>
          <t>Oligopoly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Yes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Cyclical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Volatile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Above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Blue sky scenario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Less than 1.5</t>
        </is>
      </c>
      <c r="BU207" s="31">
        <f>IF(BT207="Above 2",0,IF(BT207="Between 1.5 to 2",5,IF(BT207="Less than 1.5",10,0)))</f>
        <v/>
      </c>
      <c r="BV207" s="31" t="inlineStr">
        <is>
          <t>Between 50% to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IF(B208=0,"",RANK(B208,$B$2:$B$343,0))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NAZARA</t>
        </is>
      </c>
      <c r="D208" s="31" t="inlineStr">
        <is>
          <t>Nazara Technologies Ltd</t>
        </is>
      </c>
      <c r="E208" s="31" t="inlineStr">
        <is>
          <t>i.t</t>
        </is>
      </c>
      <c r="F208" s="31" t="inlineStr">
        <is>
          <t>telecommunications - service provider</t>
        </is>
      </c>
      <c r="G208" s="31" t="inlineStr">
        <is>
          <t>midcap</t>
        </is>
      </c>
      <c r="H208" s="32" t="n">
        <v>10778.68</v>
      </c>
      <c r="I208" s="32" t="n">
        <v>301.15</v>
      </c>
      <c r="J208" s="32" t="n">
        <v>3.51</v>
      </c>
      <c r="K208" s="32" t="n">
        <v>5131896</v>
      </c>
      <c r="L208" s="31" t="n">
        <v>19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59.81</v>
      </c>
      <c r="P208" s="32" t="n">
        <v>16.35</v>
      </c>
      <c r="Q208" s="32" t="n">
        <v>228.76</v>
      </c>
      <c r="R208" s="31" t="inlineStr">
        <is>
          <t>Earnings / Momentum Support</t>
        </is>
      </c>
      <c r="S208" s="31" t="inlineStr">
        <is>
          <t>Nifty IT</t>
        </is>
      </c>
      <c r="T208" s="32" t="n">
        <v>-26.73</v>
      </c>
      <c r="U208" s="32" t="n">
        <v>-5.48</v>
      </c>
      <c r="V208" s="32" t="n">
        <v>29.01</v>
      </c>
      <c r="W208" s="32" t="n">
        <v>5.67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Oligopoly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Yes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0 to 20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Less than 1.5</t>
        </is>
      </c>
      <c r="BU208" s="31">
        <f>IF(BT208="Above 2",0,IF(BT208="Between 1.5 to 2",5,IF(BT208="Less than 1.5",10,0)))</f>
        <v/>
      </c>
      <c r="BV208" s="31" t="inlineStr">
        <is>
          <t>Between 50% to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IF(B209=0,"",RANK(B209,$B$2:$B$343,0))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ITDC</t>
        </is>
      </c>
      <c r="D209" s="31" t="inlineStr">
        <is>
          <t>India Tourism Development Corporation Ltd</t>
        </is>
      </c>
      <c r="E209" s="31" t="inlineStr">
        <is>
          <t>services</t>
        </is>
      </c>
      <c r="F209" s="31" t="inlineStr">
        <is>
          <t>hotels</t>
        </is>
      </c>
      <c r="G209" s="31" t="inlineStr">
        <is>
          <t>midcap</t>
        </is>
      </c>
      <c r="H209" s="32" t="n">
        <v>5129.44</v>
      </c>
      <c r="I209" s="32" t="n">
        <v>618.4</v>
      </c>
      <c r="J209" s="32" t="n">
        <v>3.4</v>
      </c>
      <c r="K209" s="32" t="n">
        <v>568950</v>
      </c>
      <c r="L209" s="31" t="n">
        <v>46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56.01</v>
      </c>
      <c r="P209" s="32" t="n">
        <v>28.03</v>
      </c>
      <c r="Q209" s="32" t="n">
        <v>467.11</v>
      </c>
      <c r="R209" s="31" t="inlineStr">
        <is>
          <t>Earnings / Momentum Support</t>
        </is>
      </c>
      <c r="S209" s="31" t="inlineStr">
        <is>
          <t>Nifty 50</t>
        </is>
      </c>
      <c r="T209" s="32" t="n">
        <v>-4.47</v>
      </c>
      <c r="U209" s="32" t="n">
        <v>5.87</v>
      </c>
      <c r="V209" s="32" t="n">
        <v>10.83</v>
      </c>
      <c r="W209" s="32" t="n">
        <v>12.56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Less than 12%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IF(B210=0,"",RANK(B210,$B$2:$B$343,0))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SCHAEFFLER</t>
        </is>
      </c>
      <c r="D210" s="31" t="inlineStr">
        <is>
          <t>Schaeffler India Ltd</t>
        </is>
      </c>
      <c r="E210" s="31" t="inlineStr">
        <is>
          <t>industrials</t>
        </is>
      </c>
      <c r="F210" s="31" t="inlineStr">
        <is>
          <t>bearings</t>
        </is>
      </c>
      <c r="G210" s="31" t="inlineStr">
        <is>
          <t>largecap</t>
        </is>
      </c>
      <c r="H210" s="32" t="n">
        <v>63165.44</v>
      </c>
      <c r="I210" s="32" t="n">
        <v>4163</v>
      </c>
      <c r="J210" s="32" t="n">
        <v>3.01</v>
      </c>
      <c r="K210" s="32" t="n">
        <v>105447</v>
      </c>
      <c r="L210" s="31" t="n">
        <v>2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54.49</v>
      </c>
      <c r="P210" s="32" t="n">
        <v>14.78</v>
      </c>
      <c r="Q210" s="32" t="n">
        <v>3414.32</v>
      </c>
      <c r="R210" s="31" t="inlineStr">
        <is>
          <t>Near 52W High Breakout</t>
        </is>
      </c>
      <c r="S210" s="31" t="inlineStr">
        <is>
          <t>Nifty 500</t>
        </is>
      </c>
      <c r="T210" s="32" t="n">
        <v>-0.19</v>
      </c>
      <c r="U210" s="32" t="n">
        <v>6.9</v>
      </c>
      <c r="V210" s="32" t="n">
        <v>7.1</v>
      </c>
      <c r="W210" s="32" t="n">
        <v>1.55</v>
      </c>
      <c r="X210" s="31" t="inlineStr">
        <is>
          <t>Cyclical in an Upturn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0 to 20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IF(B211=0,"",RANK(B211,$B$2:$B$343,0))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KAJARIACER</t>
        </is>
      </c>
      <c r="D211" s="31" t="inlineStr">
        <is>
          <t>Kajaria Ceramics Limited</t>
        </is>
      </c>
      <c r="E211" s="31" t="inlineStr">
        <is>
          <t>building materials</t>
        </is>
      </c>
      <c r="F211" s="31" t="inlineStr">
        <is>
          <t>ceramics - tiles / sanitaryware</t>
        </is>
      </c>
      <c r="G211" s="31" t="inlineStr">
        <is>
          <t>midcap</t>
        </is>
      </c>
      <c r="H211" s="32" t="n">
        <v>17618.7</v>
      </c>
      <c r="I211" s="32" t="n">
        <v>1139.1</v>
      </c>
      <c r="J211" s="32" t="n">
        <v>2.97</v>
      </c>
      <c r="K211" s="32" t="n">
        <v>337437</v>
      </c>
      <c r="L211" s="31" t="n">
        <v>24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58.36</v>
      </c>
      <c r="P211" s="32" t="n">
        <v>17.85</v>
      </c>
      <c r="Q211" s="32" t="n">
        <v>995.46</v>
      </c>
      <c r="R211" s="31" t="inlineStr">
        <is>
          <t>Earnings / Momentum Support</t>
        </is>
      </c>
      <c r="S211" s="31" t="inlineStr">
        <is>
          <t>Nifty Infra</t>
        </is>
      </c>
      <c r="T211" s="32" t="n">
        <v>3.24</v>
      </c>
      <c r="U211" s="32" t="n">
        <v>12.51</v>
      </c>
      <c r="V211" s="32" t="n">
        <v>8.98</v>
      </c>
      <c r="W211" s="32" t="n">
        <v>7.2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0 to 20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IF(B212=0,"",RANK(B212,$B$2:$B$343,0))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PREMIERPOL</t>
        </is>
      </c>
      <c r="D212" s="31" t="inlineStr">
        <is>
          <t>Premier Polyfilm Limited</t>
        </is>
      </c>
      <c r="E212" s="31" t="inlineStr">
        <is>
          <t>plastic products</t>
        </is>
      </c>
      <c r="F212" s="31" t="inlineStr">
        <is>
          <t>plastics products</t>
        </is>
      </c>
      <c r="G212" s="31" t="inlineStr">
        <is>
          <t>smallcap</t>
        </is>
      </c>
      <c r="H212" s="32" t="n">
        <v>586.45</v>
      </c>
      <c r="I212" s="32" t="n">
        <v>57.19</v>
      </c>
      <c r="J212" s="32" t="n">
        <v>2.14</v>
      </c>
      <c r="K212" s="32" t="n">
        <v>232421</v>
      </c>
      <c r="L212" s="31" t="n">
        <v>7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55.35</v>
      </c>
      <c r="P212" s="32" t="n">
        <v>43.46</v>
      </c>
      <c r="Q212" s="32" t="n">
        <v>43.66</v>
      </c>
      <c r="R212" s="31" t="inlineStr">
        <is>
          <t>Earnings / Momentum Support</t>
        </is>
      </c>
      <c r="S212" s="31" t="inlineStr">
        <is>
          <t>Nifty 50</t>
        </is>
      </c>
      <c r="T212" s="32" t="n">
        <v>-4.47</v>
      </c>
      <c r="U212" s="32" t="n">
        <v>12.54</v>
      </c>
      <c r="V212" s="32" t="n">
        <v>17.8</v>
      </c>
      <c r="W212" s="32" t="n">
        <v>3.57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Above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Negative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Less than 1.5</t>
        </is>
      </c>
      <c r="BU212" s="31">
        <f>IF(BT212="Above 2",0,IF(BT212="Between 1.5 to 2",5,IF(BT212="Less than 1.5",10,0)))</f>
        <v/>
      </c>
      <c r="BV212" s="31" t="inlineStr">
        <is>
          <t>Between 50% to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IF(B213=0,"",RANK(B213,$B$2:$B$343,0))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OBEROIRLTY</t>
        </is>
      </c>
      <c r="D213" s="31" t="inlineStr">
        <is>
          <t>Oberoi Realty Limited</t>
        </is>
      </c>
      <c r="E213" s="31" t="inlineStr">
        <is>
          <t>realty</t>
        </is>
      </c>
      <c r="F213" s="31" t="inlineStr">
        <is>
          <t>construction</t>
        </is>
      </c>
      <c r="G213" s="31" t="inlineStr">
        <is>
          <t>largecap</t>
        </is>
      </c>
      <c r="H213" s="32" t="n">
        <v>60699.76</v>
      </c>
      <c r="I213" s="32" t="n">
        <v>1704.8</v>
      </c>
      <c r="J213" s="32" t="n">
        <v>2.12</v>
      </c>
      <c r="K213" s="32" t="n">
        <v>777948</v>
      </c>
      <c r="L213" s="31" t="n">
        <v>3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56.31</v>
      </c>
      <c r="P213" s="32" t="n">
        <v>13.58</v>
      </c>
      <c r="Q213" s="32" t="n">
        <v>1419.45</v>
      </c>
      <c r="R213" s="31" t="inlineStr">
        <is>
          <t>Earnings / Momentum Support</t>
        </is>
      </c>
      <c r="S213" s="31" t="inlineStr">
        <is>
          <t>Nifty Realty</t>
        </is>
      </c>
      <c r="T213" s="32" t="n">
        <v>-19.29</v>
      </c>
      <c r="U213" s="32" t="n">
        <v>-10.35</v>
      </c>
      <c r="V213" s="32" t="n">
        <v>11.08</v>
      </c>
      <c r="W213" s="32" t="n">
        <v>2.09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0 to 20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Less than 1.5</t>
        </is>
      </c>
      <c r="BU213" s="31">
        <f>IF(BT213="Above 2",0,IF(BT213="Between 1.5 to 2",5,IF(BT213="Less than 1.5",10,0)))</f>
        <v/>
      </c>
      <c r="BV213" s="31" t="inlineStr">
        <is>
          <t>Less than 50%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IF(B214=0,"",RANK(B214,$B$2:$B$343,0))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INDNIPPON</t>
        </is>
      </c>
      <c r="D214" s="31" t="inlineStr">
        <is>
          <t>India Nippon Electricals Limited</t>
        </is>
      </c>
      <c r="E214" s="31" t="inlineStr">
        <is>
          <t>auto</t>
        </is>
      </c>
      <c r="F214" s="31" t="inlineStr">
        <is>
          <t>auto ancillaries</t>
        </is>
      </c>
      <c r="G214" s="31" t="inlineStr">
        <is>
          <t>smallcap</t>
        </is>
      </c>
      <c r="H214" s="32" t="n">
        <v>2066.69</v>
      </c>
      <c r="I214" s="32" t="n">
        <v>926.6</v>
      </c>
      <c r="J214" s="32" t="n">
        <v>1.42</v>
      </c>
      <c r="K214" s="32" t="n">
        <v>87140</v>
      </c>
      <c r="L214" s="31" t="n">
        <v>50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62.1</v>
      </c>
      <c r="P214" s="32" t="n">
        <v>13.34</v>
      </c>
      <c r="Q214" s="32" t="n">
        <v>725.51</v>
      </c>
      <c r="R214" s="31" t="inlineStr">
        <is>
          <t>Earnings / Momentum Support</t>
        </is>
      </c>
      <c r="S214" s="31" t="inlineStr">
        <is>
          <t>Nifty Auto</t>
        </is>
      </c>
      <c r="T214" s="32" t="n">
        <v>13.57</v>
      </c>
      <c r="U214" s="32" t="n">
        <v>33.27</v>
      </c>
      <c r="V214" s="32" t="n">
        <v>17.35</v>
      </c>
      <c r="W214" s="32" t="n">
        <v>13.25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0 to 20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Less than 1.5</t>
        </is>
      </c>
      <c r="BU214" s="31">
        <f>IF(BT214="Above 2",0,IF(BT214="Between 1.5 to 2",5,IF(BT214="Less than 1.5",10,0)))</f>
        <v/>
      </c>
      <c r="BV214" s="31" t="inlineStr">
        <is>
          <t>Less than 50%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IF(B215=0,"",RANK(B215,$B$2:$B$343,0))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GALAPREC</t>
        </is>
      </c>
      <c r="D215" s="31" t="inlineStr">
        <is>
          <t>Gala Precision Engineering Ltd</t>
        </is>
      </c>
      <c r="E215" s="31" t="inlineStr">
        <is>
          <t>industrials</t>
        </is>
      </c>
      <c r="F215" s="31" t="inlineStr">
        <is>
          <t>fasteners</t>
        </is>
      </c>
      <c r="G215" s="31" t="inlineStr">
        <is>
          <t>smallcap</t>
        </is>
      </c>
      <c r="H215" s="32" t="n">
        <v>1318.44</v>
      </c>
      <c r="I215" s="32" t="n">
        <v>1043.85</v>
      </c>
      <c r="J215" s="32" t="n">
        <v>0.95</v>
      </c>
      <c r="K215" s="32" t="n">
        <v>288915</v>
      </c>
      <c r="L215" s="31" t="n">
        <v>48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73.48</v>
      </c>
      <c r="P215" s="32" t="n">
        <v>23.71</v>
      </c>
      <c r="Q215" s="32" t="n">
        <v>800.53</v>
      </c>
      <c r="R215" s="31" t="inlineStr">
        <is>
          <t>Volume Spike &amp; Near 52W High Breakout</t>
        </is>
      </c>
      <c r="S215" s="31" t="inlineStr">
        <is>
          <t>Nifty 50</t>
        </is>
      </c>
      <c r="T215" s="32" t="n">
        <v>-4.47</v>
      </c>
      <c r="U215" s="32" t="n">
        <v>20.03</v>
      </c>
      <c r="V215" s="32" t="n">
        <v>25.65</v>
      </c>
      <c r="W215" s="32" t="n">
        <v>12.8</v>
      </c>
      <c r="X215" s="31" t="inlineStr">
        <is>
          <t>Cyclical in an Upturn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Less than 12%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Less than 50%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IF(B216=0,"",RANK(B216,$B$2:$B$343,0))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HIRECT</t>
        </is>
      </c>
      <c r="D216" s="31" t="inlineStr">
        <is>
          <t>Hind Rectifiers Limited</t>
        </is>
      </c>
      <c r="E216" s="31" t="inlineStr">
        <is>
          <t>consumer discretionary</t>
        </is>
      </c>
      <c r="F216" s="31" t="inlineStr">
        <is>
          <t>electronics - components</t>
        </is>
      </c>
      <c r="G216" s="31" t="inlineStr">
        <is>
          <t>smallcap</t>
        </is>
      </c>
      <c r="H216" s="32" t="n">
        <v>3902.79</v>
      </c>
      <c r="I216" s="32" t="n">
        <v>1145</v>
      </c>
      <c r="J216" s="32" t="n">
        <v>0.83</v>
      </c>
      <c r="K216" s="32" t="n">
        <v>158355</v>
      </c>
      <c r="L216" s="31" t="n">
        <v>82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77.40000000000001</v>
      </c>
      <c r="P216" s="32" t="n">
        <v>27.19</v>
      </c>
      <c r="Q216" s="32" t="n">
        <v>814.65</v>
      </c>
      <c r="R216" s="31" t="inlineStr">
        <is>
          <t>Near 52W High Breakout</t>
        </is>
      </c>
      <c r="S216" s="31" t="inlineStr">
        <is>
          <t>Nifty Infra</t>
        </is>
      </c>
      <c r="T216" s="32" t="n">
        <v>3.24</v>
      </c>
      <c r="U216" s="32" t="n">
        <v>81.09999999999999</v>
      </c>
      <c r="V216" s="32" t="n">
        <v>75.41</v>
      </c>
      <c r="W216" s="32" t="n">
        <v>26.31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Above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Blue sky scenario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Less than 12%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Between 0.7 to 1.2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IF(B217=0,"",RANK(B217,$B$2:$B$343,0))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VAIBHAVGBL</t>
        </is>
      </c>
      <c r="D217" s="31" t="inlineStr">
        <is>
          <t>Vaibhav Global Limited</t>
        </is>
      </c>
      <c r="E217" s="31" t="inlineStr">
        <is>
          <t>consumer discretionary</t>
        </is>
      </c>
      <c r="F217" s="31" t="inlineStr">
        <is>
          <t>diamond cutting / jewellery</t>
        </is>
      </c>
      <c r="G217" s="31" t="inlineStr">
        <is>
          <t>smallcap</t>
        </is>
      </c>
      <c r="H217" s="32" t="n">
        <v>4046.71</v>
      </c>
      <c r="I217" s="32" t="n">
        <v>242.67</v>
      </c>
      <c r="J217" s="32" t="n">
        <v>0.19</v>
      </c>
      <c r="K217" s="32" t="n">
        <v>312767</v>
      </c>
      <c r="L217" s="31" t="n">
        <v>18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57.5</v>
      </c>
      <c r="P217" s="32" t="n">
        <v>11.66</v>
      </c>
      <c r="Q217" s="32" t="n">
        <v>180.74</v>
      </c>
      <c r="R217" s="31" t="inlineStr">
        <is>
          <t>Earnings / Momentum Support</t>
        </is>
      </c>
      <c r="S217" s="31" t="inlineStr">
        <is>
          <t>Nifty 50</t>
        </is>
      </c>
      <c r="T217" s="32" t="n">
        <v>-4.47</v>
      </c>
      <c r="U217" s="32" t="n">
        <v>6.69</v>
      </c>
      <c r="V217" s="32" t="n">
        <v>11.69</v>
      </c>
      <c r="W217" s="32" t="n">
        <v>5.56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0 to 20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IF(B218=0,"",RANK(B218,$B$2:$B$343,0))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ADANIENT</t>
        </is>
      </c>
      <c r="D218" s="31" t="inlineStr">
        <is>
          <t>Adani Enterprises Limited</t>
        </is>
      </c>
      <c r="E218" s="31" t="inlineStr">
        <is>
          <t>services</t>
        </is>
      </c>
      <c r="F218" s="31" t="inlineStr">
        <is>
          <t>trading</t>
        </is>
      </c>
      <c r="G218" s="31" t="inlineStr">
        <is>
          <t>largecap</t>
        </is>
      </c>
      <c r="H218" s="32" t="n">
        <v>380371.8</v>
      </c>
      <c r="I218" s="32" t="n">
        <v>2943.6</v>
      </c>
      <c r="J218" s="32" t="n">
        <v>0.04</v>
      </c>
      <c r="K218" s="32" t="n">
        <v>1851843</v>
      </c>
      <c r="L218" s="31" t="n">
        <v>61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69.19</v>
      </c>
      <c r="P218" s="32" t="n">
        <v>32.65</v>
      </c>
      <c r="Q218" s="32" t="n">
        <v>2526.95</v>
      </c>
      <c r="R218" s="31" t="inlineStr">
        <is>
          <t>Near 52W High Breakout</t>
        </is>
      </c>
      <c r="S218" s="31" t="inlineStr">
        <is>
          <t>Nifty 50</t>
        </is>
      </c>
      <c r="T218" s="32" t="n">
        <v>-4.47</v>
      </c>
      <c r="U218" s="32" t="n">
        <v>20.28</v>
      </c>
      <c r="V218" s="32" t="n">
        <v>25.91</v>
      </c>
      <c r="W218" s="32" t="n">
        <v>16.7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Between 1.5 to 2</t>
        </is>
      </c>
      <c r="BU218" s="31">
        <f>IF(BT218="Above 2",0,IF(BT218="Between 1.5 to 2",5,IF(BT218="Less than 1.5",10,0)))</f>
        <v/>
      </c>
      <c r="BV218" s="31" t="inlineStr">
        <is>
          <t>Less than 50% and Borrowings are increasing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Between 0.7 to 1.2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IF(B219=0,"",RANK(B219,$B$2:$B$343,0))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3" t="inlineStr">
        <is>
          <t>JASH</t>
        </is>
      </c>
      <c r="D219" s="33" t="inlineStr">
        <is>
          <t>Jash Engineering Ltd</t>
        </is>
      </c>
      <c r="E219" s="31" t="inlineStr">
        <is>
          <t>industrials</t>
        </is>
      </c>
      <c r="F219" s="31" t="inlineStr">
        <is>
          <t>engineering</t>
        </is>
      </c>
      <c r="G219" s="31" t="inlineStr">
        <is>
          <t>smallcap</t>
        </is>
      </c>
      <c r="H219" s="32" t="n">
        <v>3180.22</v>
      </c>
      <c r="I219" s="32" t="n">
        <v>503.4</v>
      </c>
      <c r="J219" s="32" t="n">
        <v>0.03</v>
      </c>
      <c r="K219" s="32" t="n">
        <v>174696</v>
      </c>
      <c r="L219" s="31" t="n">
        <v>26</v>
      </c>
      <c r="M219" s="31" t="inlineStr">
        <is>
          <t>Underperforming</t>
        </is>
      </c>
      <c r="N219" s="32">
        <f>IF(M219="Underperforming",-5,IF(L219&gt;=95,15,IF(L219&gt;=90,10,IF(L219&gt;=80,5,0))))</f>
        <v/>
      </c>
      <c r="O219" s="32" t="n">
        <v>65.67</v>
      </c>
      <c r="P219" s="32" t="n">
        <v>14.79</v>
      </c>
      <c r="Q219" s="32" t="n">
        <v>385.02</v>
      </c>
      <c r="R219" s="31" t="inlineStr">
        <is>
          <t>Volume Spike / Accumulation</t>
        </is>
      </c>
      <c r="S219" s="31" t="inlineStr">
        <is>
          <t>Nifty 50</t>
        </is>
      </c>
      <c r="T219" s="32" t="n">
        <v>-4.47</v>
      </c>
      <c r="U219" s="32" t="n">
        <v>-6.6</v>
      </c>
      <c r="V219" s="32" t="n">
        <v>-2.23</v>
      </c>
      <c r="W219" s="32" t="n">
        <v>7.68</v>
      </c>
      <c r="X219" s="31" t="inlineStr">
        <is>
          <t>Cyclical in an Upturn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0 to 20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Less than 1.5</t>
        </is>
      </c>
      <c r="BU219" s="31">
        <f>IF(BT219="Above 2",0,IF(BT219="Between 1.5 to 2",5,IF(BT219="Less than 1.5",10,0)))</f>
        <v/>
      </c>
      <c r="BV219" s="31" t="inlineStr">
        <is>
          <t>Between 50% to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IF(B220=0,"",RANK(B220,$B$2:$B$343,0))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CYIENTDLM</t>
        </is>
      </c>
      <c r="D220" s="31" t="inlineStr">
        <is>
          <t>Cyient DLM Ltd</t>
        </is>
      </c>
      <c r="E220" s="31" t="inlineStr">
        <is>
          <t>consumer discretionary</t>
        </is>
      </c>
      <c r="F220" s="31" t="inlineStr">
        <is>
          <t>electronics - components</t>
        </is>
      </c>
      <c r="G220" s="31" t="inlineStr">
        <is>
          <t>smallcap</t>
        </is>
      </c>
      <c r="H220" s="32" t="n">
        <v>3718.62</v>
      </c>
      <c r="I220" s="32" t="n">
        <v>468.7</v>
      </c>
      <c r="J220" s="32" t="n">
        <v>0.03</v>
      </c>
      <c r="K220" s="32" t="n">
        <v>121982</v>
      </c>
      <c r="L220" s="31" t="n">
        <v>55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66.34</v>
      </c>
      <c r="P220" s="32" t="n">
        <v>30.47</v>
      </c>
      <c r="Q220" s="32" t="n">
        <v>358.92</v>
      </c>
      <c r="R220" s="31" t="inlineStr">
        <is>
          <t>Near 52W High Breakout</t>
        </is>
      </c>
      <c r="S220" s="31" t="inlineStr">
        <is>
          <t>Nifty 50</t>
        </is>
      </c>
      <c r="T220" s="32" t="n">
        <v>-4.47</v>
      </c>
      <c r="U220" s="32" t="n">
        <v>3.17</v>
      </c>
      <c r="V220" s="32" t="n">
        <v>8</v>
      </c>
      <c r="W220" s="32" t="n">
        <v>14.81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Less than 12%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Less than 50%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IF(B221=0,"",RANK(B221,$B$2:$B$343,0))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THELEELA</t>
        </is>
      </c>
      <c r="D221" s="31" t="inlineStr">
        <is>
          <t>Leela Palaces Hotels &amp; Resorts Ltd</t>
        </is>
      </c>
      <c r="E221" s="31" t="inlineStr">
        <is>
          <t>services</t>
        </is>
      </c>
      <c r="F221" s="31" t="inlineStr">
        <is>
          <t>hotels</t>
        </is>
      </c>
      <c r="G221" s="31" t="inlineStr">
        <is>
          <t>midcap</t>
        </is>
      </c>
      <c r="H221" s="32" t="n">
        <v>15301.95</v>
      </c>
      <c r="I221" s="32" t="n">
        <v>457.9</v>
      </c>
      <c r="J221" s="32" t="n">
        <v>-0.07000000000000001</v>
      </c>
      <c r="K221" s="32" t="n">
        <v>852819</v>
      </c>
      <c r="L221" s="31" t="n">
        <v>20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58.56</v>
      </c>
      <c r="P221" s="32" t="n">
        <v>7.36</v>
      </c>
      <c r="Q221" s="32" t="n">
        <v>371.3</v>
      </c>
      <c r="R221" s="31" t="inlineStr">
        <is>
          <t>Volume Spike &amp; Near 52W High Breakout</t>
        </is>
      </c>
      <c r="S221" s="31" t="inlineStr">
        <is>
          <t>Nifty 50</t>
        </is>
      </c>
      <c r="T221" s="32" t="n">
        <v>-4.47</v>
      </c>
      <c r="U221" s="32" t="n">
        <v>16.37</v>
      </c>
      <c r="V221" s="32" t="n">
        <v>21.81</v>
      </c>
      <c r="W221" s="32" t="n">
        <v>6.22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0 to 20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1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Blue sky scenario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Between 1.5 to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IF(B222=0,"",RANK(B222,$B$2:$B$343,0))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KPRMILL</t>
        </is>
      </c>
      <c r="D222" s="31" t="inlineStr">
        <is>
          <t>K.p.r. Mill Limited</t>
        </is>
      </c>
      <c r="E222" s="31" t="inlineStr">
        <is>
          <t>consumer discretionary</t>
        </is>
      </c>
      <c r="F222" s="31" t="inlineStr">
        <is>
          <t>textiles - products</t>
        </is>
      </c>
      <c r="G222" s="31" t="inlineStr">
        <is>
          <t>largecap</t>
        </is>
      </c>
      <c r="H222" s="32" t="n">
        <v>36076.76</v>
      </c>
      <c r="I222" s="32" t="n">
        <v>1054.6</v>
      </c>
      <c r="J222" s="32" t="n">
        <v>-0.08</v>
      </c>
      <c r="K222" s="32" t="n">
        <v>130891</v>
      </c>
      <c r="L222" s="31" t="n">
        <v>20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61.71</v>
      </c>
      <c r="P222" s="32" t="n">
        <v>25.3</v>
      </c>
      <c r="Q222" s="32" t="n">
        <v>862.0700000000001</v>
      </c>
      <c r="R222" s="31" t="inlineStr">
        <is>
          <t>Earnings / Momentum Support</t>
        </is>
      </c>
      <c r="S222" s="31" t="inlineStr">
        <is>
          <t>Nifty 50</t>
        </is>
      </c>
      <c r="T222" s="32" t="n">
        <v>-4.47</v>
      </c>
      <c r="U222" s="32" t="n">
        <v>-3.33</v>
      </c>
      <c r="V222" s="32" t="n">
        <v>1.2</v>
      </c>
      <c r="W222" s="32" t="n">
        <v>6.11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Less than 12%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IF(B223=0,"",RANK(B223,$B$2:$B$343,0))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JSWINFRA</t>
        </is>
      </c>
      <c r="D223" s="31" t="inlineStr">
        <is>
          <t>JSW Infrastructure Ltd</t>
        </is>
      </c>
      <c r="E223" s="31" t="inlineStr">
        <is>
          <t>transportation</t>
        </is>
      </c>
      <c r="F223" s="31" t="inlineStr">
        <is>
          <t>miscellaneous</t>
        </is>
      </c>
      <c r="G223" s="31" t="inlineStr">
        <is>
          <t>largecap</t>
        </is>
      </c>
      <c r="H223" s="32" t="n">
        <v>61834.55</v>
      </c>
      <c r="I223" s="32" t="n">
        <v>293.8</v>
      </c>
      <c r="J223" s="32" t="n">
        <v>-0.22</v>
      </c>
      <c r="K223" s="32" t="n">
        <v>1810593</v>
      </c>
      <c r="L223" s="31" t="n">
        <v>8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59.99</v>
      </c>
      <c r="P223" s="32" t="n">
        <v>20.76</v>
      </c>
      <c r="Q223" s="32" t="n">
        <v>238.52</v>
      </c>
      <c r="R223" s="31" t="inlineStr">
        <is>
          <t>Earnings / Momentum Support</t>
        </is>
      </c>
      <c r="S223" s="31" t="inlineStr">
        <is>
          <t>Nifty 50</t>
        </is>
      </c>
      <c r="T223" s="32" t="n">
        <v>-4.47</v>
      </c>
      <c r="U223" s="32" t="n">
        <v>-2.26</v>
      </c>
      <c r="V223" s="32" t="n">
        <v>2.32</v>
      </c>
      <c r="W223" s="32" t="n">
        <v>3.77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No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IF(B224=0,"",RANK(B224,$B$2:$B$343,0))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SKYGOLD</t>
        </is>
      </c>
      <c r="D224" s="31" t="inlineStr">
        <is>
          <t>Sky Gold Ltd</t>
        </is>
      </c>
      <c r="E224" s="31" t="inlineStr">
        <is>
          <t>consumer discretionary</t>
        </is>
      </c>
      <c r="F224" s="31" t="inlineStr">
        <is>
          <t>diamond cutting / jewellery</t>
        </is>
      </c>
      <c r="G224" s="31" t="inlineStr">
        <is>
          <t>midcap</t>
        </is>
      </c>
      <c r="H224" s="32" t="n">
        <v>8264.84</v>
      </c>
      <c r="I224" s="32" t="n">
        <v>530</v>
      </c>
      <c r="J224" s="32" t="n">
        <v>-0.68</v>
      </c>
      <c r="K224" s="32" t="n">
        <v>587963</v>
      </c>
      <c r="L224" s="31" t="n">
        <v>77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65.7</v>
      </c>
      <c r="P224" s="32" t="n">
        <v>38.86</v>
      </c>
      <c r="Q224" s="32" t="n">
        <v>389.91</v>
      </c>
      <c r="R224" s="31" t="inlineStr">
        <is>
          <t>Near 52W High Breakout</t>
        </is>
      </c>
      <c r="S224" s="31" t="inlineStr">
        <is>
          <t>Nifty 50</t>
        </is>
      </c>
      <c r="T224" s="32" t="n">
        <v>-4.47</v>
      </c>
      <c r="U224" s="32" t="n">
        <v>66.64</v>
      </c>
      <c r="V224" s="32" t="n">
        <v>74.44</v>
      </c>
      <c r="W224" s="32" t="n">
        <v>23.09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Blue sky scenario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Negative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Between 0.7 to 1.2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IF(B225=0,"",RANK(B225,$B$2:$B$343,0))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KIRLOSENG</t>
        </is>
      </c>
      <c r="D225" s="31" t="inlineStr">
        <is>
          <t>Kirloskar Oil Engines Limited</t>
        </is>
      </c>
      <c r="E225" s="31" t="inlineStr">
        <is>
          <t>industrials</t>
        </is>
      </c>
      <c r="F225" s="31" t="inlineStr">
        <is>
          <t>engines</t>
        </is>
      </c>
      <c r="G225" s="31" t="inlineStr">
        <is>
          <t>largecap</t>
        </is>
      </c>
      <c r="H225" s="32" t="n">
        <v>28109.56</v>
      </c>
      <c r="I225" s="32" t="n">
        <v>1918.5</v>
      </c>
      <c r="J225" s="32" t="n">
        <v>-0.79</v>
      </c>
      <c r="K225" s="32" t="n">
        <v>187561</v>
      </c>
      <c r="L225" s="31" t="n">
        <v>82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73.91</v>
      </c>
      <c r="P225" s="32" t="n">
        <v>38.59</v>
      </c>
      <c r="Q225" s="32" t="n">
        <v>1509.74</v>
      </c>
      <c r="R225" s="31" t="inlineStr">
        <is>
          <t>Near 52W High Breakout</t>
        </is>
      </c>
      <c r="S225" s="31" t="inlineStr">
        <is>
          <t>Nifty 50</t>
        </is>
      </c>
      <c r="T225" s="32" t="n">
        <v>-4.47</v>
      </c>
      <c r="U225" s="32" t="n">
        <v>128.09</v>
      </c>
      <c r="V225" s="32" t="n">
        <v>138.77</v>
      </c>
      <c r="W225" s="32" t="n">
        <v>26.61</v>
      </c>
      <c r="X225" s="31" t="inlineStr">
        <is>
          <t>Cyclical in an Upturn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Blue sky scenario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Between 50% to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More than 1.2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IF(B226=0,"",RANK(B226,$B$2:$B$343,0))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3" t="inlineStr">
        <is>
          <t>CERA</t>
        </is>
      </c>
      <c r="D226" s="33" t="inlineStr">
        <is>
          <t>Cera Sanitaryware Limited</t>
        </is>
      </c>
      <c r="E226" s="31" t="inlineStr">
        <is>
          <t>building materials</t>
        </is>
      </c>
      <c r="F226" s="31" t="inlineStr">
        <is>
          <t>ceramics - tiles / sanitaryware</t>
        </is>
      </c>
      <c r="G226" s="31" t="inlineStr">
        <is>
          <t>midcap</t>
        </is>
      </c>
      <c r="H226" s="32" t="n">
        <v>8072.57</v>
      </c>
      <c r="I226" s="32" t="n">
        <v>6208</v>
      </c>
      <c r="J226" s="32" t="n">
        <v>-0.8100000000000001</v>
      </c>
      <c r="K226" s="32" t="n">
        <v>7569</v>
      </c>
      <c r="L226" s="31" t="n">
        <v>21</v>
      </c>
      <c r="M226" s="31" t="inlineStr">
        <is>
          <t>Underperforming</t>
        </is>
      </c>
      <c r="N226" s="32">
        <f>IF(M226="Underperforming",-5,IF(L226&gt;=95,15,IF(L226&gt;=90,10,IF(L226&gt;=80,5,0))))</f>
        <v/>
      </c>
      <c r="O226" s="32" t="n">
        <v>65.56</v>
      </c>
      <c r="P226" s="32" t="n">
        <v>29.19</v>
      </c>
      <c r="Q226" s="32" t="n">
        <v>5105.54</v>
      </c>
      <c r="R226" s="31" t="inlineStr">
        <is>
          <t>Earnings / Momentum Support</t>
        </is>
      </c>
      <c r="S226" s="31" t="inlineStr">
        <is>
          <t>Nifty Infra</t>
        </is>
      </c>
      <c r="T226" s="32" t="n">
        <v>3.24</v>
      </c>
      <c r="U226" s="32" t="n">
        <v>-5.1</v>
      </c>
      <c r="V226" s="32" t="n">
        <v>-8.08</v>
      </c>
      <c r="W226" s="32" t="n">
        <v>6.25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Less than 12%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IF(B227=0,"",RANK(B227,$B$2:$B$343,0))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GABRIEL</t>
        </is>
      </c>
      <c r="D227" s="31" t="inlineStr">
        <is>
          <t>Gabriel India Limited</t>
        </is>
      </c>
      <c r="E227" s="31" t="inlineStr">
        <is>
          <t>auto</t>
        </is>
      </c>
      <c r="F227" s="31" t="inlineStr">
        <is>
          <t>auto ancillaries</t>
        </is>
      </c>
      <c r="G227" s="31" t="inlineStr">
        <is>
          <t>midcap</t>
        </is>
      </c>
      <c r="H227" s="32" t="n">
        <v>16465.9</v>
      </c>
      <c r="I227" s="32" t="n">
        <v>1136.4</v>
      </c>
      <c r="J227" s="32" t="n">
        <v>-0.86</v>
      </c>
      <c r="K227" s="32" t="n">
        <v>1031669</v>
      </c>
      <c r="L227" s="31" t="n">
        <v>84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58.63</v>
      </c>
      <c r="P227" s="32" t="n">
        <v>16.62</v>
      </c>
      <c r="Q227" s="32" t="n">
        <v>848.8099999999999</v>
      </c>
      <c r="R227" s="31" t="inlineStr">
        <is>
          <t>Volume Spike / Accumulation</t>
        </is>
      </c>
      <c r="S227" s="31" t="inlineStr">
        <is>
          <t>Nifty Auto</t>
        </is>
      </c>
      <c r="T227" s="32" t="n">
        <v>13.57</v>
      </c>
      <c r="U227" s="32" t="n">
        <v>92.36</v>
      </c>
      <c r="V227" s="32" t="n">
        <v>69.38</v>
      </c>
      <c r="W227" s="32" t="n">
        <v>28.86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0 to 20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Less than 12%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IF(B228=0,"",RANK(B228,$B$2:$B$343,0))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INDOTECH</t>
        </is>
      </c>
      <c r="D228" s="31" t="inlineStr">
        <is>
          <t>Indo Tech Transformers Limited</t>
        </is>
      </c>
      <c r="E228" s="31" t="inlineStr">
        <is>
          <t>industrials</t>
        </is>
      </c>
      <c r="F228" s="31" t="inlineStr">
        <is>
          <t>electric equipment</t>
        </is>
      </c>
      <c r="G228" s="31" t="inlineStr">
        <is>
          <t>smallcap</t>
        </is>
      </c>
      <c r="H228" s="32" t="n">
        <v>2842.44</v>
      </c>
      <c r="I228" s="32" t="n">
        <v>2634.9</v>
      </c>
      <c r="J228" s="32" t="n">
        <v>-1.55</v>
      </c>
      <c r="K228" s="32" t="n">
        <v>5478</v>
      </c>
      <c r="L228" s="31" t="n">
        <v>89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65.03</v>
      </c>
      <c r="P228" s="32" t="n">
        <v>37.19</v>
      </c>
      <c r="Q228" s="32" t="n">
        <v>1989.74</v>
      </c>
      <c r="R228" s="31" t="inlineStr">
        <is>
          <t>Earnings / Momentum Support</t>
        </is>
      </c>
      <c r="S228" s="31" t="inlineStr">
        <is>
          <t>Nifty Infra</t>
        </is>
      </c>
      <c r="T228" s="32" t="n">
        <v>3.24</v>
      </c>
      <c r="U228" s="32" t="n">
        <v>32.39</v>
      </c>
      <c r="V228" s="32" t="n">
        <v>28.23</v>
      </c>
      <c r="W228" s="32" t="n">
        <v>33.27</v>
      </c>
      <c r="X228" s="31" t="inlineStr">
        <is>
          <t>Cyclical in an Upturn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Between 12 to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Less than 50%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IF(B229=0,"",RANK(B229,$B$2:$B$343,0))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VINDHYATEL</t>
        </is>
      </c>
      <c r="D229" s="31" t="inlineStr">
        <is>
          <t>Vindhya Telelinks Limited</t>
        </is>
      </c>
      <c r="E229" s="31" t="inlineStr">
        <is>
          <t>realty</t>
        </is>
      </c>
      <c r="F229" s="31" t="inlineStr">
        <is>
          <t>construction</t>
        </is>
      </c>
      <c r="G229" s="31" t="inlineStr">
        <is>
          <t>smallcap</t>
        </is>
      </c>
      <c r="H229" s="32" t="n">
        <v>2605.29</v>
      </c>
      <c r="I229" s="32" t="n">
        <v>2160</v>
      </c>
      <c r="J229" s="32" t="n">
        <v>-1.75</v>
      </c>
      <c r="K229" s="32" t="n">
        <v>80064</v>
      </c>
      <c r="L229" s="31" t="n">
        <v>88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67.7</v>
      </c>
      <c r="P229" s="32" t="n">
        <v>37.51</v>
      </c>
      <c r="Q229" s="32" t="n">
        <v>1551.42</v>
      </c>
      <c r="R229" s="31" t="inlineStr">
        <is>
          <t>Near 52W High Breakout</t>
        </is>
      </c>
      <c r="S229" s="31" t="inlineStr">
        <is>
          <t>Nifty Realty</t>
        </is>
      </c>
      <c r="T229" s="32" t="n">
        <v>-19.29</v>
      </c>
      <c r="U229" s="32" t="n">
        <v>28.28</v>
      </c>
      <c r="V229" s="32" t="n">
        <v>58.95</v>
      </c>
      <c r="W229" s="32" t="n">
        <v>33.2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Less than 12%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No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Negative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IF(B230=0,"",RANK(B230,$B$2:$B$343,0))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TALBROAUTO</t>
        </is>
      </c>
      <c r="D230" s="31" t="inlineStr">
        <is>
          <t>Talbros Automotive Components Limited</t>
        </is>
      </c>
      <c r="E230" s="31" t="inlineStr">
        <is>
          <t>auto</t>
        </is>
      </c>
      <c r="F230" s="31" t="inlineStr">
        <is>
          <t>auto ancillaries</t>
        </is>
      </c>
      <c r="G230" s="31" t="inlineStr">
        <is>
          <t>smallcap</t>
        </is>
      </c>
      <c r="H230" s="32" t="n">
        <v>2251.84</v>
      </c>
      <c r="I230" s="32" t="n">
        <v>357.3</v>
      </c>
      <c r="J230" s="32" t="n">
        <v>-2.06</v>
      </c>
      <c r="K230" s="32" t="n">
        <v>173302</v>
      </c>
      <c r="L230" s="31" t="n">
        <v>61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67.69</v>
      </c>
      <c r="P230" s="32" t="n">
        <v>28.47</v>
      </c>
      <c r="Q230" s="32" t="n">
        <v>267.18</v>
      </c>
      <c r="R230" s="31" t="inlineStr">
        <is>
          <t>Near 52W High Breakout</t>
        </is>
      </c>
      <c r="S230" s="31" t="inlineStr">
        <is>
          <t>Nifty Auto</t>
        </is>
      </c>
      <c r="T230" s="32" t="n">
        <v>13.57</v>
      </c>
      <c r="U230" s="32" t="n">
        <v>23.29</v>
      </c>
      <c r="V230" s="32" t="n">
        <v>8.56</v>
      </c>
      <c r="W230" s="32" t="n">
        <v>16.63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Yes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Negative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Blue sky scenario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Between 12 to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No</t>
        </is>
      </c>
      <c r="BS230" s="31">
        <f>IF(BR230="NO",5,0)</f>
        <v/>
      </c>
      <c r="BT230" s="31" t="inlineStr">
        <is>
          <t>Less than 1.5</t>
        </is>
      </c>
      <c r="BU230" s="31">
        <f>IF(BT230="Above 2",0,IF(BT230="Between 1.5 to 2",5,IF(BT230="Less than 1.5",10,0)))</f>
        <v/>
      </c>
      <c r="BV230" s="31" t="inlineStr">
        <is>
          <t>Between 50% to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IF(B231=0,"",RANK(B231,$B$2:$B$343,0))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SANSTAR</t>
        </is>
      </c>
      <c r="D231" s="31" t="inlineStr">
        <is>
          <t>Sanstar Ltd</t>
        </is>
      </c>
      <c r="E231" s="31" t="inlineStr">
        <is>
          <t>fmcg</t>
        </is>
      </c>
      <c r="F231" s="31" t="inlineStr">
        <is>
          <t>miscellaneous</t>
        </is>
      </c>
      <c r="G231" s="31" t="inlineStr">
        <is>
          <t>smallcap</t>
        </is>
      </c>
      <c r="H231" s="32" t="n">
        <v>2144.1</v>
      </c>
      <c r="I231" s="32" t="n">
        <v>115.08</v>
      </c>
      <c r="J231" s="32" t="n">
        <v>-2.18</v>
      </c>
      <c r="K231" s="32" t="n">
        <v>124959</v>
      </c>
      <c r="L231" s="31" t="n">
        <v>52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70.56</v>
      </c>
      <c r="P231" s="32" t="n">
        <v>32.05</v>
      </c>
      <c r="Q231" s="32" t="n">
        <v>93.3</v>
      </c>
      <c r="R231" s="31" t="inlineStr">
        <is>
          <t>Near 52W High Breakout</t>
        </is>
      </c>
      <c r="S231" s="31" t="inlineStr">
        <is>
          <t>Nifty FMCG</t>
        </is>
      </c>
      <c r="T231" s="32" t="n">
        <v>-9.130000000000001</v>
      </c>
      <c r="U231" s="32" t="n">
        <v>26.42</v>
      </c>
      <c r="V231" s="32" t="n">
        <v>39.12</v>
      </c>
      <c r="W231" s="32" t="n">
        <v>14.01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B2C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Annuity, Lower One Time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Negative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IF(B232=0,"",RANK(B232,$B$2:$B$343,0))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3" t="inlineStr">
        <is>
          <t>RML</t>
        </is>
      </c>
      <c r="D232" s="33" t="inlineStr">
        <is>
          <t>Rane (madras) Limited</t>
        </is>
      </c>
      <c r="E232" s="31" t="inlineStr">
        <is>
          <t>auto</t>
        </is>
      </c>
      <c r="F232" s="31" t="inlineStr">
        <is>
          <t>auto ancillaries</t>
        </is>
      </c>
      <c r="G232" s="31" t="inlineStr">
        <is>
          <t>smallcap</t>
        </is>
      </c>
      <c r="H232" s="32" t="n">
        <v>2566.8</v>
      </c>
      <c r="I232" s="32" t="n">
        <v>979.55</v>
      </c>
      <c r="J232" s="32" t="n">
        <v>5.47</v>
      </c>
      <c r="K232" s="32" t="n">
        <v>175588</v>
      </c>
      <c r="L232" s="31" t="n">
        <v>37</v>
      </c>
      <c r="M232" s="31" t="inlineStr">
        <is>
          <t>Underperforming</t>
        </is>
      </c>
      <c r="N232" s="32">
        <f>IF(M232="Underperforming",-5,IF(L232&gt;=95,15,IF(L232&gt;=90,10,IF(L232&gt;=80,5,0))))</f>
        <v/>
      </c>
      <c r="O232" s="32" t="n">
        <v>65.91</v>
      </c>
      <c r="P232" s="32" t="n">
        <v>22.04</v>
      </c>
      <c r="Q232" s="32" t="n">
        <v>780.89</v>
      </c>
      <c r="R232" s="31" t="inlineStr">
        <is>
          <t>Near 52W High Breakout</t>
        </is>
      </c>
      <c r="S232" s="31" t="inlineStr">
        <is>
          <t>Nifty Auto</t>
        </is>
      </c>
      <c r="T232" s="32" t="n">
        <v>13.57</v>
      </c>
      <c r="U232" s="32" t="n">
        <v>7.36</v>
      </c>
      <c r="V232" s="32" t="n">
        <v>-5.46</v>
      </c>
      <c r="W232" s="32" t="n">
        <v>9.74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Less than 12%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Between 50% to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Between 0.7 to 1.2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IF(B233=0,"",RANK(B233,$B$2:$B$343,0))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TBZ</t>
        </is>
      </c>
      <c r="D233" s="31" t="inlineStr">
        <is>
          <t>Tribhovandas Bhimji Zaveri Limited</t>
        </is>
      </c>
      <c r="E233" s="31" t="inlineStr">
        <is>
          <t>consumer discretionary</t>
        </is>
      </c>
      <c r="F233" s="31" t="inlineStr">
        <is>
          <t>diamond cutting / jewellery</t>
        </is>
      </c>
      <c r="G233" s="31" t="inlineStr">
        <is>
          <t>smallcap</t>
        </is>
      </c>
      <c r="H233" s="32" t="n">
        <v>1252.93</v>
      </c>
      <c r="I233" s="32" t="n">
        <v>195.85</v>
      </c>
      <c r="J233" s="32" t="n">
        <v>4.31</v>
      </c>
      <c r="K233" s="32" t="n">
        <v>1532823</v>
      </c>
      <c r="L233" s="31" t="n">
        <v>54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65.65000000000001</v>
      </c>
      <c r="P233" s="32" t="n">
        <v>15.39</v>
      </c>
      <c r="Q233" s="32" t="n">
        <v>145.44</v>
      </c>
      <c r="R233" s="31" t="inlineStr">
        <is>
          <t>Near 52W High Breakout</t>
        </is>
      </c>
      <c r="S233" s="31" t="inlineStr">
        <is>
          <t>Nifty 50</t>
        </is>
      </c>
      <c r="T233" s="32" t="n">
        <v>-4.47</v>
      </c>
      <c r="U233" s="32" t="n">
        <v>6.34</v>
      </c>
      <c r="V233" s="32" t="n">
        <v>11.32</v>
      </c>
      <c r="W233" s="32" t="n">
        <v>14.28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0 to 20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Less than 1.5</t>
        </is>
      </c>
      <c r="BU233" s="31">
        <f>IF(BT233="Above 2",0,IF(BT233="Between 1.5 to 2",5,IF(BT233="Less than 1.5",10,0)))</f>
        <v/>
      </c>
      <c r="BV233" s="31" t="inlineStr">
        <is>
          <t>Less than 50% and Borrowings are increasing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Between 0.7 to 1.2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IF(B234=0,"",RANK(B234,$B$2:$B$343,0))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3" t="inlineStr">
        <is>
          <t>CHAMBLFERT</t>
        </is>
      </c>
      <c r="D234" s="33" t="inlineStr">
        <is>
          <t>Chambal Fertilizers &amp; Chemicals Limited</t>
        </is>
      </c>
      <c r="E234" s="31" t="inlineStr">
        <is>
          <t>chemicals</t>
        </is>
      </c>
      <c r="F234" s="31" t="inlineStr">
        <is>
          <t>fertilizers</t>
        </is>
      </c>
      <c r="G234" s="31" t="inlineStr">
        <is>
          <t>midcap</t>
        </is>
      </c>
      <c r="H234" s="32" t="n">
        <v>18994.93</v>
      </c>
      <c r="I234" s="32" t="n">
        <v>490</v>
      </c>
      <c r="J234" s="32" t="n">
        <v>3.35</v>
      </c>
      <c r="K234" s="32" t="n">
        <v>4196091</v>
      </c>
      <c r="L234" s="31" t="n">
        <v>2</v>
      </c>
      <c r="M234" s="31" t="inlineStr">
        <is>
          <t>Underperforming</t>
        </is>
      </c>
      <c r="N234" s="32">
        <f>IF(M234="Underperforming",-5,IF(L234&gt;=95,15,IF(L234&gt;=90,10,IF(L234&gt;=80,5,0))))</f>
        <v/>
      </c>
      <c r="O234" s="32" t="n">
        <v>60.68</v>
      </c>
      <c r="P234" s="32" t="n">
        <v>13.71</v>
      </c>
      <c r="Q234" s="32" t="n">
        <v>405.22</v>
      </c>
      <c r="R234" s="31" t="inlineStr">
        <is>
          <t>Earnings / Momentum Support</t>
        </is>
      </c>
      <c r="S234" s="31" t="inlineStr">
        <is>
          <t>Nifty 50</t>
        </is>
      </c>
      <c r="T234" s="32" t="n">
        <v>-4.47</v>
      </c>
      <c r="U234" s="32" t="n">
        <v>-9.23</v>
      </c>
      <c r="V234" s="32" t="n">
        <v>-4.98</v>
      </c>
      <c r="W234" s="32" t="n">
        <v>1.46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No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0 to 20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Less than 1.5</t>
        </is>
      </c>
      <c r="BU234" s="31">
        <f>IF(BT234="Above 2",0,IF(BT234="Between 1.5 to 2",5,IF(BT234="Less than 1.5",10,0)))</f>
        <v/>
      </c>
      <c r="BV234" s="31" t="inlineStr">
        <is>
          <t>Less than 50%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IF(B235=0,"",RANK(B235,$B$2:$B$343,0))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GREENLAM</t>
        </is>
      </c>
      <c r="D235" s="31" t="inlineStr">
        <is>
          <t>Greenlam Industries Limited</t>
        </is>
      </c>
      <c r="E235" s="31" t="inlineStr">
        <is>
          <t>building materials</t>
        </is>
      </c>
      <c r="F235" s="31" t="inlineStr">
        <is>
          <t>miscellaneous</t>
        </is>
      </c>
      <c r="G235" s="31" t="inlineStr">
        <is>
          <t>midcap</t>
        </is>
      </c>
      <c r="H235" s="32" t="n">
        <v>6450.13</v>
      </c>
      <c r="I235" s="32" t="n">
        <v>259.01</v>
      </c>
      <c r="J235" s="32" t="n">
        <v>2.46</v>
      </c>
      <c r="K235" s="32" t="n">
        <v>156827</v>
      </c>
      <c r="L235" s="31" t="n">
        <v>23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61.81</v>
      </c>
      <c r="P235" s="32" t="n">
        <v>18.41</v>
      </c>
      <c r="Q235" s="32" t="n">
        <v>193.51</v>
      </c>
      <c r="R235" s="31" t="inlineStr">
        <is>
          <t>Near 52W High Breakout</t>
        </is>
      </c>
      <c r="S235" s="31" t="inlineStr">
        <is>
          <t>Nifty Infra</t>
        </is>
      </c>
      <c r="T235" s="32" t="n">
        <v>3.24</v>
      </c>
      <c r="U235" s="32" t="n">
        <v>10.17</v>
      </c>
      <c r="V235" s="32" t="n">
        <v>6.71</v>
      </c>
      <c r="W235" s="32" t="n">
        <v>6.97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0 to 20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Between 0.7 to 1.2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IF(B236=0,"",RANK(B236,$B$2:$B$343,0))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DIFFNKG</t>
        </is>
      </c>
      <c r="D236" s="31" t="inlineStr">
        <is>
          <t>Diffusion Engineers Ltd</t>
        </is>
      </c>
      <c r="E236" s="31" t="inlineStr">
        <is>
          <t>industrials</t>
        </is>
      </c>
      <c r="F236" s="31" t="inlineStr">
        <is>
          <t>electrodes - welding equipment</t>
        </is>
      </c>
      <c r="G236" s="31" t="inlineStr">
        <is>
          <t>smallcap</t>
        </is>
      </c>
      <c r="H236" s="32" t="n">
        <v>1361.75</v>
      </c>
      <c r="I236" s="32" t="n">
        <v>372.6</v>
      </c>
      <c r="J236" s="32" t="n">
        <v>2.4</v>
      </c>
      <c r="K236" s="32" t="n">
        <v>183704</v>
      </c>
      <c r="L236" s="31" t="n">
        <v>61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67.01000000000001</v>
      </c>
      <c r="P236" s="32" t="n">
        <v>16.02</v>
      </c>
      <c r="Q236" s="32" t="n">
        <v>278.03</v>
      </c>
      <c r="R236" s="31" t="inlineStr">
        <is>
          <t>Earnings / Momentum Support</t>
        </is>
      </c>
      <c r="S236" s="31" t="inlineStr">
        <is>
          <t>Nifty 50</t>
        </is>
      </c>
      <c r="T236" s="32" t="n">
        <v>-4.47</v>
      </c>
      <c r="U236" s="32" t="n">
        <v>22.89</v>
      </c>
      <c r="V236" s="32" t="n">
        <v>28.65</v>
      </c>
      <c r="W236" s="32" t="n">
        <v>16.69</v>
      </c>
      <c r="X236" s="31" t="inlineStr">
        <is>
          <t>Cyclical in an Upturn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No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0 to 20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No</t>
        </is>
      </c>
      <c r="BS236" s="31">
        <f>IF(BR236="NO",5,0)</f>
        <v/>
      </c>
      <c r="BT236" s="31" t="inlineStr">
        <is>
          <t>Less than 1.5</t>
        </is>
      </c>
      <c r="BU236" s="31">
        <f>IF(BT236="Above 2",0,IF(BT236="Between 1.5 to 2",5,IF(BT236="Less than 1.5",10,0)))</f>
        <v/>
      </c>
      <c r="BV236" s="31" t="inlineStr">
        <is>
          <t>Less than 50%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IF(B237=0,"",RANK(B237,$B$2:$B$343,0))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3" t="inlineStr">
        <is>
          <t>NBCC</t>
        </is>
      </c>
      <c r="D237" s="33" t="inlineStr">
        <is>
          <t>Nbcc (india) Limited</t>
        </is>
      </c>
      <c r="E237" s="31" t="inlineStr">
        <is>
          <t>miscellaneous</t>
        </is>
      </c>
      <c r="F237" s="31" t="inlineStr">
        <is>
          <t>miscellaneous</t>
        </is>
      </c>
      <c r="G237" s="31" t="inlineStr">
        <is>
          <t>largecap</t>
        </is>
      </c>
      <c r="H237" s="32" t="n">
        <v>28987.2</v>
      </c>
      <c r="I237" s="32" t="n">
        <v>109.14</v>
      </c>
      <c r="J237" s="32" t="n">
        <v>1.66</v>
      </c>
      <c r="K237" s="32" t="n">
        <v>18417449</v>
      </c>
      <c r="L237" s="31" t="n">
        <v>22</v>
      </c>
      <c r="M237" s="31" t="inlineStr">
        <is>
          <t>Underperforming</t>
        </is>
      </c>
      <c r="N237" s="32">
        <f>IF(M237="Underperforming",-5,IF(L237&gt;=95,15,IF(L237&gt;=90,10,IF(L237&gt;=80,5,0))))</f>
        <v/>
      </c>
      <c r="O237" s="32" t="n">
        <v>59.87</v>
      </c>
      <c r="P237" s="32" t="n">
        <v>20.93</v>
      </c>
      <c r="Q237" s="32" t="n">
        <v>86.81</v>
      </c>
      <c r="R237" s="31" t="inlineStr">
        <is>
          <t>Earnings / Momentum Support</t>
        </is>
      </c>
      <c r="S237" s="31" t="inlineStr">
        <is>
          <t>Nifty 50</t>
        </is>
      </c>
      <c r="T237" s="32" t="n">
        <v>-4.47</v>
      </c>
      <c r="U237" s="32" t="n">
        <v>-6.18</v>
      </c>
      <c r="V237" s="32" t="n">
        <v>-1.78</v>
      </c>
      <c r="W237" s="32" t="n">
        <v>6.36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Headwind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Less than 1.5</t>
        </is>
      </c>
      <c r="BU237" s="31">
        <f>IF(BT237="Above 2",0,IF(BT237="Between 1.5 to 2",5,IF(BT237="Less than 1.5",10,0)))</f>
        <v/>
      </c>
      <c r="BV237" s="31" t="inlineStr">
        <is>
          <t>Less than 50%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IF(B238=0,"",RANK(B238,$B$2:$B$343,0))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MSPL</t>
        </is>
      </c>
      <c r="D238" s="31" t="inlineStr">
        <is>
          <t>Msp Steel &amp; Power Limited</t>
        </is>
      </c>
      <c r="E238" s="31" t="inlineStr">
        <is>
          <t>metals &amp; mining</t>
        </is>
      </c>
      <c r="F238" s="31" t="inlineStr">
        <is>
          <t>steel - medium / small</t>
        </is>
      </c>
      <c r="G238" s="31" t="inlineStr">
        <is>
          <t>smallcap</t>
        </is>
      </c>
      <c r="H238" s="32" t="n">
        <v>2386.78</v>
      </c>
      <c r="I238" s="32" t="n">
        <v>42.48</v>
      </c>
      <c r="J238" s="32" t="n">
        <v>0.88</v>
      </c>
      <c r="K238" s="32" t="n">
        <v>6559887</v>
      </c>
      <c r="L238" s="31" t="n">
        <v>71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64.84999999999999</v>
      </c>
      <c r="P238" s="32" t="n">
        <v>22.17</v>
      </c>
      <c r="Q238" s="32" t="n">
        <v>32.43</v>
      </c>
      <c r="R238" s="31" t="inlineStr">
        <is>
          <t>Near 52W High Breakout</t>
        </is>
      </c>
      <c r="S238" s="31" t="inlineStr">
        <is>
          <t>Nifty Metal</t>
        </is>
      </c>
      <c r="T238" s="32" t="n">
        <v>40.96</v>
      </c>
      <c r="U238" s="32" t="n">
        <v>56.98</v>
      </c>
      <c r="V238" s="32" t="n">
        <v>11.37</v>
      </c>
      <c r="W238" s="32" t="n">
        <v>20.33</v>
      </c>
      <c r="X238" s="31" t="inlineStr">
        <is>
          <t>Cyclical in an Upturn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Cyclical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Volatile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20 to 40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Yes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IF(B239=0,"",RANK(B239,$B$2:$B$343,0))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MMFL</t>
        </is>
      </c>
      <c r="D239" s="31" t="inlineStr">
        <is>
          <t>Mm Forgings Limited</t>
        </is>
      </c>
      <c r="E239" s="31" t="inlineStr">
        <is>
          <t>industrials</t>
        </is>
      </c>
      <c r="F239" s="31" t="inlineStr">
        <is>
          <t>castings &amp; forgings</t>
        </is>
      </c>
      <c r="G239" s="31" t="inlineStr">
        <is>
          <t>smallcap</t>
        </is>
      </c>
      <c r="H239" s="32" t="n">
        <v>2262.96</v>
      </c>
      <c r="I239" s="32" t="n">
        <v>471.6</v>
      </c>
      <c r="J239" s="32" t="n">
        <v>0.62</v>
      </c>
      <c r="K239" s="32" t="n">
        <v>59071</v>
      </c>
      <c r="L239" s="31" t="n">
        <v>29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60.17</v>
      </c>
      <c r="P239" s="32" t="n">
        <v>15.46</v>
      </c>
      <c r="Q239" s="32" t="n">
        <v>372.88</v>
      </c>
      <c r="R239" s="31" t="inlineStr">
        <is>
          <t>Near 52W High Breakout</t>
        </is>
      </c>
      <c r="S239" s="31" t="inlineStr">
        <is>
          <t>Nifty 50</t>
        </is>
      </c>
      <c r="T239" s="32" t="n">
        <v>-4.47</v>
      </c>
      <c r="U239" s="32" t="n">
        <v>30.82</v>
      </c>
      <c r="V239" s="32" t="n">
        <v>36.94</v>
      </c>
      <c r="W239" s="32" t="n">
        <v>8.140000000000001</v>
      </c>
      <c r="X239" s="31" t="inlineStr">
        <is>
          <t>Cyclical in an Upturn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0 to 20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Less than 1.5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More than 1.2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IF(B240=0,"",RANK(B240,$B$2:$B$343,0))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EPL</t>
        </is>
      </c>
      <c r="D240" s="31" t="inlineStr">
        <is>
          <t>EPL Ltd</t>
        </is>
      </c>
      <c r="E240" s="31" t="inlineStr">
        <is>
          <t>industrials</t>
        </is>
      </c>
      <c r="F240" s="31" t="inlineStr">
        <is>
          <t>packaging</t>
        </is>
      </c>
      <c r="G240" s="31" t="inlineStr">
        <is>
          <t>midcap</t>
        </is>
      </c>
      <c r="H240" s="32" t="n">
        <v>7265.46</v>
      </c>
      <c r="I240" s="32" t="n">
        <v>228.24</v>
      </c>
      <c r="J240" s="32" t="n">
        <v>0.6</v>
      </c>
      <c r="K240" s="32" t="n">
        <v>716413</v>
      </c>
      <c r="L240" s="31" t="n">
        <v>11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56.04</v>
      </c>
      <c r="P240" s="32" t="n">
        <v>10.58</v>
      </c>
      <c r="Q240" s="32" t="n">
        <v>188.33</v>
      </c>
      <c r="R240" s="31" t="inlineStr">
        <is>
          <t>Near 52W High Breakout</t>
        </is>
      </c>
      <c r="S240" s="31" t="inlineStr">
        <is>
          <t>Nifty 50</t>
        </is>
      </c>
      <c r="T240" s="32" t="n">
        <v>-4.47</v>
      </c>
      <c r="U240" s="32" t="n">
        <v>-0</v>
      </c>
      <c r="V240" s="32" t="n">
        <v>4.68</v>
      </c>
      <c r="W240" s="32" t="n">
        <v>4.43</v>
      </c>
      <c r="X240" s="31" t="inlineStr">
        <is>
          <t>Cyclical in an Upturn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Yes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0 to 20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Less than 12%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IF(B241=0,"",RANK(B241,$B$2:$B$343,0))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WELSPUNLIV</t>
        </is>
      </c>
      <c r="D241" s="31" t="inlineStr">
        <is>
          <t>Welspun Living Ltd</t>
        </is>
      </c>
      <c r="E241" s="31" t="inlineStr">
        <is>
          <t>textiles</t>
        </is>
      </c>
      <c r="F241" s="31" t="inlineStr">
        <is>
          <t>textiles - products</t>
        </is>
      </c>
      <c r="G241" s="31" t="inlineStr">
        <is>
          <t>midcap</t>
        </is>
      </c>
      <c r="H241" s="32" t="n">
        <v>13901</v>
      </c>
      <c r="I241" s="32" t="n">
        <v>145.78</v>
      </c>
      <c r="J241" s="32" t="n">
        <v>0.59</v>
      </c>
      <c r="K241" s="32" t="n">
        <v>1340641</v>
      </c>
      <c r="L241" s="31" t="n">
        <v>34</v>
      </c>
      <c r="M241" s="31" t="inlineStr">
        <is>
          <t>Outperforming</t>
        </is>
      </c>
      <c r="N241" s="32">
        <f>IF(M241="Underperforming",-5,IF(L241&gt;=95,15,IF(L241&gt;=90,10,IF(L241&gt;=80,5,0))))</f>
        <v/>
      </c>
      <c r="O241" s="32" t="n">
        <v>61.49</v>
      </c>
      <c r="P241" s="32" t="n">
        <v>17.5</v>
      </c>
      <c r="Q241" s="32" t="n">
        <v>113.81</v>
      </c>
      <c r="R241" s="31" t="inlineStr">
        <is>
          <t>Near 52W High Breakout</t>
        </is>
      </c>
      <c r="S241" s="31" t="inlineStr">
        <is>
          <t>Nifty 50</t>
        </is>
      </c>
      <c r="T241" s="32" t="n">
        <v>-4.47</v>
      </c>
      <c r="U241" s="32" t="n">
        <v>14.56</v>
      </c>
      <c r="V241" s="32" t="n">
        <v>19.92</v>
      </c>
      <c r="W241" s="32" t="n">
        <v>9.15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0 to 20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Less than 12%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IF(B242=0,"",RANK(B242,$B$2:$B$343,0))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CENTENKA</t>
        </is>
      </c>
      <c r="D242" s="31" t="inlineStr">
        <is>
          <t>Century Enka Limited</t>
        </is>
      </c>
      <c r="E242" s="31" t="inlineStr">
        <is>
          <t>textiles</t>
        </is>
      </c>
      <c r="F242" s="31" t="inlineStr">
        <is>
          <t>textiles - manmade</t>
        </is>
      </c>
      <c r="G242" s="31" t="inlineStr">
        <is>
          <t>smallcap</t>
        </is>
      </c>
      <c r="H242" s="32" t="n">
        <v>1089.14</v>
      </c>
      <c r="I242" s="32" t="n">
        <v>500.5</v>
      </c>
      <c r="J242" s="32" t="n">
        <v>0.41</v>
      </c>
      <c r="K242" s="32" t="n">
        <v>29288</v>
      </c>
      <c r="L242" s="31" t="n">
        <v>16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58.13</v>
      </c>
      <c r="P242" s="32" t="n">
        <v>31.69</v>
      </c>
      <c r="Q242" s="32" t="n">
        <v>406.76</v>
      </c>
      <c r="R242" s="31" t="inlineStr">
        <is>
          <t>Near 52W High Breakout</t>
        </is>
      </c>
      <c r="S242" s="31" t="inlineStr">
        <is>
          <t>Nifty 50</t>
        </is>
      </c>
      <c r="T242" s="32" t="n">
        <v>-4.47</v>
      </c>
      <c r="U242" s="32" t="n">
        <v>2.94</v>
      </c>
      <c r="V242" s="32" t="n">
        <v>7.76</v>
      </c>
      <c r="W242" s="32" t="n">
        <v>5.18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Yes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20 to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Negative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IF(B243=0,"",RANK(B243,$B$2:$B$343,0))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3" t="inlineStr">
        <is>
          <t>OAL</t>
        </is>
      </c>
      <c r="D243" s="33" t="inlineStr">
        <is>
          <t>Oriental Aromatics Ltd</t>
        </is>
      </c>
      <c r="E243" s="31" t="inlineStr">
        <is>
          <t>chemicals</t>
        </is>
      </c>
      <c r="F243" s="31" t="inlineStr">
        <is>
          <t>chemicals</t>
        </is>
      </c>
      <c r="G243" s="31" t="inlineStr">
        <is>
          <t>smallcap</t>
        </is>
      </c>
      <c r="H243" s="32" t="n">
        <v>1139.34</v>
      </c>
      <c r="I243" s="32" t="n">
        <v>339.9</v>
      </c>
      <c r="J243" s="32" t="n">
        <v>0.4</v>
      </c>
      <c r="K243" s="32" t="n">
        <v>24396</v>
      </c>
      <c r="L243" s="31" t="n">
        <v>19</v>
      </c>
      <c r="M243" s="31" t="inlineStr">
        <is>
          <t>Underperforming</t>
        </is>
      </c>
      <c r="N243" s="32">
        <f>IF(M243="Underperforming",-5,IF(L243&gt;=95,15,IF(L243&gt;=90,10,IF(L243&gt;=80,5,0))))</f>
        <v/>
      </c>
      <c r="O243" s="32" t="n">
        <v>60.99</v>
      </c>
      <c r="P243" s="32" t="n">
        <v>23.34</v>
      </c>
      <c r="Q243" s="32" t="n">
        <v>253.5</v>
      </c>
      <c r="R243" s="31" t="inlineStr">
        <is>
          <t>Earnings / Momentum Support</t>
        </is>
      </c>
      <c r="S243" s="31" t="inlineStr">
        <is>
          <t>Nifty 50</t>
        </is>
      </c>
      <c r="T243" s="32" t="n">
        <v>-4.47</v>
      </c>
      <c r="U243" s="32" t="n">
        <v>-12.58</v>
      </c>
      <c r="V243" s="32" t="n">
        <v>-8.48</v>
      </c>
      <c r="W243" s="32" t="n">
        <v>5.81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20 to 40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Less than 50%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IF(B244=0,"",RANK(B244,$B$2:$B$343,0))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NAVINFLUOR</t>
        </is>
      </c>
      <c r="D244" s="31" t="inlineStr">
        <is>
          <t>Navin Fluorine International Limited</t>
        </is>
      </c>
      <c r="E244" s="31" t="inlineStr">
        <is>
          <t>chemicals</t>
        </is>
      </c>
      <c r="F244" s="31" t="inlineStr">
        <is>
          <t>chemicals</t>
        </is>
      </c>
      <c r="G244" s="31" t="inlineStr">
        <is>
          <t>largecap</t>
        </is>
      </c>
      <c r="H244" s="32" t="n">
        <v>37344.84</v>
      </c>
      <c r="I244" s="32" t="n">
        <v>7315.5</v>
      </c>
      <c r="J244" s="32" t="n">
        <v>0.39</v>
      </c>
      <c r="K244" s="32" t="n">
        <v>162061</v>
      </c>
      <c r="L244" s="31" t="n">
        <v>51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69.67</v>
      </c>
      <c r="P244" s="32" t="n">
        <v>37.15</v>
      </c>
      <c r="Q244" s="32" t="n">
        <v>5983.64</v>
      </c>
      <c r="R244" s="31" t="inlineStr">
        <is>
          <t>Near 52W High Breakout</t>
        </is>
      </c>
      <c r="S244" s="31" t="inlineStr">
        <is>
          <t>Nifty 50</t>
        </is>
      </c>
      <c r="T244" s="32" t="n">
        <v>-4.47</v>
      </c>
      <c r="U244" s="32" t="n">
        <v>56.73</v>
      </c>
      <c r="V244" s="32" t="n">
        <v>64.06999999999999</v>
      </c>
      <c r="W244" s="32" t="n">
        <v>13.7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Oligopoly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Shallow Cyclical (2 to 3 Years Growth)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20 to 40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3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Between 50% to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IF(B245=0,"",RANK(B245,$B$2:$B$343,0))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DLINKINDIA</t>
        </is>
      </c>
      <c r="D245" s="31" t="inlineStr">
        <is>
          <t>D-link (india) Limited</t>
        </is>
      </c>
      <c r="E245" s="31" t="inlineStr">
        <is>
          <t>services</t>
        </is>
      </c>
      <c r="F245" s="31" t="inlineStr">
        <is>
          <t>trading</t>
        </is>
      </c>
      <c r="G245" s="31" t="inlineStr">
        <is>
          <t>smallcap</t>
        </is>
      </c>
      <c r="H245" s="32" t="n">
        <v>1807.55</v>
      </c>
      <c r="I245" s="32" t="n">
        <v>510.6</v>
      </c>
      <c r="J245" s="32" t="n">
        <v>0.29</v>
      </c>
      <c r="K245" s="32" t="n">
        <v>130200</v>
      </c>
      <c r="L245" s="31" t="n">
        <v>22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67.18000000000001</v>
      </c>
      <c r="P245" s="32" t="n">
        <v>29.07</v>
      </c>
      <c r="Q245" s="32" t="n">
        <v>416.85</v>
      </c>
      <c r="R245" s="31" t="inlineStr">
        <is>
          <t>Earnings / Momentum Support</t>
        </is>
      </c>
      <c r="S245" s="31" t="inlineStr">
        <is>
          <t>Nifty 50</t>
        </is>
      </c>
      <c r="T245" s="32" t="n">
        <v>-4.47</v>
      </c>
      <c r="U245" s="32" t="n">
        <v>-2.2</v>
      </c>
      <c r="V245" s="32" t="n">
        <v>2.38</v>
      </c>
      <c r="W245" s="32" t="n">
        <v>6.56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Less than 12%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Less than 50%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IF(B246=0,"",RANK(B246,$B$2:$B$343,0))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MANINDS</t>
        </is>
      </c>
      <c r="D246" s="31" t="inlineStr">
        <is>
          <t>Man Industries (india) Limited</t>
        </is>
      </c>
      <c r="E246" s="31" t="inlineStr">
        <is>
          <t>metals &amp; mining</t>
        </is>
      </c>
      <c r="F246" s="31" t="inlineStr">
        <is>
          <t>steel - medium / small</t>
        </is>
      </c>
      <c r="G246" s="31" t="inlineStr">
        <is>
          <t>smallcap</t>
        </is>
      </c>
      <c r="H246" s="32" t="n">
        <v>4298.42</v>
      </c>
      <c r="I246" s="32" t="n">
        <v>571.3</v>
      </c>
      <c r="J246" s="32" t="n">
        <v>-0.31</v>
      </c>
      <c r="K246" s="32" t="n">
        <v>386068</v>
      </c>
      <c r="L246" s="31" t="n">
        <v>74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62.64</v>
      </c>
      <c r="P246" s="32" t="n">
        <v>26.07</v>
      </c>
      <c r="Q246" s="32" t="n">
        <v>396.43</v>
      </c>
      <c r="R246" s="31" t="inlineStr">
        <is>
          <t>Near 52W High Breakout</t>
        </is>
      </c>
      <c r="S246" s="31" t="inlineStr">
        <is>
          <t>Nifty Metal</t>
        </is>
      </c>
      <c r="T246" s="32" t="n">
        <v>40.96</v>
      </c>
      <c r="U246" s="32" t="n">
        <v>51.76</v>
      </c>
      <c r="V246" s="32" t="n">
        <v>7.66</v>
      </c>
      <c r="W246" s="32" t="n">
        <v>21.69</v>
      </c>
      <c r="X246" s="31" t="inlineStr">
        <is>
          <t>Cyclical in an Upturn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Cyclical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Volatile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20 to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Blue sky scenario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Less than 12%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IF(B247=0,"",RANK(B247,$B$2:$B$343,0))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BHARATFORG</t>
        </is>
      </c>
      <c r="D247" s="31" t="inlineStr">
        <is>
          <t>Bharat Forge Limited</t>
        </is>
      </c>
      <c r="E247" s="31" t="inlineStr">
        <is>
          <t>industrials</t>
        </is>
      </c>
      <c r="F247" s="31" t="inlineStr">
        <is>
          <t>castings &amp; forgings</t>
        </is>
      </c>
      <c r="G247" s="31" t="inlineStr">
        <is>
          <t>largecap</t>
        </is>
      </c>
      <c r="H247" s="32" t="n">
        <v>96597.81</v>
      </c>
      <c r="I247" s="32" t="n">
        <v>2012.3</v>
      </c>
      <c r="J247" s="32" t="n">
        <v>-0.41</v>
      </c>
      <c r="K247" s="32" t="n">
        <v>925881</v>
      </c>
      <c r="L247" s="31" t="n">
        <v>50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67.39</v>
      </c>
      <c r="P247" s="32" t="n">
        <v>34.49</v>
      </c>
      <c r="Q247" s="32" t="n">
        <v>1662.16</v>
      </c>
      <c r="R247" s="31" t="inlineStr">
        <is>
          <t>Near 52W High Breakout</t>
        </is>
      </c>
      <c r="S247" s="31" t="inlineStr">
        <is>
          <t>Nifty 50</t>
        </is>
      </c>
      <c r="T247" s="32" t="n">
        <v>-4.47</v>
      </c>
      <c r="U247" s="32" t="n">
        <v>58.33</v>
      </c>
      <c r="V247" s="32" t="n">
        <v>65.75</v>
      </c>
      <c r="W247" s="32" t="n">
        <v>13.46</v>
      </c>
      <c r="X247" s="31" t="inlineStr">
        <is>
          <t>Cyclical in an Upturn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20 to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Blue sky scenario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Less than 12%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Yes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Between 50% to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Between 0.7 to 1.2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IF(B248=0,"",RANK(B248,$B$2:$B$343,0))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3" t="inlineStr">
        <is>
          <t>SHYAMMETL</t>
        </is>
      </c>
      <c r="D248" s="33" t="inlineStr">
        <is>
          <t>Shyam Metalics &amp; Energy Ltd</t>
        </is>
      </c>
      <c r="E248" s="31" t="inlineStr">
        <is>
          <t>metals &amp; mining</t>
        </is>
      </c>
      <c r="F248" s="31" t="inlineStr">
        <is>
          <t>steel - large</t>
        </is>
      </c>
      <c r="G248" s="31" t="inlineStr">
        <is>
          <t>largecap</t>
        </is>
      </c>
      <c r="H248" s="32" t="n">
        <v>27071.6</v>
      </c>
      <c r="I248" s="32" t="n">
        <v>965.1</v>
      </c>
      <c r="J248" s="32" t="n">
        <v>-0.49</v>
      </c>
      <c r="K248" s="32" t="n">
        <v>595682</v>
      </c>
      <c r="L248" s="31" t="n">
        <v>28</v>
      </c>
      <c r="M248" s="31" t="inlineStr">
        <is>
          <t>Underperforming</t>
        </is>
      </c>
      <c r="N248" s="32">
        <f>IF(M248="Underperforming",-5,IF(L248&gt;=95,15,IF(L248&gt;=90,10,IF(L248&gt;=80,5,0))))</f>
        <v/>
      </c>
      <c r="O248" s="32" t="n">
        <v>60.34</v>
      </c>
      <c r="P248" s="32" t="n">
        <v>15.67</v>
      </c>
      <c r="Q248" s="32" t="n">
        <v>816.22</v>
      </c>
      <c r="R248" s="31" t="inlineStr">
        <is>
          <t>Near 52W High Breakout</t>
        </is>
      </c>
      <c r="S248" s="31" t="inlineStr">
        <is>
          <t>Nifty Metal</t>
        </is>
      </c>
      <c r="T248" s="32" t="n">
        <v>40.96</v>
      </c>
      <c r="U248" s="32" t="n">
        <v>17.28</v>
      </c>
      <c r="V248" s="32" t="n">
        <v>-16.8</v>
      </c>
      <c r="W248" s="32" t="n">
        <v>8.07</v>
      </c>
      <c r="X248" s="31" t="inlineStr">
        <is>
          <t>Cyclical in an Upturn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Cyclical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Volatile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Yes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0 to 20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Blue sky scenario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Less than 1.5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IF(B249=0,"",RANK(B249,$B$2:$B$343,0))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3" t="inlineStr">
        <is>
          <t>UNIMECH</t>
        </is>
      </c>
      <c r="D249" s="33" t="inlineStr">
        <is>
          <t>Unimech Aerospace and Manufacturing Ltd</t>
        </is>
      </c>
      <c r="E249" s="31" t="inlineStr">
        <is>
          <t>aerospace &amp; defence</t>
        </is>
      </c>
      <c r="F249" s="31" t="inlineStr">
        <is>
          <t>engineering</t>
        </is>
      </c>
      <c r="G249" s="31" t="inlineStr">
        <is>
          <t>midcap</t>
        </is>
      </c>
      <c r="H249" s="32" t="n">
        <v>5832.52</v>
      </c>
      <c r="I249" s="32" t="n">
        <v>1137.9</v>
      </c>
      <c r="J249" s="32" t="n">
        <v>-0.78</v>
      </c>
      <c r="K249" s="32" t="n">
        <v>73392</v>
      </c>
      <c r="L249" s="31" t="n">
        <v>30</v>
      </c>
      <c r="M249" s="31" t="inlineStr">
        <is>
          <t>Underperforming</t>
        </is>
      </c>
      <c r="N249" s="32">
        <f>IF(M249="Underperforming",-5,IF(L249&gt;=95,15,IF(L249&gt;=90,10,IF(L249&gt;=80,5,0))))</f>
        <v/>
      </c>
      <c r="O249" s="32" t="n">
        <v>62.58</v>
      </c>
      <c r="P249" s="32" t="n">
        <v>25.74</v>
      </c>
      <c r="Q249" s="32" t="n">
        <v>850.92</v>
      </c>
      <c r="R249" s="31" t="inlineStr">
        <is>
          <t>Earnings / Momentum Support</t>
        </is>
      </c>
      <c r="S249" s="31" t="inlineStr">
        <is>
          <t>Nifty 50</t>
        </is>
      </c>
      <c r="T249" s="32" t="n">
        <v>-4.47</v>
      </c>
      <c r="U249" s="32" t="n">
        <v>-11.59</v>
      </c>
      <c r="V249" s="32" t="n">
        <v>-7.45</v>
      </c>
      <c r="W249" s="32" t="n">
        <v>8.33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Less than 12%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Yes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IF(B250=0,"",RANK(B250,$B$2:$B$343,0))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3" t="inlineStr">
        <is>
          <t>AEROENTER</t>
        </is>
      </c>
      <c r="D250" s="33" t="inlineStr">
        <is>
          <t>Aeroflex Enterprises Ltd</t>
        </is>
      </c>
      <c r="E250" s="31" t="inlineStr">
        <is>
          <t>metals &amp; mining</t>
        </is>
      </c>
      <c r="F250" s="31" t="inlineStr">
        <is>
          <t>steel - medium / small</t>
        </is>
      </c>
      <c r="G250" s="31" t="inlineStr">
        <is>
          <t>smallcap</t>
        </is>
      </c>
      <c r="H250" s="32" t="n">
        <v>1248.68</v>
      </c>
      <c r="I250" s="32" t="n">
        <v>107.66</v>
      </c>
      <c r="J250" s="32" t="n">
        <v>-2.5</v>
      </c>
      <c r="K250" s="32" t="n">
        <v>550308</v>
      </c>
      <c r="L250" s="31" t="n">
        <v>51</v>
      </c>
      <c r="M250" s="31" t="inlineStr">
        <is>
          <t>Underperforming</t>
        </is>
      </c>
      <c r="N250" s="32">
        <f>IF(M250="Underperforming",-5,IF(L250&gt;=95,15,IF(L250&gt;=90,10,IF(L250&gt;=80,5,0))))</f>
        <v/>
      </c>
      <c r="O250" s="32" t="n">
        <v>63.1</v>
      </c>
      <c r="P250" s="32" t="n">
        <v>34.73</v>
      </c>
      <c r="Q250" s="32" t="n">
        <v>80.33</v>
      </c>
      <c r="R250" s="31" t="inlineStr">
        <is>
          <t>Near 52W High Breakout</t>
        </is>
      </c>
      <c r="S250" s="31" t="inlineStr">
        <is>
          <t>Nifty Metal</t>
        </is>
      </c>
      <c r="T250" s="32" t="n">
        <v>40.96</v>
      </c>
      <c r="U250" s="32" t="n">
        <v>9.609999999999999</v>
      </c>
      <c r="V250" s="32" t="n">
        <v>-22.24</v>
      </c>
      <c r="W250" s="32" t="n">
        <v>13.69</v>
      </c>
      <c r="X250" s="31" t="inlineStr">
        <is>
          <t>Cyclical in an Upturn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Cyclical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Volatile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Yes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Less than 1.5</t>
        </is>
      </c>
      <c r="BU250" s="31">
        <f>IF(BT250="Above 2",0,IF(BT250="Between 1.5 to 2",5,IF(BT250="Less than 1.5",10,0)))</f>
        <v/>
      </c>
      <c r="BV250" s="31" t="inlineStr">
        <is>
          <t>Less than 50%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IF(B251=0,"",RANK(B251,$B$2:$B$343,0))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DIACABS</t>
        </is>
      </c>
      <c r="D251" s="31" t="inlineStr">
        <is>
          <t>Diamond Power Infrastructure Ltd</t>
        </is>
      </c>
      <c r="E251" s="31" t="inlineStr">
        <is>
          <t>industrials</t>
        </is>
      </c>
      <c r="F251" s="31" t="inlineStr">
        <is>
          <t>cables - power</t>
        </is>
      </c>
      <c r="G251" s="31" t="inlineStr">
        <is>
          <t>midcap</t>
        </is>
      </c>
      <c r="H251" s="32" t="n">
        <v>11347.79</v>
      </c>
      <c r="I251" s="32" t="n">
        <v>206.6</v>
      </c>
      <c r="J251" s="32" t="n">
        <v>-4.06</v>
      </c>
      <c r="K251" s="32" t="n">
        <v>11736724</v>
      </c>
      <c r="L251" s="31" t="n">
        <v>87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76.42</v>
      </c>
      <c r="P251" s="32" t="n">
        <v>35.79</v>
      </c>
      <c r="Q251" s="32" t="n">
        <v>153.92</v>
      </c>
      <c r="R251" s="31" t="inlineStr">
        <is>
          <t>Near 52W High Breakout</t>
        </is>
      </c>
      <c r="S251" s="31" t="inlineStr">
        <is>
          <t>Nifty Energy</t>
        </is>
      </c>
      <c r="T251" s="32" t="n">
        <v>12.12</v>
      </c>
      <c r="U251" s="32" t="n">
        <v>99.15000000000001</v>
      </c>
      <c r="V251" s="32" t="n">
        <v>77.62</v>
      </c>
      <c r="W251" s="32" t="n">
        <v>31.67</v>
      </c>
      <c r="X251" s="31" t="inlineStr">
        <is>
          <t>Cyclical in an Upturn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Yes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Above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Blue sky scenario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Yes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Negative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IF(B252=0,"",RANK(B252,$B$2:$B$343,0))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APCOTEXIND</t>
        </is>
      </c>
      <c r="D252" s="31" t="inlineStr">
        <is>
          <t>Apcotex Industries Limited</t>
        </is>
      </c>
      <c r="E252" s="31" t="inlineStr">
        <is>
          <t>chemicals</t>
        </is>
      </c>
      <c r="F252" s="31" t="inlineStr">
        <is>
          <t>miscellaneous</t>
        </is>
      </c>
      <c r="G252" s="31" t="inlineStr">
        <is>
          <t>smallcap</t>
        </is>
      </c>
      <c r="H252" s="32" t="n">
        <v>2686.35</v>
      </c>
      <c r="I252" s="32" t="n">
        <v>521.05</v>
      </c>
      <c r="J252" s="32" t="n">
        <v>0.5600000000000001</v>
      </c>
      <c r="K252" s="32" t="n">
        <v>82669</v>
      </c>
      <c r="L252" s="31" t="n">
        <v>67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69.44</v>
      </c>
      <c r="P252" s="32" t="n">
        <v>38.47</v>
      </c>
      <c r="Q252" s="32" t="n">
        <v>404.97</v>
      </c>
      <c r="R252" s="31" t="inlineStr">
        <is>
          <t>Near 52W High Breakout</t>
        </is>
      </c>
      <c r="S252" s="31" t="inlineStr">
        <is>
          <t>Nifty Infra</t>
        </is>
      </c>
      <c r="T252" s="32" t="n">
        <v>3.24</v>
      </c>
      <c r="U252" s="32" t="n">
        <v>36.71</v>
      </c>
      <c r="V252" s="32" t="n">
        <v>32.41</v>
      </c>
      <c r="W252" s="32" t="n">
        <v>18.36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Oligopoly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Cyclical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Fully One Time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Above 40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1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Sideways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Overhead supply in last 2 years in last 2 years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Less than 1.5</t>
        </is>
      </c>
      <c r="BU252" s="31">
        <f>IF(BT252="Above 2",0,IF(BT252="Between 1.5 to 2",5,IF(BT252="Less than 1.5",10,0)))</f>
        <v/>
      </c>
      <c r="BV252" s="31" t="inlineStr">
        <is>
          <t>Between 50% to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IF(B253=0,"",RANK(B253,$B$2:$B$343,0))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INDSWFTLAB</t>
        </is>
      </c>
      <c r="D253" s="31" t="inlineStr">
        <is>
          <t>Ind-swift Laboratories Limited</t>
        </is>
      </c>
      <c r="E253" s="31" t="inlineStr">
        <is>
          <t>healthcare</t>
        </is>
      </c>
      <c r="F253" s="31" t="inlineStr">
        <is>
          <t>pharmaceuticals - indian - bulk drugs &amp; formln</t>
        </is>
      </c>
      <c r="G253" s="31" t="inlineStr">
        <is>
          <t>smallcap</t>
        </is>
      </c>
      <c r="H253" s="32" t="n">
        <v>1405.36</v>
      </c>
      <c r="I253" s="32" t="n">
        <v>162.64</v>
      </c>
      <c r="J253" s="32" t="n">
        <v>0.49</v>
      </c>
      <c r="K253" s="32" t="n">
        <v>994821</v>
      </c>
      <c r="L253" s="31" t="n">
        <v>52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72.59999999999999</v>
      </c>
      <c r="P253" s="32" t="n">
        <v>35.06</v>
      </c>
      <c r="Q253" s="32" t="n">
        <v>118.24</v>
      </c>
      <c r="R253" s="31" t="inlineStr">
        <is>
          <t>Near 52W High Breakout</t>
        </is>
      </c>
      <c r="S253" s="31" t="inlineStr">
        <is>
          <t>Nifty Pharma</t>
        </is>
      </c>
      <c r="T253" s="32" t="n">
        <v>11.77</v>
      </c>
      <c r="U253" s="32" t="n">
        <v>52.71</v>
      </c>
      <c r="V253" s="32" t="n">
        <v>36.63</v>
      </c>
      <c r="W253" s="32" t="n">
        <v>13.77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Yes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Annuity, Lower One Time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20 to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Less than 12%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Negative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IF(B254=0,"",RANK(B254,$B$2:$B$343,0))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PIXTRANS</t>
        </is>
      </c>
      <c r="D254" s="31" t="inlineStr">
        <is>
          <t>Pix Transmission Ltd</t>
        </is>
      </c>
      <c r="E254" s="31" t="inlineStr">
        <is>
          <t>fmcg</t>
        </is>
      </c>
      <c r="F254" s="31" t="inlineStr">
        <is>
          <t>miscellaneous</t>
        </is>
      </c>
      <c r="G254" s="31" t="inlineStr">
        <is>
          <t>smallcap</t>
        </is>
      </c>
      <c r="H254" s="32" t="n">
        <v>2213.28</v>
      </c>
      <c r="I254" s="32" t="n">
        <v>1614.3</v>
      </c>
      <c r="J254" s="32" t="n">
        <v>-0.62</v>
      </c>
      <c r="K254" s="32" t="n">
        <v>13677</v>
      </c>
      <c r="L254" s="31" t="n">
        <v>6</v>
      </c>
      <c r="M254" s="31" t="inlineStr">
        <is>
          <t>Outperforming</t>
        </is>
      </c>
      <c r="N254" s="32">
        <f>IF(M254="Underperforming",-5,IF(L254&gt;=95,15,IF(L254&gt;=90,10,IF(L254&gt;=80,5,0))))</f>
        <v/>
      </c>
      <c r="O254" s="32" t="n">
        <v>60.53</v>
      </c>
      <c r="P254" s="32" t="n">
        <v>23.01</v>
      </c>
      <c r="Q254" s="32" t="n">
        <v>1321.92</v>
      </c>
      <c r="R254" s="31" t="inlineStr">
        <is>
          <t>Near 52W High Breakout</t>
        </is>
      </c>
      <c r="S254" s="31" t="inlineStr">
        <is>
          <t>Nifty FMCG</t>
        </is>
      </c>
      <c r="T254" s="32" t="n">
        <v>-9.130000000000001</v>
      </c>
      <c r="U254" s="32" t="n">
        <v>2.85</v>
      </c>
      <c r="V254" s="32" t="n">
        <v>13.19</v>
      </c>
      <c r="W254" s="32" t="n">
        <v>2.99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B2C</t>
        </is>
      </c>
      <c r="AO254" s="31">
        <f>IF(AN254="B2C",10,IF(AN254="B2B",5,0))</f>
        <v/>
      </c>
      <c r="AP254" s="31" t="inlineStr">
        <is>
          <t>Yes</t>
        </is>
      </c>
      <c r="AQ254" s="31">
        <f>IF(AP254="Yes",10,0)</f>
        <v/>
      </c>
      <c r="AR254" s="31" t="inlineStr">
        <is>
          <t>Higher Annuity, Lower One Time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20 to 40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Negative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Less than 12%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Above 2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IF(B255=0,"",RANK(B255,$B$2:$B$343,0))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MSTCLTD</t>
        </is>
      </c>
      <c r="D255" s="31" t="inlineStr">
        <is>
          <t>MSTC Ltd</t>
        </is>
      </c>
      <c r="E255" s="31" t="inlineStr">
        <is>
          <t>i.t</t>
        </is>
      </c>
      <c r="F255" s="31" t="inlineStr">
        <is>
          <t>trading</t>
        </is>
      </c>
      <c r="G255" s="31" t="inlineStr">
        <is>
          <t>smallcap</t>
        </is>
      </c>
      <c r="H255" s="32" t="n">
        <v>4433.44</v>
      </c>
      <c r="I255" s="32" t="n">
        <v>708.8</v>
      </c>
      <c r="J255" s="32" t="n">
        <v>12.55</v>
      </c>
      <c r="K255" s="32" t="n">
        <v>14270587</v>
      </c>
      <c r="L255" s="31" t="n">
        <v>80</v>
      </c>
      <c r="M255" s="31" t="inlineStr">
        <is>
          <t>Outperforming</t>
        </is>
      </c>
      <c r="N255" s="32">
        <f>IF(M255="Underperforming",-5,IF(L255&gt;=95,15,IF(L255&gt;=90,10,IF(L255&gt;=80,5,0))))</f>
        <v/>
      </c>
      <c r="O255" s="32" t="n">
        <v>76.23</v>
      </c>
      <c r="P255" s="32" t="n">
        <v>20.4</v>
      </c>
      <c r="Q255" s="32" t="n">
        <v>551.91</v>
      </c>
      <c r="R255" s="31" t="inlineStr">
        <is>
          <t>Volume Spike &amp; Near 52W High Breakout</t>
        </is>
      </c>
      <c r="S255" s="31" t="inlineStr">
        <is>
          <t>Nifty IT</t>
        </is>
      </c>
      <c r="T255" s="32" t="n">
        <v>-26.73</v>
      </c>
      <c r="U255" s="32" t="n">
        <v>43.29</v>
      </c>
      <c r="V255" s="32" t="n">
        <v>95.56999999999999</v>
      </c>
      <c r="W255" s="32" t="n">
        <v>24.96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20 to 40</t>
        </is>
      </c>
      <c r="AY255" s="31">
        <f>IF(AX255="Above 40",20,IF(AX255="20 to 40",10,IF(AX255="0 to 20",-5,0)))</f>
        <v/>
      </c>
      <c r="AZ255" s="31" t="inlineStr">
        <is>
          <t>Above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Less than 12%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No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Negative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IF(B256=0,"",RANK(B256,$B$2:$B$343,0))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FACT</t>
        </is>
      </c>
      <c r="D256" s="31" t="inlineStr">
        <is>
          <t>Fertilizers And Chemicals Travancore Limited</t>
        </is>
      </c>
      <c r="E256" s="31" t="inlineStr">
        <is>
          <t>chemicals</t>
        </is>
      </c>
      <c r="F256" s="31" t="inlineStr">
        <is>
          <t>fertilizers</t>
        </is>
      </c>
      <c r="G256" s="31" t="inlineStr">
        <is>
          <t>largecap</t>
        </is>
      </c>
      <c r="H256" s="32" t="n">
        <v>58627.96</v>
      </c>
      <c r="I256" s="32" t="n">
        <v>997.8</v>
      </c>
      <c r="J256" s="32" t="n">
        <v>10.13</v>
      </c>
      <c r="K256" s="32" t="n">
        <v>13126383</v>
      </c>
      <c r="L256" s="31" t="n">
        <v>18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65.15000000000001</v>
      </c>
      <c r="P256" s="32" t="n">
        <v>16.68</v>
      </c>
      <c r="Q256" s="32" t="n">
        <v>763.83</v>
      </c>
      <c r="R256" s="31" t="inlineStr">
        <is>
          <t>Volume Spike &amp; Near 52W High Breakout</t>
        </is>
      </c>
      <c r="S256" s="31" t="inlineStr">
        <is>
          <t>Nifty 50</t>
        </is>
      </c>
      <c r="T256" s="32" t="n">
        <v>-4.47</v>
      </c>
      <c r="U256" s="32" t="n">
        <v>-2.28</v>
      </c>
      <c r="V256" s="32" t="n">
        <v>2.29</v>
      </c>
      <c r="W256" s="32" t="n">
        <v>5.62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0 to 20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Less than 12%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No</t>
        </is>
      </c>
      <c r="BS256" s="31">
        <f>IF(BR256="NO",5,0)</f>
        <v/>
      </c>
      <c r="BT256" s="31" t="inlineStr">
        <is>
          <t>Less than 1.5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More than 1.2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IF(B257=0,"",RANK(B257,$B$2:$B$343,0))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3" t="inlineStr">
        <is>
          <t>RIIL</t>
        </is>
      </c>
      <c r="D257" s="33" t="inlineStr">
        <is>
          <t>Reliance Industrial Infrastructure Limited</t>
        </is>
      </c>
      <c r="E257" s="31" t="inlineStr">
        <is>
          <t>transportation</t>
        </is>
      </c>
      <c r="F257" s="31" t="inlineStr">
        <is>
          <t>miscellaneous</t>
        </is>
      </c>
      <c r="G257" s="31" t="inlineStr">
        <is>
          <t>smallcap</t>
        </is>
      </c>
      <c r="H257" s="32" t="n">
        <v>1200.15</v>
      </c>
      <c r="I257" s="32" t="n">
        <v>852.2</v>
      </c>
      <c r="J257" s="32" t="n">
        <v>7.22</v>
      </c>
      <c r="K257" s="32" t="n">
        <v>1653879</v>
      </c>
      <c r="L257" s="31" t="n">
        <v>5</v>
      </c>
      <c r="M257" s="31" t="inlineStr">
        <is>
          <t>Underperforming</t>
        </is>
      </c>
      <c r="N257" s="32">
        <f>IF(M257="Underperforming",-5,IF(L257&gt;=95,15,IF(L257&gt;=90,10,IF(L257&gt;=80,5,0))))</f>
        <v/>
      </c>
      <c r="O257" s="32" t="n">
        <v>61.01</v>
      </c>
      <c r="P257" s="32" t="n">
        <v>14.5</v>
      </c>
      <c r="Q257" s="32" t="n">
        <v>664.6</v>
      </c>
      <c r="R257" s="31" t="inlineStr">
        <is>
          <t>Volume Spike / Accumulation</t>
        </is>
      </c>
      <c r="S257" s="31" t="inlineStr">
        <is>
          <t>Nifty 50</t>
        </is>
      </c>
      <c r="T257" s="32" t="n">
        <v>-4.47</v>
      </c>
      <c r="U257" s="32" t="n">
        <v>-9.119999999999999</v>
      </c>
      <c r="V257" s="32" t="n">
        <v>-4.87</v>
      </c>
      <c r="W257" s="32" t="n">
        <v>2.69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Yes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0 to 20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Less than 12%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Yes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IF(B258=0,"",RANK(B258,$B$2:$B$343,0))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BHAGERIA</t>
        </is>
      </c>
      <c r="D258" s="31" t="inlineStr">
        <is>
          <t>Bhageria Industries Limited</t>
        </is>
      </c>
      <c r="E258" s="31" t="inlineStr">
        <is>
          <t>chemicals</t>
        </is>
      </c>
      <c r="F258" s="31" t="inlineStr">
        <is>
          <t>dyes and pigments</t>
        </is>
      </c>
      <c r="G258" s="31" t="inlineStr">
        <is>
          <t>smallcap</t>
        </is>
      </c>
      <c r="H258" s="32" t="n">
        <v>950.5700000000001</v>
      </c>
      <c r="I258" s="32" t="n">
        <v>223.07</v>
      </c>
      <c r="J258" s="32" t="n">
        <v>2.42</v>
      </c>
      <c r="K258" s="32" t="n">
        <v>147811</v>
      </c>
      <c r="L258" s="31" t="n">
        <v>69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67.97</v>
      </c>
      <c r="P258" s="32" t="n">
        <v>17.11</v>
      </c>
      <c r="Q258" s="32" t="n">
        <v>168.12</v>
      </c>
      <c r="R258" s="31" t="inlineStr">
        <is>
          <t>Earnings / Momentum Support</t>
        </is>
      </c>
      <c r="S258" s="31" t="inlineStr">
        <is>
          <t>Nifty IT</t>
        </is>
      </c>
      <c r="T258" s="32" t="n">
        <v>-26.73</v>
      </c>
      <c r="U258" s="32" t="n">
        <v>24.53</v>
      </c>
      <c r="V258" s="32" t="n">
        <v>69.95999999999999</v>
      </c>
      <c r="W258" s="32" t="n">
        <v>18.96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0 to 20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Less than 12%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IF(B259=0,"",RANK(B259,$B$2:$B$343,0))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BIRLACABLE</t>
        </is>
      </c>
      <c r="D259" s="31" t="inlineStr">
        <is>
          <t>Birla Cable Limited</t>
        </is>
      </c>
      <c r="E259" s="31" t="inlineStr">
        <is>
          <t>industrials</t>
        </is>
      </c>
      <c r="F259" s="31" t="inlineStr">
        <is>
          <t>cables - telephone</t>
        </is>
      </c>
      <c r="G259" s="31" t="inlineStr">
        <is>
          <t>smallcap</t>
        </is>
      </c>
      <c r="H259" s="32" t="n">
        <v>611.49</v>
      </c>
      <c r="I259" s="32" t="n">
        <v>208.35</v>
      </c>
      <c r="J259" s="32" t="n">
        <v>2.22</v>
      </c>
      <c r="K259" s="32" t="n">
        <v>132284</v>
      </c>
      <c r="L259" s="31" t="n">
        <v>67</v>
      </c>
      <c r="M259" s="31" t="inlineStr">
        <is>
          <t>Outperforming</t>
        </is>
      </c>
      <c r="N259" s="32">
        <f>IF(M259="Underperforming",-5,IF(L259&gt;=95,15,IF(L259&gt;=90,10,IF(L259&gt;=80,5,0))))</f>
        <v/>
      </c>
      <c r="O259" s="32" t="n">
        <v>64.19</v>
      </c>
      <c r="P259" s="32" t="n">
        <v>33.36</v>
      </c>
      <c r="Q259" s="32" t="n">
        <v>160.7</v>
      </c>
      <c r="R259" s="31" t="inlineStr">
        <is>
          <t>Earnings / Momentum Support</t>
        </is>
      </c>
      <c r="S259" s="31" t="inlineStr">
        <is>
          <t>Nifty Infra</t>
        </is>
      </c>
      <c r="T259" s="32" t="n">
        <v>3.24</v>
      </c>
      <c r="U259" s="32" t="n">
        <v>13.64</v>
      </c>
      <c r="V259" s="32" t="n">
        <v>10.07</v>
      </c>
      <c r="W259" s="32" t="n">
        <v>18.32</v>
      </c>
      <c r="X259" s="31" t="inlineStr">
        <is>
          <t>Cyclical in an Upturn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No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20 to 40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No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Negative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IF(B260=0,"",RANK(B260,$B$2:$B$343,0))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3" t="inlineStr">
        <is>
          <t>SOMANYCERA</t>
        </is>
      </c>
      <c r="D260" s="33" t="inlineStr">
        <is>
          <t>Somany Ceramics Limited</t>
        </is>
      </c>
      <c r="E260" s="31" t="inlineStr">
        <is>
          <t>building materials</t>
        </is>
      </c>
      <c r="F260" s="31" t="inlineStr">
        <is>
          <t>ceramics - tiles / sanitaryware</t>
        </is>
      </c>
      <c r="G260" s="31" t="inlineStr">
        <is>
          <t>smallcap</t>
        </is>
      </c>
      <c r="H260" s="32" t="n">
        <v>2133.08</v>
      </c>
      <c r="I260" s="32" t="n">
        <v>526.25</v>
      </c>
      <c r="J260" s="32" t="n">
        <v>1.18</v>
      </c>
      <c r="K260" s="32" t="n">
        <v>107384</v>
      </c>
      <c r="L260" s="31" t="n">
        <v>35</v>
      </c>
      <c r="M260" s="31" t="inlineStr">
        <is>
          <t>Underperforming</t>
        </is>
      </c>
      <c r="N260" s="32">
        <f>IF(M260="Underperforming",-5,IF(L260&gt;=95,15,IF(L260&gt;=90,10,IF(L260&gt;=80,5,0))))</f>
        <v/>
      </c>
      <c r="O260" s="32" t="n">
        <v>64.63</v>
      </c>
      <c r="P260" s="32" t="n">
        <v>27.12</v>
      </c>
      <c r="Q260" s="32" t="n">
        <v>406.42</v>
      </c>
      <c r="R260" s="31" t="inlineStr">
        <is>
          <t>Earnings / Momentum Support</t>
        </is>
      </c>
      <c r="S260" s="31" t="inlineStr">
        <is>
          <t>Nifty Infra</t>
        </is>
      </c>
      <c r="T260" s="32" t="n">
        <v>3.24</v>
      </c>
      <c r="U260" s="32" t="n">
        <v>-2.98</v>
      </c>
      <c r="V260" s="32" t="n">
        <v>-6.03</v>
      </c>
      <c r="W260" s="32" t="n">
        <v>9.19</v>
      </c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20 to 40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Negative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No</t>
        </is>
      </c>
      <c r="BS260" s="31">
        <f>IF(BR260="NO",5,0)</f>
        <v/>
      </c>
      <c r="BT260" s="31" t="inlineStr">
        <is>
          <t>Less than 1.5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IF(B261=0,"",RANK(B261,$B$2:$B$343,0))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KRISHANA</t>
        </is>
      </c>
      <c r="D261" s="31" t="inlineStr">
        <is>
          <t>Krishana Phoschem Ltd</t>
        </is>
      </c>
      <c r="E261" s="31" t="inlineStr">
        <is>
          <t>chemicals</t>
        </is>
      </c>
      <c r="F261" s="31" t="inlineStr">
        <is>
          <t>fertilizers</t>
        </is>
      </c>
      <c r="G261" s="31" t="inlineStr">
        <is>
          <t>smallcap</t>
        </is>
      </c>
      <c r="H261" s="32" t="n">
        <v>4182.95</v>
      </c>
      <c r="I261" s="32" t="n">
        <v>680.6</v>
      </c>
      <c r="J261" s="32" t="n">
        <v>0.6</v>
      </c>
      <c r="K261" s="32" t="n">
        <v>140232</v>
      </c>
      <c r="L261" s="31" t="n">
        <v>56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67.5</v>
      </c>
      <c r="P261" s="32" t="n">
        <v>38.68</v>
      </c>
      <c r="Q261" s="32" t="n">
        <v>547.27</v>
      </c>
      <c r="R261" s="31" t="inlineStr">
        <is>
          <t>Near 52W High Breakout</t>
        </is>
      </c>
      <c r="S261" s="31" t="inlineStr">
        <is>
          <t>Nifty 50</t>
        </is>
      </c>
      <c r="T261" s="32" t="n">
        <v>-4.47</v>
      </c>
      <c r="U261" s="32" t="n">
        <v>33.76</v>
      </c>
      <c r="V261" s="32" t="n">
        <v>40.02</v>
      </c>
      <c r="W261" s="32" t="n">
        <v>15.13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Yes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20 to 40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Blue sky scenario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No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Negative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More than 1.2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IF(B262=0,"",RANK(B262,$B$2:$B$343,0))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GLOSTERLTD</t>
        </is>
      </c>
      <c r="D262" s="31" t="inlineStr">
        <is>
          <t>Gloster Ltd</t>
        </is>
      </c>
      <c r="E262" s="31" t="inlineStr">
        <is>
          <t>textiles</t>
        </is>
      </c>
      <c r="F262" s="31" t="inlineStr">
        <is>
          <t>textiles - jute - yarn / products</t>
        </is>
      </c>
      <c r="G262" s="31" t="inlineStr">
        <is>
          <t>smallcap</t>
        </is>
      </c>
      <c r="H262" s="32" t="n">
        <v>745.0700000000001</v>
      </c>
      <c r="I262" s="32" t="n">
        <v>683.5</v>
      </c>
      <c r="J262" s="32" t="n">
        <v>0.39</v>
      </c>
      <c r="K262" s="32" t="n">
        <v>2997</v>
      </c>
      <c r="L262" s="31" t="n">
        <v>28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62.74</v>
      </c>
      <c r="P262" s="32" t="n">
        <v>26.56</v>
      </c>
      <c r="Q262" s="32" t="n">
        <v>543.04</v>
      </c>
      <c r="R262" s="31" t="inlineStr">
        <is>
          <t>Earnings / Momentum Support</t>
        </is>
      </c>
      <c r="S262" s="31" t="inlineStr">
        <is>
          <t>Nifty 50</t>
        </is>
      </c>
      <c r="T262" s="32" t="n">
        <v>-4.47</v>
      </c>
      <c r="U262" s="32" t="n">
        <v>0.68</v>
      </c>
      <c r="V262" s="32" t="n">
        <v>5.4</v>
      </c>
      <c r="W262" s="32" t="n">
        <v>8.09</v>
      </c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No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20 to 40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Yes</t>
        </is>
      </c>
      <c r="BS262" s="31">
        <f>IF(BR262="NO",5,0)</f>
        <v/>
      </c>
      <c r="BT262" s="31" t="inlineStr">
        <is>
          <t>Less than 1.5</t>
        </is>
      </c>
      <c r="BU262" s="31">
        <f>IF(BT262="Above 2",0,IF(BT262="Between 1.5 to 2",5,IF(BT262="Less than 1.5",10,0)))</f>
        <v/>
      </c>
      <c r="BV262" s="31" t="inlineStr">
        <is>
          <t>Negative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Between 0.7 to 1.2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IF(B263=0,"",RANK(B263,$B$2:$B$343,0))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3" t="inlineStr">
        <is>
          <t>VSSL</t>
        </is>
      </c>
      <c r="D263" s="33" t="inlineStr">
        <is>
          <t>Vardhman Special Steels Limited</t>
        </is>
      </c>
      <c r="E263" s="31" t="inlineStr">
        <is>
          <t>metals &amp; mining</t>
        </is>
      </c>
      <c r="F263" s="31" t="inlineStr">
        <is>
          <t>steel - medium / small</t>
        </is>
      </c>
      <c r="G263" s="31" t="inlineStr">
        <is>
          <t>smallcap</t>
        </is>
      </c>
      <c r="H263" s="32" t="n">
        <v>2752.16</v>
      </c>
      <c r="I263" s="32" t="n">
        <v>283.9</v>
      </c>
      <c r="J263" s="32" t="n">
        <v>-0.26</v>
      </c>
      <c r="K263" s="32" t="n">
        <v>37847</v>
      </c>
      <c r="L263" s="31" t="n">
        <v>29</v>
      </c>
      <c r="M263" s="31" t="inlineStr">
        <is>
          <t>Underperforming</t>
        </is>
      </c>
      <c r="N263" s="32">
        <f>IF(M263="Underperforming",-5,IF(L263&gt;=95,15,IF(L263&gt;=90,10,IF(L263&gt;=80,5,0))))</f>
        <v/>
      </c>
      <c r="O263" s="32" t="n">
        <v>59.1</v>
      </c>
      <c r="P263" s="32" t="n">
        <v>21.22</v>
      </c>
      <c r="Q263" s="32" t="n">
        <v>223.57</v>
      </c>
      <c r="R263" s="31" t="inlineStr">
        <is>
          <t>Earnings / Momentum Support</t>
        </is>
      </c>
      <c r="S263" s="31" t="inlineStr">
        <is>
          <t>Nifty Metal</t>
        </is>
      </c>
      <c r="T263" s="32" t="n">
        <v>40.96</v>
      </c>
      <c r="U263" s="32" t="n">
        <v>14.18</v>
      </c>
      <c r="V263" s="32" t="n">
        <v>-19</v>
      </c>
      <c r="W263" s="32" t="n">
        <v>8.15</v>
      </c>
      <c r="X263" s="31" t="inlineStr">
        <is>
          <t>Cyclical in an Upturn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Cyclical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Volatile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No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20 to 40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No</t>
        </is>
      </c>
      <c r="BS263" s="31">
        <f>IF(BR263="NO",5,0)</f>
        <v/>
      </c>
      <c r="BT263" s="31" t="inlineStr">
        <is>
          <t>Less than 1.5</t>
        </is>
      </c>
      <c r="BU263" s="31">
        <f>IF(BT263="Above 2",0,IF(BT263="Between 1.5 to 2",5,IF(BT263="Less than 1.5",10,0)))</f>
        <v/>
      </c>
      <c r="BV263" s="31" t="inlineStr">
        <is>
          <t>Between 50% to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IF(B264=0,"",RANK(B264,$B$2:$B$343,0))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3" t="inlineStr">
        <is>
          <t>SSWL</t>
        </is>
      </c>
      <c r="D264" s="33" t="inlineStr">
        <is>
          <t>Steel Strips Wheels Limited</t>
        </is>
      </c>
      <c r="E264" s="31" t="inlineStr">
        <is>
          <t>auto</t>
        </is>
      </c>
      <c r="F264" s="31" t="inlineStr">
        <is>
          <t>auto ancillaries</t>
        </is>
      </c>
      <c r="G264" s="31" t="inlineStr">
        <is>
          <t>smallcap</t>
        </is>
      </c>
      <c r="H264" s="32" t="n">
        <v>3691.23</v>
      </c>
      <c r="I264" s="32" t="n">
        <v>234.03</v>
      </c>
      <c r="J264" s="32" t="n">
        <v>-0.34</v>
      </c>
      <c r="K264" s="32" t="n">
        <v>817525</v>
      </c>
      <c r="L264" s="31" t="n">
        <v>12</v>
      </c>
      <c r="M264" s="31" t="inlineStr">
        <is>
          <t>Underperforming</t>
        </is>
      </c>
      <c r="N264" s="32">
        <f>IF(M264="Underperforming",-5,IF(L264&gt;=95,15,IF(L264&gt;=90,10,IF(L264&gt;=80,5,0))))</f>
        <v/>
      </c>
      <c r="O264" s="32" t="n">
        <v>60.18</v>
      </c>
      <c r="P264" s="32" t="n">
        <v>8.81</v>
      </c>
      <c r="Q264" s="32" t="n">
        <v>178.65</v>
      </c>
      <c r="R264" s="31" t="inlineStr">
        <is>
          <t>Earnings / Momentum Support</t>
        </is>
      </c>
      <c r="S264" s="31" t="inlineStr">
        <is>
          <t>Nifty Auto</t>
        </is>
      </c>
      <c r="T264" s="32" t="n">
        <v>13.57</v>
      </c>
      <c r="U264" s="32" t="n">
        <v>-8.75</v>
      </c>
      <c r="V264" s="32" t="n">
        <v>-19.65</v>
      </c>
      <c r="W264" s="32" t="n">
        <v>4.52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No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0 to 20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Less than 12%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Less than 1.5</t>
        </is>
      </c>
      <c r="BU264" s="31">
        <f>IF(BT264="Above 2",0,IF(BT264="Between 1.5 to 2",5,IF(BT264="Less than 1.5",10,0)))</f>
        <v/>
      </c>
      <c r="BV264" s="31" t="inlineStr">
        <is>
          <t>Between 50% to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IF(B265=0,"",RANK(B265,$B$2:$B$343,0))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VINCOFE</t>
        </is>
      </c>
      <c r="D265" s="31" t="inlineStr">
        <is>
          <t>Vintage Coffee &amp; Beverages Ltd</t>
        </is>
      </c>
      <c r="E265" s="31" t="inlineStr">
        <is>
          <t>consumer discretionary</t>
        </is>
      </c>
      <c r="F265" s="31" t="inlineStr">
        <is>
          <t>trading</t>
        </is>
      </c>
      <c r="G265" s="31" t="inlineStr">
        <is>
          <t>smallcap</t>
        </is>
      </c>
      <c r="H265" s="32" t="n">
        <v>2265.75</v>
      </c>
      <c r="I265" s="32" t="n">
        <v>154.87</v>
      </c>
      <c r="J265" s="32" t="n">
        <v>-0.42</v>
      </c>
      <c r="K265" s="32" t="n">
        <v>1514168</v>
      </c>
      <c r="L265" s="31" t="n">
        <v>37</v>
      </c>
      <c r="M265" s="31" t="inlineStr">
        <is>
          <t>Outperforming</t>
        </is>
      </c>
      <c r="N265" s="32">
        <f>IF(M265="Underperforming",-5,IF(L265&gt;=95,15,IF(L265&gt;=90,10,IF(L265&gt;=80,5,0))))</f>
        <v/>
      </c>
      <c r="O265" s="32" t="n">
        <v>57.44</v>
      </c>
      <c r="P265" s="32" t="n">
        <v>13.94</v>
      </c>
      <c r="Q265" s="32" t="n">
        <v>118.95</v>
      </c>
      <c r="R265" s="31" t="inlineStr">
        <is>
          <t>Earnings / Momentum Support</t>
        </is>
      </c>
      <c r="S265" s="31" t="inlineStr">
        <is>
          <t>Nifty 50</t>
        </is>
      </c>
      <c r="T265" s="32" t="n">
        <v>-4.47</v>
      </c>
      <c r="U265" s="32" t="n">
        <v>29.41</v>
      </c>
      <c r="V265" s="32" t="n">
        <v>35.47</v>
      </c>
      <c r="W265" s="32" t="n">
        <v>9.779999999999999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0 to 20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Between 12 to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No</t>
        </is>
      </c>
      <c r="BS265" s="31">
        <f>IF(BR265="NO",5,0)</f>
        <v/>
      </c>
      <c r="BT265" s="31" t="inlineStr">
        <is>
          <t>Between 1.5 to 2</t>
        </is>
      </c>
      <c r="BU265" s="31">
        <f>IF(BT265="Above 2",0,IF(BT265="Between 1.5 to 2",5,IF(BT265="Less than 1.5",10,0)))</f>
        <v/>
      </c>
      <c r="BV265" s="31" t="inlineStr">
        <is>
          <t>Less than 50%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IF(B266=0,"",RANK(B266,$B$2:$B$343,0))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EICHERMOT</t>
        </is>
      </c>
      <c r="D266" s="31" t="inlineStr">
        <is>
          <t>Eicher Motors Limited</t>
        </is>
      </c>
      <c r="E266" s="31" t="inlineStr">
        <is>
          <t>auto</t>
        </is>
      </c>
      <c r="F266" s="31" t="inlineStr">
        <is>
          <t>automobiles - motorcycles / mopeds</t>
        </is>
      </c>
      <c r="G266" s="31" t="inlineStr">
        <is>
          <t>largecap</t>
        </is>
      </c>
      <c r="H266" s="32" t="n">
        <v>209150.86</v>
      </c>
      <c r="I266" s="32" t="n">
        <v>7560.5</v>
      </c>
      <c r="J266" s="32" t="n">
        <v>-0.84</v>
      </c>
      <c r="K266" s="32" t="n">
        <v>453796</v>
      </c>
      <c r="L266" s="31" t="n">
        <v>35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57.73</v>
      </c>
      <c r="P266" s="32" t="n">
        <v>8.83</v>
      </c>
      <c r="Q266" s="32" t="n">
        <v>6341.28</v>
      </c>
      <c r="R266" s="31" t="inlineStr">
        <is>
          <t>Earnings / Momentum Support</t>
        </is>
      </c>
      <c r="S266" s="31" t="inlineStr">
        <is>
          <t>Nifty Auto</t>
        </is>
      </c>
      <c r="T266" s="32" t="n">
        <v>13.57</v>
      </c>
      <c r="U266" s="32" t="n">
        <v>38.62</v>
      </c>
      <c r="V266" s="32" t="n">
        <v>22.06</v>
      </c>
      <c r="W266" s="32" t="n">
        <v>9.19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0 to 20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Less than 12%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No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IF(B267=0,"",RANK(B267,$B$2:$B$343,0))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3" t="inlineStr">
        <is>
          <t>SUPRAJIT</t>
        </is>
      </c>
      <c r="D267" s="33" t="inlineStr">
        <is>
          <t>Suprajit Engineering Limited</t>
        </is>
      </c>
      <c r="E267" s="31" t="inlineStr">
        <is>
          <t>auto</t>
        </is>
      </c>
      <c r="F267" s="31" t="inlineStr">
        <is>
          <t>auto ancillaries</t>
        </is>
      </c>
      <c r="G267" s="31" t="inlineStr">
        <is>
          <t>midcap</t>
        </is>
      </c>
      <c r="H267" s="32" t="n">
        <v>6424.41</v>
      </c>
      <c r="I267" s="32" t="n">
        <v>461.85</v>
      </c>
      <c r="J267" s="32" t="n">
        <v>-1.39</v>
      </c>
      <c r="K267" s="32" t="n">
        <v>99034</v>
      </c>
      <c r="L267" s="31" t="n">
        <v>11</v>
      </c>
      <c r="M267" s="31" t="inlineStr">
        <is>
          <t>Underperforming</t>
        </is>
      </c>
      <c r="N267" s="32">
        <f>IF(M267="Underperforming",-5,IF(L267&gt;=95,15,IF(L267&gt;=90,10,IF(L267&gt;=80,5,0))))</f>
        <v/>
      </c>
      <c r="O267" s="32" t="n">
        <v>55.18</v>
      </c>
      <c r="P267" s="32" t="n">
        <v>21.72</v>
      </c>
      <c r="Q267" s="32" t="n">
        <v>375.87</v>
      </c>
      <c r="R267" s="31" t="inlineStr">
        <is>
          <t>Earnings / Momentum Support</t>
        </is>
      </c>
      <c r="S267" s="31" t="inlineStr">
        <is>
          <t>Nifty Auto</t>
        </is>
      </c>
      <c r="T267" s="32" t="n">
        <v>13.57</v>
      </c>
      <c r="U267" s="32" t="n">
        <v>4.72</v>
      </c>
      <c r="V267" s="32" t="n">
        <v>-7.79</v>
      </c>
      <c r="W267" s="32" t="n">
        <v>4.31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Headwind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No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20 to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Less than 50%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IF(B268=0,"",RANK(B268,$B$2:$B$343,0))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ACMESOLAR</t>
        </is>
      </c>
      <c r="D268" s="31" t="inlineStr">
        <is>
          <t>ACME Solar Holdings Ltd</t>
        </is>
      </c>
      <c r="E268" s="31" t="inlineStr">
        <is>
          <t>realty</t>
        </is>
      </c>
      <c r="F268" s="31" t="inlineStr">
        <is>
          <t>engineering - turnkey services</t>
        </is>
      </c>
      <c r="G268" s="31" t="inlineStr">
        <is>
          <t>largecap</t>
        </is>
      </c>
      <c r="H268" s="32" t="n">
        <v>24521.08</v>
      </c>
      <c r="I268" s="32" t="n">
        <v>339.65</v>
      </c>
      <c r="J268" s="32" t="n">
        <v>-2.19</v>
      </c>
      <c r="K268" s="32" t="n">
        <v>1181168</v>
      </c>
      <c r="L268" s="31" t="n">
        <v>59</v>
      </c>
      <c r="M268" s="31" t="inlineStr">
        <is>
          <t>Outperforming</t>
        </is>
      </c>
      <c r="N268" s="32">
        <f>IF(M268="Underperforming",-5,IF(L268&gt;=95,15,IF(L268&gt;=90,10,IF(L268&gt;=80,5,0))))</f>
        <v/>
      </c>
      <c r="O268" s="32" t="n">
        <v>65.59999999999999</v>
      </c>
      <c r="P268" s="32" t="n">
        <v>22.84</v>
      </c>
      <c r="Q268" s="32" t="n">
        <v>276.62</v>
      </c>
      <c r="R268" s="31" t="inlineStr">
        <is>
          <t>Near 52W High Breakout</t>
        </is>
      </c>
      <c r="S268" s="31" t="inlineStr">
        <is>
          <t>Nifty Realty</t>
        </is>
      </c>
      <c r="T268" s="32" t="n">
        <v>-19.29</v>
      </c>
      <c r="U268" s="32" t="n">
        <v>37.27</v>
      </c>
      <c r="V268" s="32" t="n">
        <v>70.08</v>
      </c>
      <c r="W268" s="32" t="n">
        <v>15.94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Yes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20 to 40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Blue sky scenario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Less than 12%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Yes</t>
        </is>
      </c>
      <c r="BS268" s="31">
        <f>IF(BR268="NO",5,0)</f>
        <v/>
      </c>
      <c r="BT268" s="31" t="inlineStr">
        <is>
          <t>Above 2</t>
        </is>
      </c>
      <c r="BU268" s="31">
        <f>IF(BT268="Above 2",0,IF(BT268="Between 1.5 to 2",5,IF(BT268="Less than 1.5",10,0)))</f>
        <v/>
      </c>
      <c r="BV268" s="31" t="inlineStr">
        <is>
          <t>Between 50% to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More than 1.2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IF(B269=0,"",RANK(B269,$B$2:$B$343,0))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VERANDA</t>
        </is>
      </c>
      <c r="D269" s="31" t="inlineStr">
        <is>
          <t>Veranda Learning Solutions Ltd</t>
        </is>
      </c>
      <c r="E269" s="31" t="inlineStr">
        <is>
          <t>services</t>
        </is>
      </c>
      <c r="F269" s="31" t="inlineStr">
        <is>
          <t>miscellaneous</t>
        </is>
      </c>
      <c r="G269" s="31" t="inlineStr">
        <is>
          <t>smallcap</t>
        </is>
      </c>
      <c r="H269" s="32" t="n">
        <v>2322.3</v>
      </c>
      <c r="I269" s="32" t="n">
        <v>235.36</v>
      </c>
      <c r="J269" s="32" t="n">
        <v>-2.53</v>
      </c>
      <c r="K269" s="32" t="n">
        <v>361442</v>
      </c>
      <c r="L269" s="31" t="n">
        <v>75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62.63</v>
      </c>
      <c r="P269" s="32" t="n">
        <v>30.41</v>
      </c>
      <c r="Q269" s="32" t="n">
        <v>170.94</v>
      </c>
      <c r="R269" s="31" t="inlineStr">
        <is>
          <t>Earnings / Momentum Support</t>
        </is>
      </c>
      <c r="S269" s="31" t="inlineStr">
        <is>
          <t>Nifty 50</t>
        </is>
      </c>
      <c r="T269" s="32" t="n">
        <v>-4.47</v>
      </c>
      <c r="U269" s="32" t="n">
        <v>18.35</v>
      </c>
      <c r="V269" s="32" t="n">
        <v>23.89</v>
      </c>
      <c r="W269" s="32" t="n">
        <v>22.22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20 to 40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Negative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More than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No</t>
        </is>
      </c>
      <c r="BS269" s="31">
        <f>IF(BR269="NO",5,0)</f>
        <v/>
      </c>
      <c r="BT269" s="31" t="inlineStr">
        <is>
          <t>Less than 1.5</t>
        </is>
      </c>
      <c r="BU269" s="31">
        <f>IF(BT269="Above 2",0,IF(BT269="Between 1.5 to 2",5,IF(BT269="Less than 1.5",10,0)))</f>
        <v/>
      </c>
      <c r="BV269" s="31" t="inlineStr">
        <is>
          <t>Between 50% to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IF(B270=0,"",RANK(B270,$B$2:$B$343,0))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RAMCOSYS</t>
        </is>
      </c>
      <c r="D270" s="31" t="inlineStr">
        <is>
          <t>Ramco Systems Limited</t>
        </is>
      </c>
      <c r="E270" s="31" t="inlineStr">
        <is>
          <t>i.t</t>
        </is>
      </c>
      <c r="F270" s="31" t="inlineStr">
        <is>
          <t>computers - software - medium / small</t>
        </is>
      </c>
      <c r="G270" s="31" t="inlineStr">
        <is>
          <t>smallcap</t>
        </is>
      </c>
      <c r="H270" s="32" t="n">
        <v>2050.73</v>
      </c>
      <c r="I270" s="32" t="n">
        <v>570.95</v>
      </c>
      <c r="J270" s="32" t="n">
        <v>4.16</v>
      </c>
      <c r="K270" s="32" t="n">
        <v>406565</v>
      </c>
      <c r="L270" s="31" t="n">
        <v>72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62</v>
      </c>
      <c r="P270" s="32" t="n">
        <v>16.94</v>
      </c>
      <c r="Q270" s="32" t="n">
        <v>395.76</v>
      </c>
      <c r="R270" s="31" t="inlineStr">
        <is>
          <t>Earnings / Momentum Support</t>
        </is>
      </c>
      <c r="S270" s="31" t="inlineStr">
        <is>
          <t>Nifty IT</t>
        </is>
      </c>
      <c r="T270" s="32" t="n">
        <v>-26.73</v>
      </c>
      <c r="U270" s="32" t="n">
        <v>48.55</v>
      </c>
      <c r="V270" s="32" t="n">
        <v>102.75</v>
      </c>
      <c r="W270" s="32" t="n">
        <v>21.05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Headwind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Annuity, Lower One Time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0 to 20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Yes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IF(B271=0,"",RANK(B271,$B$2:$B$343,0))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ONEPOINT</t>
        </is>
      </c>
      <c r="D271" s="31" t="inlineStr">
        <is>
          <t>One Point One Solutions Ltd</t>
        </is>
      </c>
      <c r="E271" s="31" t="inlineStr">
        <is>
          <t>i.t</t>
        </is>
      </c>
      <c r="F271" s="31" t="inlineStr">
        <is>
          <t>computers - software - medium / small</t>
        </is>
      </c>
      <c r="G271" s="31" t="inlineStr">
        <is>
          <t>smallcap</t>
        </is>
      </c>
      <c r="H271" s="32" t="n">
        <v>1553.17</v>
      </c>
      <c r="I271" s="32" t="n">
        <v>59.84</v>
      </c>
      <c r="J271" s="32" t="n">
        <v>1.3</v>
      </c>
      <c r="K271" s="32" t="n">
        <v>1351160</v>
      </c>
      <c r="L271" s="31" t="n">
        <v>41</v>
      </c>
      <c r="M271" s="31" t="inlineStr">
        <is>
          <t>Outperforming</t>
        </is>
      </c>
      <c r="N271" s="32">
        <f>IF(M271="Underperforming",-5,IF(L271&gt;=95,15,IF(L271&gt;=90,10,IF(L271&gt;=80,5,0))))</f>
        <v/>
      </c>
      <c r="O271" s="32" t="n">
        <v>59.46</v>
      </c>
      <c r="P271" s="32" t="n">
        <v>25.27</v>
      </c>
      <c r="Q271" s="32" t="n">
        <v>46.76</v>
      </c>
      <c r="R271" s="31" t="inlineStr">
        <is>
          <t>Near 52W High Breakout</t>
        </is>
      </c>
      <c r="S271" s="31" t="inlineStr">
        <is>
          <t>Nifty IT</t>
        </is>
      </c>
      <c r="T271" s="32" t="n">
        <v>-26.73</v>
      </c>
      <c r="U271" s="32" t="n">
        <v>11.98</v>
      </c>
      <c r="V271" s="32" t="n">
        <v>52.83</v>
      </c>
      <c r="W271" s="32" t="n">
        <v>10.94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Yes</t>
        </is>
      </c>
      <c r="AQ271" s="31">
        <f>IF(AP271="Yes",10,0)</f>
        <v/>
      </c>
      <c r="AR271" s="31" t="inlineStr">
        <is>
          <t>Higher Annuity, Lower One Time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20 to 40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Negative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Between 12 to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IF(B272=0,"",RANK(B272,$B$2:$B$343,0))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KIMS</t>
        </is>
      </c>
      <c r="D272" s="31" t="inlineStr">
        <is>
          <t>Krishna Institute of Medical Sciences Ltd</t>
        </is>
      </c>
      <c r="E272" s="31" t="inlineStr">
        <is>
          <t>healthcare</t>
        </is>
      </c>
      <c r="F272" s="31" t="inlineStr">
        <is>
          <t>healthcare</t>
        </is>
      </c>
      <c r="G272" s="31" t="inlineStr">
        <is>
          <t>largecap</t>
        </is>
      </c>
      <c r="H272" s="32" t="n">
        <v>30804.7</v>
      </c>
      <c r="I272" s="32" t="n">
        <v>778.65</v>
      </c>
      <c r="J272" s="32" t="n">
        <v>1.14</v>
      </c>
      <c r="K272" s="32" t="n">
        <v>551283</v>
      </c>
      <c r="L272" s="31" t="n">
        <v>34</v>
      </c>
      <c r="M272" s="31" t="inlineStr">
        <is>
          <t>Outperforming</t>
        </is>
      </c>
      <c r="N272" s="32">
        <f>IF(M272="Underperforming",-5,IF(L272&gt;=95,15,IF(L272&gt;=90,10,IF(L272&gt;=80,5,0))))</f>
        <v/>
      </c>
      <c r="O272" s="32" t="n">
        <v>62.74</v>
      </c>
      <c r="P272" s="32" t="n">
        <v>23.36</v>
      </c>
      <c r="Q272" s="32" t="n">
        <v>633.83</v>
      </c>
      <c r="R272" s="31" t="inlineStr">
        <is>
          <t>Near 52W High Breakout</t>
        </is>
      </c>
      <c r="S272" s="31" t="inlineStr">
        <is>
          <t>Nifty Pharma</t>
        </is>
      </c>
      <c r="T272" s="32" t="n">
        <v>11.77</v>
      </c>
      <c r="U272" s="32" t="n">
        <v>23.1</v>
      </c>
      <c r="V272" s="32" t="n">
        <v>10.13</v>
      </c>
      <c r="W272" s="32" t="n">
        <v>9.18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Yes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Yes</t>
        </is>
      </c>
      <c r="AQ272" s="31">
        <f>IF(AP272="Yes",10,0)</f>
        <v/>
      </c>
      <c r="AR272" s="31" t="inlineStr">
        <is>
          <t>Higher Annuity, Lower One Time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Blue sky scenario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Less than 12%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Between 50% to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More than 1.2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IF(B273=0,"",RANK(B273,$B$2:$B$343,0))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3" t="inlineStr">
        <is>
          <t>VARROC</t>
        </is>
      </c>
      <c r="D273" s="33" t="inlineStr">
        <is>
          <t>Varroc Engineering Ltd</t>
        </is>
      </c>
      <c r="E273" s="31" t="inlineStr">
        <is>
          <t>auto</t>
        </is>
      </c>
      <c r="F273" s="31" t="inlineStr">
        <is>
          <t>auto ancillaries</t>
        </is>
      </c>
      <c r="G273" s="31" t="inlineStr">
        <is>
          <t>midcap</t>
        </is>
      </c>
      <c r="H273" s="32" t="n">
        <v>8907.450000000001</v>
      </c>
      <c r="I273" s="32" t="n">
        <v>623</v>
      </c>
      <c r="J273" s="32" t="n">
        <v>6.86</v>
      </c>
      <c r="K273" s="32" t="n">
        <v>514632</v>
      </c>
      <c r="L273" s="31" t="n">
        <v>30</v>
      </c>
      <c r="M273" s="31" t="inlineStr">
        <is>
          <t>Underperforming</t>
        </is>
      </c>
      <c r="N273" s="32">
        <f>IF(M273="Underperforming",-5,IF(L273&gt;=95,15,IF(L273&gt;=90,10,IF(L273&gt;=80,5,0))))</f>
        <v/>
      </c>
      <c r="O273" s="32" t="n">
        <v>63.36</v>
      </c>
      <c r="P273" s="32" t="n">
        <v>15</v>
      </c>
      <c r="Q273" s="32" t="n">
        <v>498.51</v>
      </c>
      <c r="R273" s="31" t="inlineStr">
        <is>
          <t>Earnings / Momentum Support</t>
        </is>
      </c>
      <c r="S273" s="31" t="inlineStr">
        <is>
          <t>Nifty Auto</t>
        </is>
      </c>
      <c r="T273" s="32" t="n">
        <v>13.57</v>
      </c>
      <c r="U273" s="32" t="n">
        <v>10.68</v>
      </c>
      <c r="V273" s="32" t="n">
        <v>-2.54</v>
      </c>
      <c r="W273" s="32" t="n">
        <v>8.27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0 to 20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Yes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Between 50% to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IF(B274=0,"",RANK(B274,$B$2:$B$343,0))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DEEDEV</t>
        </is>
      </c>
      <c r="D274" s="31" t="inlineStr">
        <is>
          <t>DEE Development Engineers Ltd</t>
        </is>
      </c>
      <c r="E274" s="31" t="inlineStr">
        <is>
          <t>metals &amp; mining</t>
        </is>
      </c>
      <c r="F274" s="31" t="inlineStr">
        <is>
          <t>steel - medium / small</t>
        </is>
      </c>
      <c r="G274" s="31" t="inlineStr">
        <is>
          <t>smallcap</t>
        </is>
      </c>
      <c r="H274" s="32" t="n">
        <v>4775.71</v>
      </c>
      <c r="I274" s="32" t="n">
        <v>723.95</v>
      </c>
      <c r="J274" s="32" t="n">
        <v>5</v>
      </c>
      <c r="K274" s="32" t="n">
        <v>209829</v>
      </c>
      <c r="L274" s="31" t="n">
        <v>98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86.72</v>
      </c>
      <c r="P274" s="32" t="n">
        <v>62.09</v>
      </c>
      <c r="Q274" s="32" t="n">
        <v>561.5599999999999</v>
      </c>
      <c r="R274" s="31" t="inlineStr">
        <is>
          <t>Near 52W High Breakout</t>
        </is>
      </c>
      <c r="S274" s="31" t="inlineStr">
        <is>
          <t>Nifty Metal</t>
        </is>
      </c>
      <c r="T274" s="32" t="n">
        <v>40.96</v>
      </c>
      <c r="U274" s="32" t="n">
        <v>133.76</v>
      </c>
      <c r="V274" s="32" t="n">
        <v>65.84</v>
      </c>
      <c r="W274" s="32" t="n">
        <v>66.67</v>
      </c>
      <c r="X274" s="31" t="inlineStr">
        <is>
          <t>Cyclical in an Upturn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Cyclical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Volatile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Yes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Above 40</t>
        </is>
      </c>
      <c r="AY274" s="31">
        <f>IF(AX274="Above 40",20,IF(AX274="20 to 40",10,IF(AX274="0 to 20",-5,0)))</f>
        <v/>
      </c>
      <c r="AZ274" s="31" t="inlineStr">
        <is>
          <t>Above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Blue sky scenario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Less than 12%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Yes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Less than 50%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Between 0.7 to 1.2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IF(B275=0,"",RANK(B275,$B$2:$B$343,0))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3" t="inlineStr">
        <is>
          <t>SUZLON</t>
        </is>
      </c>
      <c r="D275" s="33" t="inlineStr">
        <is>
          <t>Suzlon Energy Limited</t>
        </is>
      </c>
      <c r="E275" s="31" t="inlineStr">
        <is>
          <t>industrials</t>
        </is>
      </c>
      <c r="F275" s="31" t="inlineStr">
        <is>
          <t>electric equipment</t>
        </is>
      </c>
      <c r="G275" s="31" t="inlineStr">
        <is>
          <t>largecap</t>
        </is>
      </c>
      <c r="H275" s="32" t="n">
        <v>76212.49000000001</v>
      </c>
      <c r="I275" s="32" t="n">
        <v>57.92</v>
      </c>
      <c r="J275" s="32" t="n">
        <v>4.23</v>
      </c>
      <c r="K275" s="32" t="n">
        <v>292441954</v>
      </c>
      <c r="L275" s="31" t="n">
        <v>26</v>
      </c>
      <c r="M275" s="31" t="inlineStr">
        <is>
          <t>Underperforming</t>
        </is>
      </c>
      <c r="N275" s="32">
        <f>IF(M275="Underperforming",-5,IF(L275&gt;=95,15,IF(L275&gt;=90,10,IF(L275&gt;=80,5,0))))</f>
        <v/>
      </c>
      <c r="O275" s="32" t="n">
        <v>62.39</v>
      </c>
      <c r="P275" s="32" t="n">
        <v>26.94</v>
      </c>
      <c r="Q275" s="32" t="n">
        <v>46.07</v>
      </c>
      <c r="R275" s="31" t="inlineStr">
        <is>
          <t>Earnings / Momentum Support</t>
        </is>
      </c>
      <c r="S275" s="31" t="inlineStr">
        <is>
          <t>Nifty 50</t>
        </is>
      </c>
      <c r="T275" s="32" t="n">
        <v>-4.47</v>
      </c>
      <c r="U275" s="32" t="n">
        <v>-8.4</v>
      </c>
      <c r="V275" s="32" t="n">
        <v>-4.11</v>
      </c>
      <c r="W275" s="32" t="n">
        <v>7.7</v>
      </c>
      <c r="X275" s="31" t="inlineStr">
        <is>
          <t>Cyclical in an Upturn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20 to 40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Less than 12%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No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Less than 50%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IF(B276=0,"",RANK(B276,$B$2:$B$343,0))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TITAGARH</t>
        </is>
      </c>
      <c r="D276" s="31" t="inlineStr">
        <is>
          <t>Titagarh Rail Systems Ltd</t>
        </is>
      </c>
      <c r="E276" s="31" t="inlineStr">
        <is>
          <t>industrials</t>
        </is>
      </c>
      <c r="F276" s="31" t="inlineStr">
        <is>
          <t>engineering</t>
        </is>
      </c>
      <c r="G276" s="31" t="inlineStr">
        <is>
          <t>midcap</t>
        </is>
      </c>
      <c r="H276" s="32" t="n">
        <v>11585.98</v>
      </c>
      <c r="I276" s="32" t="n">
        <v>894.45</v>
      </c>
      <c r="J276" s="32" t="n">
        <v>3.97</v>
      </c>
      <c r="K276" s="32" t="n">
        <v>1740176</v>
      </c>
      <c r="L276" s="31" t="n">
        <v>42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62.44</v>
      </c>
      <c r="P276" s="32" t="n">
        <v>21.7</v>
      </c>
      <c r="Q276" s="32" t="n">
        <v>697.02</v>
      </c>
      <c r="R276" s="31" t="inlineStr">
        <is>
          <t>Earnings / Momentum Support</t>
        </is>
      </c>
      <c r="S276" s="31" t="inlineStr">
        <is>
          <t>Nifty 50</t>
        </is>
      </c>
      <c r="T276" s="32" t="n">
        <v>-4.47</v>
      </c>
      <c r="U276" s="32" t="n">
        <v>3.41</v>
      </c>
      <c r="V276" s="32" t="n">
        <v>8.26</v>
      </c>
      <c r="W276" s="32" t="n">
        <v>11.6</v>
      </c>
      <c r="X276" s="31" t="inlineStr">
        <is>
          <t>Cyclical in an Upturn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Headwind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20 to 40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Less than 12%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Yes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IF(B277=0,"",RANK(B277,$B$2:$B$343,0))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LOKESHMACH</t>
        </is>
      </c>
      <c r="D277" s="31" t="inlineStr">
        <is>
          <t>Lokesh Machines Limited</t>
        </is>
      </c>
      <c r="E277" s="31" t="inlineStr">
        <is>
          <t>industrials</t>
        </is>
      </c>
      <c r="F277" s="31" t="inlineStr">
        <is>
          <t>engineering</t>
        </is>
      </c>
      <c r="G277" s="31" t="inlineStr">
        <is>
          <t>smallcap</t>
        </is>
      </c>
      <c r="H277" s="32" t="n">
        <v>572.67</v>
      </c>
      <c r="I277" s="32" t="n">
        <v>275.45</v>
      </c>
      <c r="J277" s="32" t="n">
        <v>2.44</v>
      </c>
      <c r="K277" s="32" t="n">
        <v>28008</v>
      </c>
      <c r="L277" s="31" t="n">
        <v>69</v>
      </c>
      <c r="M277" s="31" t="inlineStr">
        <is>
          <t>Outperforming</t>
        </is>
      </c>
      <c r="N277" s="32">
        <f>IF(M277="Underperforming",-5,IF(L277&gt;=95,15,IF(L277&gt;=90,10,IF(L277&gt;=80,5,0))))</f>
        <v/>
      </c>
      <c r="O277" s="32" t="n">
        <v>64.62</v>
      </c>
      <c r="P277" s="32" t="n">
        <v>38.39</v>
      </c>
      <c r="Q277" s="32" t="n">
        <v>195.63</v>
      </c>
      <c r="R277" s="31" t="inlineStr">
        <is>
          <t>Near 52W High Breakout</t>
        </is>
      </c>
      <c r="S277" s="31" t="inlineStr">
        <is>
          <t>Nifty 50</t>
        </is>
      </c>
      <c r="T277" s="32" t="n">
        <v>-4.47</v>
      </c>
      <c r="U277" s="32" t="n">
        <v>65.63</v>
      </c>
      <c r="V277" s="32" t="n">
        <v>73.39</v>
      </c>
      <c r="W277" s="32" t="n">
        <v>19.49</v>
      </c>
      <c r="X277" s="31" t="inlineStr">
        <is>
          <t>Cyclical in an Upturn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Yes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20 to 40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Yes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Negative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Between 0.7 to 1.2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IF(B278=0,"",RANK(B278,$B$2:$B$343,0))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3" t="inlineStr">
        <is>
          <t>SETL</t>
        </is>
      </c>
      <c r="D278" s="33" t="inlineStr">
        <is>
          <t>Standard Enginnering Technology Ltd</t>
        </is>
      </c>
      <c r="E278" s="31" t="inlineStr">
        <is>
          <t>industrials</t>
        </is>
      </c>
      <c r="F278" s="31" t="inlineStr">
        <is>
          <t>engineering</t>
        </is>
      </c>
      <c r="G278" s="31" t="inlineStr">
        <is>
          <t>smallcap</t>
        </is>
      </c>
      <c r="H278" s="32" t="n">
        <v>3370.21</v>
      </c>
      <c r="I278" s="32" t="n">
        <v>171.99</v>
      </c>
      <c r="J278" s="32" t="n">
        <v>1.81</v>
      </c>
      <c r="K278" s="32" t="n">
        <v>1000756</v>
      </c>
      <c r="L278" s="31" t="n">
        <v>48</v>
      </c>
      <c r="M278" s="31" t="inlineStr">
        <is>
          <t>Underperforming</t>
        </is>
      </c>
      <c r="N278" s="32">
        <f>IF(M278="Underperforming",-5,IF(L278&gt;=95,15,IF(L278&gt;=90,10,IF(L278&gt;=80,5,0))))</f>
        <v/>
      </c>
      <c r="O278" s="32" t="n">
        <v>66.79000000000001</v>
      </c>
      <c r="P278" s="32" t="n">
        <v>14.82</v>
      </c>
      <c r="Q278" s="32" t="n">
        <v>129.1</v>
      </c>
      <c r="R278" s="31" t="inlineStr">
        <is>
          <t>Earnings / Momentum Support</t>
        </is>
      </c>
      <c r="S278" s="31" t="inlineStr">
        <is>
          <t>Nifty Infra</t>
        </is>
      </c>
      <c r="T278" s="32" t="n">
        <v>3.24</v>
      </c>
      <c r="U278" s="32" t="n">
        <v>1.44</v>
      </c>
      <c r="V278" s="32" t="n">
        <v>-1.75</v>
      </c>
      <c r="W278" s="32" t="n">
        <v>12.84</v>
      </c>
      <c r="X278" s="31" t="inlineStr">
        <is>
          <t>Cyclical in an Upturn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No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0 to 20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Yes</t>
        </is>
      </c>
      <c r="BS278" s="31">
        <f>IF(BR278="NO",5,0)</f>
        <v/>
      </c>
      <c r="BT278" s="31" t="inlineStr">
        <is>
          <t>Less than 1.5</t>
        </is>
      </c>
      <c r="BU278" s="31">
        <f>IF(BT278="Above 2",0,IF(BT278="Between 1.5 to 2",5,IF(BT278="Less than 1.5",10,0)))</f>
        <v/>
      </c>
      <c r="BV278" s="31" t="inlineStr">
        <is>
          <t>Less than 50%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IF(B279=0,"",RANK(B279,$B$2:$B$343,0))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DEEPAKFERT</t>
        </is>
      </c>
      <c r="D279" s="31" t="inlineStr">
        <is>
          <t>Deepak Fertilizers And Petrochemicals Corporation Limited</t>
        </is>
      </c>
      <c r="E279" s="31" t="inlineStr">
        <is>
          <t>chemicals</t>
        </is>
      </c>
      <c r="F279" s="31" t="inlineStr">
        <is>
          <t>chemicals</t>
        </is>
      </c>
      <c r="G279" s="31" t="inlineStr">
        <is>
          <t>midcap</t>
        </is>
      </c>
      <c r="H279" s="32" t="n">
        <v>19040.45</v>
      </c>
      <c r="I279" s="32" t="n">
        <v>1535</v>
      </c>
      <c r="J279" s="32" t="n">
        <v>1.77</v>
      </c>
      <c r="K279" s="32" t="n">
        <v>413700</v>
      </c>
      <c r="L279" s="31" t="n">
        <v>67</v>
      </c>
      <c r="M279" s="31" t="inlineStr">
        <is>
          <t>Outperforming</t>
        </is>
      </c>
      <c r="N279" s="32">
        <f>IF(M279="Underperforming",-5,IF(L279&gt;=95,15,IF(L279&gt;=90,10,IF(L279&gt;=80,5,0))))</f>
        <v/>
      </c>
      <c r="O279" s="32" t="n">
        <v>67.58</v>
      </c>
      <c r="P279" s="32" t="n">
        <v>32.11</v>
      </c>
      <c r="Q279" s="32" t="n">
        <v>1189.88</v>
      </c>
      <c r="R279" s="31" t="inlineStr">
        <is>
          <t>Earnings / Momentum Support</t>
        </is>
      </c>
      <c r="S279" s="31" t="inlineStr">
        <is>
          <t>Nifty 50</t>
        </is>
      </c>
      <c r="T279" s="32" t="n">
        <v>-4.47</v>
      </c>
      <c r="U279" s="32" t="n">
        <v>0.76</v>
      </c>
      <c r="V279" s="32" t="n">
        <v>5.48</v>
      </c>
      <c r="W279" s="32" t="n">
        <v>18.33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No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20 to 40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Less than 12%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No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Less than 50%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Between 0.7 to 1.2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IF(B280=0,"",RANK(B280,$B$2:$B$343,0))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3" t="inlineStr">
        <is>
          <t>ELECTHERM</t>
        </is>
      </c>
      <c r="D280" s="33" t="inlineStr">
        <is>
          <t>Electrotherm (india) Limited</t>
        </is>
      </c>
      <c r="E280" s="31" t="inlineStr">
        <is>
          <t>metals &amp; mining</t>
        </is>
      </c>
      <c r="F280" s="31" t="inlineStr">
        <is>
          <t>steel - medium / small</t>
        </is>
      </c>
      <c r="G280" s="31" t="inlineStr">
        <is>
          <t>smallcap</t>
        </is>
      </c>
      <c r="H280" s="32" t="n">
        <v>1430.06</v>
      </c>
      <c r="I280" s="32" t="n">
        <v>1141.5</v>
      </c>
      <c r="J280" s="32" t="n">
        <v>1.72</v>
      </c>
      <c r="K280" s="32" t="n">
        <v>103620</v>
      </c>
      <c r="L280" s="31" t="n">
        <v>68</v>
      </c>
      <c r="M280" s="31" t="inlineStr">
        <is>
          <t>Underperforming</t>
        </is>
      </c>
      <c r="N280" s="32">
        <f>IF(M280="Underperforming",-5,IF(L280&gt;=95,15,IF(L280&gt;=90,10,IF(L280&gt;=80,5,0))))</f>
        <v/>
      </c>
      <c r="O280" s="32" t="n">
        <v>66.48</v>
      </c>
      <c r="P280" s="32" t="n">
        <v>28.46</v>
      </c>
      <c r="Q280" s="32" t="n">
        <v>773.11</v>
      </c>
      <c r="R280" s="31" t="inlineStr">
        <is>
          <t>Earnings / Momentum Support</t>
        </is>
      </c>
      <c r="S280" s="31" t="inlineStr">
        <is>
          <t>Nifty Metal</t>
        </is>
      </c>
      <c r="T280" s="32" t="n">
        <v>40.96</v>
      </c>
      <c r="U280" s="32" t="n">
        <v>-5.32</v>
      </c>
      <c r="V280" s="32" t="n">
        <v>-32.83</v>
      </c>
      <c r="W280" s="32" t="n">
        <v>18.64</v>
      </c>
      <c r="X280" s="31" t="inlineStr">
        <is>
          <t>Cyclical in an Upturn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Cyclical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Volatile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20 to 40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Less than 12%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Less than 1.5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IF(B281=0,"",RANK(B281,$B$2:$B$343,0))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1" t="inlineStr">
        <is>
          <t>TITAN</t>
        </is>
      </c>
      <c r="D281" s="31" t="inlineStr">
        <is>
          <t>Titan Company Limited</t>
        </is>
      </c>
      <c r="E281" s="31" t="inlineStr">
        <is>
          <t>consumer discretionary</t>
        </is>
      </c>
      <c r="F281" s="31" t="inlineStr">
        <is>
          <t>diamond cutting / jewellery</t>
        </is>
      </c>
      <c r="G281" s="31" t="inlineStr">
        <is>
          <t>largecap</t>
        </is>
      </c>
      <c r="H281" s="32" t="n">
        <v>380283.2</v>
      </c>
      <c r="I281" s="32" t="n">
        <v>4338</v>
      </c>
      <c r="J281" s="32" t="n">
        <v>1.27</v>
      </c>
      <c r="K281" s="32" t="n">
        <v>779706</v>
      </c>
      <c r="L281" s="31" t="n">
        <v>18</v>
      </c>
      <c r="M281" s="31" t="inlineStr">
        <is>
          <t>Outperforming</t>
        </is>
      </c>
      <c r="N281" s="32">
        <f>IF(M281="Underperforming",-5,IF(L281&gt;=95,15,IF(L281&gt;=90,10,IF(L281&gt;=80,5,0))))</f>
        <v/>
      </c>
      <c r="O281" s="32" t="n">
        <v>56.4</v>
      </c>
      <c r="P281" s="32" t="n">
        <v>11.74</v>
      </c>
      <c r="Q281" s="32" t="n">
        <v>3853.85</v>
      </c>
      <c r="R281" s="31" t="inlineStr">
        <is>
          <t>Near 52W High Breakout</t>
        </is>
      </c>
      <c r="S281" s="31" t="inlineStr">
        <is>
          <t>Nifty 50</t>
        </is>
      </c>
      <c r="T281" s="32" t="n">
        <v>-4.47</v>
      </c>
      <c r="U281" s="32" t="n">
        <v>23.64</v>
      </c>
      <c r="V281" s="32" t="n">
        <v>29.43</v>
      </c>
      <c r="W281" s="32" t="n">
        <v>5.59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Yes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0 to 20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Blue sky scenario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More than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Between 50% to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More than 1.2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IF(B282=0,"",RANK(B282,$B$2:$B$343,0))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3" t="inlineStr">
        <is>
          <t>TIINDIA</t>
        </is>
      </c>
      <c r="D282" s="33" t="inlineStr">
        <is>
          <t>Tube Investments of India Ltd</t>
        </is>
      </c>
      <c r="E282" s="31" t="inlineStr">
        <is>
          <t>industrials</t>
        </is>
      </c>
      <c r="F282" s="31" t="inlineStr">
        <is>
          <t>steel - large</t>
        </is>
      </c>
      <c r="G282" s="31" t="inlineStr">
        <is>
          <t>largecap</t>
        </is>
      </c>
      <c r="H282" s="32" t="n">
        <v>62442.09</v>
      </c>
      <c r="I282" s="32" t="n">
        <v>3264.2</v>
      </c>
      <c r="J282" s="32" t="n">
        <v>1.18</v>
      </c>
      <c r="K282" s="32" t="n">
        <v>283227</v>
      </c>
      <c r="L282" s="31" t="n">
        <v>35</v>
      </c>
      <c r="M282" s="31" t="inlineStr">
        <is>
          <t>Underperforming</t>
        </is>
      </c>
      <c r="N282" s="32">
        <f>IF(M282="Underperforming",-5,IF(L282&gt;=95,15,IF(L282&gt;=90,10,IF(L282&gt;=80,5,0))))</f>
        <v/>
      </c>
      <c r="O282" s="32" t="n">
        <v>65.81999999999999</v>
      </c>
      <c r="P282" s="32" t="n">
        <v>19.57</v>
      </c>
      <c r="Q282" s="32" t="n">
        <v>2587.1</v>
      </c>
      <c r="R282" s="31" t="inlineStr">
        <is>
          <t>Near 52W High Breakout</t>
        </is>
      </c>
      <c r="S282" s="31" t="inlineStr">
        <is>
          <t>Nifty Metal</t>
        </is>
      </c>
      <c r="T282" s="32" t="n">
        <v>40.96</v>
      </c>
      <c r="U282" s="32" t="n">
        <v>11.7</v>
      </c>
      <c r="V282" s="32" t="n">
        <v>-20.76</v>
      </c>
      <c r="W282" s="32" t="n">
        <v>9.33</v>
      </c>
      <c r="X282" s="31" t="inlineStr">
        <is>
          <t>Cyclical in an Upturn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Yes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0 to 20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Less than 12%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Yes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IF(B283=0,"",RANK(B283,$B$2:$B$343,0))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3" t="inlineStr">
        <is>
          <t>SWARAJENG</t>
        </is>
      </c>
      <c r="D283" s="33" t="inlineStr">
        <is>
          <t>Swaraj Engines Limited</t>
        </is>
      </c>
      <c r="E283" s="31" t="inlineStr">
        <is>
          <t>industrials</t>
        </is>
      </c>
      <c r="F283" s="31" t="inlineStr">
        <is>
          <t>engines</t>
        </is>
      </c>
      <c r="G283" s="31" t="inlineStr">
        <is>
          <t>smallcap</t>
        </is>
      </c>
      <c r="H283" s="32" t="n">
        <v>4648.54</v>
      </c>
      <c r="I283" s="32" t="n">
        <v>3857</v>
      </c>
      <c r="J283" s="32" t="n">
        <v>0.8100000000000001</v>
      </c>
      <c r="K283" s="32" t="n">
        <v>27497</v>
      </c>
      <c r="L283" s="31" t="n">
        <v>1</v>
      </c>
      <c r="M283" s="31" t="inlineStr">
        <is>
          <t>Underperforming</t>
        </is>
      </c>
      <c r="N283" s="32">
        <f>IF(M283="Underperforming",-5,IF(L283&gt;=95,15,IF(L283&gt;=90,10,IF(L283&gt;=80,5,0))))</f>
        <v/>
      </c>
      <c r="O283" s="32" t="n">
        <v>53.51</v>
      </c>
      <c r="P283" s="32" t="n">
        <v>20.65</v>
      </c>
      <c r="Q283" s="32" t="n">
        <v>3376.58</v>
      </c>
      <c r="R283" s="31" t="inlineStr">
        <is>
          <t>Earnings / Momentum Support</t>
        </is>
      </c>
      <c r="S283" s="31" t="inlineStr">
        <is>
          <t>Nifty Infra</t>
        </is>
      </c>
      <c r="T283" s="32" t="n">
        <v>3.24</v>
      </c>
      <c r="U283" s="32" t="n">
        <v>-4.08</v>
      </c>
      <c r="V283" s="32" t="n">
        <v>-7.1</v>
      </c>
      <c r="W283" s="32" t="n">
        <v>1.38</v>
      </c>
      <c r="X283" s="31" t="inlineStr">
        <is>
          <t>Cyclical in an Upturn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No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20 to 40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1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More than 20%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No</t>
        </is>
      </c>
      <c r="BS283" s="31">
        <f>IF(BR283="NO",5,0)</f>
        <v/>
      </c>
      <c r="BT283" s="31" t="inlineStr">
        <is>
          <t>Less than 1.5</t>
        </is>
      </c>
      <c r="BU283" s="31">
        <f>IF(BT283="Above 2",0,IF(BT283="Between 1.5 to 2",5,IF(BT283="Less than 1.5",10,0)))</f>
        <v/>
      </c>
      <c r="BV283" s="31" t="inlineStr">
        <is>
          <t>Less than 50%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IF(B284=0,"",RANK(B284,$B$2:$B$343,0))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LT</t>
        </is>
      </c>
      <c r="D284" s="31" t="inlineStr">
        <is>
          <t>Larsen &amp; Toubro Limited</t>
        </is>
      </c>
      <c r="E284" s="31" t="inlineStr">
        <is>
          <t>realty</t>
        </is>
      </c>
      <c r="F284" s="31" t="inlineStr">
        <is>
          <t>engineering - turnkey services</t>
        </is>
      </c>
      <c r="G284" s="31" t="inlineStr">
        <is>
          <t>largecap</t>
        </is>
      </c>
      <c r="H284" s="32" t="n">
        <v>573611.11</v>
      </c>
      <c r="I284" s="32" t="n">
        <v>4186.4</v>
      </c>
      <c r="J284" s="32" t="n">
        <v>0.4</v>
      </c>
      <c r="K284" s="32" t="n">
        <v>2647549</v>
      </c>
      <c r="L284" s="31" t="n">
        <v>30</v>
      </c>
      <c r="M284" s="31" t="inlineStr">
        <is>
          <t>Outperforming</t>
        </is>
      </c>
      <c r="N284" s="32">
        <f>IF(M284="Underperforming",-5,IF(L284&gt;=95,15,IF(L284&gt;=90,10,IF(L284&gt;=80,5,0))))</f>
        <v/>
      </c>
      <c r="O284" s="32" t="n">
        <v>59.1</v>
      </c>
      <c r="P284" s="32" t="n">
        <v>9.69</v>
      </c>
      <c r="Q284" s="32" t="n">
        <v>3529.5</v>
      </c>
      <c r="R284" s="31" t="inlineStr">
        <is>
          <t>Near 52W High Breakout</t>
        </is>
      </c>
      <c r="S284" s="31" t="inlineStr">
        <is>
          <t>Nifty Realty</t>
        </is>
      </c>
      <c r="T284" s="32" t="n">
        <v>-19.29</v>
      </c>
      <c r="U284" s="32" t="n">
        <v>15.44</v>
      </c>
      <c r="V284" s="32" t="n">
        <v>43.03</v>
      </c>
      <c r="W284" s="32" t="n">
        <v>8.33</v>
      </c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Yes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0 to 20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Blue sky scenario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Less than 12%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No</t>
        </is>
      </c>
      <c r="BS284" s="31">
        <f>IF(BR284="NO",5,0)</f>
        <v/>
      </c>
      <c r="BT284" s="31" t="inlineStr">
        <is>
          <t>Above 2</t>
        </is>
      </c>
      <c r="BU284" s="31">
        <f>IF(BT284="Above 2",0,IF(BT284="Between 1.5 to 2",5,IF(BT284="Less than 1.5",10,0)))</f>
        <v/>
      </c>
      <c r="BV284" s="31" t="inlineStr">
        <is>
          <t>Less than 50%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Between 0.7 to 1.2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IF(B285=0,"",RANK(B285,$B$2:$B$343,0))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SENCO</t>
        </is>
      </c>
      <c r="D285" s="31" t="inlineStr">
        <is>
          <t>Senco Gold Ltd</t>
        </is>
      </c>
      <c r="E285" s="31" t="inlineStr">
        <is>
          <t>consumer discretionary</t>
        </is>
      </c>
      <c r="F285" s="31" t="inlineStr">
        <is>
          <t>diamond cutting / jewellery</t>
        </is>
      </c>
      <c r="G285" s="31" t="inlineStr">
        <is>
          <t>midcap</t>
        </is>
      </c>
      <c r="H285" s="32" t="n">
        <v>5736.51</v>
      </c>
      <c r="I285" s="32" t="n">
        <v>351.55</v>
      </c>
      <c r="J285" s="32" t="n">
        <v>0.39</v>
      </c>
      <c r="K285" s="32" t="n">
        <v>464408</v>
      </c>
      <c r="L285" s="31" t="n">
        <v>16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55.58</v>
      </c>
      <c r="P285" s="32" t="n">
        <v>20.95</v>
      </c>
      <c r="Q285" s="32" t="n">
        <v>276.15</v>
      </c>
      <c r="R285" s="31" t="inlineStr">
        <is>
          <t>Earnings / Momentum Support</t>
        </is>
      </c>
      <c r="S285" s="31" t="inlineStr">
        <is>
          <t>Nifty 50</t>
        </is>
      </c>
      <c r="T285" s="32" t="n">
        <v>-4.47</v>
      </c>
      <c r="U285" s="32" t="n">
        <v>4.41</v>
      </c>
      <c r="V285" s="32" t="n">
        <v>9.300000000000001</v>
      </c>
      <c r="W285" s="32" t="n">
        <v>5.33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20 to 40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No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Negative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Between 0.7 to 1.2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IF(B286=0,"",RANK(B286,$B$2:$B$343,0))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3" t="inlineStr">
        <is>
          <t>LMW</t>
        </is>
      </c>
      <c r="D286" s="33" t="inlineStr">
        <is>
          <t>LMW Ltd</t>
        </is>
      </c>
      <c r="E286" s="31" t="inlineStr">
        <is>
          <t>industrials</t>
        </is>
      </c>
      <c r="F286" s="31" t="inlineStr">
        <is>
          <t>textile machinery</t>
        </is>
      </c>
      <c r="G286" s="31" t="inlineStr">
        <is>
          <t>midcap</t>
        </is>
      </c>
      <c r="H286" s="32" t="n">
        <v>16907.98</v>
      </c>
      <c r="I286" s="32" t="n">
        <v>15797</v>
      </c>
      <c r="J286" s="32" t="n">
        <v>-0.19</v>
      </c>
      <c r="K286" s="32" t="n">
        <v>4230</v>
      </c>
      <c r="L286" s="31" t="n">
        <v>6</v>
      </c>
      <c r="M286" s="31" t="inlineStr">
        <is>
          <t>Underperforming</t>
        </is>
      </c>
      <c r="N286" s="32">
        <f>IF(M286="Underperforming",-5,IF(L286&gt;=95,15,IF(L286&gt;=90,10,IF(L286&gt;=80,5,0))))</f>
        <v/>
      </c>
      <c r="O286" s="32" t="n">
        <v>58.84</v>
      </c>
      <c r="P286" s="32" t="n">
        <v>18.59</v>
      </c>
      <c r="Q286" s="32" t="n">
        <v>12936.22</v>
      </c>
      <c r="R286" s="31" t="inlineStr">
        <is>
          <t>Earnings / Momentum Support</t>
        </is>
      </c>
      <c r="S286" s="31" t="inlineStr">
        <is>
          <t>Nifty Infra</t>
        </is>
      </c>
      <c r="T286" s="32" t="n">
        <v>3.24</v>
      </c>
      <c r="U286" s="32" t="n">
        <v>-0.24</v>
      </c>
      <c r="V286" s="32" t="n">
        <v>-3.38</v>
      </c>
      <c r="W286" s="32" t="n">
        <v>3.32</v>
      </c>
      <c r="X286" s="31" t="inlineStr">
        <is>
          <t>Cyclical in an Upturn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No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0 to 20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More than 20%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Yes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Less than 0.7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IF(B287=0,"",RANK(B287,$B$2:$B$343,0))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TVSSCS</t>
        </is>
      </c>
      <c r="D287" s="31" t="inlineStr">
        <is>
          <t>TVS Supply Chain Solutions Ltd</t>
        </is>
      </c>
      <c r="E287" s="31" t="inlineStr">
        <is>
          <t>transportation</t>
        </is>
      </c>
      <c r="F287" s="31" t="inlineStr">
        <is>
          <t>miscellaneous</t>
        </is>
      </c>
      <c r="G287" s="31" t="inlineStr">
        <is>
          <t>midcap</t>
        </is>
      </c>
      <c r="H287" s="32" t="n">
        <v>5938.28</v>
      </c>
      <c r="I287" s="32" t="n">
        <v>134.1</v>
      </c>
      <c r="J287" s="32" t="n">
        <v>-0.37</v>
      </c>
      <c r="K287" s="32" t="n">
        <v>957419</v>
      </c>
      <c r="L287" s="31" t="n">
        <v>31</v>
      </c>
      <c r="M287" s="31" t="inlineStr">
        <is>
          <t>Outperforming</t>
        </is>
      </c>
      <c r="N287" s="32">
        <f>IF(M287="Underperforming",-5,IF(L287&gt;=95,15,IF(L287&gt;=90,10,IF(L287&gt;=80,5,0))))</f>
        <v/>
      </c>
      <c r="O287" s="32" t="n">
        <v>60.22</v>
      </c>
      <c r="P287" s="32" t="n">
        <v>12.03</v>
      </c>
      <c r="Q287" s="32" t="n">
        <v>100.68</v>
      </c>
      <c r="R287" s="31" t="inlineStr">
        <is>
          <t>Near 52W High Breakout</t>
        </is>
      </c>
      <c r="S287" s="31" t="inlineStr">
        <is>
          <t>Nifty 50</t>
        </is>
      </c>
      <c r="T287" s="32" t="n">
        <v>-4.47</v>
      </c>
      <c r="U287" s="32" t="n">
        <v>2.18</v>
      </c>
      <c r="V287" s="32" t="n">
        <v>6.96</v>
      </c>
      <c r="W287" s="32" t="n">
        <v>8.49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Yes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0 to 20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More than 20%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Yes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More than 1.2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IF(B288=0,"",RANK(B288,$B$2:$B$343,0))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3" t="inlineStr">
        <is>
          <t>IMPAL</t>
        </is>
      </c>
      <c r="D288" s="33" t="inlineStr">
        <is>
          <t>India Motor Parts And Accessories Limited</t>
        </is>
      </c>
      <c r="E288" s="31" t="inlineStr">
        <is>
          <t>auto</t>
        </is>
      </c>
      <c r="F288" s="31" t="inlineStr">
        <is>
          <t>auto ancillaries</t>
        </is>
      </c>
      <c r="G288" s="31" t="inlineStr">
        <is>
          <t>smallcap</t>
        </is>
      </c>
      <c r="H288" s="32" t="n">
        <v>1366.06</v>
      </c>
      <c r="I288" s="32" t="n">
        <v>1085.2</v>
      </c>
      <c r="J288" s="32" t="n">
        <v>-0.86</v>
      </c>
      <c r="K288" s="32" t="n">
        <v>1423</v>
      </c>
      <c r="L288" s="31" t="n">
        <v>5</v>
      </c>
      <c r="M288" s="31" t="inlineStr">
        <is>
          <t>Underperforming</t>
        </is>
      </c>
      <c r="N288" s="32">
        <f>IF(M288="Underperforming",-5,IF(L288&gt;=95,15,IF(L288&gt;=90,10,IF(L288&gt;=80,5,0))))</f>
        <v/>
      </c>
      <c r="O288" s="32" t="n">
        <v>57.66</v>
      </c>
      <c r="P288" s="32" t="n">
        <v>16.49</v>
      </c>
      <c r="Q288" s="32" t="n">
        <v>929.46</v>
      </c>
      <c r="R288" s="31" t="inlineStr">
        <is>
          <t>Near 52W High Breakout</t>
        </is>
      </c>
      <c r="S288" s="31" t="inlineStr">
        <is>
          <t>Nifty Auto</t>
        </is>
      </c>
      <c r="T288" s="32" t="n">
        <v>13.57</v>
      </c>
      <c r="U288" s="32" t="n">
        <v>5.25</v>
      </c>
      <c r="V288" s="32" t="n">
        <v>-7.33</v>
      </c>
      <c r="W288" s="32" t="n">
        <v>2.93</v>
      </c>
      <c r="X288" s="31" t="inlineStr">
        <is>
          <t>Growing Industry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Yes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0 to 20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Negative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No</t>
        </is>
      </c>
      <c r="BS288" s="31">
        <f>IF(BR288="NO",5,0)</f>
        <v/>
      </c>
      <c r="BT288" s="31" t="inlineStr">
        <is>
          <t>Less than 1.5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IF(B289=0,"",RANK(B289,$B$2:$B$343,0))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TVSSRICHAK</t>
        </is>
      </c>
      <c r="D289" s="31" t="inlineStr">
        <is>
          <t>Tvs Srichakra Limited</t>
        </is>
      </c>
      <c r="E289" s="31" t="inlineStr">
        <is>
          <t>auto</t>
        </is>
      </c>
      <c r="F289" s="31" t="inlineStr">
        <is>
          <t>tyres</t>
        </is>
      </c>
      <c r="G289" s="31" t="inlineStr">
        <is>
          <t>smallcap</t>
        </is>
      </c>
      <c r="H289" s="32" t="n">
        <v>3106.62</v>
      </c>
      <c r="I289" s="32" t="n">
        <v>4016.3</v>
      </c>
      <c r="J289" s="32" t="n">
        <v>-1.01</v>
      </c>
      <c r="K289" s="32" t="n">
        <v>2512</v>
      </c>
      <c r="L289" s="31" t="n">
        <v>38</v>
      </c>
      <c r="M289" s="31" t="inlineStr">
        <is>
          <t>Outperforming</t>
        </is>
      </c>
      <c r="N289" s="32">
        <f>IF(M289="Underperforming",-5,IF(L289&gt;=95,15,IF(L289&gt;=90,10,IF(L289&gt;=80,5,0))))</f>
        <v/>
      </c>
      <c r="O289" s="32" t="n">
        <v>54.7</v>
      </c>
      <c r="P289" s="32" t="n">
        <v>11.47</v>
      </c>
      <c r="Q289" s="32" t="n">
        <v>3098.91</v>
      </c>
      <c r="R289" s="31" t="inlineStr">
        <is>
          <t>Earnings / Momentum Support</t>
        </is>
      </c>
      <c r="S289" s="31" t="inlineStr">
        <is>
          <t>Nifty Auto</t>
        </is>
      </c>
      <c r="T289" s="32" t="n">
        <v>13.57</v>
      </c>
      <c r="U289" s="32" t="n">
        <v>35.85</v>
      </c>
      <c r="V289" s="32" t="n">
        <v>19.63</v>
      </c>
      <c r="W289" s="32" t="n">
        <v>10</v>
      </c>
      <c r="X289" s="31" t="inlineStr">
        <is>
          <t>Growing Industry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Headwind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0 to 20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Yes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IF(B290=0,"",RANK(B290,$B$2:$B$343,0))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1" t="inlineStr">
        <is>
          <t>YASHO</t>
        </is>
      </c>
      <c r="D290" s="31" t="inlineStr">
        <is>
          <t>Yasho Industries Ltd</t>
        </is>
      </c>
      <c r="E290" s="31" t="inlineStr">
        <is>
          <t>chemicals</t>
        </is>
      </c>
      <c r="F290" s="31" t="inlineStr">
        <is>
          <t>chemicals</t>
        </is>
      </c>
      <c r="G290" s="31" t="inlineStr">
        <is>
          <t>smallcap</t>
        </is>
      </c>
      <c r="H290" s="32" t="n">
        <v>3359.59</v>
      </c>
      <c r="I290" s="32" t="n">
        <v>2723.9</v>
      </c>
      <c r="J290" s="32" t="n">
        <v>-2.24</v>
      </c>
      <c r="K290" s="32" t="n">
        <v>36745</v>
      </c>
      <c r="L290" s="31" t="n">
        <v>86</v>
      </c>
      <c r="M290" s="31" t="inlineStr">
        <is>
          <t>Outperforming</t>
        </is>
      </c>
      <c r="N290" s="32">
        <f>IF(M290="Underperforming",-5,IF(L290&gt;=95,15,IF(L290&gt;=90,10,IF(L290&gt;=80,5,0))))</f>
        <v/>
      </c>
      <c r="O290" s="32" t="n">
        <v>76.92</v>
      </c>
      <c r="P290" s="32" t="n">
        <v>26.77</v>
      </c>
      <c r="Q290" s="32" t="n">
        <v>2146.3</v>
      </c>
      <c r="R290" s="31" t="inlineStr">
        <is>
          <t>Earnings / Momentum Support</t>
        </is>
      </c>
      <c r="S290" s="31" t="inlineStr">
        <is>
          <t>Nifty 50</t>
        </is>
      </c>
      <c r="T290" s="32" t="n">
        <v>-4.47</v>
      </c>
      <c r="U290" s="32" t="n">
        <v>40.66</v>
      </c>
      <c r="V290" s="32" t="n">
        <v>47.24</v>
      </c>
      <c r="W290" s="32" t="n">
        <v>31.25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20 to 40</t>
        </is>
      </c>
      <c r="AY290" s="31">
        <f>IF(AX290="Above 40",20,IF(AX290="20 to 40",10,IF(AX290="0 to 20",-5,0)))</f>
        <v/>
      </c>
      <c r="AZ290" s="31" t="inlineStr">
        <is>
          <t>Above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More than 20%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Yes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More than 1.2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IF(B291=0,"",RANK(B291,$B$2:$B$343,0))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BBOX</t>
        </is>
      </c>
      <c r="D291" s="31" t="inlineStr">
        <is>
          <t>Black Box Ltd</t>
        </is>
      </c>
      <c r="E291" s="31" t="inlineStr">
        <is>
          <t>i.t</t>
        </is>
      </c>
      <c r="F291" s="31" t="inlineStr">
        <is>
          <t>computers - software - medium / small</t>
        </is>
      </c>
      <c r="G291" s="31" t="inlineStr">
        <is>
          <t>midcap</t>
        </is>
      </c>
      <c r="H291" s="32" t="n">
        <v>17957.19</v>
      </c>
      <c r="I291" s="32" t="n">
        <v>1016.7</v>
      </c>
      <c r="J291" s="32" t="n">
        <v>0.49</v>
      </c>
      <c r="K291" s="32" t="n">
        <v>255839</v>
      </c>
      <c r="L291" s="31" t="n">
        <v>94</v>
      </c>
      <c r="M291" s="31" t="inlineStr">
        <is>
          <t>Outperforming</t>
        </is>
      </c>
      <c r="N291" s="32">
        <f>IF(M291="Underperforming",-5,IF(L291&gt;=95,15,IF(L291&gt;=90,10,IF(L291&gt;=80,5,0))))</f>
        <v/>
      </c>
      <c r="O291" s="32" t="n">
        <v>78.34</v>
      </c>
      <c r="P291" s="32" t="n">
        <v>38.51</v>
      </c>
      <c r="Q291" s="32" t="n">
        <v>839.1</v>
      </c>
      <c r="R291" s="31" t="inlineStr">
        <is>
          <t>Earnings / Momentum Support</t>
        </is>
      </c>
      <c r="S291" s="31" t="inlineStr">
        <is>
          <t>Nifty IT</t>
        </is>
      </c>
      <c r="T291" s="32" t="n">
        <v>-26.73</v>
      </c>
      <c r="U291" s="32" t="n">
        <v>112.92</v>
      </c>
      <c r="V291" s="32" t="n">
        <v>190.61</v>
      </c>
      <c r="W291" s="32" t="n">
        <v>41.77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No</t>
        </is>
      </c>
      <c r="AQ291" s="31">
        <f>IF(AP291="Yes",10,0)</f>
        <v/>
      </c>
      <c r="AR291" s="31" t="inlineStr">
        <is>
          <t>Higher Annuity, Lower One Time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20 to 40</t>
        </is>
      </c>
      <c r="AY291" s="31">
        <f>IF(AX291="Above 40",20,IF(AX291="20 to 40",10,IF(AX291="0 to 20",-5,0)))</f>
        <v/>
      </c>
      <c r="AZ291" s="31" t="inlineStr">
        <is>
          <t>Above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Less than 12%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Yes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Less than 50%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Between 0.7 to 1.2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IF(B292=0,"",RANK(B292,$B$2:$B$343,0))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3" t="inlineStr">
        <is>
          <t>NCLIND</t>
        </is>
      </c>
      <c r="D292" s="33" t="inlineStr">
        <is>
          <t>Ncl Industries Limited</t>
        </is>
      </c>
      <c r="E292" s="31" t="inlineStr">
        <is>
          <t>building materials</t>
        </is>
      </c>
      <c r="F292" s="31" t="inlineStr">
        <is>
          <t>cement - south india</t>
        </is>
      </c>
      <c r="G292" s="31" t="inlineStr">
        <is>
          <t>smallcap</t>
        </is>
      </c>
      <c r="H292" s="32" t="n">
        <v>844.13</v>
      </c>
      <c r="I292" s="32" t="n">
        <v>195.83</v>
      </c>
      <c r="J292" s="32" t="n">
        <v>4.94</v>
      </c>
      <c r="K292" s="32" t="n">
        <v>284510</v>
      </c>
      <c r="L292" s="31" t="n">
        <v>3</v>
      </c>
      <c r="M292" s="31" t="inlineStr">
        <is>
          <t>Underperforming</t>
        </is>
      </c>
      <c r="N292" s="32">
        <f>IF(M292="Underperforming",-5,IF(L292&gt;=95,15,IF(L292&gt;=90,10,IF(L292&gt;=80,5,0))))</f>
        <v/>
      </c>
      <c r="O292" s="32" t="n">
        <v>57.69</v>
      </c>
      <c r="P292" s="32" t="n">
        <v>18.27</v>
      </c>
      <c r="Q292" s="32" t="n">
        <v>156.04</v>
      </c>
      <c r="R292" s="31" t="inlineStr">
        <is>
          <t>Earnings / Momentum Support</t>
        </is>
      </c>
      <c r="S292" s="31" t="inlineStr">
        <is>
          <t>Nifty Infra</t>
        </is>
      </c>
      <c r="T292" s="32" t="n">
        <v>3.24</v>
      </c>
      <c r="U292" s="32" t="n">
        <v>-8.49</v>
      </c>
      <c r="V292" s="32" t="n">
        <v>-11.36</v>
      </c>
      <c r="W292" s="32" t="n">
        <v>1.75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0 to 20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1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More than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No</t>
        </is>
      </c>
      <c r="BS292" s="31">
        <f>IF(BR292="NO",5,0)</f>
        <v/>
      </c>
      <c r="BT292" s="31" t="inlineStr">
        <is>
          <t>Less than 1.5</t>
        </is>
      </c>
      <c r="BU292" s="31">
        <f>IF(BT292="Above 2",0,IF(BT292="Between 1.5 to 2",5,IF(BT292="Less than 1.5",10,0)))</f>
        <v/>
      </c>
      <c r="BV292" s="31" t="inlineStr">
        <is>
          <t>Between 50% to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IF(B293=0,"",RANK(B293,$B$2:$B$343,0))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INGERRAND</t>
        </is>
      </c>
      <c r="D293" s="31" t="inlineStr">
        <is>
          <t>Ingersoll Rand (india) Limited</t>
        </is>
      </c>
      <c r="E293" s="31" t="inlineStr">
        <is>
          <t>industrials</t>
        </is>
      </c>
      <c r="F293" s="31" t="inlineStr">
        <is>
          <t>compressors / drilling equipment</t>
        </is>
      </c>
      <c r="G293" s="31" t="inlineStr">
        <is>
          <t>midcap</t>
        </is>
      </c>
      <c r="H293" s="32" t="n">
        <v>13656.63</v>
      </c>
      <c r="I293" s="32" t="n">
        <v>4436.2</v>
      </c>
      <c r="J293" s="32" t="n">
        <v>2.55</v>
      </c>
      <c r="K293" s="32" t="n">
        <v>28879</v>
      </c>
      <c r="L293" s="31" t="n">
        <v>33</v>
      </c>
      <c r="M293" s="31" t="inlineStr">
        <is>
          <t>Outperforming</t>
        </is>
      </c>
      <c r="N293" s="32">
        <f>IF(M293="Underperforming",-5,IF(L293&gt;=95,15,IF(L293&gt;=90,10,IF(L293&gt;=80,5,0))))</f>
        <v/>
      </c>
      <c r="O293" s="32" t="n">
        <v>59.93</v>
      </c>
      <c r="P293" s="32" t="n">
        <v>23.61</v>
      </c>
      <c r="Q293" s="32" t="n">
        <v>3699.02</v>
      </c>
      <c r="R293" s="31" t="inlineStr">
        <is>
          <t>Near 52W High Breakout</t>
        </is>
      </c>
      <c r="S293" s="31" t="inlineStr">
        <is>
          <t>Nifty Infra</t>
        </is>
      </c>
      <c r="T293" s="32" t="n">
        <v>3.24</v>
      </c>
      <c r="U293" s="32" t="n">
        <v>20.66</v>
      </c>
      <c r="V293" s="32" t="n">
        <v>16.87</v>
      </c>
      <c r="W293" s="32" t="n">
        <v>8.75</v>
      </c>
      <c r="X293" s="31" t="inlineStr">
        <is>
          <t>Cyclical in an Upturn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Yes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20 to 40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Negative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Blue sky scenario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Less than 12%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Yes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IF(B294=0,"",RANK(B294,$B$2:$B$343,0))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NEOGEN</t>
        </is>
      </c>
      <c r="D294" s="31" t="inlineStr">
        <is>
          <t>Neogen Chemicals Ltd</t>
        </is>
      </c>
      <c r="E294" s="31" t="inlineStr">
        <is>
          <t>chemicals</t>
        </is>
      </c>
      <c r="F294" s="31" t="inlineStr">
        <is>
          <t>chemicals</t>
        </is>
      </c>
      <c r="G294" s="31" t="inlineStr">
        <is>
          <t>midcap</t>
        </is>
      </c>
      <c r="H294" s="32" t="n">
        <v>5652.67</v>
      </c>
      <c r="I294" s="32" t="n">
        <v>2082</v>
      </c>
      <c r="J294" s="32" t="n">
        <v>0.85</v>
      </c>
      <c r="K294" s="32" t="n">
        <v>49157</v>
      </c>
      <c r="L294" s="31" t="n">
        <v>71</v>
      </c>
      <c r="M294" s="31" t="inlineStr">
        <is>
          <t>Outperforming</t>
        </is>
      </c>
      <c r="N294" s="32">
        <f>IF(M294="Underperforming",-5,IF(L294&gt;=95,15,IF(L294&gt;=90,10,IF(L294&gt;=80,5,0))))</f>
        <v/>
      </c>
      <c r="O294" s="32" t="n">
        <v>72.64</v>
      </c>
      <c r="P294" s="32" t="n">
        <v>34.62</v>
      </c>
      <c r="Q294" s="32" t="n">
        <v>1578.7</v>
      </c>
      <c r="R294" s="31" t="inlineStr">
        <is>
          <t>Near 52W High Breakout</t>
        </is>
      </c>
      <c r="S294" s="31" t="inlineStr">
        <is>
          <t>Nifty 50</t>
        </is>
      </c>
      <c r="T294" s="32" t="n">
        <v>-4.47</v>
      </c>
      <c r="U294" s="32" t="n">
        <v>30.58</v>
      </c>
      <c r="V294" s="32" t="n">
        <v>36.7</v>
      </c>
      <c r="W294" s="32" t="n">
        <v>20.57</v>
      </c>
      <c r="X294" s="31" t="inlineStr">
        <is>
          <t>Growing Industry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Yes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20 to 40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Positive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Yes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Negative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More than 1.2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IF(B295=0,"",RANK(B295,$B$2:$B$343,0))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3" t="inlineStr">
        <is>
          <t>PANAMAPET</t>
        </is>
      </c>
      <c r="D295" s="33" t="inlineStr">
        <is>
          <t>Panama Petrochem Limited</t>
        </is>
      </c>
      <c r="E295" s="31" t="inlineStr">
        <is>
          <t>energy</t>
        </is>
      </c>
      <c r="F295" s="31" t="inlineStr">
        <is>
          <t>petrochemicals</t>
        </is>
      </c>
      <c r="G295" s="31" t="inlineStr">
        <is>
          <t>smallcap</t>
        </is>
      </c>
      <c r="H295" s="32" t="n">
        <v>2307.83</v>
      </c>
      <c r="I295" s="32" t="n">
        <v>384.6</v>
      </c>
      <c r="J295" s="32" t="n">
        <v>0.8100000000000001</v>
      </c>
      <c r="K295" s="32" t="n">
        <v>175628</v>
      </c>
      <c r="L295" s="31" t="n">
        <v>47</v>
      </c>
      <c r="M295" s="31" t="inlineStr">
        <is>
          <t>Underperforming</t>
        </is>
      </c>
      <c r="N295" s="32">
        <f>IF(M295="Underperforming",-5,IF(L295&gt;=95,15,IF(L295&gt;=90,10,IF(L295&gt;=80,5,0))))</f>
        <v/>
      </c>
      <c r="O295" s="32" t="n">
        <v>71.59999999999999</v>
      </c>
      <c r="P295" s="32" t="n">
        <v>22.79</v>
      </c>
      <c r="Q295" s="32" t="n">
        <v>290.12</v>
      </c>
      <c r="R295" s="31" t="inlineStr">
        <is>
          <t>Near 52W High Breakout</t>
        </is>
      </c>
      <c r="S295" s="31" t="inlineStr">
        <is>
          <t>Nifty Energy</t>
        </is>
      </c>
      <c r="T295" s="32" t="n">
        <v>12.12</v>
      </c>
      <c r="U295" s="32" t="n">
        <v>7.18</v>
      </c>
      <c r="V295" s="32" t="n">
        <v>-4.41</v>
      </c>
      <c r="W295" s="32" t="n">
        <v>12.76</v>
      </c>
      <c r="X295" s="31" t="inlineStr">
        <is>
          <t>Cyclical in an Upturn</t>
        </is>
      </c>
      <c r="Y295" s="31">
        <f>IF(X295="Growing Industry",10,IF(X295="Cyclical in an Upturn",5,0))</f>
        <v/>
      </c>
      <c r="Z295" s="31" t="inlineStr">
        <is>
          <t>Oligopoly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Yes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Cyclical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Volatile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Yes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20 to 40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2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More than 20%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No</t>
        </is>
      </c>
      <c r="BS295" s="31">
        <f>IF(BR295="NO",5,0)</f>
        <v/>
      </c>
      <c r="BT295" s="31" t="inlineStr">
        <is>
          <t>Less than 1.5</t>
        </is>
      </c>
      <c r="BU295" s="31">
        <f>IF(BT295="Above 2",0,IF(BT295="Between 1.5 to 2",5,IF(BT295="Less than 1.5",10,0)))</f>
        <v/>
      </c>
      <c r="BV295" s="31" t="inlineStr">
        <is>
          <t>Negative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Less than 0.7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IF(B296=0,"",RANK(B296,$B$2:$B$343,0))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3" t="inlineStr">
        <is>
          <t>WINDMACHIN</t>
        </is>
      </c>
      <c r="D296" s="33" t="inlineStr">
        <is>
          <t>Windsor Machines Limited</t>
        </is>
      </c>
      <c r="E296" s="31" t="inlineStr">
        <is>
          <t>industrials</t>
        </is>
      </c>
      <c r="F296" s="31" t="inlineStr">
        <is>
          <t>engineering</t>
        </is>
      </c>
      <c r="G296" s="31" t="inlineStr">
        <is>
          <t>smallcap</t>
        </is>
      </c>
      <c r="H296" s="32" t="n">
        <v>2976.91</v>
      </c>
      <c r="I296" s="32" t="n">
        <v>328.45</v>
      </c>
      <c r="J296" s="32" t="n">
        <v>0.74</v>
      </c>
      <c r="K296" s="32" t="n">
        <v>108892</v>
      </c>
      <c r="L296" s="31" t="n">
        <v>33</v>
      </c>
      <c r="M296" s="31" t="inlineStr">
        <is>
          <t>Underperforming</t>
        </is>
      </c>
      <c r="N296" s="32">
        <f>IF(M296="Underperforming",-5,IF(L296&gt;=95,15,IF(L296&gt;=90,10,IF(L296&gt;=80,5,0))))</f>
        <v/>
      </c>
      <c r="O296" s="32" t="n">
        <v>62.56</v>
      </c>
      <c r="P296" s="32" t="n">
        <v>30.7</v>
      </c>
      <c r="Q296" s="32" t="n">
        <v>238.67</v>
      </c>
      <c r="R296" s="31" t="inlineStr">
        <is>
          <t>Earnings / Momentum Support</t>
        </is>
      </c>
      <c r="S296" s="31" t="inlineStr">
        <is>
          <t>Nifty Infra</t>
        </is>
      </c>
      <c r="T296" s="32" t="n">
        <v>3.24</v>
      </c>
      <c r="U296" s="32" t="n">
        <v>-8.390000000000001</v>
      </c>
      <c r="V296" s="32" t="n">
        <v>-11.27</v>
      </c>
      <c r="W296" s="32" t="n">
        <v>8.859999999999999</v>
      </c>
      <c r="X296" s="31" t="inlineStr">
        <is>
          <t>Cyclical in an Upturn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No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20 to 40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2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Yes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Negative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IF(B297=0,"",RANK(B297,$B$2:$B$343,0))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STEELXIND</t>
        </is>
      </c>
      <c r="D297" s="31" t="inlineStr">
        <is>
          <t>Steel Exchange India Ltd</t>
        </is>
      </c>
      <c r="E297" s="31" t="inlineStr">
        <is>
          <t>metals &amp; mining</t>
        </is>
      </c>
      <c r="F297" s="31" t="inlineStr">
        <is>
          <t>steel - medium / small</t>
        </is>
      </c>
      <c r="G297" s="31" t="inlineStr">
        <is>
          <t>smallcap</t>
        </is>
      </c>
      <c r="H297" s="32" t="n">
        <v>1575.27</v>
      </c>
      <c r="I297" s="32" t="n">
        <v>12.39</v>
      </c>
      <c r="J297" s="32" t="n">
        <v>0.32</v>
      </c>
      <c r="K297" s="32" t="n">
        <v>4783821</v>
      </c>
      <c r="L297" s="31" t="n">
        <v>82</v>
      </c>
      <c r="M297" s="31" t="inlineStr">
        <is>
          <t>Outperforming</t>
        </is>
      </c>
      <c r="N297" s="32">
        <f>IF(M297="Underperforming",-5,IF(L297&gt;=95,15,IF(L297&gt;=90,10,IF(L297&gt;=80,5,0))))</f>
        <v/>
      </c>
      <c r="O297" s="32" t="n">
        <v>66.48999999999999</v>
      </c>
      <c r="P297" s="32" t="n">
        <v>23.75</v>
      </c>
      <c r="Q297" s="32" t="n">
        <v>8.91</v>
      </c>
      <c r="R297" s="31" t="inlineStr">
        <is>
          <t>Near 52W High Breakout</t>
        </is>
      </c>
      <c r="S297" s="31" t="inlineStr">
        <is>
          <t>Nifty Metal</t>
        </is>
      </c>
      <c r="T297" s="32" t="n">
        <v>40.96</v>
      </c>
      <c r="U297" s="32" t="n">
        <v>52.77</v>
      </c>
      <c r="V297" s="32" t="n">
        <v>8.380000000000001</v>
      </c>
      <c r="W297" s="32" t="n">
        <v>26.68</v>
      </c>
      <c r="X297" s="31" t="inlineStr">
        <is>
          <t>Cyclical in an Upturn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Cyclical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Volatile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Yes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20 to 40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Positive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More than 20%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Yes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Negative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IF(B298=0,"",RANK(B298,$B$2:$B$343,0))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1" t="inlineStr">
        <is>
          <t>ADANIENSOL</t>
        </is>
      </c>
      <c r="D298" s="31" t="inlineStr">
        <is>
          <t>Adani Energy Solutions Ltd</t>
        </is>
      </c>
      <c r="E298" s="31" t="inlineStr">
        <is>
          <t>power &amp; utilities</t>
        </is>
      </c>
      <c r="F298" s="31" t="inlineStr">
        <is>
          <t>power generation and supply</t>
        </is>
      </c>
      <c r="G298" s="31" t="inlineStr">
        <is>
          <t>largecap</t>
        </is>
      </c>
      <c r="H298" s="32" t="n">
        <v>179219.36</v>
      </c>
      <c r="I298" s="32" t="n">
        <v>1491.1</v>
      </c>
      <c r="J298" s="32" t="n">
        <v>-0.05</v>
      </c>
      <c r="K298" s="32" t="n">
        <v>1686111</v>
      </c>
      <c r="L298" s="31" t="n">
        <v>77</v>
      </c>
      <c r="M298" s="31" t="inlineStr">
        <is>
          <t>Outperforming</t>
        </is>
      </c>
      <c r="N298" s="32">
        <f>IF(M298="Underperforming",-5,IF(L298&gt;=95,15,IF(L298&gt;=90,10,IF(L298&gt;=80,5,0))))</f>
        <v/>
      </c>
      <c r="O298" s="32" t="n">
        <v>67.84999999999999</v>
      </c>
      <c r="P298" s="32" t="n">
        <v>37.85</v>
      </c>
      <c r="Q298" s="32" t="n">
        <v>1233.38</v>
      </c>
      <c r="R298" s="31" t="inlineStr">
        <is>
          <t>Earnings / Momentum Support</t>
        </is>
      </c>
      <c r="S298" s="31" t="inlineStr">
        <is>
          <t>Nifty IT</t>
        </is>
      </c>
      <c r="T298" s="32" t="n">
        <v>-26.73</v>
      </c>
      <c r="U298" s="32" t="n">
        <v>80.06</v>
      </c>
      <c r="V298" s="32" t="n">
        <v>145.76</v>
      </c>
      <c r="W298" s="32" t="n">
        <v>23.22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No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20 to 40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2</t>
        </is>
      </c>
      <c r="BC298" s="31">
        <f>IF(BB298="Stage 2",20,IF(BB298="Stage 1",0,IF(BB298="Stage 3",5,IF(BB298="Stage 4",-5,0))))</f>
        <v/>
      </c>
      <c r="BD298" s="31" t="inlineStr">
        <is>
          <t>Positive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Less than 12%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Yes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More than 1.2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IF(B299=0,"",RANK(B299,$B$2:$B$343,0))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1" t="inlineStr">
        <is>
          <t>RICOAUTO</t>
        </is>
      </c>
      <c r="D299" s="31" t="inlineStr">
        <is>
          <t>Rico Auto Industries Limited</t>
        </is>
      </c>
      <c r="E299" s="31" t="inlineStr">
        <is>
          <t>auto</t>
        </is>
      </c>
      <c r="F299" s="31" t="inlineStr">
        <is>
          <t>auto ancillaries</t>
        </is>
      </c>
      <c r="G299" s="31" t="inlineStr">
        <is>
          <t>smallcap</t>
        </is>
      </c>
      <c r="H299" s="32" t="n">
        <v>1804.57</v>
      </c>
      <c r="I299" s="32" t="n">
        <v>133.28</v>
      </c>
      <c r="J299" s="32" t="n">
        <v>-0.08</v>
      </c>
      <c r="K299" s="32" t="n">
        <v>1243769</v>
      </c>
      <c r="L299" s="31" t="n">
        <v>67</v>
      </c>
      <c r="M299" s="31" t="inlineStr">
        <is>
          <t>Outperforming</t>
        </is>
      </c>
      <c r="N299" s="32">
        <f>IF(M299="Underperforming",-5,IF(L299&gt;=95,15,IF(L299&gt;=90,10,IF(L299&gt;=80,5,0))))</f>
        <v/>
      </c>
      <c r="O299" s="32" t="n">
        <v>59.15</v>
      </c>
      <c r="P299" s="32" t="n">
        <v>19.73</v>
      </c>
      <c r="Q299" s="32" t="n">
        <v>96.75</v>
      </c>
      <c r="R299" s="31" t="inlineStr">
        <is>
          <t>Near 52W High Breakout</t>
        </is>
      </c>
      <c r="S299" s="31" t="inlineStr">
        <is>
          <t>Nifty Auto</t>
        </is>
      </c>
      <c r="T299" s="32" t="n">
        <v>13.57</v>
      </c>
      <c r="U299" s="32" t="n">
        <v>81.73</v>
      </c>
      <c r="V299" s="32" t="n">
        <v>60.03</v>
      </c>
      <c r="W299" s="32" t="n">
        <v>18.6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Headwind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Yes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0 to 20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2</t>
        </is>
      </c>
      <c r="BC299" s="31">
        <f>IF(BB299="Stage 2",20,IF(BB299="Stage 1",0,IF(BB299="Stage 3",5,IF(BB299="Stage 4",-5,0))))</f>
        <v/>
      </c>
      <c r="BD299" s="31" t="inlineStr">
        <is>
          <t>Positive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Less than 12%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No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Between 0.7 to 1.2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IF(B300=0,"",RANK(B300,$B$2:$B$343,0))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1" t="inlineStr">
        <is>
          <t>PITTIENG</t>
        </is>
      </c>
      <c r="D300" s="31" t="inlineStr">
        <is>
          <t>Pitti Engineering Ltd</t>
        </is>
      </c>
      <c r="E300" s="31" t="inlineStr">
        <is>
          <t>industrials</t>
        </is>
      </c>
      <c r="F300" s="31" t="inlineStr">
        <is>
          <t>engineering</t>
        </is>
      </c>
      <c r="G300" s="31" t="inlineStr">
        <is>
          <t>smallcap</t>
        </is>
      </c>
      <c r="H300" s="32" t="n">
        <v>3680.64</v>
      </c>
      <c r="I300" s="32" t="n">
        <v>971.55</v>
      </c>
      <c r="J300" s="32" t="n">
        <v>-0.61</v>
      </c>
      <c r="K300" s="32" t="n">
        <v>20261</v>
      </c>
      <c r="L300" s="31" t="n">
        <v>21</v>
      </c>
      <c r="M300" s="31" t="inlineStr">
        <is>
          <t>Outperforming</t>
        </is>
      </c>
      <c r="N300" s="32">
        <f>IF(M300="Underperforming",-5,IF(L300&gt;=95,15,IF(L300&gt;=90,10,IF(L300&gt;=80,5,0))))</f>
        <v/>
      </c>
      <c r="O300" s="32" t="n">
        <v>57.28</v>
      </c>
      <c r="P300" s="32" t="n">
        <v>11.99</v>
      </c>
      <c r="Q300" s="32" t="n">
        <v>752.51</v>
      </c>
      <c r="R300" s="31" t="inlineStr">
        <is>
          <t>Near 52W High Breakout</t>
        </is>
      </c>
      <c r="S300" s="31" t="inlineStr">
        <is>
          <t>Nifty 50</t>
        </is>
      </c>
      <c r="T300" s="32" t="n">
        <v>-4.47</v>
      </c>
      <c r="U300" s="32" t="n">
        <v>1.07</v>
      </c>
      <c r="V300" s="32" t="n">
        <v>5.8</v>
      </c>
      <c r="W300" s="32" t="n">
        <v>6.35</v>
      </c>
      <c r="X300" s="31" t="inlineStr">
        <is>
          <t>Cyclical in an Upturn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Yes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0 to 20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2</t>
        </is>
      </c>
      <c r="BC300" s="31">
        <f>IF(BB300="Stage 2",20,IF(BB300="Stage 1",0,IF(BB300="Stage 3",5,IF(BB300="Stage 4",-5,0))))</f>
        <v/>
      </c>
      <c r="BD300" s="31" t="inlineStr">
        <is>
          <t>Positive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Less than 12%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No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Between 50% to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Between 0.7 to 1.2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IF(B301=0,"",RANK(B301,$B$2:$B$343,0))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3" t="inlineStr">
        <is>
          <t>MANALIPETC</t>
        </is>
      </c>
      <c r="D301" s="33" t="inlineStr">
        <is>
          <t>Manali Petrochemicals Limited</t>
        </is>
      </c>
      <c r="E301" s="31" t="inlineStr">
        <is>
          <t>energy</t>
        </is>
      </c>
      <c r="F301" s="31" t="inlineStr">
        <is>
          <t>petrochemicals</t>
        </is>
      </c>
      <c r="G301" s="31" t="inlineStr">
        <is>
          <t>smallcap</t>
        </is>
      </c>
      <c r="H301" s="32" t="n">
        <v>1173.03</v>
      </c>
      <c r="I301" s="32" t="n">
        <v>67.68000000000001</v>
      </c>
      <c r="J301" s="32" t="n">
        <v>-0.76</v>
      </c>
      <c r="K301" s="32" t="n">
        <v>1371398</v>
      </c>
      <c r="L301" s="31" t="n">
        <v>49</v>
      </c>
      <c r="M301" s="31" t="inlineStr">
        <is>
          <t>Underperforming</t>
        </is>
      </c>
      <c r="N301" s="32">
        <f>IF(M301="Underperforming",-5,IF(L301&gt;=95,15,IF(L301&gt;=90,10,IF(L301&gt;=80,5,0))))</f>
        <v/>
      </c>
      <c r="O301" s="32" t="n">
        <v>62.19</v>
      </c>
      <c r="P301" s="32" t="n">
        <v>22.12</v>
      </c>
      <c r="Q301" s="32" t="n">
        <v>49.03</v>
      </c>
      <c r="R301" s="31" t="inlineStr">
        <is>
          <t>Earnings / Momentum Support</t>
        </is>
      </c>
      <c r="S301" s="31" t="inlineStr">
        <is>
          <t>Nifty Energy</t>
        </is>
      </c>
      <c r="T301" s="32" t="n">
        <v>12.12</v>
      </c>
      <c r="U301" s="32" t="n">
        <v>2.97</v>
      </c>
      <c r="V301" s="32" t="n">
        <v>-8.17</v>
      </c>
      <c r="W301" s="32" t="n">
        <v>13.06</v>
      </c>
      <c r="X301" s="31" t="inlineStr">
        <is>
          <t>Cyclical in an Upturn</t>
        </is>
      </c>
      <c r="Y301" s="31">
        <f>IF(X301="Growing Industry",10,IF(X301="Cyclical in an Upturn",5,0))</f>
        <v/>
      </c>
      <c r="Z301" s="31" t="inlineStr">
        <is>
          <t>Oligopoly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Yes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Cyclical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Volatile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No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20 to 40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2</t>
        </is>
      </c>
      <c r="BC301" s="31">
        <f>IF(BB301="Stage 2",20,IF(BB301="Stage 1",0,IF(BB301="Stage 3",5,IF(BB301="Stage 4",-5,0))))</f>
        <v/>
      </c>
      <c r="BD301" s="31" t="inlineStr">
        <is>
          <t>Positive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More than 20%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No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IF(B302=0,"",RANK(B302,$B$2:$B$343,0))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1" t="inlineStr">
        <is>
          <t>TRIVENI</t>
        </is>
      </c>
      <c r="D302" s="31" t="inlineStr">
        <is>
          <t>Triveni Engineering &amp; Industries Limited</t>
        </is>
      </c>
      <c r="E302" s="31" t="inlineStr">
        <is>
          <t>fmcg</t>
        </is>
      </c>
      <c r="F302" s="31" t="inlineStr">
        <is>
          <t>sugar</t>
        </is>
      </c>
      <c r="G302" s="31" t="inlineStr">
        <is>
          <t>midcap</t>
        </is>
      </c>
      <c r="H302" s="32" t="n">
        <v>8719.799999999999</v>
      </c>
      <c r="I302" s="32" t="n">
        <v>398.75</v>
      </c>
      <c r="J302" s="32" t="n">
        <v>0.1</v>
      </c>
      <c r="K302" s="32" t="n">
        <v>237323</v>
      </c>
      <c r="L302" s="31" t="n">
        <v>5</v>
      </c>
      <c r="M302" s="31" t="inlineStr">
        <is>
          <t>Outperforming</t>
        </is>
      </c>
      <c r="N302" s="32">
        <f>IF(M302="Underperforming",-5,IF(L302&gt;=95,15,IF(L302&gt;=90,10,IF(L302&gt;=80,5,0))))</f>
        <v/>
      </c>
      <c r="O302" s="32" t="n">
        <v>55.72</v>
      </c>
      <c r="P302" s="32" t="n">
        <v>17.41</v>
      </c>
      <c r="Q302" s="32" t="n">
        <v>331.12</v>
      </c>
      <c r="R302" s="31" t="inlineStr">
        <is>
          <t>Near 52W High Breakout</t>
        </is>
      </c>
      <c r="S302" s="31" t="inlineStr">
        <is>
          <t>Nifty FMCG</t>
        </is>
      </c>
      <c r="T302" s="32" t="n">
        <v>-9.130000000000001</v>
      </c>
      <c r="U302" s="32" t="n">
        <v>2.73</v>
      </c>
      <c r="V302" s="32" t="n">
        <v>13.05</v>
      </c>
      <c r="W302" s="32" t="n">
        <v>2.9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No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B2C</t>
        </is>
      </c>
      <c r="AO302" s="31">
        <f>IF(AN302="B2C",10,IF(AN302="B2B",5,0))</f>
        <v/>
      </c>
      <c r="AP302" s="31" t="inlineStr">
        <is>
          <t>Yes</t>
        </is>
      </c>
      <c r="AQ302" s="31">
        <f>IF(AP302="Yes",10,0)</f>
        <v/>
      </c>
      <c r="AR302" s="31" t="inlineStr">
        <is>
          <t>Higher Annuity, Lower One Time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0 to 20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1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Less than 12%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No</t>
        </is>
      </c>
      <c r="BS302" s="31">
        <f>IF(BR302="NO",5,0)</f>
        <v/>
      </c>
      <c r="BT302" s="31" t="inlineStr">
        <is>
          <t>Above 2</t>
        </is>
      </c>
      <c r="BU302" s="31">
        <f>IF(BT302="Above 2",0,IF(BT302="Between 1.5 to 2",5,IF(BT302="Less than 1.5",10,0)))</f>
        <v/>
      </c>
      <c r="BV302" s="31" t="inlineStr">
        <is>
          <t>Less than 50%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IF(B303=0,"",RANK(B303,$B$2:$B$343,0))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1" t="inlineStr">
        <is>
          <t>TIMKEN</t>
        </is>
      </c>
      <c r="D303" s="31" t="inlineStr">
        <is>
          <t>Timken India Limited</t>
        </is>
      </c>
      <c r="E303" s="31" t="inlineStr">
        <is>
          <t>industrials</t>
        </is>
      </c>
      <c r="F303" s="31" t="inlineStr">
        <is>
          <t>bearings</t>
        </is>
      </c>
      <c r="G303" s="31" t="inlineStr">
        <is>
          <t>largecap</t>
        </is>
      </c>
      <c r="H303" s="32" t="n">
        <v>26481.51</v>
      </c>
      <c r="I303" s="32" t="n">
        <v>3634.3</v>
      </c>
      <c r="J303" s="32" t="n">
        <v>3.23</v>
      </c>
      <c r="K303" s="32" t="n">
        <v>178063</v>
      </c>
      <c r="L303" s="31" t="n">
        <v>17</v>
      </c>
      <c r="M303" s="31" t="inlineStr">
        <is>
          <t>Outperforming</t>
        </is>
      </c>
      <c r="N303" s="32">
        <f>IF(M303="Underperforming",-5,IF(L303&gt;=95,15,IF(L303&gt;=90,10,IF(L303&gt;=80,5,0))))</f>
        <v/>
      </c>
      <c r="O303" s="32" t="n">
        <v>59</v>
      </c>
      <c r="P303" s="32" t="n">
        <v>31.37</v>
      </c>
      <c r="Q303" s="32" t="n">
        <v>3056.82</v>
      </c>
      <c r="R303" s="31" t="inlineStr">
        <is>
          <t>Near 52W High Breakout</t>
        </is>
      </c>
      <c r="S303" s="31" t="inlineStr">
        <is>
          <t>Nifty 50</t>
        </is>
      </c>
      <c r="T303" s="32" t="n">
        <v>-4.47</v>
      </c>
      <c r="U303" s="32" t="n">
        <v>11.98</v>
      </c>
      <c r="V303" s="32" t="n">
        <v>17.22</v>
      </c>
      <c r="W303" s="32" t="n">
        <v>5.5</v>
      </c>
      <c r="X303" s="31" t="inlineStr">
        <is>
          <t>Cyclical in an Upturn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Yes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20 to 40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2</t>
        </is>
      </c>
      <c r="BC303" s="31">
        <f>IF(BB303="Stage 2",20,IF(BB303="Stage 1",0,IF(BB303="Stage 3",5,IF(BB303="Stage 4",-5,0))))</f>
        <v/>
      </c>
      <c r="BD303" s="31" t="inlineStr">
        <is>
          <t>Negative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Less than 12%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Yes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IF(B304=0,"",RANK(B304,$B$2:$B$343,0))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3" t="inlineStr">
        <is>
          <t>GENUSPOWER</t>
        </is>
      </c>
      <c r="D304" s="33" t="inlineStr">
        <is>
          <t>Genus Power Infrastructures Limited</t>
        </is>
      </c>
      <c r="E304" s="31" t="inlineStr">
        <is>
          <t>consumer discretionary</t>
        </is>
      </c>
      <c r="F304" s="31" t="inlineStr">
        <is>
          <t>electronics - components</t>
        </is>
      </c>
      <c r="G304" s="31" t="inlineStr">
        <is>
          <t>midcap</t>
        </is>
      </c>
      <c r="H304" s="32" t="n">
        <v>9756.26</v>
      </c>
      <c r="I304" s="32" t="n">
        <v>328.9</v>
      </c>
      <c r="J304" s="32" t="n">
        <v>2.56</v>
      </c>
      <c r="K304" s="32" t="n">
        <v>1612608</v>
      </c>
      <c r="L304" s="31" t="n">
        <v>29</v>
      </c>
      <c r="M304" s="31" t="inlineStr">
        <is>
          <t>Underperforming</t>
        </is>
      </c>
      <c r="N304" s="32">
        <f>IF(M304="Underperforming",-5,IF(L304&gt;=95,15,IF(L304&gt;=90,10,IF(L304&gt;=80,5,0))))</f>
        <v/>
      </c>
      <c r="O304" s="32" t="n">
        <v>60.86</v>
      </c>
      <c r="P304" s="32" t="n">
        <v>18.19</v>
      </c>
      <c r="Q304" s="32" t="n">
        <v>248.82</v>
      </c>
      <c r="R304" s="31" t="inlineStr">
        <is>
          <t>Earnings / Momentum Support</t>
        </is>
      </c>
      <c r="S304" s="31" t="inlineStr">
        <is>
          <t>Nifty 50</t>
        </is>
      </c>
      <c r="T304" s="32" t="n">
        <v>-4.47</v>
      </c>
      <c r="U304" s="32" t="n">
        <v>-5.45</v>
      </c>
      <c r="V304" s="32" t="n">
        <v>-1.02</v>
      </c>
      <c r="W304" s="32" t="n">
        <v>8.15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No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0 to 20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2</t>
        </is>
      </c>
      <c r="BC304" s="31">
        <f>IF(BB304="Stage 2",20,IF(BB304="Stage 1",0,IF(BB304="Stage 3",5,IF(BB304="Stage 4",-5,0))))</f>
        <v/>
      </c>
      <c r="BD304" s="31" t="inlineStr">
        <is>
          <t>Positive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No</t>
        </is>
      </c>
      <c r="BS304" s="31">
        <f>IF(BR304="NO",5,0)</f>
        <v/>
      </c>
      <c r="BT304" s="31" t="inlineStr">
        <is>
          <t>Less than 1.5</t>
        </is>
      </c>
      <c r="BU304" s="31">
        <f>IF(BT304="Above 2",0,IF(BT304="Between 1.5 to 2",5,IF(BT304="Less than 1.5",10,0)))</f>
        <v/>
      </c>
      <c r="BV304" s="31" t="inlineStr">
        <is>
          <t>Negative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Between 0.7 to 1.2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IF(B305=0,"",RANK(B305,$B$2:$B$343,0))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1" t="inlineStr">
        <is>
          <t>KSB</t>
        </is>
      </c>
      <c r="D305" s="31" t="inlineStr">
        <is>
          <t>KSB Ltd</t>
        </is>
      </c>
      <c r="E305" s="31" t="inlineStr">
        <is>
          <t>industrials</t>
        </is>
      </c>
      <c r="F305" s="31" t="inlineStr">
        <is>
          <t>pumps</t>
        </is>
      </c>
      <c r="G305" s="31" t="inlineStr">
        <is>
          <t>midcap</t>
        </is>
      </c>
      <c r="H305" s="32" t="n">
        <v>14885.57</v>
      </c>
      <c r="I305" s="32" t="n">
        <v>865.45</v>
      </c>
      <c r="J305" s="32" t="n">
        <v>1.19</v>
      </c>
      <c r="K305" s="32" t="n">
        <v>130451</v>
      </c>
      <c r="L305" s="31" t="n">
        <v>7</v>
      </c>
      <c r="M305" s="31" t="inlineStr">
        <is>
          <t>Outperforming</t>
        </is>
      </c>
      <c r="N305" s="32">
        <f>IF(M305="Underperforming",-5,IF(L305&gt;=95,15,IF(L305&gt;=90,10,IF(L305&gt;=80,5,0))))</f>
        <v/>
      </c>
      <c r="O305" s="32" t="n">
        <v>56.08</v>
      </c>
      <c r="P305" s="32" t="n">
        <v>27.96</v>
      </c>
      <c r="Q305" s="32" t="n">
        <v>793.48</v>
      </c>
      <c r="R305" s="31" t="inlineStr">
        <is>
          <t>Earnings / Momentum Support</t>
        </is>
      </c>
      <c r="S305" s="31" t="inlineStr">
        <is>
          <t>Nifty 50</t>
        </is>
      </c>
      <c r="T305" s="32" t="n">
        <v>-4.47</v>
      </c>
      <c r="U305" s="32" t="n">
        <v>5.06</v>
      </c>
      <c r="V305" s="32" t="n">
        <v>9.98</v>
      </c>
      <c r="W305" s="32" t="n">
        <v>3.5</v>
      </c>
      <c r="X305" s="31" t="inlineStr">
        <is>
          <t>Cyclical in an Upturn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Tailwind</t>
        </is>
      </c>
      <c r="AE305" s="31">
        <f>IF(AD305="Tailwind",10,0)</f>
        <v/>
      </c>
      <c r="AF305" s="31" t="inlineStr">
        <is>
          <t>Structural (10 Years Consistency)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Stable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20 to 40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1</t>
        </is>
      </c>
      <c r="BC305" s="31">
        <f>IF(BB305="Stage 2",20,IF(BB305="Stage 1",0,IF(BB305="Stage 3",5,IF(BB305="Stage 4",-5,0))))</f>
        <v/>
      </c>
      <c r="BD305" s="31" t="inlineStr">
        <is>
          <t>Positive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Less than 12%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Yes</t>
        </is>
      </c>
      <c r="BS305" s="31">
        <f>IF(BR305="NO",5,0)</f>
        <v/>
      </c>
      <c r="BT305" s="31" t="inlineStr">
        <is>
          <t>Above 2</t>
        </is>
      </c>
      <c r="BU305" s="31">
        <f>IF(BT305="Above 2",0,IF(BT305="Between 1.5 to 2",5,IF(BT305="Less than 1.5",10,0)))</f>
        <v/>
      </c>
      <c r="BV305" s="31" t="inlineStr">
        <is>
          <t>Above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IF(B306=0,"",RANK(B306,$B$2:$B$343,0))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3" t="inlineStr">
        <is>
          <t>RKFORGE</t>
        </is>
      </c>
      <c r="D306" s="33" t="inlineStr">
        <is>
          <t>Ramkrishna Forgings Limited</t>
        </is>
      </c>
      <c r="E306" s="31" t="inlineStr">
        <is>
          <t>industrials</t>
        </is>
      </c>
      <c r="F306" s="31" t="inlineStr">
        <is>
          <t>castings &amp; forgings</t>
        </is>
      </c>
      <c r="G306" s="31" t="inlineStr">
        <is>
          <t>midcap</t>
        </is>
      </c>
      <c r="H306" s="32" t="n">
        <v>10700.4</v>
      </c>
      <c r="I306" s="32" t="n">
        <v>583.5</v>
      </c>
      <c r="J306" s="32" t="n">
        <v>-0.93</v>
      </c>
      <c r="K306" s="32" t="n">
        <v>476605</v>
      </c>
      <c r="L306" s="31" t="n">
        <v>4</v>
      </c>
      <c r="M306" s="31" t="inlineStr">
        <is>
          <t>Underperforming</t>
        </is>
      </c>
      <c r="N306" s="32">
        <f>IF(M306="Underperforming",-5,IF(L306&gt;=95,15,IF(L306&gt;=90,10,IF(L306&gt;=80,5,0))))</f>
        <v/>
      </c>
      <c r="O306" s="32" t="n">
        <v>54.73</v>
      </c>
      <c r="P306" s="32" t="n">
        <v>15.07</v>
      </c>
      <c r="Q306" s="32" t="n">
        <v>475.63</v>
      </c>
      <c r="R306" s="31" t="inlineStr">
        <is>
          <t>Earnings / Momentum Support</t>
        </is>
      </c>
      <c r="S306" s="31" t="inlineStr">
        <is>
          <t>Nifty 50</t>
        </is>
      </c>
      <c r="T306" s="32" t="n">
        <v>-4.47</v>
      </c>
      <c r="U306" s="32" t="n">
        <v>-6.81</v>
      </c>
      <c r="V306" s="32" t="n">
        <v>-2.45</v>
      </c>
      <c r="W306" s="32" t="n">
        <v>2.64</v>
      </c>
      <c r="X306" s="31" t="inlineStr">
        <is>
          <t>Cyclical in an Upturn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Tailwind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No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0 to 20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2</t>
        </is>
      </c>
      <c r="BC306" s="31">
        <f>IF(BB306="Stage 2",20,IF(BB306="Stage 1",0,IF(BB306="Stage 3",5,IF(BB306="Stage 4",-5,0))))</f>
        <v/>
      </c>
      <c r="BD306" s="31" t="inlineStr">
        <is>
          <t>Positive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More than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Yes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Between 0.7 to 1.2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IF(B307=0,"",RANK(B307,$B$2:$B$343,0))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TEGA</t>
        </is>
      </c>
      <c r="D307" s="31" t="inlineStr">
        <is>
          <t>Tega Industries Ltd</t>
        </is>
      </c>
      <c r="E307" s="31" t="inlineStr">
        <is>
          <t>industrials</t>
        </is>
      </c>
      <c r="F307" s="31" t="inlineStr">
        <is>
          <t>engineering</t>
        </is>
      </c>
      <c r="G307" s="31" t="inlineStr">
        <is>
          <t>midcap</t>
        </is>
      </c>
      <c r="H307" s="32" t="n">
        <v>13385.5</v>
      </c>
      <c r="I307" s="32" t="n">
        <v>1830.7</v>
      </c>
      <c r="J307" s="32" t="n">
        <v>2.75</v>
      </c>
      <c r="K307" s="32" t="n">
        <v>64397</v>
      </c>
      <c r="L307" s="31" t="n">
        <v>20</v>
      </c>
      <c r="M307" s="31" t="inlineStr">
        <is>
          <t>Outperforming</t>
        </is>
      </c>
      <c r="N307" s="32">
        <f>IF(M307="Underperforming",-5,IF(L307&gt;=95,15,IF(L307&gt;=90,10,IF(L307&gt;=80,5,0))))</f>
        <v/>
      </c>
      <c r="O307" s="32" t="n">
        <v>55.1</v>
      </c>
      <c r="P307" s="32" t="n">
        <v>9.24</v>
      </c>
      <c r="Q307" s="32" t="n">
        <v>1446.7</v>
      </c>
      <c r="R307" s="31" t="inlineStr">
        <is>
          <t>Earnings / Momentum Support</t>
        </is>
      </c>
      <c r="S307" s="31" t="inlineStr">
        <is>
          <t>Nifty 50</t>
        </is>
      </c>
      <c r="T307" s="32" t="n">
        <v>-4.47</v>
      </c>
      <c r="U307" s="32" t="n">
        <v>21.45</v>
      </c>
      <c r="V307" s="32" t="n">
        <v>27.14</v>
      </c>
      <c r="W307" s="32" t="n">
        <v>6.24</v>
      </c>
      <c r="X307" s="31" t="inlineStr">
        <is>
          <t>Cyclical in an Upturn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Headwind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No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0 to 20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2</t>
        </is>
      </c>
      <c r="BC307" s="31">
        <f>IF(BB307="Stage 2",20,IF(BB307="Stage 1",0,IF(BB307="Stage 3",5,IF(BB307="Stage 4",-5,0))))</f>
        <v/>
      </c>
      <c r="BD307" s="31" t="inlineStr">
        <is>
          <t>Positive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Less than 12%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Yes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Above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Less than 0.7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IF(B308=0,"",RANK(B308,$B$2:$B$343,0))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NYKAA</t>
        </is>
      </c>
      <c r="D308" s="31" t="inlineStr">
        <is>
          <t>FSN E-Commerce Ventures Ltd</t>
        </is>
      </c>
      <c r="E308" s="31" t="inlineStr">
        <is>
          <t>i.t</t>
        </is>
      </c>
      <c r="F308" s="31" t="inlineStr">
        <is>
          <t>trading</t>
        </is>
      </c>
      <c r="G308" s="31" t="inlineStr">
        <is>
          <t>largecap</t>
        </is>
      </c>
      <c r="H308" s="32" t="n">
        <v>78108.84</v>
      </c>
      <c r="I308" s="32" t="n">
        <v>272.15</v>
      </c>
      <c r="J308" s="32" t="n">
        <v>-0.24</v>
      </c>
      <c r="K308" s="32" t="n">
        <v>4906344</v>
      </c>
      <c r="L308" s="31" t="n">
        <v>37</v>
      </c>
      <c r="M308" s="31" t="inlineStr">
        <is>
          <t>Outperforming</t>
        </is>
      </c>
      <c r="N308" s="32">
        <f>IF(M308="Underperforming",-5,IF(L308&gt;=95,15,IF(L308&gt;=90,10,IF(L308&gt;=80,5,0))))</f>
        <v/>
      </c>
      <c r="O308" s="32" t="n">
        <v>57.07</v>
      </c>
      <c r="P308" s="32" t="n">
        <v>18.06</v>
      </c>
      <c r="Q308" s="32" t="n">
        <v>229.89</v>
      </c>
      <c r="R308" s="31" t="inlineStr">
        <is>
          <t>Near 52W High Breakout</t>
        </is>
      </c>
      <c r="S308" s="31" t="inlineStr">
        <is>
          <t>Nifty IT</t>
        </is>
      </c>
      <c r="T308" s="32" t="n">
        <v>-26.73</v>
      </c>
      <c r="U308" s="32" t="n">
        <v>38.1</v>
      </c>
      <c r="V308" s="32" t="n">
        <v>88.48</v>
      </c>
      <c r="W308" s="32" t="n">
        <v>9.74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Tailwind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Yes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0 to 20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2</t>
        </is>
      </c>
      <c r="BC308" s="31">
        <f>IF(BB308="Stage 2",20,IF(BB308="Stage 1",0,IF(BB308="Stage 3",5,IF(BB308="Stage 4",-5,0))))</f>
        <v/>
      </c>
      <c r="BD308" s="31" t="inlineStr">
        <is>
          <t>Negative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Blue sky scenario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More than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Yes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Between 0.7 to 1.2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IF(B309=0,"",RANK(B309,$B$2:$B$343,0))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1" t="inlineStr">
        <is>
          <t>KAPSTON</t>
        </is>
      </c>
      <c r="D309" s="31" t="inlineStr">
        <is>
          <t>Kapston Services Ltd</t>
        </is>
      </c>
      <c r="E309" s="31" t="inlineStr">
        <is>
          <t>miscellaneous</t>
        </is>
      </c>
      <c r="F309" s="31" t="inlineStr">
        <is>
          <t>miscellaneous</t>
        </is>
      </c>
      <c r="G309" s="31" t="inlineStr">
        <is>
          <t>smallcap</t>
        </is>
      </c>
      <c r="H309" s="32" t="n">
        <v>1048.39</v>
      </c>
      <c r="I309" s="32" t="n">
        <v>343.6</v>
      </c>
      <c r="J309" s="32" t="n">
        <v>-0.26</v>
      </c>
      <c r="K309" s="32" t="n">
        <v>17177</v>
      </c>
      <c r="L309" s="31" t="n">
        <v>44</v>
      </c>
      <c r="M309" s="31" t="inlineStr">
        <is>
          <t>Outperforming</t>
        </is>
      </c>
      <c r="N309" s="32">
        <f>IF(M309="Underperforming",-5,IF(L309&gt;=95,15,IF(L309&gt;=90,10,IF(L309&gt;=80,5,0))))</f>
        <v/>
      </c>
      <c r="O309" s="32" t="n">
        <v>55.27</v>
      </c>
      <c r="P309" s="32" t="n">
        <v>11.29</v>
      </c>
      <c r="Q309" s="32" t="n">
        <v>254.56</v>
      </c>
      <c r="R309" s="31" t="inlineStr">
        <is>
          <t>Earnings / Momentum Support</t>
        </is>
      </c>
      <c r="S309" s="31" t="inlineStr">
        <is>
          <t>Nifty 50</t>
        </is>
      </c>
      <c r="T309" s="32" t="n">
        <v>-4.47</v>
      </c>
      <c r="U309" s="32" t="n">
        <v>41.97</v>
      </c>
      <c r="V309" s="32" t="n">
        <v>48.61</v>
      </c>
      <c r="W309" s="32" t="n">
        <v>12.18</v>
      </c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Tailwind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No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0 to 20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2</t>
        </is>
      </c>
      <c r="BC309" s="31">
        <f>IF(BB309="Stage 2",20,IF(BB309="Stage 1",0,IF(BB309="Stage 3",5,IF(BB309="Stage 4",-5,0))))</f>
        <v/>
      </c>
      <c r="BD309" s="31" t="inlineStr">
        <is>
          <t>Positive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More than 20%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No</t>
        </is>
      </c>
      <c r="BS309" s="31">
        <f>IF(BR309="NO",5,0)</f>
        <v/>
      </c>
      <c r="BT309" s="31" t="inlineStr">
        <is>
          <t>Between 1.5 to 2</t>
        </is>
      </c>
      <c r="BU309" s="31">
        <f>IF(BT309="Above 2",0,IF(BT309="Between 1.5 to 2",5,IF(BT309="Less than 1.5",10,0)))</f>
        <v/>
      </c>
      <c r="BV309" s="31" t="inlineStr">
        <is>
          <t>Less than 50% and Borrowings are increasing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More than 1.2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IF(B310=0,"",RANK(B310,$B$2:$B$343,0))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3" t="inlineStr">
        <is>
          <t>TMPV</t>
        </is>
      </c>
      <c r="D310" s="33" t="inlineStr">
        <is>
          <t>Tata Motors Passenger Vehicles Ltd</t>
        </is>
      </c>
      <c r="E310" s="31" t="inlineStr">
        <is>
          <t>auto</t>
        </is>
      </c>
      <c r="F310" s="31" t="inlineStr">
        <is>
          <t>automobiles - passenger cars</t>
        </is>
      </c>
      <c r="G310" s="31" t="inlineStr">
        <is>
          <t>largecap</t>
        </is>
      </c>
      <c r="H310" s="32" t="n">
        <v>145969.45</v>
      </c>
      <c r="I310" s="32" t="n">
        <v>393.6</v>
      </c>
      <c r="J310" s="32" t="n">
        <v>-0.71</v>
      </c>
      <c r="K310" s="32" t="n">
        <v>6432360</v>
      </c>
      <c r="L310" s="31" t="n">
        <v>1</v>
      </c>
      <c r="M310" s="31" t="inlineStr">
        <is>
          <t>Underperforming</t>
        </is>
      </c>
      <c r="N310" s="32">
        <f>IF(M310="Underperforming",-5,IF(L310&gt;=95,15,IF(L310&gt;=90,10,IF(L310&gt;=80,5,0))))</f>
        <v/>
      </c>
      <c r="O310" s="32" t="n">
        <v>52.3</v>
      </c>
      <c r="P310" s="32" t="n">
        <v>21.6</v>
      </c>
      <c r="Q310" s="32" t="n">
        <v>313.71</v>
      </c>
      <c r="R310" s="31" t="inlineStr">
        <is>
          <t>Earnings / Momentum Support</t>
        </is>
      </c>
      <c r="S310" s="31" t="inlineStr">
        <is>
          <t>Nifty Auto</t>
        </is>
      </c>
      <c r="T310" s="32" t="n">
        <v>13.57</v>
      </c>
      <c r="U310" s="32" t="n">
        <v>-41.79</v>
      </c>
      <c r="V310" s="32" t="n">
        <v>-48.75</v>
      </c>
      <c r="W310" s="32" t="n">
        <v>-1.17</v>
      </c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Tailwind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No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20 to 40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1</t>
        </is>
      </c>
      <c r="BC310" s="31">
        <f>IF(BB310="Stage 2",20,IF(BB310="Stage 1",0,IF(BB310="Stage 3",5,IF(BB310="Stage 4",-5,0))))</f>
        <v/>
      </c>
      <c r="BD310" s="31" t="inlineStr">
        <is>
          <t>Positive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Less than 12%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No</t>
        </is>
      </c>
      <c r="BS310" s="31">
        <f>IF(BR310="NO",5,0)</f>
        <v/>
      </c>
      <c r="BT310" s="31" t="inlineStr">
        <is>
          <t>Above 2</t>
        </is>
      </c>
      <c r="BU310" s="31">
        <f>IF(BT310="Above 2",0,IF(BT310="Between 1.5 to 2",5,IF(BT310="Less than 1.5",10,0)))</f>
        <v/>
      </c>
      <c r="BV310" s="31" t="inlineStr">
        <is>
          <t>Less than 50%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Less than 0.7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IF(B311=0,"",RANK(B311,$B$2:$B$343,0))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3" t="inlineStr">
        <is>
          <t>MEDANTA</t>
        </is>
      </c>
      <c r="D311" s="33" t="inlineStr">
        <is>
          <t>Global Health Ltd</t>
        </is>
      </c>
      <c r="E311" s="31" t="inlineStr">
        <is>
          <t>healthcare</t>
        </is>
      </c>
      <c r="F311" s="31" t="inlineStr">
        <is>
          <t>healthcare</t>
        </is>
      </c>
      <c r="G311" s="31" t="inlineStr">
        <is>
          <t>largecap</t>
        </is>
      </c>
      <c r="H311" s="32" t="n">
        <v>32789.74</v>
      </c>
      <c r="I311" s="32" t="n">
        <v>1236.1</v>
      </c>
      <c r="J311" s="32" t="n">
        <v>1.33</v>
      </c>
      <c r="K311" s="32" t="n">
        <v>633012</v>
      </c>
      <c r="L311" s="31" t="n">
        <v>25</v>
      </c>
      <c r="M311" s="31" t="inlineStr">
        <is>
          <t>Underperforming</t>
        </is>
      </c>
      <c r="N311" s="32">
        <f>IF(M311="Underperforming",-5,IF(L311&gt;=95,15,IF(L311&gt;=90,10,IF(L311&gt;=80,5,0))))</f>
        <v/>
      </c>
      <c r="O311" s="32" t="n">
        <v>57.8</v>
      </c>
      <c r="P311" s="32" t="n">
        <v>18.38</v>
      </c>
      <c r="Q311" s="32" t="n">
        <v>1015.22</v>
      </c>
      <c r="R311" s="31" t="inlineStr">
        <is>
          <t>Earnings / Momentum Support</t>
        </is>
      </c>
      <c r="S311" s="31" t="inlineStr">
        <is>
          <t>Nifty Pharma</t>
        </is>
      </c>
      <c r="T311" s="32" t="n">
        <v>11.77</v>
      </c>
      <c r="U311" s="32" t="n">
        <v>9.279999999999999</v>
      </c>
      <c r="V311" s="32" t="n">
        <v>-2.23</v>
      </c>
      <c r="W311" s="32" t="n">
        <v>7.58</v>
      </c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Yes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No</t>
        </is>
      </c>
      <c r="AQ311" s="31">
        <f>IF(AP311="Yes",10,0)</f>
        <v/>
      </c>
      <c r="AR311" s="31" t="inlineStr">
        <is>
          <t>Higher Annuity, Lower One Time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0 to 20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2</t>
        </is>
      </c>
      <c r="BC311" s="31">
        <f>IF(BB311="Stage 2",20,IF(BB311="Stage 1",0,IF(BB311="Stage 3",5,IF(BB311="Stage 4",-5,0))))</f>
        <v/>
      </c>
      <c r="BD311" s="31" t="inlineStr">
        <is>
          <t>Negative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More than 20%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Yes</t>
        </is>
      </c>
      <c r="BS311" s="31">
        <f>IF(BR311="NO",5,0)</f>
        <v/>
      </c>
      <c r="BT311" s="31" t="inlineStr">
        <is>
          <t>Less than 1.5</t>
        </is>
      </c>
      <c r="BU311" s="31">
        <f>IF(BT311="Above 2",0,IF(BT311="Between 1.5 to 2",5,IF(BT311="Less than 1.5",10,0)))</f>
        <v/>
      </c>
      <c r="BV311" s="31" t="inlineStr">
        <is>
          <t>Above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Less than 0.7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IF(B312=0,"",RANK(B312,$B$2:$B$343,0))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1" t="inlineStr">
        <is>
          <t>SIMPLEXINF</t>
        </is>
      </c>
      <c r="D312" s="31" t="inlineStr">
        <is>
          <t>Simplex Infrastructures Limited</t>
        </is>
      </c>
      <c r="E312" s="31" t="inlineStr">
        <is>
          <t>realty</t>
        </is>
      </c>
      <c r="F312" s="31" t="inlineStr">
        <is>
          <t>construction</t>
        </is>
      </c>
      <c r="G312" s="31" t="inlineStr">
        <is>
          <t>smallcap</t>
        </is>
      </c>
      <c r="H312" s="32" t="n">
        <v>2035.52</v>
      </c>
      <c r="I312" s="32" t="n">
        <v>277.9</v>
      </c>
      <c r="J312" s="32" t="n">
        <v>7.99</v>
      </c>
      <c r="K312" s="32" t="n">
        <v>560734</v>
      </c>
      <c r="L312" s="31" t="n">
        <v>70</v>
      </c>
      <c r="M312" s="31" t="inlineStr">
        <is>
          <t>Outperforming</t>
        </is>
      </c>
      <c r="N312" s="32">
        <f>IF(M312="Underperforming",-5,IF(L312&gt;=95,15,IF(L312&gt;=90,10,IF(L312&gt;=80,5,0))))</f>
        <v/>
      </c>
      <c r="O312" s="32" t="n">
        <v>61.06</v>
      </c>
      <c r="P312" s="32" t="n">
        <v>19.52</v>
      </c>
      <c r="Q312" s="32" t="n">
        <v>187.92</v>
      </c>
      <c r="R312" s="31" t="inlineStr">
        <is>
          <t>Earnings / Momentum Support</t>
        </is>
      </c>
      <c r="S312" s="31" t="inlineStr">
        <is>
          <t>Nifty Realty</t>
        </is>
      </c>
      <c r="T312" s="32" t="n">
        <v>-19.29</v>
      </c>
      <c r="U312" s="32" t="n">
        <v>3.29</v>
      </c>
      <c r="V312" s="32" t="n">
        <v>27.98</v>
      </c>
      <c r="W312" s="32" t="n">
        <v>19.72</v>
      </c>
      <c r="X312" s="31" t="inlineStr">
        <is>
          <t>Growing Industry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Tailwind</t>
        </is>
      </c>
      <c r="AE312" s="31">
        <f>IF(AD312="Tailwind",10,0)</f>
        <v/>
      </c>
      <c r="AF312" s="31" t="inlineStr">
        <is>
          <t>Structural (10 Years Consistency)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Stable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No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0 to 20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2</t>
        </is>
      </c>
      <c r="BC312" s="31">
        <f>IF(BB312="Stage 2",20,IF(BB312="Stage 1",0,IF(BB312="Stage 3",5,IF(BB312="Stage 4",-5,0))))</f>
        <v/>
      </c>
      <c r="BD312" s="31" t="inlineStr">
        <is>
          <t>Positive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Less than 12%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Yes</t>
        </is>
      </c>
      <c r="BS312" s="31">
        <f>IF(BR312="NO",5,0)</f>
        <v/>
      </c>
      <c r="BT312" s="31" t="inlineStr">
        <is>
          <t>Above 2</t>
        </is>
      </c>
      <c r="BU312" s="31">
        <f>IF(BT312="Above 2",0,IF(BT312="Between 1.5 to 2",5,IF(BT312="Less than 1.5",10,0)))</f>
        <v/>
      </c>
      <c r="BV312" s="31" t="inlineStr">
        <is>
          <t>Above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More than 1.2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IF(B313=0,"",RANK(B313,$B$2:$B$343,0))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1" t="inlineStr">
        <is>
          <t>MAXESTATES</t>
        </is>
      </c>
      <c r="D313" s="31" t="inlineStr">
        <is>
          <t>Max Estates Ltd</t>
        </is>
      </c>
      <c r="E313" s="31" t="inlineStr">
        <is>
          <t>realty</t>
        </is>
      </c>
      <c r="F313" s="31" t="inlineStr">
        <is>
          <t>construction</t>
        </is>
      </c>
      <c r="G313" s="31" t="inlineStr">
        <is>
          <t>midcap</t>
        </is>
      </c>
      <c r="H313" s="32" t="n">
        <v>7132.76</v>
      </c>
      <c r="I313" s="32" t="n">
        <v>456.65</v>
      </c>
      <c r="J313" s="32" t="n">
        <v>4.64</v>
      </c>
      <c r="K313" s="32" t="n">
        <v>102491</v>
      </c>
      <c r="L313" s="31" t="n">
        <v>9</v>
      </c>
      <c r="M313" s="31" t="inlineStr">
        <is>
          <t>Outperforming</t>
        </is>
      </c>
      <c r="N313" s="32">
        <f>IF(M313="Underperforming",-5,IF(L313&gt;=95,15,IF(L313&gt;=90,10,IF(L313&gt;=80,5,0))))</f>
        <v/>
      </c>
      <c r="O313" s="32" t="n">
        <v>60.1</v>
      </c>
      <c r="P313" s="32" t="n">
        <v>14.25</v>
      </c>
      <c r="Q313" s="32" t="n">
        <v>353.25</v>
      </c>
      <c r="R313" s="31" t="inlineStr">
        <is>
          <t>Earnings / Momentum Support</t>
        </is>
      </c>
      <c r="S313" s="31" t="inlineStr">
        <is>
          <t>Nifty Realty</t>
        </is>
      </c>
      <c r="T313" s="32" t="n">
        <v>-19.29</v>
      </c>
      <c r="U313" s="32" t="n">
        <v>-8.84</v>
      </c>
      <c r="V313" s="32" t="n">
        <v>12.95</v>
      </c>
      <c r="W313" s="32" t="n">
        <v>3.84</v>
      </c>
      <c r="X313" s="31" t="inlineStr">
        <is>
          <t>Growing Industry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Structural (10 Years Consistency)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Stable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No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0 to 20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2</t>
        </is>
      </c>
      <c r="BC313" s="31">
        <f>IF(BB313="Stage 2",20,IF(BB313="Stage 1",0,IF(BB313="Stage 3",5,IF(BB313="Stage 4",-5,0))))</f>
        <v/>
      </c>
      <c r="BD313" s="31" t="inlineStr">
        <is>
          <t>Positive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More than 20%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Yes</t>
        </is>
      </c>
      <c r="BS313" s="31">
        <f>IF(BR313="NO",5,0)</f>
        <v/>
      </c>
      <c r="BT313" s="31" t="inlineStr">
        <is>
          <t>Above 2</t>
        </is>
      </c>
      <c r="BU313" s="31">
        <f>IF(BT313="Above 2",0,IF(BT313="Between 1.5 to 2",5,IF(BT313="Less than 1.5",10,0)))</f>
        <v/>
      </c>
      <c r="BV313" s="31" t="inlineStr">
        <is>
          <t>Negative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Between 0.7 to 1.2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IF(B314=0,"",RANK(B314,$B$2:$B$343,0))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1" t="inlineStr">
        <is>
          <t>PYRAMID</t>
        </is>
      </c>
      <c r="D314" s="31" t="inlineStr">
        <is>
          <t>Pyramid Technoplast Ltd</t>
        </is>
      </c>
      <c r="E314" s="31" t="inlineStr">
        <is>
          <t>industrials</t>
        </is>
      </c>
      <c r="F314" s="31" t="inlineStr">
        <is>
          <t>packaging</t>
        </is>
      </c>
      <c r="G314" s="31" t="inlineStr">
        <is>
          <t>smallcap</t>
        </is>
      </c>
      <c r="H314" s="32" t="n">
        <v>618.02</v>
      </c>
      <c r="I314" s="32" t="n">
        <v>173.33</v>
      </c>
      <c r="J314" s="32" t="n">
        <v>3.17</v>
      </c>
      <c r="K314" s="32" t="n">
        <v>38615</v>
      </c>
      <c r="L314" s="31" t="n">
        <v>7</v>
      </c>
      <c r="M314" s="31" t="inlineStr">
        <is>
          <t>Outperforming</t>
        </is>
      </c>
      <c r="N314" s="32">
        <f>IF(M314="Underperforming",-5,IF(L314&gt;=95,15,IF(L314&gt;=90,10,IF(L314&gt;=80,5,0))))</f>
        <v/>
      </c>
      <c r="O314" s="32" t="n">
        <v>57.03</v>
      </c>
      <c r="P314" s="32" t="n">
        <v>14.7</v>
      </c>
      <c r="Q314" s="32" t="n">
        <v>134.47</v>
      </c>
      <c r="R314" s="31" t="inlineStr">
        <is>
          <t>Near 52W High Breakout</t>
        </is>
      </c>
      <c r="S314" s="31" t="inlineStr">
        <is>
          <t>Nifty 50</t>
        </is>
      </c>
      <c r="T314" s="32" t="n">
        <v>-4.47</v>
      </c>
      <c r="U314" s="32" t="n">
        <v>-2.86</v>
      </c>
      <c r="V314" s="32" t="n">
        <v>1.69</v>
      </c>
      <c r="W314" s="32" t="n">
        <v>3.4</v>
      </c>
      <c r="X314" s="31" t="inlineStr">
        <is>
          <t>Cyclical in an Upturn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Structural (10 Years Consistency)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Stable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Yes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0 to 20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2</t>
        </is>
      </c>
      <c r="BC314" s="31">
        <f>IF(BB314="Stage 2",20,IF(BB314="Stage 1",0,IF(BB314="Stage 3",5,IF(BB314="Stage 4",-5,0))))</f>
        <v/>
      </c>
      <c r="BD314" s="31" t="inlineStr">
        <is>
          <t>Negative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Close to 52 week high or retracement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More than 20%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No</t>
        </is>
      </c>
      <c r="BS314" s="31">
        <f>IF(BR314="NO",5,0)</f>
        <v/>
      </c>
      <c r="BT314" s="31" t="inlineStr">
        <is>
          <t>Less than 1.5</t>
        </is>
      </c>
      <c r="BU314" s="31">
        <f>IF(BT314="Above 2",0,IF(BT314="Between 1.5 to 2",5,IF(BT314="Less than 1.5",10,0)))</f>
        <v/>
      </c>
      <c r="BV314" s="31" t="inlineStr">
        <is>
          <t>Negative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Less than 0.7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IF(B315=0,"",RANK(B315,$B$2:$B$343,0))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3" t="inlineStr">
        <is>
          <t>KAMDHENU</t>
        </is>
      </c>
      <c r="D315" s="33" t="inlineStr">
        <is>
          <t>Kamdhenu Limited</t>
        </is>
      </c>
      <c r="E315" s="31" t="inlineStr">
        <is>
          <t>metals &amp; mining</t>
        </is>
      </c>
      <c r="F315" s="31" t="inlineStr">
        <is>
          <t>steel - medium / small</t>
        </is>
      </c>
      <c r="G315" s="31" t="inlineStr">
        <is>
          <t>smallcap</t>
        </is>
      </c>
      <c r="H315" s="32" t="n">
        <v>863.6900000000001</v>
      </c>
      <c r="I315" s="32" t="n">
        <v>31.2</v>
      </c>
      <c r="J315" s="32" t="n">
        <v>1.83</v>
      </c>
      <c r="K315" s="32" t="n">
        <v>3035150</v>
      </c>
      <c r="L315" s="31" t="n">
        <v>44</v>
      </c>
      <c r="M315" s="31" t="inlineStr">
        <is>
          <t>Underperforming</t>
        </is>
      </c>
      <c r="N315" s="32">
        <f>IF(M315="Underperforming",-5,IF(L315&gt;=95,15,IF(L315&gt;=90,10,IF(L315&gt;=80,5,0))))</f>
        <v/>
      </c>
      <c r="O315" s="32" t="n">
        <v>67.03</v>
      </c>
      <c r="P315" s="32" t="n">
        <v>19.78</v>
      </c>
      <c r="Q315" s="32" t="n">
        <v>22.6</v>
      </c>
      <c r="R315" s="31" t="inlineStr">
        <is>
          <t>Near 52W High Breakout</t>
        </is>
      </c>
      <c r="S315" s="31" t="inlineStr">
        <is>
          <t>Nifty Metal</t>
        </is>
      </c>
      <c r="T315" s="32" t="n">
        <v>40.96</v>
      </c>
      <c r="U315" s="32" t="n">
        <v>1.51</v>
      </c>
      <c r="V315" s="32" t="n">
        <v>-27.99</v>
      </c>
      <c r="W315" s="32" t="n">
        <v>12.22</v>
      </c>
      <c r="X315" s="31" t="inlineStr">
        <is>
          <t>Cyclical in an Upturn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No</t>
        </is>
      </c>
      <c r="AC315" s="31">
        <f>IF(AB315="No",5,0)</f>
        <v/>
      </c>
      <c r="AD315" s="31" t="inlineStr">
        <is>
          <t>Tailwind</t>
        </is>
      </c>
      <c r="AE315" s="31">
        <f>IF(AD315="Tailwind",10,0)</f>
        <v/>
      </c>
      <c r="AF315" s="31" t="inlineStr">
        <is>
          <t>Cyclical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Volatile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Yes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0 to 20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2</t>
        </is>
      </c>
      <c r="BC315" s="31">
        <f>IF(BB315="Stage 2",20,IF(BB315="Stage 1",0,IF(BB315="Stage 3",5,IF(BB315="Stage 4",-5,0))))</f>
        <v/>
      </c>
      <c r="BD315" s="31" t="inlineStr">
        <is>
          <t>Positive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Less than 12%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No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Between 50% to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Less than 0.7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IF(B316=0,"",RANK(B316,$B$2:$B$343,0))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3" t="inlineStr">
        <is>
          <t>IRISDOREME</t>
        </is>
      </c>
      <c r="D316" s="33" t="inlineStr">
        <is>
          <t>Iris Clothings Ltd</t>
        </is>
      </c>
      <c r="E316" s="31" t="inlineStr">
        <is>
          <t>consumer discretionary</t>
        </is>
      </c>
      <c r="F316" s="31" t="inlineStr">
        <is>
          <t>textiles - products</t>
        </is>
      </c>
      <c r="G316" s="31" t="inlineStr">
        <is>
          <t>smallcap</t>
        </is>
      </c>
      <c r="H316" s="32" t="n">
        <v>723.64</v>
      </c>
      <c r="I316" s="32" t="n">
        <v>37.97</v>
      </c>
      <c r="J316" s="32" t="n">
        <v>-0.13</v>
      </c>
      <c r="K316" s="32" t="n">
        <v>272807</v>
      </c>
      <c r="L316" s="31" t="n">
        <v>1</v>
      </c>
      <c r="M316" s="31" t="inlineStr">
        <is>
          <t>Underperforming</t>
        </is>
      </c>
      <c r="N316" s="32">
        <f>IF(M316="Underperforming",-5,IF(L316&gt;=95,15,IF(L316&gt;=90,10,IF(L316&gt;=80,5,0))))</f>
        <v/>
      </c>
      <c r="O316" s="32" t="n">
        <v>59.32</v>
      </c>
      <c r="P316" s="32" t="n">
        <v>16.18</v>
      </c>
      <c r="Q316" s="32" t="n">
        <v>27.38</v>
      </c>
      <c r="R316" s="31" t="inlineStr">
        <is>
          <t>Earnings / Momentum Support</t>
        </is>
      </c>
      <c r="S316" s="31" t="inlineStr">
        <is>
          <t>Nifty 50</t>
        </is>
      </c>
      <c r="T316" s="32" t="n">
        <v>-4.47</v>
      </c>
      <c r="U316" s="32" t="n">
        <v>-38.24</v>
      </c>
      <c r="V316" s="32" t="n">
        <v>-35.35</v>
      </c>
      <c r="W316" s="32" t="n">
        <v>0.86</v>
      </c>
      <c r="X316" s="31" t="inlineStr">
        <is>
          <t>Growing Industry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Headwind</t>
        </is>
      </c>
      <c r="AE316" s="31">
        <f>IF(AD316="Tailwind",10,0)</f>
        <v/>
      </c>
      <c r="AF316" s="31" t="inlineStr">
        <is>
          <t>Structural (10 Years Consistency)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Stable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No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0 to 20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2</t>
        </is>
      </c>
      <c r="BC316" s="31">
        <f>IF(BB316="Stage 2",20,IF(BB316="Stage 1",0,IF(BB316="Stage 3",5,IF(BB316="Stage 4",-5,0))))</f>
        <v/>
      </c>
      <c r="BD316" s="31" t="inlineStr">
        <is>
          <t>Positive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More than 20%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Yes</t>
        </is>
      </c>
      <c r="BS316" s="31">
        <f>IF(BR316="NO",5,0)</f>
        <v/>
      </c>
      <c r="BT316" s="31" t="inlineStr">
        <is>
          <t>Between 1.5 to 2</t>
        </is>
      </c>
      <c r="BU316" s="31">
        <f>IF(BT316="Above 2",0,IF(BT316="Between 1.5 to 2",5,IF(BT316="Less than 1.5",10,0)))</f>
        <v/>
      </c>
      <c r="BV316" s="31" t="inlineStr">
        <is>
          <t>Negative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Less than 0.7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IF(B317=0,"",RANK(B317,$B$2:$B$343,0))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1" t="inlineStr">
        <is>
          <t>GRASIM</t>
        </is>
      </c>
      <c r="D317" s="31" t="inlineStr">
        <is>
          <t>Grasim Industries Limited</t>
        </is>
      </c>
      <c r="E317" s="31" t="inlineStr">
        <is>
          <t>textiles</t>
        </is>
      </c>
      <c r="F317" s="31" t="inlineStr">
        <is>
          <t>textiles - manmade</t>
        </is>
      </c>
      <c r="G317" s="31" t="inlineStr">
        <is>
          <t>largecap</t>
        </is>
      </c>
      <c r="H317" s="32" t="n">
        <v>215369.72</v>
      </c>
      <c r="I317" s="32" t="n">
        <v>3140.3</v>
      </c>
      <c r="J317" s="32" t="n">
        <v>-0.76</v>
      </c>
      <c r="K317" s="32" t="n">
        <v>308307</v>
      </c>
      <c r="L317" s="31" t="n">
        <v>25</v>
      </c>
      <c r="M317" s="31" t="inlineStr">
        <is>
          <t>Outperforming</t>
        </is>
      </c>
      <c r="N317" s="32">
        <f>IF(M317="Underperforming",-5,IF(L317&gt;=95,15,IF(L317&gt;=90,10,IF(L317&gt;=80,5,0))))</f>
        <v/>
      </c>
      <c r="O317" s="32" t="n">
        <v>65.92</v>
      </c>
      <c r="P317" s="32" t="n">
        <v>24.02</v>
      </c>
      <c r="Q317" s="32" t="n">
        <v>2754.7</v>
      </c>
      <c r="R317" s="31" t="inlineStr">
        <is>
          <t>Near 52W High Breakout</t>
        </is>
      </c>
      <c r="S317" s="31" t="inlineStr">
        <is>
          <t>Nifty 50</t>
        </is>
      </c>
      <c r="T317" s="32" t="n">
        <v>-4.47</v>
      </c>
      <c r="U317" s="32" t="n">
        <v>16.19</v>
      </c>
      <c r="V317" s="32" t="n">
        <v>21.63</v>
      </c>
      <c r="W317" s="32" t="n">
        <v>7.46</v>
      </c>
      <c r="X317" s="31" t="inlineStr">
        <is>
          <t>Growing Industry</t>
        </is>
      </c>
      <c r="Y317" s="31">
        <f>IF(X317="Growing Industry",10,IF(X317="Cyclical in an Upturn",5,0))</f>
        <v/>
      </c>
      <c r="Z317" s="31" t="inlineStr">
        <is>
          <t>Too Many Players with High ROCE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No</t>
        </is>
      </c>
      <c r="AC317" s="31">
        <f>IF(AB317="No",5,0)</f>
        <v/>
      </c>
      <c r="AD317" s="31" t="inlineStr">
        <is>
          <t>Tailwind</t>
        </is>
      </c>
      <c r="AE317" s="31">
        <f>IF(AD317="Tailwind",10,0)</f>
        <v/>
      </c>
      <c r="AF317" s="31" t="inlineStr">
        <is>
          <t>Structural (10 Years Consistency)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Stable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Yes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20 to 40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2</t>
        </is>
      </c>
      <c r="BC317" s="31">
        <f>IF(BB317="Stage 2",20,IF(BB317="Stage 1",0,IF(BB317="Stage 3",5,IF(BB317="Stage 4",-5,0))))</f>
        <v/>
      </c>
      <c r="BD317" s="31" t="inlineStr">
        <is>
          <t>Negative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Blue sky scenario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More than 20%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Yes</t>
        </is>
      </c>
      <c r="BS317" s="31">
        <f>IF(BR317="NO",5,0)</f>
        <v/>
      </c>
      <c r="BT317" s="31" t="inlineStr">
        <is>
          <t>Less than 1.5</t>
        </is>
      </c>
      <c r="BU317" s="31">
        <f>IF(BT317="Above 2",0,IF(BT317="Between 1.5 to 2",5,IF(BT317="Less than 1.5",10,0)))</f>
        <v/>
      </c>
      <c r="BV317" s="31" t="inlineStr">
        <is>
          <t>Negative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More than 1.2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IF(B318=0,"",RANK(B318,$B$2:$B$343,0))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1" t="inlineStr">
        <is>
          <t>EIFFL</t>
        </is>
      </c>
      <c r="D318" s="31" t="inlineStr">
        <is>
          <t>Euro India Fresh Foods Ltd</t>
        </is>
      </c>
      <c r="E318" s="31" t="inlineStr">
        <is>
          <t>fmcg</t>
        </is>
      </c>
      <c r="F318" s="31" t="inlineStr">
        <is>
          <t>food - processing - indian</t>
        </is>
      </c>
      <c r="G318" s="31" t="inlineStr">
        <is>
          <t>smallcap</t>
        </is>
      </c>
      <c r="H318" s="32" t="n">
        <v>607</v>
      </c>
      <c r="I318" s="32" t="n">
        <v>248.81</v>
      </c>
      <c r="J318" s="32" t="n">
        <v>1.65</v>
      </c>
      <c r="K318" s="32" t="n">
        <v>19319</v>
      </c>
      <c r="L318" s="31" t="n">
        <v>13</v>
      </c>
      <c r="M318" s="31" t="inlineStr">
        <is>
          <t>Outperforming</t>
        </is>
      </c>
      <c r="N318" s="32">
        <f>IF(M318="Underperforming",-5,IF(L318&gt;=95,15,IF(L318&gt;=90,10,IF(L318&gt;=80,5,0))))</f>
        <v/>
      </c>
      <c r="O318" s="32" t="n">
        <v>55.88</v>
      </c>
      <c r="P318" s="32" t="n">
        <v>10.63</v>
      </c>
      <c r="Q318" s="32" t="n">
        <v>189.4</v>
      </c>
      <c r="R318" s="31" t="inlineStr">
        <is>
          <t>Earnings / Momentum Support</t>
        </is>
      </c>
      <c r="S318" s="31" t="inlineStr">
        <is>
          <t>Nifty FMCG</t>
        </is>
      </c>
      <c r="T318" s="32" t="n">
        <v>-9.130000000000001</v>
      </c>
      <c r="U318" s="32" t="n">
        <v>16.24</v>
      </c>
      <c r="V318" s="32" t="n">
        <v>27.92</v>
      </c>
      <c r="W318" s="32" t="n">
        <v>4.59</v>
      </c>
      <c r="X318" s="31" t="inlineStr">
        <is>
          <t>Growing Industry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Headwind</t>
        </is>
      </c>
      <c r="AE318" s="31">
        <f>IF(AD318="Tailwind",10,0)</f>
        <v/>
      </c>
      <c r="AF318" s="31" t="inlineStr">
        <is>
          <t>Structural (10 Years Consistency)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B2C</t>
        </is>
      </c>
      <c r="AO318" s="31">
        <f>IF(AN318="B2C",10,IF(AN318="B2B",5,0))</f>
        <v/>
      </c>
      <c r="AP318" s="31" t="inlineStr">
        <is>
          <t>No</t>
        </is>
      </c>
      <c r="AQ318" s="31">
        <f>IF(AP318="Yes",10,0)</f>
        <v/>
      </c>
      <c r="AR318" s="31" t="inlineStr">
        <is>
          <t>Higher Annuity, Lower One Time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0 to 20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1</t>
        </is>
      </c>
      <c r="BC318" s="31">
        <f>IF(BB318="Stage 2",20,IF(BB318="Stage 1",0,IF(BB318="Stage 3",5,IF(BB318="Stage 4",-5,0))))</f>
        <v/>
      </c>
      <c r="BD318" s="31" t="inlineStr">
        <is>
          <t>Positive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More than 20%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Yes</t>
        </is>
      </c>
      <c r="BS318" s="31">
        <f>IF(BR318="NO",5,0)</f>
        <v/>
      </c>
      <c r="BT318" s="31" t="inlineStr">
        <is>
          <t>Between 1.5 to 2</t>
        </is>
      </c>
      <c r="BU318" s="31">
        <f>IF(BT318="Above 2",0,IF(BT318="Between 1.5 to 2",5,IF(BT318="Less than 1.5",10,0)))</f>
        <v/>
      </c>
      <c r="BV318" s="31" t="inlineStr">
        <is>
          <t>Between 50% to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Between 0.7 to 1.2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IF(B319=0,"",RANK(B319,$B$2:$B$343,0))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3" t="inlineStr">
        <is>
          <t>KOVAI</t>
        </is>
      </c>
      <c r="D319" s="33" t="inlineStr">
        <is>
          <t>Kovai Medical Center &amp; Hospital Ltd</t>
        </is>
      </c>
      <c r="E319" s="31" t="inlineStr">
        <is>
          <t>healthcare</t>
        </is>
      </c>
      <c r="F319" s="31" t="inlineStr">
        <is>
          <t>healthcare</t>
        </is>
      </c>
      <c r="G319" s="31" t="inlineStr">
        <is>
          <t>midcap</t>
        </is>
      </c>
      <c r="H319" s="32" t="n">
        <v>6318.61</v>
      </c>
      <c r="I319" s="32" t="n">
        <v>5794.5</v>
      </c>
      <c r="J319" s="32" t="n">
        <v>0.35</v>
      </c>
      <c r="K319" s="32" t="n">
        <v>1926</v>
      </c>
      <c r="L319" s="31" t="n">
        <v>6</v>
      </c>
      <c r="M319" s="31" t="inlineStr">
        <is>
          <t>Underperforming</t>
        </is>
      </c>
      <c r="N319" s="32">
        <f>IF(M319="Underperforming",-5,IF(L319&gt;=95,15,IF(L319&gt;=90,10,IF(L319&gt;=80,5,0))))</f>
        <v/>
      </c>
      <c r="O319" s="32" t="n">
        <v>58.17</v>
      </c>
      <c r="P319" s="32" t="n">
        <v>18.2</v>
      </c>
      <c r="Q319" s="32" t="n">
        <v>4841.67</v>
      </c>
      <c r="R319" s="31" t="inlineStr">
        <is>
          <t>Earnings / Momentum Support</t>
        </is>
      </c>
      <c r="S319" s="31" t="inlineStr">
        <is>
          <t>Nifty Pharma</t>
        </is>
      </c>
      <c r="T319" s="32" t="n">
        <v>11.77</v>
      </c>
      <c r="U319" s="32" t="n">
        <v>2.83</v>
      </c>
      <c r="V319" s="32" t="n">
        <v>-8</v>
      </c>
      <c r="W319" s="32" t="n">
        <v>2.99</v>
      </c>
      <c r="X319" s="31" t="inlineStr">
        <is>
          <t>Growing Industry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Yes</t>
        </is>
      </c>
      <c r="AC319" s="31">
        <f>IF(AB319="No",5,0)</f>
        <v/>
      </c>
      <c r="AD319" s="31" t="inlineStr">
        <is>
          <t>Headwind</t>
        </is>
      </c>
      <c r="AE319" s="31">
        <f>IF(AD319="Tailwind",10,0)</f>
        <v/>
      </c>
      <c r="AF319" s="31" t="inlineStr">
        <is>
          <t>Structural (10 Years Consistency)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Stable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No</t>
        </is>
      </c>
      <c r="AQ319" s="31">
        <f>IF(AP319="Yes",10,0)</f>
        <v/>
      </c>
      <c r="AR319" s="31" t="inlineStr">
        <is>
          <t>Higher Annuity, Lower One Time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0 to 20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1</t>
        </is>
      </c>
      <c r="BC319" s="31">
        <f>IF(BB319="Stage 2",20,IF(BB319="Stage 1",0,IF(BB319="Stage 3",5,IF(BB319="Stage 4",-5,0))))</f>
        <v/>
      </c>
      <c r="BD319" s="31" t="inlineStr">
        <is>
          <t>Positive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Between 12 to 20%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No</t>
        </is>
      </c>
      <c r="BS319" s="31">
        <f>IF(BR319="NO",5,0)</f>
        <v/>
      </c>
      <c r="BT319" s="31" t="inlineStr">
        <is>
          <t>Between 1.5 to 2</t>
        </is>
      </c>
      <c r="BU319" s="31">
        <f>IF(BT319="Above 2",0,IF(BT319="Between 1.5 to 2",5,IF(BT319="Less than 1.5",10,0)))</f>
        <v/>
      </c>
      <c r="BV319" s="31" t="inlineStr">
        <is>
          <t>Above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Less than 0.7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IF(B320=0,"",RANK(B320,$B$2:$B$343,0))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1" t="inlineStr">
        <is>
          <t>BIOCON</t>
        </is>
      </c>
      <c r="D320" s="31" t="inlineStr">
        <is>
          <t>Biocon Limited</t>
        </is>
      </c>
      <c r="E320" s="31" t="inlineStr">
        <is>
          <t>healthcare</t>
        </is>
      </c>
      <c r="F320" s="31" t="inlineStr">
        <is>
          <t>pharmaceuticals - indian - bulk drugs &amp; formln</t>
        </is>
      </c>
      <c r="G320" s="31" t="inlineStr">
        <is>
          <t>largecap</t>
        </is>
      </c>
      <c r="H320" s="32" t="n">
        <v>67437.87</v>
      </c>
      <c r="I320" s="32" t="n">
        <v>416.45</v>
      </c>
      <c r="J320" s="32" t="n">
        <v>0.1</v>
      </c>
      <c r="K320" s="32" t="n">
        <v>2806167</v>
      </c>
      <c r="L320" s="31" t="n">
        <v>17</v>
      </c>
      <c r="M320" s="31" t="inlineStr">
        <is>
          <t>Outperforming</t>
        </is>
      </c>
      <c r="N320" s="32">
        <f>IF(M320="Underperforming",-5,IF(L320&gt;=95,15,IF(L320&gt;=90,10,IF(L320&gt;=80,5,0))))</f>
        <v/>
      </c>
      <c r="O320" s="32" t="n">
        <v>60.37</v>
      </c>
      <c r="P320" s="32" t="n">
        <v>19.97</v>
      </c>
      <c r="Q320" s="32" t="n">
        <v>362.69</v>
      </c>
      <c r="R320" s="31" t="inlineStr">
        <is>
          <t>Near 52W High Breakout</t>
        </is>
      </c>
      <c r="S320" s="31" t="inlineStr">
        <is>
          <t>Nifty Pharma</t>
        </is>
      </c>
      <c r="T320" s="32" t="n">
        <v>11.77</v>
      </c>
      <c r="U320" s="32" t="n">
        <v>18.69</v>
      </c>
      <c r="V320" s="32" t="n">
        <v>6.18</v>
      </c>
      <c r="W320" s="32" t="n">
        <v>5.48</v>
      </c>
      <c r="X320" s="31" t="inlineStr">
        <is>
          <t>Growing Industry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Yes</t>
        </is>
      </c>
      <c r="AC320" s="31">
        <f>IF(AB320="No",5,0)</f>
        <v/>
      </c>
      <c r="AD320" s="31" t="inlineStr">
        <is>
          <t>Tailwind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Yes</t>
        </is>
      </c>
      <c r="AQ320" s="31">
        <f>IF(AP320="Yes",10,0)</f>
        <v/>
      </c>
      <c r="AR320" s="31" t="inlineStr">
        <is>
          <t>Higher Annuity, Lower One Time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0 to 20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2</t>
        </is>
      </c>
      <c r="BC320" s="31">
        <f>IF(BB320="Stage 2",20,IF(BB320="Stage 1",0,IF(BB320="Stage 3",5,IF(BB320="Stage 4",-5,0))))</f>
        <v/>
      </c>
      <c r="BD320" s="31" t="inlineStr">
        <is>
          <t>Negative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Blue sky scenario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Less than 12%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Yes</t>
        </is>
      </c>
      <c r="BS320" s="31">
        <f>IF(BR320="NO",5,0)</f>
        <v/>
      </c>
      <c r="BT320" s="31" t="inlineStr">
        <is>
          <t>Above 2</t>
        </is>
      </c>
      <c r="BU320" s="31">
        <f>IF(BT320="Above 2",0,IF(BT320="Between 1.5 to 2",5,IF(BT320="Less than 1.5",10,0)))</f>
        <v/>
      </c>
      <c r="BV320" s="31" t="inlineStr">
        <is>
          <t>Between 50% to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Less than 0.7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IF(B321=0,"",RANK(B321,$B$2:$B$343,0))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1" t="inlineStr">
        <is>
          <t>SGIL</t>
        </is>
      </c>
      <c r="D321" s="31" t="inlineStr">
        <is>
          <t>Synergy Green Industries Ltd</t>
        </is>
      </c>
      <c r="E321" s="31" t="inlineStr">
        <is>
          <t>industrials</t>
        </is>
      </c>
      <c r="F321" s="31" t="inlineStr">
        <is>
          <t>castings &amp; forgings</t>
        </is>
      </c>
      <c r="G321" s="31" t="inlineStr">
        <is>
          <t>smallcap</t>
        </is>
      </c>
      <c r="H321" s="32" t="n">
        <v>875.38</v>
      </c>
      <c r="I321" s="32" t="n">
        <v>572.4</v>
      </c>
      <c r="J321" s="32" t="n">
        <v>1.63</v>
      </c>
      <c r="K321" s="32" t="n">
        <v>14451</v>
      </c>
      <c r="L321" s="31" t="n">
        <v>8</v>
      </c>
      <c r="M321" s="31" t="inlineStr">
        <is>
          <t>Outperforming</t>
        </is>
      </c>
      <c r="N321" s="32">
        <f>IF(M321="Underperforming",-5,IF(L321&gt;=95,15,IF(L321&gt;=90,10,IF(L321&gt;=80,5,0))))</f>
        <v/>
      </c>
      <c r="O321" s="32" t="n">
        <v>57.68</v>
      </c>
      <c r="P321" s="32" t="n">
        <v>19.84</v>
      </c>
      <c r="Q321" s="32" t="n">
        <v>432.9</v>
      </c>
      <c r="R321" s="31" t="inlineStr">
        <is>
          <t>Near 52W High Breakout</t>
        </is>
      </c>
      <c r="S321" s="31" t="inlineStr">
        <is>
          <t>Nifty 50</t>
        </is>
      </c>
      <c r="T321" s="32" t="n">
        <v>-4.47</v>
      </c>
      <c r="U321" s="32" t="n">
        <v>3.43</v>
      </c>
      <c r="V321" s="32" t="n">
        <v>8.27</v>
      </c>
      <c r="W321" s="32" t="n">
        <v>3.78</v>
      </c>
      <c r="X321" s="31" t="inlineStr">
        <is>
          <t>Cyclical in an Upturn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Tailwind</t>
        </is>
      </c>
      <c r="AE321" s="31">
        <f>IF(AD321="Tailwind",10,0)</f>
        <v/>
      </c>
      <c r="AF321" s="31" t="inlineStr">
        <is>
          <t>Structural (10 Years Consistency)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Yes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0 to 20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2</t>
        </is>
      </c>
      <c r="BC321" s="31">
        <f>IF(BB321="Stage 2",20,IF(BB321="Stage 1",0,IF(BB321="Stage 3",5,IF(BB321="Stage 4",-5,0))))</f>
        <v/>
      </c>
      <c r="BD321" s="31" t="inlineStr">
        <is>
          <t>Positive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Blue sky scenario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Less than 12%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Yes</t>
        </is>
      </c>
      <c r="BS321" s="31">
        <f>IF(BR321="NO",5,0)</f>
        <v/>
      </c>
      <c r="BT321" s="31" t="inlineStr">
        <is>
          <t>Above 2</t>
        </is>
      </c>
      <c r="BU321" s="31">
        <f>IF(BT321="Above 2",0,IF(BT321="Between 1.5 to 2",5,IF(BT321="Less than 1.5",10,0)))</f>
        <v/>
      </c>
      <c r="BV321" s="31" t="inlineStr">
        <is>
          <t>Less than 50% and Borrowings are increasing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More than 1.2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IF(B322=0,"",RANK(B322,$B$2:$B$343,0))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1" t="inlineStr">
        <is>
          <t>ITI</t>
        </is>
      </c>
      <c r="D322" s="31" t="inlineStr">
        <is>
          <t>Iti Limited</t>
        </is>
      </c>
      <c r="E322" s="31" t="inlineStr">
        <is>
          <t>aerospace &amp; defence</t>
        </is>
      </c>
      <c r="F322" s="31" t="inlineStr">
        <is>
          <t>telecommunications - equipment</t>
        </is>
      </c>
      <c r="G322" s="31" t="inlineStr">
        <is>
          <t>largecap</t>
        </is>
      </c>
      <c r="H322" s="32" t="n">
        <v>29054.06</v>
      </c>
      <c r="I322" s="32" t="n">
        <v>303.15</v>
      </c>
      <c r="J322" s="32" t="n">
        <v>0.46</v>
      </c>
      <c r="K322" s="32" t="n">
        <v>546786</v>
      </c>
      <c r="L322" s="31" t="n">
        <v>4</v>
      </c>
      <c r="M322" s="31" t="inlineStr">
        <is>
          <t>Outperforming</t>
        </is>
      </c>
      <c r="N322" s="32">
        <f>IF(M322="Underperforming",-5,IF(L322&gt;=95,15,IF(L322&gt;=90,10,IF(L322&gt;=80,5,0))))</f>
        <v/>
      </c>
      <c r="O322" s="32" t="n">
        <v>55</v>
      </c>
      <c r="P322" s="32" t="n">
        <v>16.84</v>
      </c>
      <c r="Q322" s="32" t="n">
        <v>234.17</v>
      </c>
      <c r="R322" s="31" t="inlineStr">
        <is>
          <t>Earnings / Momentum Support</t>
        </is>
      </c>
      <c r="S322" s="31" t="inlineStr">
        <is>
          <t>Nifty 50</t>
        </is>
      </c>
      <c r="T322" s="32" t="n">
        <v>-4.47</v>
      </c>
      <c r="U322" s="32" t="n">
        <v>-2.1</v>
      </c>
      <c r="V322" s="32" t="n">
        <v>2.48</v>
      </c>
      <c r="W322" s="32" t="n">
        <v>2.34</v>
      </c>
      <c r="X322" s="31" t="inlineStr">
        <is>
          <t>Growing Industry</t>
        </is>
      </c>
      <c r="Y322" s="31">
        <f>IF(X322="Growing Industry",10,IF(X322="Cyclical in an Upturn",5,0))</f>
        <v/>
      </c>
      <c r="Z322" s="31" t="inlineStr">
        <is>
          <t>Oligopoly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Yes</t>
        </is>
      </c>
      <c r="AC322" s="31">
        <f>IF(AB322="No",5,0)</f>
        <v/>
      </c>
      <c r="AD322" s="31" t="inlineStr">
        <is>
          <t>Headwind</t>
        </is>
      </c>
      <c r="AE322" s="31">
        <f>IF(AD322="Tailwind",10,0)</f>
        <v/>
      </c>
      <c r="AF322" s="31" t="inlineStr">
        <is>
          <t>Structural (10 Years Consistency)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Stable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No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0 to 20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2</t>
        </is>
      </c>
      <c r="BC322" s="31">
        <f>IF(BB322="Stage 2",20,IF(BB322="Stage 1",0,IF(BB322="Stage 3",5,IF(BB322="Stage 4",-5,0))))</f>
        <v/>
      </c>
      <c r="BD322" s="31" t="inlineStr">
        <is>
          <t>Positive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More than 20%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Yes</t>
        </is>
      </c>
      <c r="BS322" s="31">
        <f>IF(BR322="NO",5,0)</f>
        <v/>
      </c>
      <c r="BT322" s="31" t="inlineStr">
        <is>
          <t>Above 2</t>
        </is>
      </c>
      <c r="BU322" s="31">
        <f>IF(BT322="Above 2",0,IF(BT322="Between 1.5 to 2",5,IF(BT322="Less than 1.5",10,0)))</f>
        <v/>
      </c>
      <c r="BV322" s="31" t="inlineStr">
        <is>
          <t>Negative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Less than 0.7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IF(B323=0,"",RANK(B323,$B$2:$B$343,0))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3" t="inlineStr">
        <is>
          <t>MAITHANALL</t>
        </is>
      </c>
      <c r="D323" s="33" t="inlineStr">
        <is>
          <t>Maithan Alloys Limited</t>
        </is>
      </c>
      <c r="E323" s="31" t="inlineStr">
        <is>
          <t>metals &amp; mining</t>
        </is>
      </c>
      <c r="F323" s="31" t="inlineStr">
        <is>
          <t>mining / minerals / metals</t>
        </is>
      </c>
      <c r="G323" s="31" t="inlineStr">
        <is>
          <t>smallcap</t>
        </is>
      </c>
      <c r="H323" s="32" t="n">
        <v>3094.27</v>
      </c>
      <c r="I323" s="32" t="n">
        <v>1057.5</v>
      </c>
      <c r="J323" s="32" t="n">
        <v>-0.51</v>
      </c>
      <c r="K323" s="32" t="n">
        <v>100305</v>
      </c>
      <c r="L323" s="31" t="n">
        <v>4</v>
      </c>
      <c r="M323" s="31" t="inlineStr">
        <is>
          <t>Underperforming</t>
        </is>
      </c>
      <c r="N323" s="32">
        <f>IF(M323="Underperforming",-5,IF(L323&gt;=95,15,IF(L323&gt;=90,10,IF(L323&gt;=80,5,0))))</f>
        <v/>
      </c>
      <c r="O323" s="32" t="n">
        <v>56.08</v>
      </c>
      <c r="P323" s="32" t="n">
        <v>15.45</v>
      </c>
      <c r="Q323" s="32" t="n">
        <v>821.49</v>
      </c>
      <c r="R323" s="31" t="inlineStr">
        <is>
          <t>Earnings / Momentum Support</t>
        </is>
      </c>
      <c r="S323" s="31" t="inlineStr">
        <is>
          <t>Nifty Metal</t>
        </is>
      </c>
      <c r="T323" s="32" t="n">
        <v>40.96</v>
      </c>
      <c r="U323" s="32" t="n">
        <v>-5.61</v>
      </c>
      <c r="V323" s="32" t="n">
        <v>-33.04</v>
      </c>
      <c r="W323" s="32" t="n">
        <v>2.35</v>
      </c>
      <c r="X323" s="31" t="inlineStr">
        <is>
          <t>Cyclical in an Upturn</t>
        </is>
      </c>
      <c r="Y323" s="31">
        <f>IF(X323="Growing Industry",10,IF(X323="Cyclical in an Upturn",5,0))</f>
        <v/>
      </c>
      <c r="Z323" s="31" t="inlineStr">
        <is>
          <t>Too Many Players with High ROCE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Tailwind</t>
        </is>
      </c>
      <c r="AE323" s="31">
        <f>IF(AD323="Tailwind",10,0)</f>
        <v/>
      </c>
      <c r="AF323" s="31" t="inlineStr">
        <is>
          <t>Cyclical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Volatile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No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0 to 20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2</t>
        </is>
      </c>
      <c r="BC323" s="31">
        <f>IF(BB323="Stage 2",20,IF(BB323="Stage 1",0,IF(BB323="Stage 3",5,IF(BB323="Stage 4",-5,0))))</f>
        <v/>
      </c>
      <c r="BD323" s="31" t="inlineStr">
        <is>
          <t>Positive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Less than 12%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No</t>
        </is>
      </c>
      <c r="BS323" s="31">
        <f>IF(BR323="NO",5,0)</f>
        <v/>
      </c>
      <c r="BT323" s="31" t="inlineStr">
        <is>
          <t>Above 2</t>
        </is>
      </c>
      <c r="BU323" s="31">
        <f>IF(BT323="Above 2",0,IF(BT323="Between 1.5 to 2",5,IF(BT323="Less than 1.5",10,0)))</f>
        <v/>
      </c>
      <c r="BV323" s="31" t="inlineStr">
        <is>
          <t>Above 70%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IF(B324=0,"",RANK(B324,$B$2:$B$343,0))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1" t="inlineStr">
        <is>
          <t>GODAVARIB</t>
        </is>
      </c>
      <c r="D324" s="31" t="inlineStr">
        <is>
          <t>Godavari Biorefineries Ltd</t>
        </is>
      </c>
      <c r="E324" s="31" t="inlineStr">
        <is>
          <t>fmcg</t>
        </is>
      </c>
      <c r="F324" s="31" t="inlineStr">
        <is>
          <t>sugar</t>
        </is>
      </c>
      <c r="G324" s="31" t="inlineStr">
        <is>
          <t>smallcap</t>
        </is>
      </c>
      <c r="H324" s="32" t="n">
        <v>1455.44</v>
      </c>
      <c r="I324" s="32" t="n">
        <v>301.3</v>
      </c>
      <c r="J324" s="32" t="n">
        <v>5.94</v>
      </c>
      <c r="K324" s="32" t="n">
        <v>1110921</v>
      </c>
      <c r="L324" s="31" t="n">
        <v>3</v>
      </c>
      <c r="M324" s="31" t="inlineStr">
        <is>
          <t>Outperforming</t>
        </is>
      </c>
      <c r="N324" s="32">
        <f>IF(M324="Underperforming",-5,IF(L324&gt;=95,15,IF(L324&gt;=90,10,IF(L324&gt;=80,5,0))))</f>
        <v/>
      </c>
      <c r="O324" s="32" t="n">
        <v>52.72</v>
      </c>
      <c r="P324" s="32" t="n">
        <v>37.63</v>
      </c>
      <c r="Q324" s="32" t="n">
        <v>242</v>
      </c>
      <c r="R324" s="31" t="inlineStr">
        <is>
          <t>Earnings / Momentum Support</t>
        </is>
      </c>
      <c r="S324" s="31" t="inlineStr">
        <is>
          <t>Nifty FMCG</t>
        </is>
      </c>
      <c r="T324" s="32" t="n">
        <v>-9.130000000000001</v>
      </c>
      <c r="U324" s="32" t="n">
        <v>15.48</v>
      </c>
      <c r="V324" s="32" t="n">
        <v>27.09</v>
      </c>
      <c r="W324" s="32" t="n">
        <v>2.23</v>
      </c>
      <c r="X324" s="31" t="inlineStr">
        <is>
          <t>Growing Industry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Tailwind</t>
        </is>
      </c>
      <c r="AE324" s="31">
        <f>IF(AD324="Tailwind",10,0)</f>
        <v/>
      </c>
      <c r="AF324" s="31" t="inlineStr">
        <is>
          <t>Structural (10 Years Consistency)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Stable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B2C</t>
        </is>
      </c>
      <c r="AO324" s="31">
        <f>IF(AN324="B2C",10,IF(AN324="B2B",5,0))</f>
        <v/>
      </c>
      <c r="AP324" s="31" t="inlineStr">
        <is>
          <t>No</t>
        </is>
      </c>
      <c r="AQ324" s="31">
        <f>IF(AP324="Yes",10,0)</f>
        <v/>
      </c>
      <c r="AR324" s="31" t="inlineStr">
        <is>
          <t>Higher Annuity, Lower One Time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20 to 40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1</t>
        </is>
      </c>
      <c r="BC324" s="31">
        <f>IF(BB324="Stage 2",20,IF(BB324="Stage 1",0,IF(BB324="Stage 3",5,IF(BB324="Stage 4",-5,0))))</f>
        <v/>
      </c>
      <c r="BD324" s="31" t="inlineStr">
        <is>
          <t>Negative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Less than 12%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Yes</t>
        </is>
      </c>
      <c r="BS324" s="31">
        <f>IF(BR324="NO",5,0)</f>
        <v/>
      </c>
      <c r="BT324" s="31" t="inlineStr">
        <is>
          <t>Above 2</t>
        </is>
      </c>
      <c r="BU324" s="31">
        <f>IF(BT324="Above 2",0,IF(BT324="Between 1.5 to 2",5,IF(BT324="Less than 1.5",10,0)))</f>
        <v/>
      </c>
      <c r="BV324" s="31" t="inlineStr">
        <is>
          <t>Above 70%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IF(B325=0,"",RANK(B325,$B$2:$B$343,0))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3" t="inlineStr">
        <is>
          <t>SILVERTUC</t>
        </is>
      </c>
      <c r="D325" s="33" t="inlineStr">
        <is>
          <t>Silver Touch Technologies Ltd</t>
        </is>
      </c>
      <c r="E325" s="31" t="inlineStr">
        <is>
          <t>i.t</t>
        </is>
      </c>
      <c r="F325" s="31" t="inlineStr">
        <is>
          <t>computers - software - medium / small</t>
        </is>
      </c>
      <c r="G325" s="31" t="inlineStr">
        <is>
          <t>smallcap</t>
        </is>
      </c>
      <c r="H325" s="32" t="n">
        <v>2642.21</v>
      </c>
      <c r="I325" s="32" t="n">
        <v>198.08</v>
      </c>
      <c r="J325" s="32" t="n">
        <v>-4.93</v>
      </c>
      <c r="K325" s="32" t="n">
        <v>597686</v>
      </c>
      <c r="L325" s="31" t="n">
        <v>37</v>
      </c>
      <c r="M325" s="31" t="inlineStr">
        <is>
          <t>Underperforming</t>
        </is>
      </c>
      <c r="N325" s="32">
        <f>IF(M325="Underperforming",-5,IF(L325&gt;=95,15,IF(L325&gt;=90,10,IF(L325&gt;=80,5,0))))</f>
        <v/>
      </c>
      <c r="O325" s="32" t="n">
        <v>41.45</v>
      </c>
      <c r="P325" s="32" t="n">
        <v>39.89</v>
      </c>
      <c r="Q325" s="32" t="n">
        <v>83.52</v>
      </c>
      <c r="R325" s="31" t="inlineStr">
        <is>
          <t>Earnings / Momentum Support</t>
        </is>
      </c>
      <c r="S325" s="31" t="inlineStr">
        <is>
          <t>Nifty IT</t>
        </is>
      </c>
      <c r="T325" s="32" t="n">
        <v>-26.73</v>
      </c>
      <c r="U325" s="32" t="n">
        <v>-74.11</v>
      </c>
      <c r="V325" s="32" t="n">
        <v>-64.66</v>
      </c>
      <c r="W325" s="32" t="n">
        <v>9.699999999999999</v>
      </c>
      <c r="X325" s="31" t="inlineStr">
        <is>
          <t>Growing Industry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Headwind</t>
        </is>
      </c>
      <c r="AE325" s="31">
        <f>IF(AD325="Tailwind",10,0)</f>
        <v/>
      </c>
      <c r="AF325" s="31" t="inlineStr">
        <is>
          <t>Structural (10 Years Consistency)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Stable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No</t>
        </is>
      </c>
      <c r="AQ325" s="31">
        <f>IF(AP325="Yes",10,0)</f>
        <v/>
      </c>
      <c r="AR325" s="31" t="inlineStr">
        <is>
          <t>Higher Annuity, Lower One Time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20 to 40</t>
        </is>
      </c>
      <c r="AY325" s="31">
        <f>IF(AX325="Above 40",20,IF(AX325="20 to 40",10,IF(AX325="0 to 20",-5,0)))</f>
        <v/>
      </c>
      <c r="AZ325" s="31" t="inlineStr">
        <is>
          <t>Below 45</t>
        </is>
      </c>
      <c r="BA325" s="31">
        <f>IF(AZ325="Between 50 to 75",10,IF(AZ325="Above 75",0,0))</f>
        <v/>
      </c>
      <c r="BB325" s="31" t="inlineStr">
        <is>
          <t>Stage 4</t>
        </is>
      </c>
      <c r="BC325" s="31">
        <f>IF(BB325="Stage 2",20,IF(BB325="Stage 1",0,IF(BB325="Stage 3",5,IF(BB325="Stage 4",-5,0))))</f>
        <v/>
      </c>
      <c r="BD325" s="31" t="inlineStr">
        <is>
          <t>Positive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More than 20%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Yes</t>
        </is>
      </c>
      <c r="BS325" s="31">
        <f>IF(BR325="NO",5,0)</f>
        <v/>
      </c>
      <c r="BT325" s="31" t="inlineStr">
        <is>
          <t>Between 1.5 to 2</t>
        </is>
      </c>
      <c r="BU325" s="31">
        <f>IF(BT325="Above 2",0,IF(BT325="Between 1.5 to 2",5,IF(BT325="Less than 1.5",10,0)))</f>
        <v/>
      </c>
      <c r="BV325" s="31" t="inlineStr">
        <is>
          <t>Less than 50%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Less than 0.7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IF(B326=0,"",RANK(B326,$B$2:$B$343,0))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1" t="inlineStr">
        <is>
          <t>PRESTIGE</t>
        </is>
      </c>
      <c r="D326" s="31" t="inlineStr">
        <is>
          <t>Prestige Estates Projects Limited</t>
        </is>
      </c>
      <c r="E326" s="31" t="inlineStr">
        <is>
          <t>realty</t>
        </is>
      </c>
      <c r="F326" s="31" t="inlineStr">
        <is>
          <t>construction</t>
        </is>
      </c>
      <c r="G326" s="31" t="inlineStr">
        <is>
          <t>largecap</t>
        </is>
      </c>
      <c r="H326" s="32" t="n">
        <v>63425.03</v>
      </c>
      <c r="I326" s="32" t="n">
        <v>1521.1</v>
      </c>
      <c r="J326" s="32" t="n">
        <v>3.3</v>
      </c>
      <c r="K326" s="32" t="n">
        <v>1398862</v>
      </c>
      <c r="L326" s="31" t="n">
        <v>6</v>
      </c>
      <c r="M326" s="31" t="inlineStr">
        <is>
          <t>Outperforming</t>
        </is>
      </c>
      <c r="N326" s="32">
        <f>IF(M326="Underperforming",-5,IF(L326&gt;=95,15,IF(L326&gt;=90,10,IF(L326&gt;=80,5,0))))</f>
        <v/>
      </c>
      <c r="O326" s="32" t="n">
        <v>56.04</v>
      </c>
      <c r="P326" s="32" t="n">
        <v>17.28</v>
      </c>
      <c r="Q326" s="32" t="n">
        <v>1187.96</v>
      </c>
      <c r="R326" s="31" t="inlineStr">
        <is>
          <t>Earnings / Momentum Support</t>
        </is>
      </c>
      <c r="S326" s="31" t="inlineStr">
        <is>
          <t>Nifty Realty</t>
        </is>
      </c>
      <c r="T326" s="32" t="n">
        <v>-19.29</v>
      </c>
      <c r="U326" s="32" t="n">
        <v>-11.27</v>
      </c>
      <c r="V326" s="32" t="n">
        <v>9.94</v>
      </c>
      <c r="W326" s="32" t="n">
        <v>3.07</v>
      </c>
      <c r="X326" s="31" t="inlineStr">
        <is>
          <t>Growing Industry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Headwind</t>
        </is>
      </c>
      <c r="AE326" s="31">
        <f>IF(AD326="Tailwind",10,0)</f>
        <v/>
      </c>
      <c r="AF326" s="31" t="inlineStr">
        <is>
          <t>Structural (10 Years Consistency)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Stable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No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0 to 20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1</t>
        </is>
      </c>
      <c r="BC326" s="31">
        <f>IF(BB326="Stage 2",20,IF(BB326="Stage 1",0,IF(BB326="Stage 3",5,IF(BB326="Stage 4",-5,0))))</f>
        <v/>
      </c>
      <c r="BD326" s="31" t="inlineStr">
        <is>
          <t>Positive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More than 20%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Yes</t>
        </is>
      </c>
      <c r="BS326" s="31">
        <f>IF(BR326="NO",5,0)</f>
        <v/>
      </c>
      <c r="BT326" s="31" t="inlineStr">
        <is>
          <t>Above 2</t>
        </is>
      </c>
      <c r="BU326" s="31">
        <f>IF(BT326="Above 2",0,IF(BT326="Between 1.5 to 2",5,IF(BT326="Less than 1.5",10,0)))</f>
        <v/>
      </c>
      <c r="BV326" s="31" t="inlineStr">
        <is>
          <t>Above 70%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Between 0.7 to 1.2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IF(B327=0,"",RANK(B327,$B$2:$B$343,0))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3" t="inlineStr">
        <is>
          <t>PETRONET</t>
        </is>
      </c>
      <c r="D327" s="33" t="inlineStr">
        <is>
          <t>Petronet Lng Limited</t>
        </is>
      </c>
      <c r="E327" s="31" t="inlineStr">
        <is>
          <t>energy</t>
        </is>
      </c>
      <c r="F327" s="31" t="inlineStr">
        <is>
          <t>miscellaneous</t>
        </is>
      </c>
      <c r="G327" s="31" t="inlineStr">
        <is>
          <t>largecap</t>
        </is>
      </c>
      <c r="H327" s="32" t="n">
        <v>42885</v>
      </c>
      <c r="I327" s="32" t="n">
        <v>290.55</v>
      </c>
      <c r="J327" s="32" t="n">
        <v>1.63</v>
      </c>
      <c r="K327" s="32" t="n">
        <v>5030098</v>
      </c>
      <c r="L327" s="31" t="n">
        <v>7</v>
      </c>
      <c r="M327" s="31" t="inlineStr">
        <is>
          <t>Underperforming</t>
        </is>
      </c>
      <c r="N327" s="32">
        <f>IF(M327="Underperforming",-5,IF(L327&gt;=95,15,IF(L327&gt;=90,10,IF(L327&gt;=80,5,0))))</f>
        <v/>
      </c>
      <c r="O327" s="32" t="n">
        <v>57.16</v>
      </c>
      <c r="P327" s="32" t="n">
        <v>7.44</v>
      </c>
      <c r="Q327" s="32" t="n">
        <v>236.26</v>
      </c>
      <c r="R327" s="31" t="inlineStr">
        <is>
          <t>Earnings / Momentum Support</t>
        </is>
      </c>
      <c r="S327" s="31" t="inlineStr">
        <is>
          <t>Nifty Energy</t>
        </is>
      </c>
      <c r="T327" s="32" t="n">
        <v>12.12</v>
      </c>
      <c r="U327" s="32" t="n">
        <v>3.08</v>
      </c>
      <c r="V327" s="32" t="n">
        <v>-8.06</v>
      </c>
      <c r="W327" s="32" t="n">
        <v>3.66</v>
      </c>
      <c r="X327" s="31" t="inlineStr">
        <is>
          <t>Cyclical in an Upturn</t>
        </is>
      </c>
      <c r="Y327" s="31">
        <f>IF(X327="Growing Industry",10,IF(X327="Cyclical in an Upturn",5,0))</f>
        <v/>
      </c>
      <c r="Z327" s="31" t="inlineStr">
        <is>
          <t>Oligopoly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Yes</t>
        </is>
      </c>
      <c r="AC327" s="31">
        <f>IF(AB327="No",5,0)</f>
        <v/>
      </c>
      <c r="AD327" s="31" t="inlineStr">
        <is>
          <t>Tailwind</t>
        </is>
      </c>
      <c r="AE327" s="31">
        <f>IF(AD327="Tailwind",10,0)</f>
        <v/>
      </c>
      <c r="AF327" s="31" t="inlineStr">
        <is>
          <t>Cyclical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Volatile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No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0 to 20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1</t>
        </is>
      </c>
      <c r="BC327" s="31">
        <f>IF(BB327="Stage 2",20,IF(BB327="Stage 1",0,IF(BB327="Stage 3",5,IF(BB327="Stage 4",-5,0))))</f>
        <v/>
      </c>
      <c r="BD327" s="31" t="inlineStr">
        <is>
          <t>Positive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More than 20%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No</t>
        </is>
      </c>
      <c r="BS327" s="31">
        <f>IF(BR327="NO",5,0)</f>
        <v/>
      </c>
      <c r="BT327" s="31" t="inlineStr">
        <is>
          <t>Less than 1.5</t>
        </is>
      </c>
      <c r="BU327" s="31">
        <f>IF(BT327="Above 2",0,IF(BT327="Between 1.5 to 2",5,IF(BT327="Less than 1.5",10,0)))</f>
        <v/>
      </c>
      <c r="BV327" s="31" t="inlineStr">
        <is>
          <t>Above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Less than 0.7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IF(B328=0,"",RANK(B328,$B$2:$B$343,0))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1" t="inlineStr">
        <is>
          <t>TEXINFRA</t>
        </is>
      </c>
      <c r="D328" s="31" t="inlineStr">
        <is>
          <t>Texmaco Infrastructure &amp; Holdings Limited</t>
        </is>
      </c>
      <c r="E328" s="31" t="inlineStr">
        <is>
          <t>realty</t>
        </is>
      </c>
      <c r="F328" s="31" t="inlineStr">
        <is>
          <t>construction</t>
        </is>
      </c>
      <c r="G328" s="31" t="inlineStr">
        <is>
          <t>smallcap</t>
        </is>
      </c>
      <c r="H328" s="32" t="n">
        <v>1289.05</v>
      </c>
      <c r="I328" s="32" t="n">
        <v>102.25</v>
      </c>
      <c r="J328" s="32" t="n">
        <v>1.08</v>
      </c>
      <c r="K328" s="32" t="n">
        <v>134924</v>
      </c>
      <c r="L328" s="31" t="n">
        <v>9</v>
      </c>
      <c r="M328" s="31" t="inlineStr">
        <is>
          <t>Outperforming</t>
        </is>
      </c>
      <c r="N328" s="32">
        <f>IF(M328="Underperforming",-5,IF(L328&gt;=95,15,IF(L328&gt;=90,10,IF(L328&gt;=80,5,0))))</f>
        <v/>
      </c>
      <c r="O328" s="32" t="n">
        <v>56.22</v>
      </c>
      <c r="P328" s="32" t="n">
        <v>15.67</v>
      </c>
      <c r="Q328" s="32" t="n">
        <v>82.7</v>
      </c>
      <c r="R328" s="31" t="inlineStr">
        <is>
          <t>Near 52W High Breakout</t>
        </is>
      </c>
      <c r="S328" s="31" t="inlineStr">
        <is>
          <t>Nifty Realty</t>
        </is>
      </c>
      <c r="T328" s="32" t="n">
        <v>-19.29</v>
      </c>
      <c r="U328" s="32" t="n">
        <v>2.06</v>
      </c>
      <c r="V328" s="32" t="n">
        <v>26.45</v>
      </c>
      <c r="W328" s="32" t="n">
        <v>3.89</v>
      </c>
      <c r="X328" s="31" t="inlineStr">
        <is>
          <t>Growing Industry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No</t>
        </is>
      </c>
      <c r="AC328" s="31">
        <f>IF(AB328="No",5,0)</f>
        <v/>
      </c>
      <c r="AD328" s="31" t="inlineStr">
        <is>
          <t>Tailwind</t>
        </is>
      </c>
      <c r="AE328" s="31">
        <f>IF(AD328="Tailwind",10,0)</f>
        <v/>
      </c>
      <c r="AF328" s="31" t="inlineStr">
        <is>
          <t>Structural (10 Years Consistency)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Stable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Yes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0 to 20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1</t>
        </is>
      </c>
      <c r="BC328" s="31">
        <f>IF(BB328="Stage 2",20,IF(BB328="Stage 1",0,IF(BB328="Stage 3",5,IF(BB328="Stage 4",-5,0))))</f>
        <v/>
      </c>
      <c r="BD328" s="31" t="inlineStr">
        <is>
          <t>Positive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Less than 12%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Yes</t>
        </is>
      </c>
      <c r="BS328" s="31">
        <f>IF(BR328="NO",5,0)</f>
        <v/>
      </c>
      <c r="BT328" s="31" t="inlineStr">
        <is>
          <t>Above 2</t>
        </is>
      </c>
      <c r="BU328" s="31">
        <f>IF(BT328="Above 2",0,IF(BT328="Between 1.5 to 2",5,IF(BT328="Less than 1.5",10,0)))</f>
        <v/>
      </c>
      <c r="BV328" s="31" t="inlineStr">
        <is>
          <t>Negative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Less than 0.7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IF(B329=0,"",RANK(B329,$B$2:$B$343,0))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3" t="inlineStr">
        <is>
          <t>VENUSPIPES</t>
        </is>
      </c>
      <c r="D329" s="33" t="inlineStr">
        <is>
          <t>Venus Pipes &amp; Tubes Ltd</t>
        </is>
      </c>
      <c r="E329" s="31" t="inlineStr">
        <is>
          <t>metals &amp; mining</t>
        </is>
      </c>
      <c r="F329" s="31" t="inlineStr">
        <is>
          <t>steel - medium / small</t>
        </is>
      </c>
      <c r="G329" s="31" t="inlineStr">
        <is>
          <t>smallcap</t>
        </is>
      </c>
      <c r="H329" s="32" t="n">
        <v>2960.54</v>
      </c>
      <c r="I329" s="32" t="n">
        <v>1442.8</v>
      </c>
      <c r="J329" s="32" t="n">
        <v>0.96</v>
      </c>
      <c r="K329" s="32" t="n">
        <v>38148</v>
      </c>
      <c r="L329" s="31" t="n">
        <v>55</v>
      </c>
      <c r="M329" s="31" t="inlineStr">
        <is>
          <t>Underperforming</t>
        </is>
      </c>
      <c r="N329" s="32">
        <f>IF(M329="Underperforming",-5,IF(L329&gt;=95,15,IF(L329&gt;=90,10,IF(L329&gt;=80,5,0))))</f>
        <v/>
      </c>
      <c r="O329" s="32" t="n">
        <v>61.46</v>
      </c>
      <c r="P329" s="32" t="n">
        <v>19.15</v>
      </c>
      <c r="Q329" s="32" t="n">
        <v>1078.57</v>
      </c>
      <c r="R329" s="31" t="inlineStr">
        <is>
          <t>Earnings / Momentum Support</t>
        </is>
      </c>
      <c r="S329" s="31" t="inlineStr">
        <is>
          <t>Nifty Metal</t>
        </is>
      </c>
      <c r="T329" s="32" t="n">
        <v>40.96</v>
      </c>
      <c r="U329" s="32" t="n">
        <v>7.35</v>
      </c>
      <c r="V329" s="32" t="n">
        <v>-23.84</v>
      </c>
      <c r="W329" s="32" t="n">
        <v>14.57</v>
      </c>
      <c r="X329" s="31" t="inlineStr">
        <is>
          <t>Cyclical in an Upturn</t>
        </is>
      </c>
      <c r="Y329" s="31">
        <f>IF(X329="Growing Industry",10,IF(X329="Cyclical in an Upturn",5,0))</f>
        <v/>
      </c>
      <c r="Z329" s="31" t="inlineStr">
        <is>
          <t>Too Many Players with High ROCE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No</t>
        </is>
      </c>
      <c r="AC329" s="31">
        <f>IF(AB329="No",5,0)</f>
        <v/>
      </c>
      <c r="AD329" s="31" t="inlineStr">
        <is>
          <t>Tailwind</t>
        </is>
      </c>
      <c r="AE329" s="31">
        <f>IF(AD329="Tailwind",10,0)</f>
        <v/>
      </c>
      <c r="AF329" s="31" t="inlineStr">
        <is>
          <t>Cyclical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Volatile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No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0 to 20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2</t>
        </is>
      </c>
      <c r="BC329" s="31">
        <f>IF(BB329="Stage 2",20,IF(BB329="Stage 1",0,IF(BB329="Stage 3",5,IF(BB329="Stage 4",-5,0))))</f>
        <v/>
      </c>
      <c r="BD329" s="31" t="inlineStr">
        <is>
          <t>Positive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Less than 12%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No</t>
        </is>
      </c>
      <c r="BS329" s="31">
        <f>IF(BR329="NO",5,0)</f>
        <v/>
      </c>
      <c r="BT329" s="31" t="inlineStr">
        <is>
          <t>Above 2</t>
        </is>
      </c>
      <c r="BU329" s="31">
        <f>IF(BT329="Above 2",0,IF(BT329="Between 1.5 to 2",5,IF(BT329="Less than 1.5",10,0)))</f>
        <v/>
      </c>
      <c r="BV329" s="31" t="inlineStr">
        <is>
          <t>Between 50% to 70%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Less than 0.7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IF(B330=0,"",RANK(B330,$B$2:$B$343,0))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3" t="inlineStr">
        <is>
          <t>INDHOTEL</t>
        </is>
      </c>
      <c r="D330" s="33" t="inlineStr">
        <is>
          <t>The Indian Hotels Company Limited</t>
        </is>
      </c>
      <c r="E330" s="31" t="inlineStr">
        <is>
          <t>services</t>
        </is>
      </c>
      <c r="F330" s="31" t="inlineStr">
        <is>
          <t>hotels</t>
        </is>
      </c>
      <c r="G330" s="31" t="inlineStr">
        <is>
          <t>largecap</t>
        </is>
      </c>
      <c r="H330" s="32" t="n">
        <v>98195.47</v>
      </c>
      <c r="I330" s="32" t="n">
        <v>694.4</v>
      </c>
      <c r="J330" s="32" t="n">
        <v>0.66</v>
      </c>
      <c r="K330" s="32" t="n">
        <v>1198899</v>
      </c>
      <c r="L330" s="31" t="n">
        <v>1</v>
      </c>
      <c r="M330" s="31" t="inlineStr">
        <is>
          <t>Underperforming</t>
        </is>
      </c>
      <c r="N330" s="32">
        <f>IF(M330="Underperforming",-5,IF(L330&gt;=95,15,IF(L330&gt;=90,10,IF(L330&gt;=80,5,0))))</f>
        <v/>
      </c>
      <c r="O330" s="32" t="n">
        <v>55.52</v>
      </c>
      <c r="P330" s="32" t="n">
        <v>17.27</v>
      </c>
      <c r="Q330" s="32" t="n">
        <v>583.41</v>
      </c>
      <c r="R330" s="31" t="inlineStr">
        <is>
          <t>Earnings / Momentum Support</t>
        </is>
      </c>
      <c r="S330" s="31" t="inlineStr">
        <is>
          <t>Nifty 50</t>
        </is>
      </c>
      <c r="T330" s="32" t="n">
        <v>-4.47</v>
      </c>
      <c r="U330" s="32" t="n">
        <v>-9.039999999999999</v>
      </c>
      <c r="V330" s="32" t="n">
        <v>-4.78</v>
      </c>
      <c r="W330" s="32" t="n">
        <v>1.14</v>
      </c>
      <c r="X330" s="31" t="inlineStr">
        <is>
          <t>Growing Industry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No</t>
        </is>
      </c>
      <c r="AC330" s="31">
        <f>IF(AB330="No",5,0)</f>
        <v/>
      </c>
      <c r="AD330" s="31" t="inlineStr">
        <is>
          <t>Headwind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0 to 20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1</t>
        </is>
      </c>
      <c r="BC330" s="31">
        <f>IF(BB330="Stage 2",20,IF(BB330="Stage 1",0,IF(BB330="Stage 3",5,IF(BB330="Stage 4",-5,0))))</f>
        <v/>
      </c>
      <c r="BD330" s="31" t="inlineStr">
        <is>
          <t>Positive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Between 12 to 20%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Yes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Less than 0.7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IF(B331=0,"",RANK(B331,$B$2:$B$343,0))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3" t="inlineStr">
        <is>
          <t>GAIL</t>
        </is>
      </c>
      <c r="D331" s="33" t="inlineStr">
        <is>
          <t>Gail (india) Limited</t>
        </is>
      </c>
      <c r="E331" s="31" t="inlineStr">
        <is>
          <t>energy</t>
        </is>
      </c>
      <c r="F331" s="31" t="inlineStr">
        <is>
          <t>miscellaneous</t>
        </is>
      </c>
      <c r="G331" s="31" t="inlineStr">
        <is>
          <t>largecap</t>
        </is>
      </c>
      <c r="H331" s="32" t="n">
        <v>115333.82</v>
      </c>
      <c r="I331" s="32" t="n">
        <v>176.09</v>
      </c>
      <c r="J331" s="32" t="n">
        <v>0.39</v>
      </c>
      <c r="K331" s="32" t="n">
        <v>8941189</v>
      </c>
      <c r="L331" s="31" t="n">
        <v>17</v>
      </c>
      <c r="M331" s="31" t="inlineStr">
        <is>
          <t>Underperforming</t>
        </is>
      </c>
      <c r="N331" s="32">
        <f>IF(M331="Underperforming",-5,IF(L331&gt;=95,15,IF(L331&gt;=90,10,IF(L331&gt;=80,5,0))))</f>
        <v/>
      </c>
      <c r="O331" s="32" t="n">
        <v>61.24</v>
      </c>
      <c r="P331" s="32" t="n">
        <v>12.81</v>
      </c>
      <c r="Q331" s="32" t="n">
        <v>149.31</v>
      </c>
      <c r="R331" s="31" t="inlineStr">
        <is>
          <t>Earnings / Momentum Support</t>
        </is>
      </c>
      <c r="S331" s="31" t="inlineStr">
        <is>
          <t>Nifty Energy</t>
        </is>
      </c>
      <c r="T331" s="32" t="n">
        <v>12.12</v>
      </c>
      <c r="U331" s="32" t="n">
        <v>0.43</v>
      </c>
      <c r="V331" s="32" t="n">
        <v>-10.43</v>
      </c>
      <c r="W331" s="32" t="n">
        <v>5.44</v>
      </c>
      <c r="X331" s="31" t="inlineStr">
        <is>
          <t>Cyclical in an Upturn</t>
        </is>
      </c>
      <c r="Y331" s="31">
        <f>IF(X331="Growing Industry",10,IF(X331="Cyclical in an Upturn",5,0))</f>
        <v/>
      </c>
      <c r="Z331" s="31" t="inlineStr">
        <is>
          <t>Oligopoly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Yes</t>
        </is>
      </c>
      <c r="AC331" s="31">
        <f>IF(AB331="No",5,0)</f>
        <v/>
      </c>
      <c r="AD331" s="31" t="inlineStr">
        <is>
          <t>Tailwind</t>
        </is>
      </c>
      <c r="AE331" s="31">
        <f>IF(AD331="Tailwind",10,0)</f>
        <v/>
      </c>
      <c r="AF331" s="31" t="inlineStr">
        <is>
          <t>Cyclical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Volatile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No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0 to 20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2</t>
        </is>
      </c>
      <c r="BC331" s="31">
        <f>IF(BB331="Stage 2",20,IF(BB331="Stage 1",0,IF(BB331="Stage 3",5,IF(BB331="Stage 4",-5,0))))</f>
        <v/>
      </c>
      <c r="BD331" s="31" t="inlineStr">
        <is>
          <t>Positive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Less than 12%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No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Above 70%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Less than 0.7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IF(B332=0,"",RANK(B332,$B$2:$B$343,0))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1" t="inlineStr">
        <is>
          <t>SBC</t>
        </is>
      </c>
      <c r="D332" s="31" t="inlineStr">
        <is>
          <t>SBC Exports Ltd</t>
        </is>
      </c>
      <c r="E332" s="31" t="inlineStr">
        <is>
          <t>textiles</t>
        </is>
      </c>
      <c r="F332" s="31" t="inlineStr">
        <is>
          <t>textiles - products</t>
        </is>
      </c>
      <c r="G332" s="31" t="inlineStr">
        <is>
          <t>smallcap</t>
        </is>
      </c>
      <c r="H332" s="32" t="n">
        <v>1768.57</v>
      </c>
      <c r="I332" s="32" t="n">
        <v>37.26</v>
      </c>
      <c r="J332" s="32" t="n">
        <v>0.32</v>
      </c>
      <c r="K332" s="32" t="n">
        <v>9763905</v>
      </c>
      <c r="L332" s="31" t="n">
        <v>81</v>
      </c>
      <c r="M332" s="31" t="inlineStr">
        <is>
          <t>Outperforming</t>
        </is>
      </c>
      <c r="N332" s="32">
        <f>IF(M332="Underperforming",-5,IF(L332&gt;=95,15,IF(L332&gt;=90,10,IF(L332&gt;=80,5,0))))</f>
        <v/>
      </c>
      <c r="O332" s="32" t="n">
        <v>70.98999999999999</v>
      </c>
      <c r="P332" s="32" t="n">
        <v>24.02</v>
      </c>
      <c r="Q332" s="32" t="n">
        <v>33.1</v>
      </c>
      <c r="R332" s="31" t="inlineStr">
        <is>
          <t>Earnings / Momentum Support</t>
        </is>
      </c>
      <c r="S332" s="31" t="inlineStr">
        <is>
          <t>Nifty 50</t>
        </is>
      </c>
      <c r="T332" s="32" t="n">
        <v>-4.47</v>
      </c>
      <c r="U332" s="32" t="n">
        <v>156.08</v>
      </c>
      <c r="V332" s="32" t="n">
        <v>168.07</v>
      </c>
      <c r="W332" s="32" t="n">
        <v>25.35</v>
      </c>
      <c r="X332" s="31" t="inlineStr">
        <is>
          <t>Growing Industry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No</t>
        </is>
      </c>
      <c r="AC332" s="31">
        <f>IF(AB332="No",5,0)</f>
        <v/>
      </c>
      <c r="AD332" s="31" t="inlineStr">
        <is>
          <t>Tailwind</t>
        </is>
      </c>
      <c r="AE332" s="31">
        <f>IF(AD332="Tailwind",10,0)</f>
        <v/>
      </c>
      <c r="AF332" s="31" t="inlineStr">
        <is>
          <t>Structural (10 Years Consistency)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No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20 to 40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2</t>
        </is>
      </c>
      <c r="BC332" s="31">
        <f>IF(BB332="Stage 2",20,IF(BB332="Stage 1",0,IF(BB332="Stage 3",5,IF(BB332="Stage 4",-5,0))))</f>
        <v/>
      </c>
      <c r="BD332" s="31" t="inlineStr">
        <is>
          <t>Negative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More than 20%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Yes</t>
        </is>
      </c>
      <c r="BS332" s="31">
        <f>IF(BR332="NO",5,0)</f>
        <v/>
      </c>
      <c r="BT332" s="31" t="inlineStr">
        <is>
          <t>Less than 1.5</t>
        </is>
      </c>
      <c r="BU332" s="31">
        <f>IF(BT332="Above 2",0,IF(BT332="Between 1.5 to 2",5,IF(BT332="Less than 1.5",10,0)))</f>
        <v/>
      </c>
      <c r="BV332" s="31" t="inlineStr">
        <is>
          <t>Negative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More than 1.2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IF(B333=0,"",RANK(B333,$B$2:$B$343,0))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1" t="inlineStr">
        <is>
          <t>TATACOMM</t>
        </is>
      </c>
      <c r="D333" s="31" t="inlineStr">
        <is>
          <t>Tata Communications Limited</t>
        </is>
      </c>
      <c r="E333" s="31" t="inlineStr">
        <is>
          <t>telecom-service</t>
        </is>
      </c>
      <c r="F333" s="31" t="inlineStr">
        <is>
          <t>telecommunications - service provider</t>
        </is>
      </c>
      <c r="G333" s="31" t="inlineStr">
        <is>
          <t>largecap</t>
        </is>
      </c>
      <c r="H333" s="32" t="n">
        <v>55116.15</v>
      </c>
      <c r="I333" s="32" t="n">
        <v>1913.6</v>
      </c>
      <c r="J333" s="32" t="n">
        <v>-1.05</v>
      </c>
      <c r="K333" s="32" t="n">
        <v>510643</v>
      </c>
      <c r="L333" s="31" t="n">
        <v>43</v>
      </c>
      <c r="M333" s="31" t="inlineStr">
        <is>
          <t>Outperforming</t>
        </is>
      </c>
      <c r="N333" s="32">
        <f>IF(M333="Underperforming",-5,IF(L333&gt;=95,15,IF(L333&gt;=90,10,IF(L333&gt;=80,5,0))))</f>
        <v/>
      </c>
      <c r="O333" s="32" t="n">
        <v>64.01000000000001</v>
      </c>
      <c r="P333" s="32" t="n">
        <v>28.19</v>
      </c>
      <c r="Q333" s="32" t="n">
        <v>1562.61</v>
      </c>
      <c r="R333" s="31" t="inlineStr">
        <is>
          <t>Near 52W High Breakout</t>
        </is>
      </c>
      <c r="S333" s="31" t="inlineStr">
        <is>
          <t>Nifty 50</t>
        </is>
      </c>
      <c r="T333" s="32" t="n">
        <v>-4.47</v>
      </c>
      <c r="U333" s="32" t="n">
        <v>17.39</v>
      </c>
      <c r="V333" s="32" t="n">
        <v>22.88</v>
      </c>
      <c r="W333" s="32" t="n">
        <v>11.89</v>
      </c>
      <c r="X333" s="31" t="inlineStr">
        <is>
          <t>Growing Industry</t>
        </is>
      </c>
      <c r="Y333" s="31">
        <f>IF(X333="Growing Industry",10,IF(X333="Cyclical in an Upturn",5,0))</f>
        <v/>
      </c>
      <c r="Z333" s="31" t="inlineStr">
        <is>
          <t>Oligopoly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Yes</t>
        </is>
      </c>
      <c r="AC333" s="31">
        <f>IF(AB333="No",5,0)</f>
        <v/>
      </c>
      <c r="AD333" s="31" t="inlineStr">
        <is>
          <t>Tailwind</t>
        </is>
      </c>
      <c r="AE333" s="31">
        <f>IF(AD333="Tailwind",10,0)</f>
        <v/>
      </c>
      <c r="AF333" s="31" t="inlineStr">
        <is>
          <t>Structural (10 Years Consistency)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Stable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Yes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20 to 40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2</t>
        </is>
      </c>
      <c r="BC333" s="31">
        <f>IF(BB333="Stage 2",20,IF(BB333="Stage 1",0,IF(BB333="Stage 3",5,IF(BB333="Stage 4",-5,0))))</f>
        <v/>
      </c>
      <c r="BD333" s="31" t="inlineStr">
        <is>
          <t>Negative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Less than 12%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Yes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Above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More than 1.2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IF(B334=0,"",RANK(B334,$B$2:$B$343,0))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1" t="inlineStr">
        <is>
          <t>ARVINDFASN</t>
        </is>
      </c>
      <c r="D334" s="31" t="inlineStr">
        <is>
          <t>Arvind Fashions Ltd</t>
        </is>
      </c>
      <c r="E334" s="31" t="inlineStr">
        <is>
          <t>consumer discretionary</t>
        </is>
      </c>
      <c r="F334" s="31" t="inlineStr">
        <is>
          <t>trading</t>
        </is>
      </c>
      <c r="G334" s="31" t="inlineStr">
        <is>
          <t>midcap</t>
        </is>
      </c>
      <c r="H334" s="32" t="n">
        <v>6170.18</v>
      </c>
      <c r="I334" s="32" t="n">
        <v>471.95</v>
      </c>
      <c r="J334" s="32" t="n">
        <v>2.23</v>
      </c>
      <c r="K334" s="32" t="n">
        <v>216654</v>
      </c>
      <c r="L334" s="31" t="n">
        <v>11</v>
      </c>
      <c r="M334" s="31" t="inlineStr">
        <is>
          <t>Outperforming</t>
        </is>
      </c>
      <c r="N334" s="32">
        <f>IF(M334="Underperforming",-5,IF(L334&gt;=95,15,IF(L334&gt;=90,10,IF(L334&gt;=80,5,0))))</f>
        <v/>
      </c>
      <c r="O334" s="32" t="n">
        <v>52.57</v>
      </c>
      <c r="P334" s="32" t="n">
        <v>10.12</v>
      </c>
      <c r="Q334" s="32" t="n">
        <v>365.03</v>
      </c>
      <c r="R334" s="31" t="inlineStr">
        <is>
          <t>Earnings / Momentum Support</t>
        </is>
      </c>
      <c r="S334" s="31" t="inlineStr">
        <is>
          <t>Nifty 50</t>
        </is>
      </c>
      <c r="T334" s="32" t="n">
        <v>-4.47</v>
      </c>
      <c r="U334" s="32" t="n">
        <v>-3.54</v>
      </c>
      <c r="V334" s="32" t="n">
        <v>0.97</v>
      </c>
      <c r="W334" s="32" t="n">
        <v>4.3</v>
      </c>
      <c r="X334" s="31" t="inlineStr">
        <is>
          <t>Growing Industry</t>
        </is>
      </c>
      <c r="Y334" s="31">
        <f>IF(X334="Growing Industry",10,IF(X334="Cyclical in an Upturn",5,0))</f>
        <v/>
      </c>
      <c r="Z334" s="31" t="inlineStr">
        <is>
          <t>Too Many Players with High ROCE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No</t>
        </is>
      </c>
      <c r="AC334" s="31">
        <f>IF(AB334="No",5,0)</f>
        <v/>
      </c>
      <c r="AD334" s="31" t="inlineStr">
        <is>
          <t>Headwind</t>
        </is>
      </c>
      <c r="AE334" s="31">
        <f>IF(AD334="Tailwind",10,0)</f>
        <v/>
      </c>
      <c r="AF334" s="31" t="inlineStr">
        <is>
          <t>Structural (10 Years Consistency)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Stable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No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0 to 20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1</t>
        </is>
      </c>
      <c r="BC334" s="31">
        <f>IF(BB334="Stage 2",20,IF(BB334="Stage 1",0,IF(BB334="Stage 3",5,IF(BB334="Stage 4",-5,0))))</f>
        <v/>
      </c>
      <c r="BD334" s="31" t="inlineStr">
        <is>
          <t>Positive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More than 20%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Yes</t>
        </is>
      </c>
      <c r="BS334" s="31">
        <f>IF(BR334="NO",5,0)</f>
        <v/>
      </c>
      <c r="BT334" s="31" t="inlineStr">
        <is>
          <t>Above 2</t>
        </is>
      </c>
      <c r="BU334" s="31">
        <f>IF(BT334="Above 2",0,IF(BT334="Between 1.5 to 2",5,IF(BT334="Less than 1.5",10,0)))</f>
        <v/>
      </c>
      <c r="BV334" s="31" t="inlineStr">
        <is>
          <t>Between 50% to 70%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Between 0.7 to 1.2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IF(B335=0,"",RANK(B335,$B$2:$B$343,0))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3" t="inlineStr">
        <is>
          <t>JTLIND</t>
        </is>
      </c>
      <c r="D335" s="33" t="inlineStr">
        <is>
          <t>JTL Industries Ltd</t>
        </is>
      </c>
      <c r="E335" s="31" t="inlineStr">
        <is>
          <t>metals &amp; mining</t>
        </is>
      </c>
      <c r="F335" s="31" t="inlineStr">
        <is>
          <t>steel - medium / small</t>
        </is>
      </c>
      <c r="G335" s="31" t="inlineStr">
        <is>
          <t>smallcap</t>
        </is>
      </c>
      <c r="H335" s="32" t="n">
        <v>3006.68</v>
      </c>
      <c r="I335" s="32" t="n">
        <v>76.98999999999999</v>
      </c>
      <c r="J335" s="32" t="n">
        <v>0.65</v>
      </c>
      <c r="K335" s="32" t="n">
        <v>3422322</v>
      </c>
      <c r="L335" s="31" t="n">
        <v>46</v>
      </c>
      <c r="M335" s="31" t="inlineStr">
        <is>
          <t>Underperforming</t>
        </is>
      </c>
      <c r="N335" s="32">
        <f>IF(M335="Underperforming",-5,IF(L335&gt;=95,15,IF(L335&gt;=90,10,IF(L335&gt;=80,5,0))))</f>
        <v/>
      </c>
      <c r="O335" s="32" t="n">
        <v>57.54</v>
      </c>
      <c r="P335" s="32" t="n">
        <v>13.79</v>
      </c>
      <c r="Q335" s="32" t="n">
        <v>56.01</v>
      </c>
      <c r="R335" s="31" t="inlineStr">
        <is>
          <t>Earnings / Momentum Support</t>
        </is>
      </c>
      <c r="S335" s="31" t="inlineStr">
        <is>
          <t>Nifty Metal</t>
        </is>
      </c>
      <c r="T335" s="32" t="n">
        <v>40.96</v>
      </c>
      <c r="U335" s="32" t="n">
        <v>2.46</v>
      </c>
      <c r="V335" s="32" t="n">
        <v>-27.31</v>
      </c>
      <c r="W335" s="32" t="n">
        <v>12.52</v>
      </c>
      <c r="X335" s="31" t="inlineStr">
        <is>
          <t>Cyclical in an Upturn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No</t>
        </is>
      </c>
      <c r="AC335" s="31">
        <f>IF(AB335="No",5,0)</f>
        <v/>
      </c>
      <c r="AD335" s="31" t="inlineStr">
        <is>
          <t>Tailwind</t>
        </is>
      </c>
      <c r="AE335" s="31">
        <f>IF(AD335="Tailwind",10,0)</f>
        <v/>
      </c>
      <c r="AF335" s="31" t="inlineStr">
        <is>
          <t>Cyclical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Volatile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No</t>
        </is>
      </c>
      <c r="AQ335" s="31">
        <f>IF(AP335="Yes",10,0)</f>
        <v/>
      </c>
      <c r="AR335" s="31" t="inlineStr">
        <is>
          <t>Higher One Time, Lower Annuity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0 to 20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2</t>
        </is>
      </c>
      <c r="BC335" s="31">
        <f>IF(BB335="Stage 2",20,IF(BB335="Stage 1",0,IF(BB335="Stage 3",5,IF(BB335="Stage 4",-5,0))))</f>
        <v/>
      </c>
      <c r="BD335" s="31" t="inlineStr">
        <is>
          <t>Positive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More than 20%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No</t>
        </is>
      </c>
      <c r="BS335" s="31">
        <f>IF(BR335="NO",5,0)</f>
        <v/>
      </c>
      <c r="BT335" s="31" t="inlineStr">
        <is>
          <t>Above 2</t>
        </is>
      </c>
      <c r="BU335" s="31">
        <f>IF(BT335="Above 2",0,IF(BT335="Between 1.5 to 2",5,IF(BT335="Less than 1.5",10,0)))</f>
        <v/>
      </c>
      <c r="BV335" s="31" t="inlineStr">
        <is>
          <t>Negative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Less than 0.7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IF(B336=0,"",RANK(B336,$B$2:$B$343,0))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3" t="inlineStr">
        <is>
          <t>RPGLIFE</t>
        </is>
      </c>
      <c r="D336" s="33" t="inlineStr">
        <is>
          <t>Rpg Life Sciences Limited</t>
        </is>
      </c>
      <c r="E336" s="31" t="inlineStr">
        <is>
          <t>healthcare</t>
        </is>
      </c>
      <c r="F336" s="31" t="inlineStr">
        <is>
          <t>pharmaceuticals - indian - bulk drugs &amp; formln</t>
        </is>
      </c>
      <c r="G336" s="31" t="inlineStr">
        <is>
          <t>smallcap</t>
        </is>
      </c>
      <c r="H336" s="32" t="n">
        <v>3800.17</v>
      </c>
      <c r="I336" s="32" t="n">
        <v>2288.7</v>
      </c>
      <c r="J336" s="32" t="n">
        <v>-0.39</v>
      </c>
      <c r="K336" s="32" t="n">
        <v>10157</v>
      </c>
      <c r="L336" s="31" t="n">
        <v>13</v>
      </c>
      <c r="M336" s="31" t="inlineStr">
        <is>
          <t>Underperforming</t>
        </is>
      </c>
      <c r="N336" s="32">
        <f>IF(M336="Underperforming",-5,IF(L336&gt;=95,15,IF(L336&gt;=90,10,IF(L336&gt;=80,5,0))))</f>
        <v/>
      </c>
      <c r="O336" s="32" t="n">
        <v>56.82</v>
      </c>
      <c r="P336" s="32" t="n">
        <v>23.7</v>
      </c>
      <c r="Q336" s="32" t="n">
        <v>1978</v>
      </c>
      <c r="R336" s="31" t="inlineStr">
        <is>
          <t>Earnings / Momentum Support</t>
        </is>
      </c>
      <c r="S336" s="31" t="inlineStr">
        <is>
          <t>Nifty Pharma</t>
        </is>
      </c>
      <c r="T336" s="32" t="n">
        <v>11.77</v>
      </c>
      <c r="U336" s="32" t="n">
        <v>-2.95</v>
      </c>
      <c r="V336" s="32" t="n">
        <v>-13.17</v>
      </c>
      <c r="W336" s="32" t="n">
        <v>4.65</v>
      </c>
      <c r="X336" s="31" t="inlineStr">
        <is>
          <t>Growing Industry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Yes</t>
        </is>
      </c>
      <c r="AC336" s="31">
        <f>IF(AB336="No",5,0)</f>
        <v/>
      </c>
      <c r="AD336" s="31" t="inlineStr">
        <is>
          <t>Headwind</t>
        </is>
      </c>
      <c r="AE336" s="31">
        <f>IF(AD336="Tailwind",10,0)</f>
        <v/>
      </c>
      <c r="AF336" s="31" t="inlineStr">
        <is>
          <t>Structural (10 Years Consistency)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Stable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No</t>
        </is>
      </c>
      <c r="AQ336" s="31">
        <f>IF(AP336="Yes",10,0)</f>
        <v/>
      </c>
      <c r="AR336" s="31" t="inlineStr">
        <is>
          <t>Higher Annuity, Lower One Time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20 to 40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2</t>
        </is>
      </c>
      <c r="BC336" s="31">
        <f>IF(BB336="Stage 2",20,IF(BB336="Stage 1",0,IF(BB336="Stage 3",5,IF(BB336="Stage 4",-5,0))))</f>
        <v/>
      </c>
      <c r="BD336" s="31" t="inlineStr">
        <is>
          <t>Negative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Less than 12%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No</t>
        </is>
      </c>
      <c r="BS336" s="31">
        <f>IF(BR336="NO",5,0)</f>
        <v/>
      </c>
      <c r="BT336" s="31" t="inlineStr">
        <is>
          <t>Above 2</t>
        </is>
      </c>
      <c r="BU336" s="31">
        <f>IF(BT336="Above 2",0,IF(BT336="Between 1.5 to 2",5,IF(BT336="Less than 1.5",10,0)))</f>
        <v/>
      </c>
      <c r="BV336" s="31" t="inlineStr">
        <is>
          <t>Less than 50%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Less than 0.7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IF(B337=0,"",RANK(B337,$B$2:$B$343,0))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3" t="inlineStr">
        <is>
          <t>RAJRATAN</t>
        </is>
      </c>
      <c r="D337" s="33" t="inlineStr">
        <is>
          <t>Rajratan Global Wire Ltd</t>
        </is>
      </c>
      <c r="E337" s="31" t="inlineStr">
        <is>
          <t>metals &amp; mining</t>
        </is>
      </c>
      <c r="F337" s="31" t="inlineStr">
        <is>
          <t>steel - medium / small</t>
        </is>
      </c>
      <c r="G337" s="31" t="inlineStr">
        <is>
          <t>smallcap</t>
        </is>
      </c>
      <c r="H337" s="32" t="n">
        <v>2314.4</v>
      </c>
      <c r="I337" s="32" t="n">
        <v>452.7</v>
      </c>
      <c r="J337" s="32" t="n">
        <v>-0.6899999999999999</v>
      </c>
      <c r="K337" s="32" t="n">
        <v>56406</v>
      </c>
      <c r="L337" s="31" t="n">
        <v>32</v>
      </c>
      <c r="M337" s="31" t="inlineStr">
        <is>
          <t>Underperforming</t>
        </is>
      </c>
      <c r="N337" s="32">
        <f>IF(M337="Underperforming",-5,IF(L337&gt;=95,15,IF(L337&gt;=90,10,IF(L337&gt;=80,5,0))))</f>
        <v/>
      </c>
      <c r="O337" s="32" t="n">
        <v>56.19</v>
      </c>
      <c r="P337" s="32" t="n">
        <v>8.970000000000001</v>
      </c>
      <c r="Q337" s="32" t="n">
        <v>333.17</v>
      </c>
      <c r="R337" s="31" t="inlineStr">
        <is>
          <t>Earnings / Momentum Support</t>
        </is>
      </c>
      <c r="S337" s="31" t="inlineStr">
        <is>
          <t>Nifty Metal</t>
        </is>
      </c>
      <c r="T337" s="32" t="n">
        <v>40.96</v>
      </c>
      <c r="U337" s="32" t="n">
        <v>12.34</v>
      </c>
      <c r="V337" s="32" t="n">
        <v>-20.31</v>
      </c>
      <c r="W337" s="32" t="n">
        <v>8.550000000000001</v>
      </c>
      <c r="X337" s="31" t="inlineStr">
        <is>
          <t>Cyclical in an Upturn</t>
        </is>
      </c>
      <c r="Y337" s="31">
        <f>IF(X337="Growing Industry",10,IF(X337="Cyclical in an Upturn",5,0))</f>
        <v/>
      </c>
      <c r="Z337" s="31" t="inlineStr">
        <is>
          <t>Too Many Players with High ROCE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No</t>
        </is>
      </c>
      <c r="AC337" s="31">
        <f>IF(AB337="No",5,0)</f>
        <v/>
      </c>
      <c r="AD337" s="31" t="inlineStr">
        <is>
          <t>Headwind</t>
        </is>
      </c>
      <c r="AE337" s="31">
        <f>IF(AD337="Tailwind",10,0)</f>
        <v/>
      </c>
      <c r="AF337" s="31" t="inlineStr">
        <is>
          <t>Cyclical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Volatile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No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0 to 20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2</t>
        </is>
      </c>
      <c r="BC337" s="31">
        <f>IF(BB337="Stage 2",20,IF(BB337="Stage 1",0,IF(BB337="Stage 3",5,IF(BB337="Stage 4",-5,0))))</f>
        <v/>
      </c>
      <c r="BD337" s="31" t="inlineStr">
        <is>
          <t>Positive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Less than 12%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No</t>
        </is>
      </c>
      <c r="BS337" s="31">
        <f>IF(BR337="NO",5,0)</f>
        <v/>
      </c>
      <c r="BT337" s="31" t="inlineStr">
        <is>
          <t>Above 2</t>
        </is>
      </c>
      <c r="BU337" s="31">
        <f>IF(BT337="Above 2",0,IF(BT337="Between 1.5 to 2",5,IF(BT337="Less than 1.5",10,0)))</f>
        <v/>
      </c>
      <c r="BV337" s="31" t="inlineStr">
        <is>
          <t>Between 50% to 70%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Less than 0.7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IF(B338=0,"",RANK(B338,$B$2:$B$343,0))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1" t="inlineStr">
        <is>
          <t>TBOTEK</t>
        </is>
      </c>
      <c r="D338" s="31" t="inlineStr">
        <is>
          <t>TBO Tek Ltd</t>
        </is>
      </c>
      <c r="E338" s="31" t="inlineStr">
        <is>
          <t>i.t</t>
        </is>
      </c>
      <c r="F338" s="31" t="inlineStr">
        <is>
          <t>travel agencies</t>
        </is>
      </c>
      <c r="G338" s="31" t="inlineStr">
        <is>
          <t>midcap</t>
        </is>
      </c>
      <c r="H338" s="32" t="n">
        <v>15766.95</v>
      </c>
      <c r="I338" s="32" t="n">
        <v>1422.3</v>
      </c>
      <c r="J338" s="32" t="n">
        <v>-2.05</v>
      </c>
      <c r="K338" s="32" t="n">
        <v>176167</v>
      </c>
      <c r="L338" s="31" t="n">
        <v>46</v>
      </c>
      <c r="M338" s="31" t="inlineStr">
        <is>
          <t>Outperforming</t>
        </is>
      </c>
      <c r="N338" s="32">
        <f>IF(M338="Underperforming",-5,IF(L338&gt;=95,15,IF(L338&gt;=90,10,IF(L338&gt;=80,5,0))))</f>
        <v/>
      </c>
      <c r="O338" s="32" t="n">
        <v>57.16</v>
      </c>
      <c r="P338" s="32" t="n">
        <v>17.69</v>
      </c>
      <c r="Q338" s="32" t="n">
        <v>1046.9</v>
      </c>
      <c r="R338" s="31" t="inlineStr">
        <is>
          <t>Volume Spike / Accumulation</t>
        </is>
      </c>
      <c r="S338" s="31" t="inlineStr">
        <is>
          <t>Nifty IT</t>
        </is>
      </c>
      <c r="T338" s="32" t="n">
        <v>-26.73</v>
      </c>
      <c r="U338" s="32" t="n">
        <v>12.82</v>
      </c>
      <c r="V338" s="32" t="n">
        <v>53.98</v>
      </c>
      <c r="W338" s="32" t="n">
        <v>12.54</v>
      </c>
      <c r="X338" s="31" t="inlineStr">
        <is>
          <t>Growing Industry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Headwind</t>
        </is>
      </c>
      <c r="AE338" s="31">
        <f>IF(AD338="Tailwind",10,0)</f>
        <v/>
      </c>
      <c r="AF338" s="31" t="inlineStr">
        <is>
          <t>Structural (10 Years Consistency)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Stable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Yes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0 to 20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1</t>
        </is>
      </c>
      <c r="BC338" s="31">
        <f>IF(BB338="Stage 2",20,IF(BB338="Stage 1",0,IF(BB338="Stage 3",5,IF(BB338="Stage 4",-5,0))))</f>
        <v/>
      </c>
      <c r="BD338" s="31" t="inlineStr">
        <is>
          <t>Positive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Less than 12%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Yes</t>
        </is>
      </c>
      <c r="BS338" s="31">
        <f>IF(BR338="NO",5,0)</f>
        <v/>
      </c>
      <c r="BT338" s="31" t="inlineStr">
        <is>
          <t>Above 2</t>
        </is>
      </c>
      <c r="BU338" s="31">
        <f>IF(BT338="Above 2",0,IF(BT338="Between 1.5 to 2",5,IF(BT338="Less than 1.5",10,0)))</f>
        <v/>
      </c>
      <c r="BV338" s="31" t="inlineStr">
        <is>
          <t>Negative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Less than 0.7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IF(B339=0,"",RANK(B339,$B$2:$B$343,0))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3" t="inlineStr">
        <is>
          <t>JBMA</t>
        </is>
      </c>
      <c r="D339" s="33" t="inlineStr">
        <is>
          <t>Jbm Auto Limited</t>
        </is>
      </c>
      <c r="E339" s="31" t="inlineStr">
        <is>
          <t>auto</t>
        </is>
      </c>
      <c r="F339" s="31" t="inlineStr">
        <is>
          <t>auto ancillaries</t>
        </is>
      </c>
      <c r="G339" s="31" t="inlineStr">
        <is>
          <t>midcap</t>
        </is>
      </c>
      <c r="H339" s="32" t="n">
        <v>16159.65</v>
      </c>
      <c r="I339" s="32" t="n">
        <v>684.7</v>
      </c>
      <c r="J339" s="32" t="n">
        <v>0.2</v>
      </c>
      <c r="K339" s="32" t="n">
        <v>366742</v>
      </c>
      <c r="L339" s="31" t="n">
        <v>20</v>
      </c>
      <c r="M339" s="31" t="inlineStr">
        <is>
          <t>Underperforming</t>
        </is>
      </c>
      <c r="N339" s="32">
        <f>IF(M339="Underperforming",-5,IF(L339&gt;=95,15,IF(L339&gt;=90,10,IF(L339&gt;=80,5,0))))</f>
        <v/>
      </c>
      <c r="O339" s="32" t="n">
        <v>61.26</v>
      </c>
      <c r="P339" s="32" t="n">
        <v>15.76</v>
      </c>
      <c r="Q339" s="32" t="n">
        <v>521.71</v>
      </c>
      <c r="R339" s="31" t="inlineStr">
        <is>
          <t>Earnings / Momentum Support</t>
        </is>
      </c>
      <c r="S339" s="31" t="inlineStr">
        <is>
          <t>Nifty Auto</t>
        </is>
      </c>
      <c r="T339" s="32" t="n">
        <v>13.57</v>
      </c>
      <c r="U339" s="32" t="n">
        <v>4.92</v>
      </c>
      <c r="V339" s="32" t="n">
        <v>-7.61</v>
      </c>
      <c r="W339" s="32" t="n">
        <v>6.12</v>
      </c>
      <c r="X339" s="31" t="inlineStr">
        <is>
          <t>Growing Industry</t>
        </is>
      </c>
      <c r="Y339" s="31">
        <f>IF(X339="Growing Industry",10,IF(X339="Cyclical in an Upturn",5,0))</f>
        <v/>
      </c>
      <c r="Z339" s="31" t="inlineStr">
        <is>
          <t>Too Many Players with High ROCE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No</t>
        </is>
      </c>
      <c r="AC339" s="31">
        <f>IF(AB339="No",5,0)</f>
        <v/>
      </c>
      <c r="AD339" s="31" t="inlineStr">
        <is>
          <t>Tailwind</t>
        </is>
      </c>
      <c r="AE339" s="31">
        <f>IF(AD339="Tailwind",10,0)</f>
        <v/>
      </c>
      <c r="AF339" s="31" t="inlineStr">
        <is>
          <t>Structural (10 Years Consistency)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Stable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No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0 to 20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2</t>
        </is>
      </c>
      <c r="BC339" s="31">
        <f>IF(BB339="Stage 2",20,IF(BB339="Stage 1",0,IF(BB339="Stage 3",5,IF(BB339="Stage 4",-5,0))))</f>
        <v/>
      </c>
      <c r="BD339" s="31" t="inlineStr">
        <is>
          <t>Positive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Close to 52 week high or retracement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Less than 12%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Yes</t>
        </is>
      </c>
      <c r="BS339" s="31">
        <f>IF(BR339="NO",5,0)</f>
        <v/>
      </c>
      <c r="BT339" s="31" t="inlineStr">
        <is>
          <t>Above 2</t>
        </is>
      </c>
      <c r="BU339" s="31">
        <f>IF(BT339="Above 2",0,IF(BT339="Between 1.5 to 2",5,IF(BT339="Less than 1.5",10,0)))</f>
        <v/>
      </c>
      <c r="BV339" s="31" t="inlineStr">
        <is>
          <t>Negative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More than 1.2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IF(B340=0,"",RANK(B340,$B$2:$B$343,0))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1" t="inlineStr">
        <is>
          <t>GNFC</t>
        </is>
      </c>
      <c r="D340" s="31" t="inlineStr">
        <is>
          <t>Gujarat Narmada Valley Fertilizers And Chemicals Limited</t>
        </is>
      </c>
      <c r="E340" s="31" t="inlineStr">
        <is>
          <t>chemicals</t>
        </is>
      </c>
      <c r="F340" s="31" t="inlineStr">
        <is>
          <t>chemicals</t>
        </is>
      </c>
      <c r="G340" s="31" t="inlineStr">
        <is>
          <t>midcap</t>
        </is>
      </c>
      <c r="H340" s="32" t="n">
        <v>7493.24</v>
      </c>
      <c r="I340" s="32" t="n">
        <v>536.05</v>
      </c>
      <c r="J340" s="32" t="n">
        <v>5.12</v>
      </c>
      <c r="K340" s="32" t="n">
        <v>1572111</v>
      </c>
      <c r="L340" s="31" t="n">
        <v>32</v>
      </c>
      <c r="M340" s="31" t="inlineStr">
        <is>
          <t>Outperforming</t>
        </is>
      </c>
      <c r="N340" s="32">
        <f>IF(M340="Underperforming",-5,IF(L340&gt;=95,15,IF(L340&gt;=90,10,IF(L340&gt;=80,5,0))))</f>
        <v/>
      </c>
      <c r="O340" s="32" t="n">
        <v>64.56999999999999</v>
      </c>
      <c r="P340" s="32" t="n">
        <v>28.17</v>
      </c>
      <c r="Q340" s="32" t="n">
        <v>438.82</v>
      </c>
      <c r="R340" s="31" t="inlineStr">
        <is>
          <t>Near 52W High Breakout</t>
        </is>
      </c>
      <c r="S340" s="31" t="inlineStr">
        <is>
          <t>Nifty 50</t>
        </is>
      </c>
      <c r="T340" s="32" t="n">
        <v>-4.47</v>
      </c>
      <c r="U340" s="32" t="n">
        <v>6.08</v>
      </c>
      <c r="V340" s="32" t="n">
        <v>11.04</v>
      </c>
      <c r="W340" s="32" t="n">
        <v>8.68</v>
      </c>
      <c r="X340" s="31" t="inlineStr">
        <is>
          <t>Growing Industry</t>
        </is>
      </c>
      <c r="Y340" s="31">
        <f>IF(X340="Growing Industry",10,IF(X340="Cyclical in an Upturn",5,0))</f>
        <v/>
      </c>
      <c r="Z340" s="31" t="inlineStr">
        <is>
          <t>Oligopoly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Tailwind</t>
        </is>
      </c>
      <c r="AE340" s="31">
        <f>IF(AD340="Tailwind",10,0)</f>
        <v/>
      </c>
      <c r="AF340" s="31" t="inlineStr">
        <is>
          <t>Shallow Cyclical (2 to 3 Years Growth)</t>
        </is>
      </c>
      <c r="AG340" s="31">
        <f>IF(AF340="Structural (10 Years Consistency)",10,IF(AF340="Shallow Cyclical (2 to 3 years growth)",5,0))</f>
        <v/>
      </c>
      <c r="AH340" s="31" t="inlineStr">
        <is>
          <t>Yes due to Product Mix change or Operating Leverage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Volatile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Yes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Allocated capital in Non-core Areas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Above 40</t>
        </is>
      </c>
      <c r="AY340" s="31">
        <f>IF(AX340="Above 40",20,IF(AX340="20 to 40",10,IF(AX340="0 to 20",-5,0)))</f>
        <v/>
      </c>
      <c r="AZ340" s="31" t="inlineStr">
        <is>
          <t>Between 50 to 75</t>
        </is>
      </c>
      <c r="BA340" s="31">
        <f>IF(AZ340="Between 50 to 75",10,IF(AZ340="Above 75",0,0))</f>
        <v/>
      </c>
      <c r="BB340" s="31" t="inlineStr">
        <is>
          <t>Stage 3</t>
        </is>
      </c>
      <c r="BC340" s="31">
        <f>IF(BB340="Stage 2",20,IF(BB340="Stage 1",0,IF(BB340="Stage 3",5,IF(BB340="Stage 4",-5,0))))</f>
        <v/>
      </c>
      <c r="BD340" s="31" t="inlineStr">
        <is>
          <t>Negative Trend</t>
        </is>
      </c>
      <c r="BE340" s="31">
        <f>IF(BD340="Positive Trend",20,IF(BD340="Negative Trend",-10,0))</f>
        <v/>
      </c>
      <c r="BF340" s="31" t="inlineStr">
        <is>
          <t>Sideways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Overhead supply in last 2 years in last 2 years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More than 20%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No</t>
        </is>
      </c>
      <c r="BS340" s="31">
        <f>IF(BR340="NO",5,0)</f>
        <v/>
      </c>
      <c r="BT340" s="31" t="inlineStr">
        <is>
          <t>Less than 1.5</t>
        </is>
      </c>
      <c r="BU340" s="31">
        <f>IF(BT340="Above 2",0,IF(BT340="Between 1.5 to 2",5,IF(BT340="Less than 1.5",10,0)))</f>
        <v/>
      </c>
      <c r="BV340" s="31" t="inlineStr">
        <is>
          <t>Above 70%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Less than 0.7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More than 15%</t>
        </is>
      </c>
      <c r="CC340" s="31">
        <f>IF(CB340="More than 15%",-10,IF(CB340="Less than 15%",10,0))</f>
        <v/>
      </c>
      <c r="CD340" s="31" t="inlineStr">
        <is>
          <t>Yes Upto 10%</t>
        </is>
      </c>
      <c r="CE340" s="31">
        <f>IF(CD340="Yes, more than 10%",-10,IF(CD340="No",10,0))</f>
        <v/>
      </c>
    </row>
    <row r="341">
      <c r="A341" s="31">
        <f>IF(B341=0,"",RANK(B341,$B$2:$B$343,0))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1" t="inlineStr">
        <is>
          <t>BALAMINES</t>
        </is>
      </c>
      <c r="D341" s="31" t="inlineStr">
        <is>
          <t>Balaji Amines Limited</t>
        </is>
      </c>
      <c r="E341" s="31" t="inlineStr">
        <is>
          <t>chemicals</t>
        </is>
      </c>
      <c r="F341" s="31" t="inlineStr">
        <is>
          <t>chemicals</t>
        </is>
      </c>
      <c r="G341" s="31" t="inlineStr">
        <is>
          <t>midcap</t>
        </is>
      </c>
      <c r="H341" s="32" t="n">
        <v>6830.45</v>
      </c>
      <c r="I341" s="32" t="n">
        <v>2076.5</v>
      </c>
      <c r="J341" s="32" t="n">
        <v>-1.5</v>
      </c>
      <c r="K341" s="32" t="n">
        <v>138544</v>
      </c>
      <c r="L341" s="31" t="n">
        <v>89</v>
      </c>
      <c r="M341" s="31" t="inlineStr">
        <is>
          <t>Outperforming</t>
        </is>
      </c>
      <c r="N341" s="32">
        <f>IF(M341="Underperforming",-5,IF(L341&gt;=95,15,IF(L341&gt;=90,10,IF(L341&gt;=80,5,0))))</f>
        <v/>
      </c>
      <c r="O341" s="32" t="n">
        <v>78.40000000000001</v>
      </c>
      <c r="P341" s="32" t="n">
        <v>42.44</v>
      </c>
      <c r="Q341" s="32" t="n">
        <v>1599.87</v>
      </c>
      <c r="R341" s="31" t="inlineStr">
        <is>
          <t>Near 52W High Breakout</t>
        </is>
      </c>
      <c r="S341" s="31" t="inlineStr">
        <is>
          <t>Nifty 50</t>
        </is>
      </c>
      <c r="T341" s="32" t="n">
        <v>-4.47</v>
      </c>
      <c r="U341" s="32" t="n">
        <v>50.69</v>
      </c>
      <c r="V341" s="32" t="n">
        <v>57.75</v>
      </c>
      <c r="W341" s="32" t="n">
        <v>33.53</v>
      </c>
      <c r="X341" s="31" t="inlineStr">
        <is>
          <t>Growing Industry</t>
        </is>
      </c>
      <c r="Y341" s="31">
        <f>IF(X341="Growing Industry",10,IF(X341="Cyclical in an Upturn",5,0))</f>
        <v/>
      </c>
      <c r="Z341" s="31" t="inlineStr">
        <is>
          <t>Duopoly That Cooperate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No</t>
        </is>
      </c>
      <c r="AC341" s="31">
        <f>IF(AB341="No",5,0)</f>
        <v/>
      </c>
      <c r="AD341" s="31" t="inlineStr">
        <is>
          <t>Headwind</t>
        </is>
      </c>
      <c r="AE341" s="31">
        <f>IF(AD341="Tailwind",10,0)</f>
        <v/>
      </c>
      <c r="AF341" s="31" t="inlineStr">
        <is>
          <t>Shallow Cyclical (2 to 3 Years Growth)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Stable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Yes</t>
        </is>
      </c>
      <c r="AQ341" s="31">
        <f>IF(AP341="Yes",10,0)</f>
        <v/>
      </c>
      <c r="AR341" s="31" t="inlineStr">
        <is>
          <t>Higher One Time, Lower Annuity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Good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20 to 40</t>
        </is>
      </c>
      <c r="AY341" s="31">
        <f>IF(AX341="Above 40",20,IF(AX341="20 to 40",10,IF(AX341="0 to 20",-5,0)))</f>
        <v/>
      </c>
      <c r="AZ341" s="31" t="inlineStr">
        <is>
          <t>Between 50 to 75</t>
        </is>
      </c>
      <c r="BA341" s="31">
        <f>IF(AZ341="Between 50 to 75",10,IF(AZ341="Above 75",0,0))</f>
        <v/>
      </c>
      <c r="BB341" s="31" t="inlineStr">
        <is>
          <t>Stage 4</t>
        </is>
      </c>
      <c r="BC341" s="31">
        <f>IF(BB341="Stage 2",20,IF(BB341="Stage 1",0,IF(BB341="Stage 3",5,IF(BB341="Stage 4",-5,0))))</f>
        <v/>
      </c>
      <c r="BD341" s="31" t="inlineStr">
        <is>
          <t>Negative Trend</t>
        </is>
      </c>
      <c r="BE341" s="31">
        <f>IF(BD341="Positive Trend",20,IF(BD341="Negative Trend",-10,0))</f>
        <v/>
      </c>
      <c r="BF341" s="31" t="inlineStr">
        <is>
          <t>Downtrend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Overhead supply in last 2 years in last 2 years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No</t>
        </is>
      </c>
      <c r="BM341" s="31">
        <f>IF(BL341="Yes",10,0)</f>
        <v/>
      </c>
      <c r="BN341" s="31" t="inlineStr">
        <is>
          <t>More than 20%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Yes</t>
        </is>
      </c>
      <c r="BS341" s="31">
        <f>IF(BR341="NO",5,0)</f>
        <v/>
      </c>
      <c r="BT341" s="31" t="inlineStr">
        <is>
          <t>Less than 1.5</t>
        </is>
      </c>
      <c r="BU341" s="31">
        <f>IF(BT341="Above 2",0,IF(BT341="Between 1.5 to 2",5,IF(BT341="Less than 1.5",10,0)))</f>
        <v/>
      </c>
      <c r="BV341" s="31" t="inlineStr">
        <is>
          <t>Between 50% to 70%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Less than 0.7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IF(B342=0,"",RANK(B342,$B$2:$B$343,0))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3" t="inlineStr">
        <is>
          <t>GRAVITA</t>
        </is>
      </c>
      <c r="D342" s="33" t="inlineStr">
        <is>
          <t>Gravita India Limited</t>
        </is>
      </c>
      <c r="E342" s="31" t="inlineStr">
        <is>
          <t>metals &amp; mining</t>
        </is>
      </c>
      <c r="F342" s="31" t="inlineStr">
        <is>
          <t>mining / minerals / metals</t>
        </is>
      </c>
      <c r="G342" s="31" t="inlineStr">
        <is>
          <t>midcap</t>
        </is>
      </c>
      <c r="H342" s="32" t="n">
        <v>12248.51</v>
      </c>
      <c r="I342" s="32" t="n">
        <v>1663.9</v>
      </c>
      <c r="J342" s="32" t="n">
        <v>0.27</v>
      </c>
      <c r="K342" s="32" t="n">
        <v>130398</v>
      </c>
      <c r="L342" s="31" t="n">
        <v>12</v>
      </c>
      <c r="M342" s="31" t="inlineStr">
        <is>
          <t>Underperforming</t>
        </is>
      </c>
      <c r="N342" s="32">
        <f>IF(M342="Underperforming",-5,IF(L342&gt;=95,15,IF(L342&gt;=90,10,IF(L342&gt;=80,5,0))))</f>
        <v/>
      </c>
      <c r="O342" s="32" t="n">
        <v>52.32</v>
      </c>
      <c r="P342" s="32" t="n">
        <v>17.93</v>
      </c>
      <c r="Q342" s="32" t="n">
        <v>1366.2</v>
      </c>
      <c r="R342" s="31" t="inlineStr">
        <is>
          <t>Earnings / Momentum Support</t>
        </is>
      </c>
      <c r="S342" s="31" t="inlineStr">
        <is>
          <t>Nifty Metal</t>
        </is>
      </c>
      <c r="T342" s="32" t="n">
        <v>40.96</v>
      </c>
      <c r="U342" s="32" t="n">
        <v>-0.64</v>
      </c>
      <c r="V342" s="32" t="n">
        <v>-29.51</v>
      </c>
      <c r="W342" s="32" t="n">
        <v>4.53</v>
      </c>
      <c r="X342" s="31" t="inlineStr">
        <is>
          <t>Cyclical in an Upturn</t>
        </is>
      </c>
      <c r="Y342" s="31">
        <f>IF(X342="Growing Industry",10,IF(X342="Cyclical in an Upturn",5,0))</f>
        <v/>
      </c>
      <c r="Z342" s="31" t="inlineStr">
        <is>
          <t>Too Many Players with High ROCE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No</t>
        </is>
      </c>
      <c r="AC342" s="31">
        <f>IF(AB342="No",5,0)</f>
        <v/>
      </c>
      <c r="AD342" s="31" t="inlineStr">
        <is>
          <t>Headwind</t>
        </is>
      </c>
      <c r="AE342" s="31">
        <f>IF(AD342="Tailwind",10,0)</f>
        <v/>
      </c>
      <c r="AF342" s="31" t="inlineStr">
        <is>
          <t>Cyclical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Volatile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B2B</t>
        </is>
      </c>
      <c r="AO342" s="31">
        <f>IF(AN342="B2C",10,IF(AN342="B2B",5,0))</f>
        <v/>
      </c>
      <c r="AP342" s="31" t="inlineStr">
        <is>
          <t>No</t>
        </is>
      </c>
      <c r="AQ342" s="31">
        <f>IF(AP342="Yes",10,0)</f>
        <v/>
      </c>
      <c r="AR342" s="31" t="inlineStr">
        <is>
          <t>Higher One Time, Lower Annuity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Good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0 to 20</t>
        </is>
      </c>
      <c r="AY342" s="31">
        <f>IF(AX342="Above 40",20,IF(AX342="20 to 40",10,IF(AX342="0 to 20",-5,0)))</f>
        <v/>
      </c>
      <c r="AZ342" s="31" t="inlineStr">
        <is>
          <t>Between 50 to 75</t>
        </is>
      </c>
      <c r="BA342" s="31">
        <f>IF(AZ342="Between 50 to 75",10,IF(AZ342="Above 75",0,0))</f>
        <v/>
      </c>
      <c r="BB342" s="31" t="inlineStr">
        <is>
          <t>Stage 1</t>
        </is>
      </c>
      <c r="BC342" s="31">
        <f>IF(BB342="Stage 2",20,IF(BB342="Stage 1",0,IF(BB342="Stage 3",5,IF(BB342="Stage 4",-5,0))))</f>
        <v/>
      </c>
      <c r="BD342" s="31" t="inlineStr">
        <is>
          <t>Positive Trend</t>
        </is>
      </c>
      <c r="BE342" s="31">
        <f>IF(BD342="Positive Trend",20,IF(BD342="Negative Trend",-10,0))</f>
        <v/>
      </c>
      <c r="BF342" s="31" t="inlineStr">
        <is>
          <t>Uptrend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Close to 52 week high or retracement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Yes</t>
        </is>
      </c>
      <c r="BM342" s="31">
        <f>IF(BL342="Yes",10,0)</f>
        <v/>
      </c>
      <c r="BN342" s="31" t="inlineStr">
        <is>
          <t>Less than 12%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No</t>
        </is>
      </c>
      <c r="BS342" s="31">
        <f>IF(BR342="NO",5,0)</f>
        <v/>
      </c>
      <c r="BT342" s="31" t="inlineStr">
        <is>
          <t>Above 2</t>
        </is>
      </c>
      <c r="BU342" s="31">
        <f>IF(BT342="Above 2",0,IF(BT342="Between 1.5 to 2",5,IF(BT342="Less than 1.5",10,0)))</f>
        <v/>
      </c>
      <c r="BV342" s="31" t="inlineStr">
        <is>
          <t>Less than 50%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Less than 0.7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IF(B343=0,"",RANK(B343,$B$2:$B$343,0))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3" t="inlineStr">
        <is>
          <t>ARIHANT</t>
        </is>
      </c>
      <c r="D343" s="33" t="inlineStr">
        <is>
          <t>Arihant Foundations &amp; Housing Limited</t>
        </is>
      </c>
      <c r="E343" s="31" t="inlineStr">
        <is>
          <t>realty</t>
        </is>
      </c>
      <c r="F343" s="31" t="inlineStr">
        <is>
          <t>construction</t>
        </is>
      </c>
      <c r="G343" s="31" t="inlineStr">
        <is>
          <t>smallcap</t>
        </is>
      </c>
      <c r="H343" s="32" t="n">
        <v>870.55</v>
      </c>
      <c r="I343" s="32" t="n">
        <v>882.55</v>
      </c>
      <c r="J343" s="32" t="n">
        <v>1.03</v>
      </c>
      <c r="K343" s="32" t="n">
        <v>4737</v>
      </c>
      <c r="L343" s="31" t="n">
        <v>1</v>
      </c>
      <c r="M343" s="31" t="inlineStr">
        <is>
          <t>Underperforming</t>
        </is>
      </c>
      <c r="N343" s="32">
        <f>IF(M343="Underperforming",-5,IF(L343&gt;=95,15,IF(L343&gt;=90,10,IF(L343&gt;=80,5,0))))</f>
        <v/>
      </c>
      <c r="O343" s="32" t="n">
        <v>41.37</v>
      </c>
      <c r="P343" s="32" t="n">
        <v>23.15</v>
      </c>
      <c r="Q343" s="32" t="n">
        <v>585.3099999999999</v>
      </c>
      <c r="R343" s="31" t="inlineStr">
        <is>
          <t>Earnings / Momentum Support</t>
        </is>
      </c>
      <c r="S343" s="31" t="inlineStr">
        <is>
          <t>Nifty Realty</t>
        </is>
      </c>
      <c r="T343" s="32" t="n">
        <v>-19.29</v>
      </c>
      <c r="U343" s="32" t="n">
        <v>-39.18</v>
      </c>
      <c r="V343" s="32" t="n">
        <v>-24.64</v>
      </c>
      <c r="W343" s="32" t="n">
        <v>-10.92</v>
      </c>
      <c r="X343" s="31" t="inlineStr">
        <is>
          <t>Growing Industry</t>
        </is>
      </c>
      <c r="Y343" s="31">
        <f>IF(X343="Growing Industry",10,IF(X343="Cyclical in an Upturn",5,0))</f>
        <v/>
      </c>
      <c r="Z343" s="31" t="inlineStr">
        <is>
          <t>Too Many Players with High ROCE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No</t>
        </is>
      </c>
      <c r="AC343" s="31">
        <f>IF(AB343="No",5,0)</f>
        <v/>
      </c>
      <c r="AD343" s="31" t="inlineStr">
        <is>
          <t>Headwind</t>
        </is>
      </c>
      <c r="AE343" s="31">
        <f>IF(AD343="Tailwind",10,0)</f>
        <v/>
      </c>
      <c r="AF343" s="31" t="inlineStr">
        <is>
          <t>Structural (10 Years Consistency)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Stable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B2B</t>
        </is>
      </c>
      <c r="AO343" s="31">
        <f>IF(AN343="B2C",10,IF(AN343="B2B",5,0))</f>
        <v/>
      </c>
      <c r="AP343" s="31" t="inlineStr">
        <is>
          <t>No</t>
        </is>
      </c>
      <c r="AQ343" s="31">
        <f>IF(AP343="Yes",10,0)</f>
        <v/>
      </c>
      <c r="AR343" s="31" t="inlineStr">
        <is>
          <t>Higher One Time, Lower Annuity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Good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20 to 40</t>
        </is>
      </c>
      <c r="AY343" s="31">
        <f>IF(AX343="Above 40",20,IF(AX343="20 to 40",10,IF(AX343="0 to 20",-5,0)))</f>
        <v/>
      </c>
      <c r="AZ343" s="31" t="inlineStr">
        <is>
          <t>Below 45</t>
        </is>
      </c>
      <c r="BA343" s="31">
        <f>IF(AZ343="Between 50 to 75",10,IF(AZ343="Above 75",0,0))</f>
        <v/>
      </c>
      <c r="BB343" s="31" t="inlineStr">
        <is>
          <t>Stage 4</t>
        </is>
      </c>
      <c r="BC343" s="31">
        <f>IF(BB343="Stage 2",20,IF(BB343="Stage 1",0,IF(BB343="Stage 3",5,IF(BB343="Stage 4",-5,0))))</f>
        <v/>
      </c>
      <c r="BD343" s="31" t="inlineStr">
        <is>
          <t>Negative Trend</t>
        </is>
      </c>
      <c r="BE343" s="31">
        <f>IF(BD343="Positive Trend",20,IF(BD343="Negative Trend",-10,0))</f>
        <v/>
      </c>
      <c r="BF343" s="31" t="inlineStr">
        <is>
          <t>Uptrend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Close to 52 week high or retracement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Less than 12%</t>
        </is>
      </c>
      <c r="BO343" s="31">
        <f>IF(BN343="More than 20%",10,IF(BN343="Between 12 to 20%",5,IF(BN343="Less than 12%",0,0)))</f>
        <v/>
      </c>
      <c r="BP343" s="31" t="inlineStr">
        <is>
          <t>No</t>
        </is>
      </c>
      <c r="BQ343" s="31">
        <f>IF(BP343="No",10,0)</f>
        <v/>
      </c>
      <c r="BR343" s="31" t="inlineStr">
        <is>
          <t>No</t>
        </is>
      </c>
      <c r="BS343" s="31">
        <f>IF(BR343="NO",5,0)</f>
        <v/>
      </c>
      <c r="BT343" s="31" t="inlineStr">
        <is>
          <t>Above 2</t>
        </is>
      </c>
      <c r="BU343" s="31">
        <f>IF(BT343="Above 2",0,IF(BT343="Between 1.5 to 2",5,IF(BT343="Less than 1.5",10,0)))</f>
        <v/>
      </c>
      <c r="BV343" s="31" t="inlineStr">
        <is>
          <t>Above 70%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More than 1.2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</sheetData>
  <autoFilter ref="A1:CE343"/>
  <conditionalFormatting sqref="B2:B34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4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4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4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4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4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4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4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4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4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4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4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4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4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4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4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4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43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43">
    <cfRule type="cellIs" priority="36" operator="equal" dxfId="3" stopIfTrue="1">
      <formula>"Underperforming"</formula>
    </cfRule>
  </conditionalFormatting>
  <conditionalFormatting sqref="N2:N343">
    <cfRule type="cellIs" priority="37" operator="equal" dxfId="3" stopIfTrue="1">
      <formula>-5</formula>
    </cfRule>
  </conditionalFormatting>
  <conditionalFormatting sqref="Q2:Q343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43" showDropDown="0" showInputMessage="0" showErrorMessage="0" allowBlank="1" type="list">
      <formula1>"Growing Industry,Stagnant Industry,Cyclical in an Upturn"</formula1>
    </dataValidation>
    <dataValidation sqref="Z2:Z34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43" showDropDown="0" showInputMessage="0" showErrorMessage="0" allowBlank="1" type="list">
      <formula1>"Yes,No"</formula1>
    </dataValidation>
    <dataValidation sqref="AD2:AD343" showDropDown="0" showInputMessage="0" showErrorMessage="0" allowBlank="1" type="list">
      <formula1>"Tailwind,Headwind"</formula1>
    </dataValidation>
    <dataValidation sqref="AF2:AF343" showDropDown="0" showInputMessage="0" showErrorMessage="0" allowBlank="1" type="list">
      <formula1>"Structural (10 Years Consistency),Shallow Cyclical (2 to 3 Years Growth),Cyclical"</formula1>
    </dataValidation>
    <dataValidation sqref="AH2:AH343" showDropDown="0" showInputMessage="0" showErrorMessage="0" allowBlank="1" type="list">
      <formula1>"Yes due to Product Mix change or Operating Leverage,Yes, these are peak margins,No"</formula1>
    </dataValidation>
    <dataValidation sqref="AJ2:AJ343" showDropDown="0" showInputMessage="0" showErrorMessage="0" allowBlank="1" type="list">
      <formula1>"Stable,Volatile"</formula1>
    </dataValidation>
    <dataValidation sqref="AL2:AL343" showDropDown="0" showInputMessage="0" showErrorMessage="0" allowBlank="1" type="list">
      <formula1>"Yes,No"</formula1>
    </dataValidation>
    <dataValidation sqref="AN2:AN343" showDropDown="0" showInputMessage="0" showErrorMessage="0" allowBlank="1" type="list">
      <formula1>"B2C,B2B,B2G"</formula1>
    </dataValidation>
    <dataValidation sqref="AP2:AP343" showDropDown="0" showInputMessage="0" showErrorMessage="0" allowBlank="1" type="list">
      <formula1>"Yes,No"</formula1>
    </dataValidation>
    <dataValidation sqref="AR2:AR343" showDropDown="0" showInputMessage="0" showErrorMessage="0" allowBlank="1" type="list">
      <formula1>"Fully Annuity,Higher Annuity, Lower One time,Higher One Time, Lower Annuity,Fully One Time"</formula1>
    </dataValidation>
    <dataValidation sqref="AT2:AT343" showDropDown="0" showInputMessage="0" showErrorMessage="0" allowBlank="1" type="list">
      <formula1>"Good,Allocated capital in Non-core Areas"</formula1>
    </dataValidation>
    <dataValidation sqref="AV2:AV343" showDropDown="0" showInputMessage="0" showErrorMessage="0" allowBlank="1" type="list">
      <formula1>"Yes for more than 2 years,Yes only for next 1 to 2 years,No"</formula1>
    </dataValidation>
    <dataValidation sqref="AX2:AX343" showDropDown="0" showInputMessage="0" showErrorMessage="0" allowBlank="1" type="list">
      <formula1>"Above 40,20 to 40,0 to 20"</formula1>
    </dataValidation>
    <dataValidation sqref="AZ2:AZ343" showDropDown="0" showInputMessage="0" showErrorMessage="0" allowBlank="1" type="list">
      <formula1>"Between 50 to 75,Above 75,Below 45"</formula1>
    </dataValidation>
    <dataValidation sqref="BB2:BB343" showDropDown="0" showInputMessage="0" showErrorMessage="0" allowBlank="1" type="list">
      <formula1>"Stage 1,Stage 2,Stage 3,Stage 4"</formula1>
    </dataValidation>
    <dataValidation sqref="BD2:BD343" showDropDown="0" showInputMessage="0" showErrorMessage="0" allowBlank="1" type="list">
      <formula1>"Positive Trend,Negative Trend"</formula1>
    </dataValidation>
    <dataValidation sqref="BF2:BF343" showDropDown="0" showInputMessage="0" showErrorMessage="0" allowBlank="1" type="list">
      <formula1>"Uptrend,Sideways,Downtrend"</formula1>
    </dataValidation>
    <dataValidation sqref="BH2:BH343" showDropDown="0" showInputMessage="0" showErrorMessage="0" allowBlank="1" type="list">
      <formula1>"Uptrend,Sideways,Downtrend"</formula1>
    </dataValidation>
    <dataValidation sqref="BJ2:BJ34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43" showDropDown="0" showInputMessage="0" showErrorMessage="0" allowBlank="1" type="list">
      <formula1>"Yes,No"</formula1>
    </dataValidation>
    <dataValidation sqref="BN2:BN343" showDropDown="0" showInputMessage="0" showErrorMessage="0" allowBlank="1" type="list">
      <formula1>"More than 20%,Between 12 to 20%,Less than 12%"</formula1>
    </dataValidation>
    <dataValidation sqref="BP2:BP343" showDropDown="0" showInputMessage="0" showErrorMessage="0" allowBlank="1" type="list">
      <formula1>"Yes,No"</formula1>
    </dataValidation>
    <dataValidation sqref="BR2:BR343" showDropDown="0" showInputMessage="0" showErrorMessage="0" allowBlank="1" type="list">
      <formula1>"Yes,No"</formula1>
    </dataValidation>
    <dataValidation sqref="BT2:BT343" showDropDown="0" showInputMessage="0" showErrorMessage="0" allowBlank="1" type="list">
      <formula1>"Above 2,Between 1.5 to 2,Less than 1.5"</formula1>
    </dataValidation>
    <dataValidation sqref="BV2:BV343" showDropDown="0" showInputMessage="0" showErrorMessage="0" allowBlank="1" type="list">
      <formula1>"Above 70%,Between 50% to 70%,Less than 50%,Less than 50% and Borrowings are increasing,Negative"</formula1>
    </dataValidation>
    <dataValidation sqref="BX2:BX343" showDropDown="0" showInputMessage="0" showErrorMessage="0" allowBlank="1" type="list">
      <formula1>"More than 1.2,Between 0.7 to 1.2,Less than 0.7"</formula1>
    </dataValidation>
    <dataValidation sqref="BZ2:BZ343" showDropDown="0" showInputMessage="0" showErrorMessage="0" allowBlank="1" type="list">
      <formula1>"Yes,No"</formula1>
    </dataValidation>
    <dataValidation sqref="CB2:CB343" showDropDown="0" showInputMessage="0" showErrorMessage="0" allowBlank="1" type="list">
      <formula1>"More than 15%,Less than 15%"</formula1>
    </dataValidation>
    <dataValidation sqref="CD2:CD34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6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IF(B2=0,"",RANK(B2,$B$2:$B$67,0))</f>
        <v/>
      </c>
      <c r="B2" s="32">
        <f>SUM(N2,Y2,AA2,AC2,AE2,AG2,AI2,AK2,AM2,AO2,AQ2,AS2,AU2,AW2,AY2,BA2,BC2,BE2,BG2,BI2,BK2,BM2,BO2,BQ2,BS2,BU2,BW2,BY2,CA2)</f>
        <v/>
      </c>
      <c r="C2" s="31" t="inlineStr">
        <is>
          <t>KTKBANK</t>
        </is>
      </c>
      <c r="D2" s="31" t="inlineStr">
        <is>
          <t>The Karnataka Bank Limited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10311.89</v>
      </c>
      <c r="I2" s="32" t="n">
        <v>279.05</v>
      </c>
      <c r="J2" s="32" t="n">
        <v>2.33</v>
      </c>
      <c r="K2" s="32" t="n">
        <v>2273177</v>
      </c>
      <c r="L2" s="31" t="n">
        <v>47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70.11</v>
      </c>
      <c r="P2" s="32" t="n">
        <v>54.63</v>
      </c>
      <c r="Q2" s="32" t="n">
        <v>224</v>
      </c>
      <c r="R2" s="31" t="inlineStr">
        <is>
          <t>Near 52W High Breakout</t>
        </is>
      </c>
      <c r="S2" s="31" t="inlineStr">
        <is>
          <t>Nifty Bank</t>
        </is>
      </c>
      <c r="T2" s="32" t="n">
        <v>1.86</v>
      </c>
      <c r="U2" s="32" t="n">
        <v>43.21</v>
      </c>
      <c r="V2" s="32" t="n">
        <v>40.6</v>
      </c>
      <c r="W2" s="32" t="n">
        <v>12.59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IF(B3=0,"",RANK(B3,$B$2:$B$67,0))</f>
        <v/>
      </c>
      <c r="B3" s="32">
        <f>SUM(N3,Y3,AA3,AC3,AE3,AG3,AI3,AK3,AM3,AO3,AQ3,AS3,AU3,AW3,AY3,BA3,BC3,BE3,BG3,BI3,BK3,BM3,BO3,BQ3,BS3,BU3,BW3,BY3,CA3)</f>
        <v/>
      </c>
      <c r="C3" s="31" t="inlineStr">
        <is>
          <t>SATIN</t>
        </is>
      </c>
      <c r="D3" s="31" t="inlineStr">
        <is>
          <t>Satin Creditcare Network Limited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2564.14</v>
      </c>
      <c r="I3" s="32" t="n">
        <v>231.38</v>
      </c>
      <c r="J3" s="32" t="n">
        <v>-0.31</v>
      </c>
      <c r="K3" s="32" t="n">
        <v>395949</v>
      </c>
      <c r="L3" s="31" t="n">
        <v>76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69.76000000000001</v>
      </c>
      <c r="P3" s="32" t="n">
        <v>45.82</v>
      </c>
      <c r="Q3" s="32" t="n">
        <v>187.8</v>
      </c>
      <c r="R3" s="31" t="inlineStr">
        <is>
          <t>Near 52W High Breakout</t>
        </is>
      </c>
      <c r="S3" s="31" t="inlineStr">
        <is>
          <t>Nifty Bank</t>
        </is>
      </c>
      <c r="T3" s="32" t="n">
        <v>1.86</v>
      </c>
      <c r="U3" s="32" t="n">
        <v>52.61</v>
      </c>
      <c r="V3" s="32" t="n">
        <v>49.82</v>
      </c>
      <c r="W3" s="32" t="n">
        <v>22.93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IF(B4=0,"",RANK(B4,$B$2:$B$67,0))</f>
        <v/>
      </c>
      <c r="B4" s="32">
        <f>SUM(N4,Y4,AA4,AC4,AE4,AG4,AI4,AK4,AM4,AO4,AQ4,AS4,AU4,AW4,AY4,BA4,BC4,BE4,BG4,BI4,BK4,BM4,BO4,BQ4,BS4,BU4,BW4,BY4,CA4)</f>
        <v/>
      </c>
      <c r="C4" s="31" t="inlineStr">
        <is>
          <t>MAHABANK</t>
        </is>
      </c>
      <c r="D4" s="31" t="inlineStr">
        <is>
          <t>Bank Of Maharashtra Ltd</t>
        </is>
      </c>
      <c r="E4" s="31" t="inlineStr">
        <is>
          <t>bank</t>
        </is>
      </c>
      <c r="F4" s="31" t="inlineStr">
        <is>
          <t>banks - public sector</t>
        </is>
      </c>
      <c r="G4" s="31" t="inlineStr">
        <is>
          <t>largecap</t>
        </is>
      </c>
      <c r="H4" s="32" t="n">
        <v>68547.14</v>
      </c>
      <c r="I4" s="32" t="n">
        <v>88.19</v>
      </c>
      <c r="J4" s="32" t="n">
        <v>-1.04</v>
      </c>
      <c r="K4" s="32" t="n">
        <v>13331204</v>
      </c>
      <c r="L4" s="31" t="n">
        <v>69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71.95999999999999</v>
      </c>
      <c r="P4" s="32" t="n">
        <v>43.77</v>
      </c>
      <c r="Q4" s="32" t="n">
        <v>71.90000000000001</v>
      </c>
      <c r="R4" s="31" t="inlineStr">
        <is>
          <t>Near 52W High Breakout</t>
        </is>
      </c>
      <c r="S4" s="31" t="inlineStr">
        <is>
          <t>Nifty Bank</t>
        </is>
      </c>
      <c r="T4" s="32" t="n">
        <v>1.86</v>
      </c>
      <c r="U4" s="32" t="n">
        <v>68.73</v>
      </c>
      <c r="V4" s="32" t="n">
        <v>65.66</v>
      </c>
      <c r="W4" s="32" t="n">
        <v>19.17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IF(B5=0,"",RANK(B5,$B$2:$B$67,0))</f>
        <v/>
      </c>
      <c r="B5" s="32">
        <f>SUM(N5,Y5,AA5,AC5,AE5,AG5,AI5,AK5,AM5,AO5,AQ5,AS5,AU5,AW5,AY5,BA5,BC5,BE5,BG5,BI5,BK5,BM5,BO5,BQ5,BS5,BU5,BW5,BY5,CA5)</f>
        <v/>
      </c>
      <c r="C5" s="31" t="inlineStr">
        <is>
          <t>BANDHANBNK</t>
        </is>
      </c>
      <c r="D5" s="31" t="inlineStr">
        <is>
          <t>Bandhan Bank Ltd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largecap</t>
        </is>
      </c>
      <c r="H5" s="32" t="n">
        <v>33972.18</v>
      </c>
      <c r="I5" s="32" t="n">
        <v>216.74</v>
      </c>
      <c r="J5" s="32" t="n">
        <v>2.78</v>
      </c>
      <c r="K5" s="32" t="n">
        <v>14775474</v>
      </c>
      <c r="L5" s="31" t="n">
        <v>46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68.19</v>
      </c>
      <c r="P5" s="32" t="n">
        <v>26.1</v>
      </c>
      <c r="Q5" s="32" t="n">
        <v>175.61</v>
      </c>
      <c r="R5" s="31" t="inlineStr">
        <is>
          <t>Near 52W High Breakout</t>
        </is>
      </c>
      <c r="S5" s="31" t="inlineStr">
        <is>
          <t>Nifty Bank</t>
        </is>
      </c>
      <c r="T5" s="32" t="n">
        <v>1.86</v>
      </c>
      <c r="U5" s="32" t="n">
        <v>21.48</v>
      </c>
      <c r="V5" s="32" t="n">
        <v>19.26</v>
      </c>
      <c r="W5" s="32" t="n">
        <v>12.53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IF(B6=0,"",RANK(B6,$B$2:$B$67,0))</f>
        <v/>
      </c>
      <c r="B6" s="32">
        <f>SUM(N6,Y6,AA6,AC6,AE6,AG6,AI6,AK6,AM6,AO6,AQ6,AS6,AU6,AW6,AY6,BA6,BC6,BE6,BG6,BI6,BK6,BM6,BO6,BQ6,BS6,BU6,BW6,BY6,CA6)</f>
        <v/>
      </c>
      <c r="C6" s="31" t="inlineStr">
        <is>
          <t>NORTHARC</t>
        </is>
      </c>
      <c r="D6" s="31" t="inlineStr">
        <is>
          <t>Northern ARC Capital Ltd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smallcap</t>
        </is>
      </c>
      <c r="H6" s="32" t="n">
        <v>4764.75</v>
      </c>
      <c r="I6" s="32" t="n">
        <v>298.75</v>
      </c>
      <c r="J6" s="32" t="n">
        <v>1.31</v>
      </c>
      <c r="K6" s="32" t="n">
        <v>669390</v>
      </c>
      <c r="L6" s="31" t="n">
        <v>55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64.31999999999999</v>
      </c>
      <c r="P6" s="32" t="n">
        <v>30.22</v>
      </c>
      <c r="Q6" s="32" t="n">
        <v>230.15</v>
      </c>
      <c r="R6" s="31" t="inlineStr">
        <is>
          <t>Near 52W High Breakout</t>
        </is>
      </c>
      <c r="S6" s="31" t="inlineStr">
        <is>
          <t>Nifty Bank</t>
        </is>
      </c>
      <c r="T6" s="32" t="n">
        <v>1.86</v>
      </c>
      <c r="U6" s="32" t="n">
        <v>43.37</v>
      </c>
      <c r="V6" s="32" t="n">
        <v>40.75</v>
      </c>
      <c r="W6" s="32" t="n">
        <v>14.39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IF(B7=0,"",RANK(B7,$B$2:$B$67,0))</f>
        <v/>
      </c>
      <c r="B7" s="32">
        <f>SUM(N7,Y7,AA7,AC7,AE7,AG7,AI7,AK7,AM7,AO7,AQ7,AS7,AU7,AW7,AY7,BA7,BC7,BE7,BG7,BI7,BK7,BM7,BO7,BQ7,BS7,BU7,BW7,BY7,CA7)</f>
        <v/>
      </c>
      <c r="C7" s="31" t="inlineStr">
        <is>
          <t>FEDFINA</t>
        </is>
      </c>
      <c r="D7" s="31" t="inlineStr">
        <is>
          <t>Fedbank Financial Services Ltd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midcap</t>
        </is>
      </c>
      <c r="H7" s="32" t="n">
        <v>6069.25</v>
      </c>
      <c r="I7" s="32" t="n">
        <v>162.97</v>
      </c>
      <c r="J7" s="32" t="n">
        <v>0.48</v>
      </c>
      <c r="K7" s="32" t="n">
        <v>653065</v>
      </c>
      <c r="L7" s="31" t="n">
        <v>45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62.99</v>
      </c>
      <c r="P7" s="32" t="n">
        <v>24.57</v>
      </c>
      <c r="Q7" s="32" t="n">
        <v>124.99</v>
      </c>
      <c r="R7" s="31" t="inlineStr">
        <is>
          <t>Near 52W High Breakout</t>
        </is>
      </c>
      <c r="S7" s="31" t="inlineStr">
        <is>
          <t>Nifty Bank</t>
        </is>
      </c>
      <c r="T7" s="32" t="n">
        <v>1.86</v>
      </c>
      <c r="U7" s="32" t="n">
        <v>41.41</v>
      </c>
      <c r="V7" s="32" t="n">
        <v>38.83</v>
      </c>
      <c r="W7" s="32" t="n">
        <v>12.35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IF(B8=0,"",RANK(B8,$B$2:$B$67,0))</f>
        <v/>
      </c>
      <c r="B8" s="32">
        <f>SUM(N8,Y8,AA8,AC8,AE8,AG8,AI8,AK8,AM8,AO8,AQ8,AS8,AU8,AW8,AY8,BA8,BC8,BE8,BG8,BI8,BK8,BM8,BO8,BQ8,BS8,BU8,BW8,BY8,CA8)</f>
        <v/>
      </c>
      <c r="C8" s="31" t="inlineStr">
        <is>
          <t>RBLBANK</t>
        </is>
      </c>
      <c r="D8" s="31" t="inlineStr">
        <is>
          <t>Rbl Bank Limited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largecap</t>
        </is>
      </c>
      <c r="H8" s="32" t="n">
        <v>23033.92</v>
      </c>
      <c r="I8" s="32" t="n">
        <v>369.7</v>
      </c>
      <c r="J8" s="32" t="n">
        <v>-0.79</v>
      </c>
      <c r="K8" s="32" t="n">
        <v>4125957</v>
      </c>
      <c r="L8" s="31" t="n">
        <v>58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70.19</v>
      </c>
      <c r="P8" s="32" t="n">
        <v>31.52</v>
      </c>
      <c r="Q8" s="32" t="n">
        <v>309.28</v>
      </c>
      <c r="R8" s="31" t="inlineStr">
        <is>
          <t>Near 52W High Breakout</t>
        </is>
      </c>
      <c r="S8" s="31" t="inlineStr">
        <is>
          <t>Nifty Bank</t>
        </is>
      </c>
      <c r="T8" s="32" t="n">
        <v>1.86</v>
      </c>
      <c r="U8" s="32" t="n">
        <v>62.72</v>
      </c>
      <c r="V8" s="32" t="n">
        <v>59.75</v>
      </c>
      <c r="W8" s="32" t="n">
        <v>15.56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IF(B9=0,"",RANK(B9,$B$2:$B$67,0))</f>
        <v/>
      </c>
      <c r="B9" s="32">
        <f>SUM(N9,Y9,AA9,AC9,AE9,AG9,AI9,AK9,AM9,AO9,AQ9,AS9,AU9,AW9,AY9,BA9,BC9,BE9,BG9,BI9,BK9,BM9,BO9,BQ9,BS9,BU9,BW9,BY9,CA9)</f>
        <v/>
      </c>
      <c r="C9" s="31" t="inlineStr">
        <is>
          <t>TMB</t>
        </is>
      </c>
      <c r="D9" s="31" t="inlineStr">
        <is>
          <t>Tamilnad Mercantile Bank Ltd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midcap</t>
        </is>
      </c>
      <c r="H9" s="32" t="n">
        <v>12259.57</v>
      </c>
      <c r="I9" s="32" t="n">
        <v>762.15</v>
      </c>
      <c r="J9" s="32" t="n">
        <v>-1.56</v>
      </c>
      <c r="K9" s="32" t="n">
        <v>231094</v>
      </c>
      <c r="L9" s="31" t="n">
        <v>68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68.68000000000001</v>
      </c>
      <c r="P9" s="32" t="n">
        <v>30.83</v>
      </c>
      <c r="Q9" s="32" t="n">
        <v>607.4400000000001</v>
      </c>
      <c r="R9" s="31" t="inlineStr">
        <is>
          <t>Near 52W High Breakout</t>
        </is>
      </c>
      <c r="S9" s="31" t="inlineStr">
        <is>
          <t>Nifty Bank</t>
        </is>
      </c>
      <c r="T9" s="32" t="n">
        <v>1.86</v>
      </c>
      <c r="U9" s="32" t="n">
        <v>79.95</v>
      </c>
      <c r="V9" s="32" t="n">
        <v>76.67</v>
      </c>
      <c r="W9" s="32" t="n">
        <v>18.88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IF(B10=0,"",RANK(B10,$B$2:$B$67,0))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SURYODAY</t>
        </is>
      </c>
      <c r="D10" s="31" t="inlineStr">
        <is>
          <t>Suryoday Small Finance Bank Ltd</t>
        </is>
      </c>
      <c r="E10" s="31" t="inlineStr">
        <is>
          <t>bank</t>
        </is>
      </c>
      <c r="F10" s="31" t="inlineStr">
        <is>
          <t>banks - private sector</t>
        </is>
      </c>
      <c r="G10" s="31" t="inlineStr">
        <is>
          <t>smallcap</t>
        </is>
      </c>
      <c r="H10" s="32" t="n">
        <v>1827.02</v>
      </c>
      <c r="I10" s="32" t="n">
        <v>173.54</v>
      </c>
      <c r="J10" s="32" t="n">
        <v>0.96</v>
      </c>
      <c r="K10" s="32" t="n">
        <v>474404</v>
      </c>
      <c r="L10" s="31" t="n">
        <v>52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63.94</v>
      </c>
      <c r="P10" s="32" t="n">
        <v>30.75</v>
      </c>
      <c r="Q10" s="32" t="n">
        <v>139.43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1.86</v>
      </c>
      <c r="U10" s="32" t="n">
        <v>23.91</v>
      </c>
      <c r="V10" s="32" t="n">
        <v>21.65</v>
      </c>
      <c r="W10" s="32" t="n">
        <v>13.77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IF(B11=0,"",RANK(B11,$B$2:$B$67,0))</f>
        <v/>
      </c>
      <c r="B11" s="32">
        <f>SUM(N11,Y11,AA11,AC11,AE11,AG11,AI11,AK11,AM11,AO11,AQ11,AS11,AU11,AW11,AY11,BA11,BC11,BE11,BG11,BI11,BK11,BM11,BO11,BQ11,BS11,BU11,BW11,BY11,CA11)</f>
        <v/>
      </c>
      <c r="C11" s="33" t="inlineStr">
        <is>
          <t>ESAFSFB</t>
        </is>
      </c>
      <c r="D11" s="33" t="inlineStr">
        <is>
          <t>ESAF Small Finance Bank Ltd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smallcap</t>
        </is>
      </c>
      <c r="H11" s="32" t="n">
        <v>1500.58</v>
      </c>
      <c r="I11" s="32" t="n">
        <v>31.02</v>
      </c>
      <c r="J11" s="32" t="n">
        <v>6.6</v>
      </c>
      <c r="K11" s="32" t="n">
        <v>18555762</v>
      </c>
      <c r="L11" s="31" t="n">
        <v>28</v>
      </c>
      <c r="M11" s="31" t="inlineStr">
        <is>
          <t>Underperforming</t>
        </is>
      </c>
      <c r="N11" s="32">
        <f>IF(M11="Underperforming",-5,IF(L11&gt;=95,15,IF(L11&gt;=90,10,IF(L11&gt;=80,5,0))))</f>
        <v/>
      </c>
      <c r="O11" s="32" t="n">
        <v>61.85</v>
      </c>
      <c r="P11" s="32" t="n">
        <v>25.17</v>
      </c>
      <c r="Q11" s="32" t="n">
        <v>23.26</v>
      </c>
      <c r="R11" s="31" t="inlineStr">
        <is>
          <t>Volume Spike / Accumulation</t>
        </is>
      </c>
      <c r="S11" s="31" t="inlineStr">
        <is>
          <t>Nifty Bank</t>
        </is>
      </c>
      <c r="T11" s="32" t="n">
        <v>1.86</v>
      </c>
      <c r="U11" s="32" t="n">
        <v>-0.93</v>
      </c>
      <c r="V11" s="32" t="n">
        <v>-2.73</v>
      </c>
      <c r="W11" s="32" t="n">
        <v>8.07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IF(B12=0,"",RANK(B12,$B$2:$B$67,0))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AUBANK</t>
        </is>
      </c>
      <c r="D12" s="31" t="inlineStr">
        <is>
          <t>AU Small Finance Bank Ltd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largecap</t>
        </is>
      </c>
      <c r="H12" s="32" t="n">
        <v>77340.89</v>
      </c>
      <c r="I12" s="32" t="n">
        <v>1023.1</v>
      </c>
      <c r="J12" s="32" t="n">
        <v>-1.02</v>
      </c>
      <c r="K12" s="32" t="n">
        <v>1168430</v>
      </c>
      <c r="L12" s="31" t="n">
        <v>35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57.73</v>
      </c>
      <c r="P12" s="32" t="n">
        <v>21.83</v>
      </c>
      <c r="Q12" s="32" t="n">
        <v>884.04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1.86</v>
      </c>
      <c r="U12" s="32" t="n">
        <v>28.79</v>
      </c>
      <c r="V12" s="32" t="n">
        <v>26.45</v>
      </c>
      <c r="W12" s="32" t="n">
        <v>9.210000000000001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between 2.5x to 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IF(B13=0,"",RANK(B13,$B$2:$B$67,0))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RANEHOLDIN</t>
        </is>
      </c>
      <c r="D13" s="31" t="inlineStr">
        <is>
          <t>Rane Holdings Limited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smallcap</t>
        </is>
      </c>
      <c r="H13" s="32" t="n">
        <v>2095.55</v>
      </c>
      <c r="I13" s="32" t="n">
        <v>1531.2</v>
      </c>
      <c r="J13" s="32" t="n">
        <v>4.33</v>
      </c>
      <c r="K13" s="32" t="n">
        <v>30895</v>
      </c>
      <c r="L13" s="31" t="n">
        <v>41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65.33</v>
      </c>
      <c r="P13" s="32" t="n">
        <v>26.36</v>
      </c>
      <c r="Q13" s="32" t="n">
        <v>1152.13</v>
      </c>
      <c r="R13" s="31" t="inlineStr">
        <is>
          <t>Earnings / Momentum Support</t>
        </is>
      </c>
      <c r="S13" s="31" t="inlineStr">
        <is>
          <t>Nifty Bank</t>
        </is>
      </c>
      <c r="T13" s="32" t="n">
        <v>1.86</v>
      </c>
      <c r="U13" s="32" t="n">
        <v>2.84</v>
      </c>
      <c r="V13" s="32" t="n">
        <v>0.97</v>
      </c>
      <c r="W13" s="32" t="n">
        <v>11.32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IF(B14=0,"",RANK(B14,$B$2:$B$67,0))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J&amp;KBANK</t>
        </is>
      </c>
      <c r="D14" s="31" t="inlineStr">
        <is>
          <t>The Jammu &amp; Kashmir Bank Limited</t>
        </is>
      </c>
      <c r="E14" s="31" t="inlineStr">
        <is>
          <t>bank</t>
        </is>
      </c>
      <c r="F14" s="31" t="inlineStr">
        <is>
          <t>banks - private sector</t>
        </is>
      </c>
      <c r="G14" s="31" t="inlineStr">
        <is>
          <t>midcap</t>
        </is>
      </c>
      <c r="H14" s="32" t="n">
        <v>17609.01</v>
      </c>
      <c r="I14" s="32" t="n">
        <v>161.99</v>
      </c>
      <c r="J14" s="32" t="n">
        <v>1.3</v>
      </c>
      <c r="K14" s="32" t="n">
        <v>3578791</v>
      </c>
      <c r="L14" s="31" t="n">
        <v>66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75.04000000000001</v>
      </c>
      <c r="P14" s="32" t="n">
        <v>50.44</v>
      </c>
      <c r="Q14" s="32" t="n">
        <v>131.37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1.86</v>
      </c>
      <c r="U14" s="32" t="n">
        <v>58.47</v>
      </c>
      <c r="V14" s="32" t="n">
        <v>55.58</v>
      </c>
      <c r="W14" s="32" t="n">
        <v>17.98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less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Above 40</t>
        </is>
      </c>
      <c r="BM14" s="31">
        <f>IF(BL14="Above 40",20,IF(BL14="20 to 40",10,IF(BL14="0 to 20",-5,0)))</f>
        <v/>
      </c>
      <c r="BN14" s="31" t="inlineStr">
        <is>
          <t>Above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IF(B15=0,"",RANK(B15,$B$2:$B$67,0))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FEDERALBNK</t>
        </is>
      </c>
      <c r="D15" s="31" t="inlineStr">
        <is>
          <t>The Federal Bank  Limited</t>
        </is>
      </c>
      <c r="E15" s="31" t="inlineStr">
        <is>
          <t>bank</t>
        </is>
      </c>
      <c r="F15" s="31" t="inlineStr">
        <is>
          <t>banks - private sector</t>
        </is>
      </c>
      <c r="G15" s="31" t="inlineStr">
        <is>
          <t>largecap</t>
        </is>
      </c>
      <c r="H15" s="32" t="n">
        <v>78142.39</v>
      </c>
      <c r="I15" s="32" t="n">
        <v>320.6</v>
      </c>
      <c r="J15" s="32" t="n">
        <v>1.1</v>
      </c>
      <c r="K15" s="32" t="n">
        <v>8921387</v>
      </c>
      <c r="L15" s="31" t="n">
        <v>54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69.2</v>
      </c>
      <c r="P15" s="32" t="n">
        <v>18.79</v>
      </c>
      <c r="Q15" s="32" t="n">
        <v>274.98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1.86</v>
      </c>
      <c r="U15" s="32" t="n">
        <v>55.43</v>
      </c>
      <c r="V15" s="32" t="n">
        <v>52.6</v>
      </c>
      <c r="W15" s="32" t="n">
        <v>14.21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0 to 20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IF(B16=0,"",RANK(B16,$B$2:$B$67,0))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ABSLAMC</t>
        </is>
      </c>
      <c r="D16" s="31" t="inlineStr">
        <is>
          <t>Aditya Birla Sun Life AMC Ltd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largecap</t>
        </is>
      </c>
      <c r="H16" s="32" t="n">
        <v>33100.08</v>
      </c>
      <c r="I16" s="32" t="n">
        <v>1120.6</v>
      </c>
      <c r="J16" s="32" t="n">
        <v>-2.22</v>
      </c>
      <c r="K16" s="32" t="n">
        <v>350182</v>
      </c>
      <c r="L16" s="31" t="n">
        <v>49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67.64</v>
      </c>
      <c r="P16" s="32" t="n">
        <v>42.01</v>
      </c>
      <c r="Q16" s="32" t="n">
        <v>890.58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1.86</v>
      </c>
      <c r="U16" s="32" t="n">
        <v>52.31</v>
      </c>
      <c r="V16" s="32" t="n">
        <v>49.53</v>
      </c>
      <c r="W16" s="32" t="n">
        <v>13.15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above 5x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Above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IF(B17=0,"",RANK(B17,$B$2:$B$67,0))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MUTHOOTMF</t>
        </is>
      </c>
      <c r="D17" s="31" t="inlineStr">
        <is>
          <t>Muthoot Microfin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smallcap</t>
        </is>
      </c>
      <c r="H17" s="32" t="n">
        <v>3328.18</v>
      </c>
      <c r="I17" s="32" t="n">
        <v>206.29</v>
      </c>
      <c r="J17" s="32" t="n">
        <v>5.68</v>
      </c>
      <c r="K17" s="32" t="n">
        <v>1298058</v>
      </c>
      <c r="L17" s="31" t="n">
        <v>70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64.06999999999999</v>
      </c>
      <c r="P17" s="32" t="n">
        <v>24.85</v>
      </c>
      <c r="Q17" s="32" t="n">
        <v>154.95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1.86</v>
      </c>
      <c r="U17" s="32" t="n">
        <v>63.62</v>
      </c>
      <c r="V17" s="32" t="n">
        <v>60.64</v>
      </c>
      <c r="W17" s="32" t="n">
        <v>19.64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less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IF(B18=0,"",RANK(B18,$B$2:$B$67,0))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PAISALO</t>
        </is>
      </c>
      <c r="D18" s="31" t="inlineStr">
        <is>
          <t>Paisalo Digital Ltd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midcap</t>
        </is>
      </c>
      <c r="H18" s="32" t="n">
        <v>5289.78</v>
      </c>
      <c r="I18" s="32" t="n">
        <v>59.41</v>
      </c>
      <c r="J18" s="32" t="n">
        <v>2.15</v>
      </c>
      <c r="K18" s="32" t="n">
        <v>6858615</v>
      </c>
      <c r="L18" s="31" t="n">
        <v>87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77.44</v>
      </c>
      <c r="P18" s="32" t="n">
        <v>35.42</v>
      </c>
      <c r="Q18" s="32" t="n">
        <v>47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1.86</v>
      </c>
      <c r="U18" s="32" t="n">
        <v>97.81999999999999</v>
      </c>
      <c r="V18" s="32" t="n">
        <v>94.20999999999999</v>
      </c>
      <c r="W18" s="32" t="n">
        <v>31.68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between 2.5x to 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Above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IF(B19=0,"",RANK(B19,$B$2:$B$67,0))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CAPITALSFB</t>
        </is>
      </c>
      <c r="D19" s="31" t="inlineStr">
        <is>
          <t>Capital Small Finance Bank Ltd</t>
        </is>
      </c>
      <c r="E19" s="31" t="inlineStr">
        <is>
          <t>bank</t>
        </is>
      </c>
      <c r="F19" s="31" t="inlineStr">
        <is>
          <t>banks - private sector</t>
        </is>
      </c>
      <c r="G19" s="31" t="inlineStr">
        <is>
          <t>smallcap</t>
        </is>
      </c>
      <c r="H19" s="32" t="n">
        <v>1316.92</v>
      </c>
      <c r="I19" s="32" t="n">
        <v>294.95</v>
      </c>
      <c r="J19" s="32" t="n">
        <v>1.72</v>
      </c>
      <c r="K19" s="32" t="n">
        <v>84714</v>
      </c>
      <c r="L19" s="31" t="n">
        <v>19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59.88</v>
      </c>
      <c r="P19" s="32" t="n">
        <v>27.46</v>
      </c>
      <c r="Q19" s="32" t="n">
        <v>238.83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1.86</v>
      </c>
      <c r="U19" s="32" t="n">
        <v>2.36</v>
      </c>
      <c r="V19" s="32" t="n">
        <v>0.49</v>
      </c>
      <c r="W19" s="32" t="n">
        <v>5.66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less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IF(B20=0,"",RANK(B20,$B$2:$B$67,0))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YESBANK</t>
        </is>
      </c>
      <c r="D20" s="31" t="inlineStr">
        <is>
          <t>Yes Bank Limited</t>
        </is>
      </c>
      <c r="E20" s="31" t="inlineStr">
        <is>
          <t>bank</t>
        </is>
      </c>
      <c r="F20" s="31" t="inlineStr">
        <is>
          <t>banks - private sector</t>
        </is>
      </c>
      <c r="G20" s="31" t="inlineStr">
        <is>
          <t>largecap</t>
        </is>
      </c>
      <c r="H20" s="32" t="n">
        <v>74617.94</v>
      </c>
      <c r="I20" s="32" t="n">
        <v>23.89</v>
      </c>
      <c r="J20" s="32" t="n">
        <v>0.46</v>
      </c>
      <c r="K20" s="32" t="n">
        <v>219386959</v>
      </c>
      <c r="L20" s="31" t="n">
        <v>40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63.67</v>
      </c>
      <c r="P20" s="32" t="n">
        <v>24</v>
      </c>
      <c r="Q20" s="32" t="n">
        <v>19.83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1.86</v>
      </c>
      <c r="U20" s="32" t="n">
        <v>21.08</v>
      </c>
      <c r="V20" s="32" t="n">
        <v>18.88</v>
      </c>
      <c r="W20" s="32" t="n">
        <v>10.52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less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IF(B21=0,"",RANK(B21,$B$2:$B$67,0))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INDUSINDBK</t>
        </is>
      </c>
      <c r="D21" s="31" t="inlineStr">
        <is>
          <t>Indusind Bank Limited</t>
        </is>
      </c>
      <c r="E21" s="31" t="inlineStr">
        <is>
          <t>bank</t>
        </is>
      </c>
      <c r="F21" s="31" t="inlineStr">
        <is>
          <t>banks - private sector</t>
        </is>
      </c>
      <c r="G21" s="31" t="inlineStr">
        <is>
          <t>largecap</t>
        </is>
      </c>
      <c r="H21" s="32" t="n">
        <v>72706.17999999999</v>
      </c>
      <c r="I21" s="32" t="n">
        <v>926</v>
      </c>
      <c r="J21" s="32" t="n">
        <v>-0.77</v>
      </c>
      <c r="K21" s="32" t="n">
        <v>1602315</v>
      </c>
      <c r="L21" s="31" t="n">
        <v>15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56.74</v>
      </c>
      <c r="P21" s="32" t="n">
        <v>14.29</v>
      </c>
      <c r="Q21" s="32" t="n">
        <v>795.49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1.86</v>
      </c>
      <c r="U21" s="32" t="n">
        <v>10.21</v>
      </c>
      <c r="V21" s="32" t="n">
        <v>8.199999999999999</v>
      </c>
      <c r="W21" s="32" t="n">
        <v>5.04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more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0 to 20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IF(B22=0,"",RANK(B22,$B$2:$B$67,0))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CREDITACC</t>
        </is>
      </c>
      <c r="D22" s="31" t="inlineStr">
        <is>
          <t>CreditAccess Grameen Ltd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largecap</t>
        </is>
      </c>
      <c r="H22" s="32" t="n">
        <v>22026.95</v>
      </c>
      <c r="I22" s="32" t="n">
        <v>1407.5</v>
      </c>
      <c r="J22" s="32" t="n">
        <v>2.36</v>
      </c>
      <c r="K22" s="32" t="n">
        <v>275118</v>
      </c>
      <c r="L22" s="31" t="n">
        <v>38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58.14</v>
      </c>
      <c r="P22" s="32" t="n">
        <v>28.24</v>
      </c>
      <c r="Q22" s="32" t="n">
        <v>1178.26</v>
      </c>
      <c r="R22" s="31" t="inlineStr">
        <is>
          <t>Earnings / Momentum Support</t>
        </is>
      </c>
      <c r="S22" s="31" t="inlineStr">
        <is>
          <t>Nifty Bank</t>
        </is>
      </c>
      <c r="T22" s="32" t="n">
        <v>1.86</v>
      </c>
      <c r="U22" s="32" t="n">
        <v>26.43</v>
      </c>
      <c r="V22" s="32" t="n">
        <v>24.12</v>
      </c>
      <c r="W22" s="32" t="n">
        <v>10.01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No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between 2.5x to 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IF(B23=0,"",RANK(B23,$B$2:$B$67,0))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CGCL</t>
        </is>
      </c>
      <c r="D23" s="31" t="inlineStr">
        <is>
          <t>Capri Global Capital Limited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largecap</t>
        </is>
      </c>
      <c r="H23" s="32" t="n">
        <v>20607.41</v>
      </c>
      <c r="I23" s="32" t="n">
        <v>217.88</v>
      </c>
      <c r="J23" s="32" t="n">
        <v>1.73</v>
      </c>
      <c r="K23" s="32" t="n">
        <v>6316553</v>
      </c>
      <c r="L23" s="31" t="n">
        <v>42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69.37</v>
      </c>
      <c r="P23" s="32" t="n">
        <v>19.33</v>
      </c>
      <c r="Q23" s="32" t="n">
        <v>177.32</v>
      </c>
      <c r="R23" s="31" t="inlineStr">
        <is>
          <t>Near 52W High Breakout</t>
        </is>
      </c>
      <c r="S23" s="31" t="inlineStr">
        <is>
          <t>Nifty Bank</t>
        </is>
      </c>
      <c r="T23" s="32" t="n">
        <v>1.86</v>
      </c>
      <c r="U23" s="32" t="n">
        <v>30.19</v>
      </c>
      <c r="V23" s="32" t="n">
        <v>27.81</v>
      </c>
      <c r="W23" s="32" t="n">
        <v>11.81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between 2.5x to 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0 to 20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Blue sky scenario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IF(B24=0,"",RANK(B24,$B$2:$B$67,0))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ABCAPITAL</t>
        </is>
      </c>
      <c r="D24" s="31" t="inlineStr">
        <is>
          <t>Aditya Birla Capital Ltd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largecap</t>
        </is>
      </c>
      <c r="H24" s="32" t="n">
        <v>96453.89999999999</v>
      </c>
      <c r="I24" s="32" t="n">
        <v>373.8</v>
      </c>
      <c r="J24" s="32" t="n">
        <v>1.52</v>
      </c>
      <c r="K24" s="32" t="n">
        <v>3343325</v>
      </c>
      <c r="L24" s="31" t="n">
        <v>44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64.29000000000001</v>
      </c>
      <c r="P24" s="32" t="n">
        <v>17.89</v>
      </c>
      <c r="Q24" s="32" t="n">
        <v>305.15</v>
      </c>
      <c r="R24" s="31" t="inlineStr">
        <is>
          <t>Near 52W High Breakout</t>
        </is>
      </c>
      <c r="S24" s="31" t="inlineStr">
        <is>
          <t>Nifty Bank</t>
        </is>
      </c>
      <c r="T24" s="32" t="n">
        <v>1.86</v>
      </c>
      <c r="U24" s="32" t="n">
        <v>43.61</v>
      </c>
      <c r="V24" s="32" t="n">
        <v>41</v>
      </c>
      <c r="W24" s="32" t="n">
        <v>12.23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between 2.5x to 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0 to 20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Blue sky scenario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IF(B25=0,"",RANK(B25,$B$2:$B$67,0))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MOTILALOFS</t>
        </is>
      </c>
      <c r="D25" s="31" t="inlineStr">
        <is>
          <t>Motilal Oswal Financial Services Limited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largecap</t>
        </is>
      </c>
      <c r="H25" s="32" t="n">
        <v>56541.74</v>
      </c>
      <c r="I25" s="32" t="n">
        <v>944.25</v>
      </c>
      <c r="J25" s="32" t="n">
        <v>0.51</v>
      </c>
      <c r="K25" s="32" t="n">
        <v>986688</v>
      </c>
      <c r="L25" s="31" t="n">
        <v>51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62.99</v>
      </c>
      <c r="P25" s="32" t="n">
        <v>22.13</v>
      </c>
      <c r="Q25" s="32" t="n">
        <v>749.74</v>
      </c>
      <c r="R25" s="31" t="inlineStr">
        <is>
          <t>Earnings / Momentum Support</t>
        </is>
      </c>
      <c r="S25" s="31" t="inlineStr">
        <is>
          <t>Nifty Bank</t>
        </is>
      </c>
      <c r="T25" s="32" t="n">
        <v>1.86</v>
      </c>
      <c r="U25" s="32" t="n">
        <v>15.3</v>
      </c>
      <c r="V25" s="32" t="n">
        <v>13.2</v>
      </c>
      <c r="W25" s="32" t="n">
        <v>13.63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No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between 2.5x to 5x and Growth more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20 to 40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IF(B26=0,"",RANK(B26,$B$2:$B$67,0))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NAM-INDIA</t>
        </is>
      </c>
      <c r="D26" s="31" t="inlineStr">
        <is>
          <t>Nippon Life India Asset Management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largecap</t>
        </is>
      </c>
      <c r="H26" s="32" t="n">
        <v>72751.60000000001</v>
      </c>
      <c r="I26" s="32" t="n">
        <v>1142.4</v>
      </c>
      <c r="J26" s="32" t="n">
        <v>0.2</v>
      </c>
      <c r="K26" s="32" t="n">
        <v>522862</v>
      </c>
      <c r="L26" s="31" t="n">
        <v>62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68.55</v>
      </c>
      <c r="P26" s="32" t="n">
        <v>29.85</v>
      </c>
      <c r="Q26" s="32" t="n">
        <v>903.58</v>
      </c>
      <c r="R26" s="31" t="inlineStr">
        <is>
          <t>Near 52W High Breakout</t>
        </is>
      </c>
      <c r="S26" s="31" t="inlineStr">
        <is>
          <t>Nifty Bank</t>
        </is>
      </c>
      <c r="T26" s="32" t="n">
        <v>1.86</v>
      </c>
      <c r="U26" s="32" t="n">
        <v>53.89</v>
      </c>
      <c r="V26" s="32" t="n">
        <v>51.09</v>
      </c>
      <c r="W26" s="32" t="n">
        <v>17.12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above 5x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Blue sky scenario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IF(B27=0,"",RANK(B27,$B$2:$B$67,0))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NUVAMA</t>
        </is>
      </c>
      <c r="D27" s="31" t="inlineStr">
        <is>
          <t>Nuvama Wealth Management Ltd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largecap</t>
        </is>
      </c>
      <c r="H27" s="32" t="n">
        <v>30235.27</v>
      </c>
      <c r="I27" s="32" t="n">
        <v>1660.7</v>
      </c>
      <c r="J27" s="32" t="n">
        <v>-0.01</v>
      </c>
      <c r="K27" s="32" t="n">
        <v>398675</v>
      </c>
      <c r="L27" s="31" t="n">
        <v>58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63.81</v>
      </c>
      <c r="P27" s="32" t="n">
        <v>28.81</v>
      </c>
      <c r="Q27" s="32" t="n">
        <v>1312.08</v>
      </c>
      <c r="R27" s="31" t="inlineStr">
        <is>
          <t>Near 52W High Breakout</t>
        </is>
      </c>
      <c r="S27" s="31" t="inlineStr">
        <is>
          <t>Nifty Bank</t>
        </is>
      </c>
      <c r="T27" s="32" t="n">
        <v>1.86</v>
      </c>
      <c r="U27" s="32" t="n">
        <v>22.95</v>
      </c>
      <c r="V27" s="32" t="n">
        <v>20.71</v>
      </c>
      <c r="W27" s="32" t="n">
        <v>15.66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above 5x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20 to 40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Blue sky scenario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IF(B28=0,"",RANK(B28,$B$2:$B$67,0))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IFCI</t>
        </is>
      </c>
      <c r="D28" s="31" t="inlineStr">
        <is>
          <t>Ifci Limited</t>
        </is>
      </c>
      <c r="E28" s="31" t="inlineStr">
        <is>
          <t>financials</t>
        </is>
      </c>
      <c r="F28" s="31" t="inlineStr">
        <is>
          <t>finance - term-lending institutions</t>
        </is>
      </c>
      <c r="G28" s="31" t="inlineStr">
        <is>
          <t>largecap</t>
        </is>
      </c>
      <c r="H28" s="32" t="n">
        <v>24141.06</v>
      </c>
      <c r="I28" s="32" t="n">
        <v>88.8</v>
      </c>
      <c r="J28" s="32" t="n">
        <v>-0.89</v>
      </c>
      <c r="K28" s="32" t="n">
        <v>147033446</v>
      </c>
      <c r="L28" s="31" t="n">
        <v>79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74.90000000000001</v>
      </c>
      <c r="P28" s="32" t="n">
        <v>26.78</v>
      </c>
      <c r="Q28" s="32" t="n">
        <v>66.69</v>
      </c>
      <c r="R28" s="31" t="inlineStr">
        <is>
          <t>Volume Spike &amp; Near 52W High Breakout</t>
        </is>
      </c>
      <c r="S28" s="31" t="inlineStr">
        <is>
          <t>Nifty Bank</t>
        </is>
      </c>
      <c r="T28" s="32" t="n">
        <v>1.86</v>
      </c>
      <c r="U28" s="32" t="n">
        <v>48.1</v>
      </c>
      <c r="V28" s="32" t="n">
        <v>45.4</v>
      </c>
      <c r="W28" s="32" t="n">
        <v>24.29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between 2.5x to 5x and Growth less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20 to 40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Blue sky scenario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IF(B29=0,"",RANK(B29,$B$2:$B$67,0))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ANGELONE</t>
        </is>
      </c>
      <c r="D29" s="31" t="inlineStr">
        <is>
          <t>Angel One Ltd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largecap</t>
        </is>
      </c>
      <c r="H29" s="32" t="n">
        <v>32089.57</v>
      </c>
      <c r="I29" s="32" t="n">
        <v>348.25</v>
      </c>
      <c r="J29" s="32" t="n">
        <v>-1.15</v>
      </c>
      <c r="K29" s="32" t="n">
        <v>6190114</v>
      </c>
      <c r="L29" s="31" t="n">
        <v>64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66.45</v>
      </c>
      <c r="P29" s="32" t="n">
        <v>25.64</v>
      </c>
      <c r="Q29" s="32" t="n">
        <v>270.7</v>
      </c>
      <c r="R29" s="31" t="inlineStr">
        <is>
          <t>Near 52W High Breakout</t>
        </is>
      </c>
      <c r="S29" s="31" t="inlineStr">
        <is>
          <t>Nifty Bank</t>
        </is>
      </c>
      <c r="T29" s="32" t="n">
        <v>1.86</v>
      </c>
      <c r="U29" s="32" t="n">
        <v>25.15</v>
      </c>
      <c r="V29" s="32" t="n">
        <v>22.87</v>
      </c>
      <c r="W29" s="32" t="n">
        <v>17.44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above 5x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Blue sky scenario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IF(B30=0,"",RANK(B30,$B$2:$B$67,0))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MONARCH</t>
        </is>
      </c>
      <c r="D30" s="31" t="inlineStr">
        <is>
          <t>Monarch Networth Capital Ltd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smallcap</t>
        </is>
      </c>
      <c r="H30" s="32" t="n">
        <v>2681.65</v>
      </c>
      <c r="I30" s="32" t="n">
        <v>347.65</v>
      </c>
      <c r="J30" s="32" t="n">
        <v>2.76</v>
      </c>
      <c r="K30" s="32" t="n">
        <v>311986</v>
      </c>
      <c r="L30" s="31" t="n">
        <v>36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65.19</v>
      </c>
      <c r="P30" s="32" t="n">
        <v>19.29</v>
      </c>
      <c r="Q30" s="32" t="n">
        <v>277.44</v>
      </c>
      <c r="R30" s="31" t="inlineStr">
        <is>
          <t>Volume Spike / Accumulation</t>
        </is>
      </c>
      <c r="S30" s="31" t="inlineStr">
        <is>
          <t>Nifty Bank</t>
        </is>
      </c>
      <c r="T30" s="32" t="n">
        <v>1.86</v>
      </c>
      <c r="U30" s="32" t="n">
        <v>12.61</v>
      </c>
      <c r="V30" s="32" t="n">
        <v>10.56</v>
      </c>
      <c r="W30" s="32" t="n">
        <v>9.390000000000001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between 2.5x to 5x and Growth more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IF(B31=0,"",RANK(B31,$B$2:$B$67,0))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PRUDENT</t>
        </is>
      </c>
      <c r="D31" s="31" t="inlineStr">
        <is>
          <t>Prudent Corporate Advisory Services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midcap</t>
        </is>
      </c>
      <c r="H31" s="32" t="n">
        <v>12437.32</v>
      </c>
      <c r="I31" s="32" t="n">
        <v>3027.8</v>
      </c>
      <c r="J31" s="32" t="n">
        <v>0.8</v>
      </c>
      <c r="K31" s="32" t="n">
        <v>40124</v>
      </c>
      <c r="L31" s="31" t="n">
        <v>41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65.14</v>
      </c>
      <c r="P31" s="32" t="n">
        <v>21.25</v>
      </c>
      <c r="Q31" s="32" t="n">
        <v>2390.77</v>
      </c>
      <c r="R31" s="31" t="inlineStr">
        <is>
          <t>Near 52W High Breakout</t>
        </is>
      </c>
      <c r="S31" s="31" t="inlineStr">
        <is>
          <t>Nifty Bank</t>
        </is>
      </c>
      <c r="T31" s="32" t="n">
        <v>1.86</v>
      </c>
      <c r="U31" s="32" t="n">
        <v>13.48</v>
      </c>
      <c r="V31" s="32" t="n">
        <v>11.41</v>
      </c>
      <c r="W31" s="32" t="n">
        <v>11.15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above 5x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20 to 40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IF(B32=0,"",RANK(B32,$B$2:$B$67,0))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STEL</t>
        </is>
      </c>
      <c r="D32" s="31" t="inlineStr">
        <is>
          <t>Stel Holdings Limited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smallcap</t>
        </is>
      </c>
      <c r="H32" s="32" t="n">
        <v>1137.96</v>
      </c>
      <c r="I32" s="32" t="n">
        <v>621.4</v>
      </c>
      <c r="J32" s="32" t="n">
        <v>0.78</v>
      </c>
      <c r="K32" s="32" t="n">
        <v>51824</v>
      </c>
      <c r="L32" s="31" t="n">
        <v>66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69.12</v>
      </c>
      <c r="P32" s="32" t="n">
        <v>9.75</v>
      </c>
      <c r="Q32" s="32" t="n">
        <v>444.47</v>
      </c>
      <c r="R32" s="31" t="inlineStr">
        <is>
          <t>Volume Spike &amp; Near 52W High Breakout</t>
        </is>
      </c>
      <c r="S32" s="31" t="inlineStr">
        <is>
          <t>Nifty Bank</t>
        </is>
      </c>
      <c r="T32" s="32" t="n">
        <v>1.86</v>
      </c>
      <c r="U32" s="32" t="n">
        <v>51.95</v>
      </c>
      <c r="V32" s="32" t="n">
        <v>49.18</v>
      </c>
      <c r="W32" s="32" t="n">
        <v>18.02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less than 2.5x and Growth less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Blue sky scenario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IF(B33=0,"",RANK(B33,$B$2:$B$67,0))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SOUTHBANK</t>
        </is>
      </c>
      <c r="D33" s="31" t="inlineStr">
        <is>
          <t>The South Indian Bank Limited</t>
        </is>
      </c>
      <c r="E33" s="31" t="inlineStr">
        <is>
          <t>bank</t>
        </is>
      </c>
      <c r="F33" s="31" t="inlineStr">
        <is>
          <t>banks - private sector</t>
        </is>
      </c>
      <c r="G33" s="31" t="inlineStr">
        <is>
          <t>midcap</t>
        </is>
      </c>
      <c r="H33" s="32" t="n">
        <v>12281.63</v>
      </c>
      <c r="I33" s="32" t="n">
        <v>47.2</v>
      </c>
      <c r="J33" s="32" t="n">
        <v>0.6</v>
      </c>
      <c r="K33" s="32" t="n">
        <v>13747133</v>
      </c>
      <c r="L33" s="31" t="n">
        <v>65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68.66</v>
      </c>
      <c r="P33" s="32" t="n">
        <v>16.2</v>
      </c>
      <c r="Q33" s="32" t="n">
        <v>37.63</v>
      </c>
      <c r="R33" s="31" t="inlineStr">
        <is>
          <t>Near 52W High Breakout</t>
        </is>
      </c>
      <c r="S33" s="31" t="inlineStr">
        <is>
          <t>Nifty Bank</t>
        </is>
      </c>
      <c r="T33" s="32" t="n">
        <v>1.86</v>
      </c>
      <c r="U33" s="32" t="n">
        <v>63.73</v>
      </c>
      <c r="V33" s="32" t="n">
        <v>60.74</v>
      </c>
      <c r="W33" s="32" t="n">
        <v>17.95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less than 2.5x and Growth less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Blue sky scenario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IF(B34=0,"",RANK(B34,$B$2:$B$67,0))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EQUITASBNK</t>
        </is>
      </c>
      <c r="D34" s="31" t="inlineStr">
        <is>
          <t>Equitas Small Finance Bank Ltd</t>
        </is>
      </c>
      <c r="E34" s="31" t="inlineStr">
        <is>
          <t>bank</t>
        </is>
      </c>
      <c r="F34" s="31" t="inlineStr">
        <is>
          <t>banks - private sector</t>
        </is>
      </c>
      <c r="G34" s="31" t="inlineStr">
        <is>
          <t>midcap</t>
        </is>
      </c>
      <c r="H34" s="32" t="n">
        <v>8952.620000000001</v>
      </c>
      <c r="I34" s="32" t="n">
        <v>78.75</v>
      </c>
      <c r="J34" s="32" t="n">
        <v>0.37</v>
      </c>
      <c r="K34" s="32" t="n">
        <v>4673415</v>
      </c>
      <c r="L34" s="31" t="n">
        <v>49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66.68000000000001</v>
      </c>
      <c r="P34" s="32" t="n">
        <v>23.18</v>
      </c>
      <c r="Q34" s="32" t="n">
        <v>63.16</v>
      </c>
      <c r="R34" s="31" t="inlineStr">
        <is>
          <t>Near 52W High Breakout</t>
        </is>
      </c>
      <c r="S34" s="31" t="inlineStr">
        <is>
          <t>Nifty Bank</t>
        </is>
      </c>
      <c r="T34" s="32" t="n">
        <v>1.86</v>
      </c>
      <c r="U34" s="32" t="n">
        <v>22.21</v>
      </c>
      <c r="V34" s="32" t="n">
        <v>19.98</v>
      </c>
      <c r="W34" s="32" t="n">
        <v>13.01</v>
      </c>
      <c r="X34" s="31" t="inlineStr">
        <is>
          <t>Cyclical in an Upturn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Cyclical in an Uptick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inlineStr">
        <is>
          <t>Yes</t>
        </is>
      </c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No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No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less than 2.5x and Growth more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20 to 40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IF(B35=0,"",RANK(B35,$B$2:$B$67,0))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AXISBANK</t>
        </is>
      </c>
      <c r="D35" s="31" t="inlineStr">
        <is>
          <t>Axis Bank Limited</t>
        </is>
      </c>
      <c r="E35" s="31" t="inlineStr">
        <is>
          <t>bank</t>
        </is>
      </c>
      <c r="F35" s="31" t="inlineStr">
        <is>
          <t>banks - private sector</t>
        </is>
      </c>
      <c r="G35" s="31" t="inlineStr">
        <is>
          <t>largecap</t>
        </is>
      </c>
      <c r="H35" s="32" t="n">
        <v>425291.26</v>
      </c>
      <c r="I35" s="32" t="n">
        <v>1365.7</v>
      </c>
      <c r="J35" s="32" t="n">
        <v>-0.19</v>
      </c>
      <c r="K35" s="32" t="n">
        <v>7709061</v>
      </c>
      <c r="L35" s="31" t="n">
        <v>16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59.83</v>
      </c>
      <c r="P35" s="32" t="n">
        <v>9.550000000000001</v>
      </c>
      <c r="Q35" s="32" t="n">
        <v>1169.9</v>
      </c>
      <c r="R35" s="31" t="inlineStr">
        <is>
          <t>Near 52W High Breakout</t>
        </is>
      </c>
      <c r="S35" s="31" t="inlineStr">
        <is>
          <t>Nifty Bank</t>
        </is>
      </c>
      <c r="T35" s="32" t="n">
        <v>1.86</v>
      </c>
      <c r="U35" s="32" t="n">
        <v>11.97</v>
      </c>
      <c r="V35" s="32" t="n">
        <v>9.93</v>
      </c>
      <c r="W35" s="32" t="n">
        <v>5.24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less than 2.5x and Growth less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Blue sky scenario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IF(B36=0,"",RANK(B36,$B$2:$B$67,0))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SAMMAANCAP</t>
        </is>
      </c>
      <c r="D36" s="31" t="inlineStr">
        <is>
          <t>Sammaan Capital Ltd</t>
        </is>
      </c>
      <c r="E36" s="31" t="inlineStr">
        <is>
          <t>financials</t>
        </is>
      </c>
      <c r="F36" s="31" t="inlineStr">
        <is>
          <t>finance - housing</t>
        </is>
      </c>
      <c r="G36" s="31" t="inlineStr">
        <is>
          <t>largecap</t>
        </is>
      </c>
      <c r="H36" s="32" t="n">
        <v>20997.44</v>
      </c>
      <c r="I36" s="32" t="n">
        <v>180</v>
      </c>
      <c r="J36" s="32" t="n">
        <v>-0.41</v>
      </c>
      <c r="K36" s="32" t="n">
        <v>9409784</v>
      </c>
      <c r="L36" s="31" t="n">
        <v>58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62.97</v>
      </c>
      <c r="P36" s="32" t="n">
        <v>19.79</v>
      </c>
      <c r="Q36" s="32" t="n">
        <v>143.1</v>
      </c>
      <c r="R36" s="31" t="inlineStr">
        <is>
          <t>Near 52W High Breakout</t>
        </is>
      </c>
      <c r="S36" s="31" t="inlineStr">
        <is>
          <t>Nifty Bank</t>
        </is>
      </c>
      <c r="T36" s="32" t="n">
        <v>1.86</v>
      </c>
      <c r="U36" s="32" t="n">
        <v>51.41</v>
      </c>
      <c r="V36" s="32" t="n">
        <v>48.65</v>
      </c>
      <c r="W36" s="32" t="n">
        <v>15.56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less than 2.5x and Growth less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0 to 20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Blue sky scenario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IF(B37=0,"",RANK(B37,$B$2:$B$67,0))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DCBBANK</t>
        </is>
      </c>
      <c r="D37" s="31" t="inlineStr">
        <is>
          <t>Dcb Bank Limited</t>
        </is>
      </c>
      <c r="E37" s="31" t="inlineStr">
        <is>
          <t>bank</t>
        </is>
      </c>
      <c r="F37" s="31" t="inlineStr">
        <is>
          <t>banks - private sector</t>
        </is>
      </c>
      <c r="G37" s="31" t="inlineStr">
        <is>
          <t>midcap</t>
        </is>
      </c>
      <c r="H37" s="32" t="n">
        <v>5942.63</v>
      </c>
      <c r="I37" s="32" t="n">
        <v>183.73</v>
      </c>
      <c r="J37" s="32" t="n">
        <v>-0.48</v>
      </c>
      <c r="K37" s="32" t="n">
        <v>564724</v>
      </c>
      <c r="L37" s="31" t="n">
        <v>28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56.97</v>
      </c>
      <c r="P37" s="32" t="n">
        <v>19.89</v>
      </c>
      <c r="Q37" s="32" t="n">
        <v>152.86</v>
      </c>
      <c r="R37" s="31" t="inlineStr">
        <is>
          <t>Near 52W High Breakout</t>
        </is>
      </c>
      <c r="S37" s="31" t="inlineStr">
        <is>
          <t>Nifty Bank</t>
        </is>
      </c>
      <c r="T37" s="32" t="n">
        <v>1.86</v>
      </c>
      <c r="U37" s="32" t="n">
        <v>31.09</v>
      </c>
      <c r="V37" s="32" t="n">
        <v>28.7</v>
      </c>
      <c r="W37" s="32" t="n">
        <v>8.1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less than 2.5x and Growth less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2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Blue sky scenario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IF(B38=0,"",RANK(B38,$B$2:$B$67,0))</f>
        <v/>
      </c>
      <c r="B38" s="32">
        <f>SUM(N38,Y38,AA38,AC38,AE38,AG38,AI38,AK38,AM38,AO38,AQ38,AS38,AU38,AW38,AY38,BA38,BC38,BE38,BG38,BI38,BK38,BM38,BO38,BQ38,BS38,BU38,BW38,BY38,CA38)</f>
        <v/>
      </c>
      <c r="C38" s="31" t="inlineStr">
        <is>
          <t>EDELWEISS</t>
        </is>
      </c>
      <c r="D38" s="31" t="inlineStr">
        <is>
          <t>Edelweiss Financial Services Limited</t>
        </is>
      </c>
      <c r="E38" s="31" t="inlineStr">
        <is>
          <t>financials</t>
        </is>
      </c>
      <c r="F38" s="31" t="inlineStr">
        <is>
          <t>finance &amp; investments</t>
        </is>
      </c>
      <c r="G38" s="31" t="inlineStr">
        <is>
          <t>midcap</t>
        </is>
      </c>
      <c r="H38" s="32" t="n">
        <v>10839.68</v>
      </c>
      <c r="I38" s="32" t="n">
        <v>120.55</v>
      </c>
      <c r="J38" s="32" t="n">
        <v>5.27</v>
      </c>
      <c r="K38" s="32" t="n">
        <v>11705853</v>
      </c>
      <c r="L38" s="31" t="n">
        <v>23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56.06</v>
      </c>
      <c r="P38" s="32" t="n">
        <v>7.53</v>
      </c>
      <c r="Q38" s="32" t="n">
        <v>92.83</v>
      </c>
      <c r="R38" s="31" t="inlineStr">
        <is>
          <t>Near 52W High Breakout</t>
        </is>
      </c>
      <c r="S38" s="31" t="inlineStr">
        <is>
          <t>Nifty Bank</t>
        </is>
      </c>
      <c r="T38" s="32" t="n">
        <v>1.86</v>
      </c>
      <c r="U38" s="32" t="n">
        <v>19.34</v>
      </c>
      <c r="V38" s="32" t="n">
        <v>17.16</v>
      </c>
      <c r="W38" s="32" t="n">
        <v>7.17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less than 2.5x and Growth less than 20%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0 to 20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2</t>
        </is>
      </c>
      <c r="BQ38" s="31">
        <f>IF(BP38="Stage 2",20,IF(BP38="Stage 1",0,IF(BP38="Stage 3",5,IF(BP38="Stage 4",-5,0))))</f>
        <v/>
      </c>
      <c r="BR38" s="31" t="inlineStr">
        <is>
          <t>Positive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IF(B39=0,"",RANK(B39,$B$2:$B$67,0))</f>
        <v/>
      </c>
      <c r="B39" s="32">
        <f>SUM(N39,Y39,AA39,AC39,AE39,AG39,AI39,AK39,AM39,AO39,AQ39,AS39,AU39,AW39,AY39,BA39,BC39,BE39,BG39,BI39,BK39,BM39,BO39,BQ39,BS39,BU39,BW39,BY39,CA39)</f>
        <v/>
      </c>
      <c r="C39" s="33" t="inlineStr">
        <is>
          <t>HEALTHX</t>
        </is>
      </c>
      <c r="D39" s="33" t="inlineStr">
        <is>
          <t>Health X Platform Ltd</t>
        </is>
      </c>
      <c r="E39" s="31" t="inlineStr">
        <is>
          <t>financials</t>
        </is>
      </c>
      <c r="F39" s="31" t="inlineStr">
        <is>
          <t>finance &amp; investments</t>
        </is>
      </c>
      <c r="G39" s="31" t="inlineStr">
        <is>
          <t>smallcap</t>
        </is>
      </c>
      <c r="H39" s="32" t="n">
        <v>953.52</v>
      </c>
      <c r="I39" s="32" t="n">
        <v>305.6</v>
      </c>
      <c r="J39" s="32" t="n">
        <v>1.95</v>
      </c>
      <c r="K39" s="32" t="n">
        <v>15769</v>
      </c>
      <c r="L39" s="31" t="n">
        <v>2</v>
      </c>
      <c r="M39" s="31" t="inlineStr">
        <is>
          <t>Underperforming</t>
        </is>
      </c>
      <c r="N39" s="32">
        <f>IF(M39="Underperforming",-5,IF(L39&gt;=95,15,IF(L39&gt;=90,10,IF(L39&gt;=80,5,0))))</f>
        <v/>
      </c>
      <c r="O39" s="32" t="n">
        <v>55.48</v>
      </c>
      <c r="P39" s="32" t="n">
        <v>17.5</v>
      </c>
      <c r="Q39" s="32" t="n">
        <v>229.95</v>
      </c>
      <c r="R39" s="31" t="inlineStr">
        <is>
          <t>Earnings / Momentum Support</t>
        </is>
      </c>
      <c r="S39" s="31" t="inlineStr">
        <is>
          <t>Nifty Bank</t>
        </is>
      </c>
      <c r="T39" s="32" t="n">
        <v>1.86</v>
      </c>
      <c r="U39" s="32" t="n">
        <v>1.24</v>
      </c>
      <c r="V39" s="32" t="n">
        <v>-0.6</v>
      </c>
      <c r="W39" s="32" t="n">
        <v>1.56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No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less than 2.5x and Growth more than 20%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0 to 20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2</t>
        </is>
      </c>
      <c r="BQ39" s="31">
        <f>IF(BP39="Stage 2",20,IF(BP39="Stage 1",0,IF(BP39="Stage 3",5,IF(BP39="Stage 4",-5,0))))</f>
        <v/>
      </c>
      <c r="BR39" s="31" t="inlineStr">
        <is>
          <t>Positive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IF(B40=0,"",RANK(B40,$B$2:$B$67,0))</f>
        <v/>
      </c>
      <c r="B40" s="32">
        <f>SUM(N40,Y40,AA40,AC40,AE40,AG40,AI40,AK40,AM40,AO40,AQ40,AS40,AU40,AW40,AY40,BA40,BC40,BE40,BG40,BI40,BK40,BM40,BO40,BQ40,BS40,BU40,BW40,BY40,CA40)</f>
        <v/>
      </c>
      <c r="C40" s="33" t="inlineStr">
        <is>
          <t>BFINVEST</t>
        </is>
      </c>
      <c r="D40" s="33" t="inlineStr">
        <is>
          <t>Bf Investment Limited</t>
        </is>
      </c>
      <c r="E40" s="31" t="inlineStr">
        <is>
          <t>financials</t>
        </is>
      </c>
      <c r="F40" s="31" t="inlineStr">
        <is>
          <t>finance &amp; investments</t>
        </is>
      </c>
      <c r="G40" s="31" t="inlineStr">
        <is>
          <t>smallcap</t>
        </is>
      </c>
      <c r="H40" s="32" t="n">
        <v>1676.21</v>
      </c>
      <c r="I40" s="32" t="n">
        <v>451.8</v>
      </c>
      <c r="J40" s="32" t="n">
        <v>1.53</v>
      </c>
      <c r="K40" s="32" t="n">
        <v>46657</v>
      </c>
      <c r="L40" s="31" t="n">
        <v>9</v>
      </c>
      <c r="M40" s="31" t="inlineStr">
        <is>
          <t>Underperforming</t>
        </is>
      </c>
      <c r="N40" s="32">
        <f>IF(M40="Underperforming",-5,IF(L40&gt;=95,15,IF(L40&gt;=90,10,IF(L40&gt;=80,5,0))))</f>
        <v/>
      </c>
      <c r="O40" s="32" t="n">
        <v>58.5</v>
      </c>
      <c r="P40" s="32" t="n">
        <v>18.61</v>
      </c>
      <c r="Q40" s="32" t="n">
        <v>351.27</v>
      </c>
      <c r="R40" s="31" t="inlineStr">
        <is>
          <t>Earnings / Momentum Support</t>
        </is>
      </c>
      <c r="S40" s="31" t="inlineStr">
        <is>
          <t>Nifty Bank</t>
        </is>
      </c>
      <c r="T40" s="32" t="n">
        <v>1.86</v>
      </c>
      <c r="U40" s="32" t="n">
        <v>-5.89</v>
      </c>
      <c r="V40" s="32" t="n">
        <v>-7.61</v>
      </c>
      <c r="W40" s="32" t="n">
        <v>3.83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No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less than 2.5x and Growth more than 20%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0 to 20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2</t>
        </is>
      </c>
      <c r="BQ40" s="31">
        <f>IF(BP40="Stage 2",20,IF(BP40="Stage 1",0,IF(BP40="Stage 3",5,IF(BP40="Stage 4",-5,0))))</f>
        <v/>
      </c>
      <c r="BR40" s="31" t="inlineStr">
        <is>
          <t>Positive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IF(B41=0,"",RANK(B41,$B$2:$B$67,0))</f>
        <v/>
      </c>
      <c r="B41" s="32">
        <f>SUM(N41,Y41,AA41,AC41,AE41,AG41,AI41,AK41,AM41,AO41,AQ41,AS41,AU41,AW41,AY41,BA41,BC41,BE41,BG41,BI41,BK41,BM41,BO41,BQ41,BS41,BU41,BW41,BY41,CA41)</f>
        <v/>
      </c>
      <c r="C41" s="33" t="inlineStr">
        <is>
          <t>CREST</t>
        </is>
      </c>
      <c r="D41" s="33" t="inlineStr">
        <is>
          <t>Crest Ventures Limited</t>
        </is>
      </c>
      <c r="E41" s="31" t="inlineStr">
        <is>
          <t>financials</t>
        </is>
      </c>
      <c r="F41" s="31" t="inlineStr">
        <is>
          <t>finance &amp; investments</t>
        </is>
      </c>
      <c r="G41" s="31" t="inlineStr">
        <is>
          <t>smallcap</t>
        </is>
      </c>
      <c r="H41" s="32" t="n">
        <v>1089.34</v>
      </c>
      <c r="I41" s="32" t="n">
        <v>391.1</v>
      </c>
      <c r="J41" s="32" t="n">
        <v>2.14</v>
      </c>
      <c r="K41" s="32" t="n">
        <v>36943</v>
      </c>
      <c r="L41" s="31" t="n">
        <v>10</v>
      </c>
      <c r="M41" s="31" t="inlineStr">
        <is>
          <t>Underperforming</t>
        </is>
      </c>
      <c r="N41" s="32">
        <f>IF(M41="Underperforming",-5,IF(L41&gt;=95,15,IF(L41&gt;=90,10,IF(L41&gt;=80,5,0))))</f>
        <v/>
      </c>
      <c r="O41" s="32" t="n">
        <v>57.53</v>
      </c>
      <c r="P41" s="32" t="n">
        <v>15.04</v>
      </c>
      <c r="Q41" s="32" t="n">
        <v>298.26</v>
      </c>
      <c r="R41" s="31" t="inlineStr">
        <is>
          <t>Near 52W High Breakout</t>
        </is>
      </c>
      <c r="S41" s="31" t="inlineStr">
        <is>
          <t>Nifty Bank</t>
        </is>
      </c>
      <c r="T41" s="32" t="n">
        <v>1.86</v>
      </c>
      <c r="U41" s="32" t="n">
        <v>-0.84</v>
      </c>
      <c r="V41" s="32" t="n">
        <v>-2.65</v>
      </c>
      <c r="W41" s="32" t="n">
        <v>4.12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less than 2.5x and Growth less than 20%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0 to 20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2</t>
        </is>
      </c>
      <c r="BQ41" s="31">
        <f>IF(BP41="Stage 2",20,IF(BP41="Stage 1",0,IF(BP41="Stage 3",5,IF(BP41="Stage 4",-5,0))))</f>
        <v/>
      </c>
      <c r="BR41" s="31" t="inlineStr">
        <is>
          <t>Positive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Close to 52 week high or retracement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IF(B42=0,"",RANK(B42,$B$2:$B$67,0))</f>
        <v/>
      </c>
      <c r="B42" s="32">
        <f>SUM(N42,Y42,AA42,AC42,AE42,AG42,AI42,AK42,AM42,AO42,AQ42,AS42,AU42,AW42,AY42,BA42,BC42,BE42,BG42,BI42,BK42,BM42,BO42,BQ42,BS42,BU42,BW42,BY42,CA42)</f>
        <v/>
      </c>
      <c r="C42" s="31" t="inlineStr">
        <is>
          <t>SHRIRAMFIN</t>
        </is>
      </c>
      <c r="D42" s="31" t="inlineStr">
        <is>
          <t>Shriram Finance Ltd</t>
        </is>
      </c>
      <c r="E42" s="31" t="inlineStr">
        <is>
          <t>financials</t>
        </is>
      </c>
      <c r="F42" s="31" t="inlineStr">
        <is>
          <t>finance &amp; investments</t>
        </is>
      </c>
      <c r="G42" s="31" t="inlineStr">
        <is>
          <t>largecap</t>
        </is>
      </c>
      <c r="H42" s="32" t="n">
        <v>235421.57</v>
      </c>
      <c r="I42" s="32" t="n">
        <v>1005.75</v>
      </c>
      <c r="J42" s="32" t="n">
        <v>0.51</v>
      </c>
      <c r="K42" s="32" t="n">
        <v>4544903</v>
      </c>
      <c r="L42" s="31" t="n">
        <v>42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57.07</v>
      </c>
      <c r="P42" s="32" t="n">
        <v>10.16</v>
      </c>
      <c r="Q42" s="32" t="n">
        <v>824.41</v>
      </c>
      <c r="R42" s="31" t="inlineStr">
        <is>
          <t>Earnings / Momentum Support</t>
        </is>
      </c>
      <c r="S42" s="31" t="inlineStr">
        <is>
          <t>Nifty Bank</t>
        </is>
      </c>
      <c r="T42" s="32" t="n">
        <v>1.86</v>
      </c>
      <c r="U42" s="32" t="n">
        <v>52.54</v>
      </c>
      <c r="V42" s="32" t="n">
        <v>49.76</v>
      </c>
      <c r="W42" s="32" t="n">
        <v>11.42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No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between 2.5x to 5x and Growth more than 20%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0 to 20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2</t>
        </is>
      </c>
      <c r="BQ42" s="31">
        <f>IF(BP42="Stage 2",20,IF(BP42="Stage 1",0,IF(BP42="Stage 3",5,IF(BP42="Stage 4",-5,0))))</f>
        <v/>
      </c>
      <c r="BR42" s="31" t="inlineStr">
        <is>
          <t>Positive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IF(B43=0,"",RANK(B43,$B$2:$B$67,0))</f>
        <v/>
      </c>
      <c r="B43" s="32">
        <f>SUM(N43,Y43,AA43,AC43,AE43,AG43,AI43,AK43,AM43,AO43,AQ43,AS43,AU43,AW43,AY43,BA43,BC43,BE43,BG43,BI43,BK43,BM43,BO43,BQ43,BS43,BU43,BW43,BY43,CA43)</f>
        <v/>
      </c>
      <c r="C43" s="31" t="inlineStr">
        <is>
          <t>TFCILTD</t>
        </is>
      </c>
      <c r="D43" s="31" t="inlineStr">
        <is>
          <t>Tourism Finance Corporation Of India Limited</t>
        </is>
      </c>
      <c r="E43" s="31" t="inlineStr">
        <is>
          <t>financials</t>
        </is>
      </c>
      <c r="F43" s="31" t="inlineStr">
        <is>
          <t>finance - term-lending institutions</t>
        </is>
      </c>
      <c r="G43" s="31" t="inlineStr">
        <is>
          <t>smallcap</t>
        </is>
      </c>
      <c r="H43" s="32" t="n">
        <v>3526.03</v>
      </c>
      <c r="I43" s="32" t="n">
        <v>75.88</v>
      </c>
      <c r="J43" s="32" t="n">
        <v>-0.37</v>
      </c>
      <c r="K43" s="32" t="n">
        <v>3690052</v>
      </c>
      <c r="L43" s="31" t="n">
        <v>58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57.01</v>
      </c>
      <c r="P43" s="32" t="n">
        <v>25.71</v>
      </c>
      <c r="Q43" s="32" t="n">
        <v>63.77</v>
      </c>
      <c r="R43" s="31" t="inlineStr">
        <is>
          <t>Earnings / Momentum Support</t>
        </is>
      </c>
      <c r="S43" s="31" t="inlineStr">
        <is>
          <t>Nifty Bank</t>
        </is>
      </c>
      <c r="T43" s="32" t="n">
        <v>1.86</v>
      </c>
      <c r="U43" s="32" t="n">
        <v>64.36</v>
      </c>
      <c r="V43" s="32" t="n">
        <v>61.36</v>
      </c>
      <c r="W43" s="32" t="n">
        <v>15.82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Fragmented with High ROE</t>
        </is>
      </c>
      <c r="AA43" s="31">
        <f>IF(Z43="Fragmented with Low ROE",-5,IF(Z43="Fragmented with High ROE",10,IF(Z43= "highly cyclical",5,0)))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Consistency)",15,IF(AF43="Shallow Cyclical (2 to 3 years growth)",10,IF(AF43 = "Cyclical in an Uptick",5,IF(AF43 = "Cyclical in an Downtick",-10,0))))</f>
        <v/>
      </c>
      <c r="AH43" s="31" t="inlineStr">
        <is>
          <t>Yes</t>
        </is>
      </c>
      <c r="AI43" s="31">
        <f>IF(AH43="Yes",10,0)</f>
        <v/>
      </c>
      <c r="AJ43" s="31" t="inlineStr">
        <is>
          <t>Yes</t>
        </is>
      </c>
      <c r="AK43" s="31">
        <f>IF(AJ43="Yes",10,0)</f>
        <v/>
      </c>
      <c r="AL43" s="31" t="n"/>
      <c r="AM43" s="31">
        <f>IF(AL43="No",10,0)</f>
        <v/>
      </c>
      <c r="AN43" s="31" t="inlineStr">
        <is>
          <t>Yes</t>
        </is>
      </c>
      <c r="AO43" s="31">
        <f>IF(AN43="Yes",10,0)</f>
        <v/>
      </c>
      <c r="AP43" s="31" t="inlineStr">
        <is>
          <t>No</t>
        </is>
      </c>
      <c r="AQ43" s="31">
        <f>IF(AP43="Yes",10,0)</f>
        <v/>
      </c>
      <c r="AR43" s="31" t="inlineStr">
        <is>
          <t>Yes</t>
        </is>
      </c>
      <c r="AS43" s="31">
        <f>IF(AR43="Yes",5,0)</f>
        <v/>
      </c>
      <c r="AT43" s="31" t="inlineStr">
        <is>
          <t>No</t>
        </is>
      </c>
      <c r="AU43" s="31">
        <f>IF(AT43="No",10,IF(AT43="Yes",-10,0))</f>
        <v/>
      </c>
      <c r="AV43" s="31" t="inlineStr">
        <is>
          <t>No</t>
        </is>
      </c>
      <c r="AW43" s="31">
        <f>IF(AV43="No",10,0)</f>
        <v/>
      </c>
      <c r="AX43" s="31" t="inlineStr">
        <is>
          <t>No</t>
        </is>
      </c>
      <c r="AY43" s="31">
        <f>IF(AX43="No",10,IF(AX43= "Yes CEO Resignation",-5,0))</f>
        <v/>
      </c>
      <c r="AZ43" s="31" t="inlineStr">
        <is>
          <t>No</t>
        </is>
      </c>
      <c r="BA43" s="31">
        <f>IF(AZ43="No",10,IF(AZ43="Yes",-5,0))</f>
        <v/>
      </c>
      <c r="BB43" s="31" t="inlineStr">
        <is>
          <t>No</t>
        </is>
      </c>
      <c r="BC43" s="31">
        <f>IF(BB43="No",5,IF(BB43="Yes",-5,0))</f>
        <v/>
      </c>
      <c r="BD43" s="31" t="inlineStr">
        <is>
          <t>Yes</t>
        </is>
      </c>
      <c r="BE43" s="31">
        <f>IF(BD43="Yes",10,0)</f>
        <v/>
      </c>
      <c r="BF43" s="31" t="inlineStr">
        <is>
          <t>Yes</t>
        </is>
      </c>
      <c r="BG43" s="31">
        <f>IF(BF43="Yes",10,0)</f>
        <v/>
      </c>
      <c r="BH43" s="31" t="inlineStr">
        <is>
          <t>Yes</t>
        </is>
      </c>
      <c r="BI43" s="31">
        <f>IF(BH43="Yes",10,0)</f>
        <v/>
      </c>
      <c r="BJ43" s="31" t="inlineStr">
        <is>
          <t>P/BV between 2.5x to 5x and Growth less than 20%</t>
        </is>
      </c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inlineStr">
        <is>
          <t>20 to 40</t>
        </is>
      </c>
      <c r="BM43" s="31">
        <f>IF(BL43="Above 40",20,IF(BL43="20 to 40",10,IF(BL43="0 to 20",-5,0)))</f>
        <v/>
      </c>
      <c r="BN43" s="31" t="inlineStr">
        <is>
          <t>Between 50 to 75</t>
        </is>
      </c>
      <c r="BO43" s="31">
        <f>IF(BN43="Between 50 to 75",10,IF(BN43="Above 75",0,0))</f>
        <v/>
      </c>
      <c r="BP43" s="31" t="inlineStr">
        <is>
          <t>Stage 2</t>
        </is>
      </c>
      <c r="BQ43" s="31">
        <f>IF(BP43="Stage 2",20,IF(BP43="Stage 1",0,IF(BP43="Stage 3",5,IF(BP43="Stage 4",-5,0))))</f>
        <v/>
      </c>
      <c r="BR43" s="31" t="inlineStr">
        <is>
          <t>Positive Trend</t>
        </is>
      </c>
      <c r="BS43" s="31">
        <f>IF(BR43="Positive Trend",20,IF(BR43="Negative Trend",-10,0))</f>
        <v/>
      </c>
      <c r="BT43" s="31" t="inlineStr">
        <is>
          <t>Uptrend</t>
        </is>
      </c>
      <c r="BU43" s="31">
        <f>IF(BT43="Uptrend",10,IF(BT43="Sideways",5,0))</f>
        <v/>
      </c>
      <c r="BV43" s="31" t="inlineStr">
        <is>
          <t>Uptrend</t>
        </is>
      </c>
      <c r="BW43" s="31">
        <f>IF(BV43="Uptrend",10,IF(BV43="Sideways",5,0))</f>
        <v/>
      </c>
      <c r="BX43" s="31" t="inlineStr">
        <is>
          <t>Close to 52 week high or retracement</t>
        </is>
      </c>
      <c r="BY43" s="31">
        <f>IF(BX43="Overhead supply in last 2 years in last 2 years",-5,IF(BX43="Close to 52 week high or retracement",5,IF(BX43="Blue sky scenario",10,IF(BX43="Long term Downtrend",-10,0))))</f>
        <v/>
      </c>
      <c r="BZ43" s="31" t="inlineStr">
        <is>
          <t>Yes</t>
        </is>
      </c>
      <c r="CA43" s="31">
        <f>IF(BZ43="Yes",10,0)</f>
        <v/>
      </c>
    </row>
    <row r="44">
      <c r="A44" s="31">
        <f>IF(B44=0,"",RANK(B44,$B$2:$B$67,0))</f>
        <v/>
      </c>
      <c r="B44" s="32">
        <f>SUM(N44,Y44,AA44,AC44,AE44,AG44,AI44,AK44,AM44,AO44,AQ44,AS44,AU44,AW44,AY44,BA44,BC44,BE44,BG44,BI44,BK44,BM44,BO44,BQ44,BS44,BU44,BW44,BY44,CA44)</f>
        <v/>
      </c>
      <c r="C44" s="31" t="inlineStr">
        <is>
          <t>IDFCFIRSTB</t>
        </is>
      </c>
      <c r="D44" s="31" t="inlineStr">
        <is>
          <t>IDFC First Bank Ltd</t>
        </is>
      </c>
      <c r="E44" s="31" t="inlineStr">
        <is>
          <t>bank</t>
        </is>
      </c>
      <c r="F44" s="31" t="inlineStr">
        <is>
          <t>banks - private sector</t>
        </is>
      </c>
      <c r="G44" s="31" t="inlineStr">
        <is>
          <t>largecap</t>
        </is>
      </c>
      <c r="H44" s="32" t="n">
        <v>67377.11</v>
      </c>
      <c r="I44" s="32" t="n">
        <v>77.5</v>
      </c>
      <c r="J44" s="32" t="n">
        <v>-1.06</v>
      </c>
      <c r="K44" s="32" t="n">
        <v>27114472</v>
      </c>
      <c r="L44" s="31" t="n">
        <v>29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57.78</v>
      </c>
      <c r="P44" s="32" t="n">
        <v>27.44</v>
      </c>
      <c r="Q44" s="32" t="n">
        <v>64.13</v>
      </c>
      <c r="R44" s="31" t="inlineStr">
        <is>
          <t>Earnings / Momentum Support</t>
        </is>
      </c>
      <c r="S44" s="31" t="inlineStr">
        <is>
          <t>Nifty Bank</t>
        </is>
      </c>
      <c r="T44" s="32" t="n">
        <v>1.86</v>
      </c>
      <c r="U44" s="32" t="n">
        <v>10.78</v>
      </c>
      <c r="V44" s="32" t="n">
        <v>8.76</v>
      </c>
      <c r="W44" s="32" t="n">
        <v>8.23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Fragmented with High ROE</t>
        </is>
      </c>
      <c r="AA44" s="31">
        <f>IF(Z44="Fragmented with Low ROE",-5,IF(Z44="Fragmented with High ROE",10,IF(Z44= "highly cyclical",5,0)))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Consistency)",15,IF(AF44="Shallow Cyclical (2 to 3 years growth)",10,IF(AF44 = "Cyclical in an Uptick",5,IF(AF44 = "Cyclical in an Downtick",-10,0))))</f>
        <v/>
      </c>
      <c r="AH44" s="31" t="inlineStr">
        <is>
          <t>Yes</t>
        </is>
      </c>
      <c r="AI44" s="31">
        <f>IF(AH44="Yes",10,0)</f>
        <v/>
      </c>
      <c r="AJ44" s="31" t="inlineStr">
        <is>
          <t>Yes</t>
        </is>
      </c>
      <c r="AK44" s="31">
        <f>IF(AJ44="Yes",10,0)</f>
        <v/>
      </c>
      <c r="AL44" s="31" t="n"/>
      <c r="AM44" s="31">
        <f>IF(AL44="No",10,0)</f>
        <v/>
      </c>
      <c r="AN44" s="31" t="inlineStr">
        <is>
          <t>Yes</t>
        </is>
      </c>
      <c r="AO44" s="31">
        <f>IF(AN44="Yes",10,0)</f>
        <v/>
      </c>
      <c r="AP44" s="31" t="inlineStr">
        <is>
          <t>No</t>
        </is>
      </c>
      <c r="AQ44" s="31">
        <f>IF(AP44="Yes",10,0)</f>
        <v/>
      </c>
      <c r="AR44" s="31" t="inlineStr">
        <is>
          <t>Yes</t>
        </is>
      </c>
      <c r="AS44" s="31">
        <f>IF(AR44="Yes",5,0)</f>
        <v/>
      </c>
      <c r="AT44" s="31" t="inlineStr">
        <is>
          <t>No</t>
        </is>
      </c>
      <c r="AU44" s="31">
        <f>IF(AT44="No",10,IF(AT44="Yes",-10,0))</f>
        <v/>
      </c>
      <c r="AV44" s="31" t="inlineStr">
        <is>
          <t>No</t>
        </is>
      </c>
      <c r="AW44" s="31">
        <f>IF(AV44="No",10,0)</f>
        <v/>
      </c>
      <c r="AX44" s="31" t="inlineStr">
        <is>
          <t>No</t>
        </is>
      </c>
      <c r="AY44" s="31">
        <f>IF(AX44="No",10,IF(AX44= "Yes CEO Resignation",-5,0))</f>
        <v/>
      </c>
      <c r="AZ44" s="31" t="inlineStr">
        <is>
          <t>No</t>
        </is>
      </c>
      <c r="BA44" s="31">
        <f>IF(AZ44="No",10,IF(AZ44="Yes",-5,0))</f>
        <v/>
      </c>
      <c r="BB44" s="31" t="inlineStr">
        <is>
          <t>No</t>
        </is>
      </c>
      <c r="BC44" s="31">
        <f>IF(BB44="No",5,IF(BB44="Yes",-5,0))</f>
        <v/>
      </c>
      <c r="BD44" s="31" t="inlineStr">
        <is>
          <t>Yes</t>
        </is>
      </c>
      <c r="BE44" s="31">
        <f>IF(BD44="Yes",10,0)</f>
        <v/>
      </c>
      <c r="BF44" s="31" t="inlineStr">
        <is>
          <t>Yes</t>
        </is>
      </c>
      <c r="BG44" s="31">
        <f>IF(BF44="Yes",10,0)</f>
        <v/>
      </c>
      <c r="BH44" s="31" t="inlineStr">
        <is>
          <t>Yes</t>
        </is>
      </c>
      <c r="BI44" s="31">
        <f>IF(BH44="Yes",10,0)</f>
        <v/>
      </c>
      <c r="BJ44" s="31" t="inlineStr">
        <is>
          <t>P/BV less than 2.5x and Growth less than 20%</t>
        </is>
      </c>
      <c r="BK44" s="31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1" t="inlineStr">
        <is>
          <t>20 to 40</t>
        </is>
      </c>
      <c r="BM44" s="31">
        <f>IF(BL44="Above 40",20,IF(BL44="20 to 40",10,IF(BL44="0 to 20",-5,0)))</f>
        <v/>
      </c>
      <c r="BN44" s="31" t="inlineStr">
        <is>
          <t>Between 50 to 75</t>
        </is>
      </c>
      <c r="BO44" s="31">
        <f>IF(BN44="Between 50 to 75",10,IF(BN44="Above 75",0,0))</f>
        <v/>
      </c>
      <c r="BP44" s="31" t="inlineStr">
        <is>
          <t>Stage 2</t>
        </is>
      </c>
      <c r="BQ44" s="31">
        <f>IF(BP44="Stage 2",20,IF(BP44="Stage 1",0,IF(BP44="Stage 3",5,IF(BP44="Stage 4",-5,0))))</f>
        <v/>
      </c>
      <c r="BR44" s="31" t="inlineStr">
        <is>
          <t>Positive Trend</t>
        </is>
      </c>
      <c r="BS44" s="31">
        <f>IF(BR44="Positive Trend",20,IF(BR44="Negative Trend",-10,0))</f>
        <v/>
      </c>
      <c r="BT44" s="31" t="inlineStr">
        <is>
          <t>Uptrend</t>
        </is>
      </c>
      <c r="BU44" s="31">
        <f>IF(BT44="Uptrend",10,IF(BT44="Sideways",5,0))</f>
        <v/>
      </c>
      <c r="BV44" s="31" t="inlineStr">
        <is>
          <t>Uptrend</t>
        </is>
      </c>
      <c r="BW44" s="31">
        <f>IF(BV44="Uptrend",10,IF(BV44="Sideways",5,0))</f>
        <v/>
      </c>
      <c r="BX44" s="31" t="inlineStr">
        <is>
          <t>Close to 52 week high or retracement</t>
        </is>
      </c>
      <c r="BY44" s="31">
        <f>IF(BX44="Overhead supply in last 2 years in last 2 years",-5,IF(BX44="Close to 52 week high or retracement",5,IF(BX44="Blue sky scenario",10,IF(BX44="Long term Downtrend",-10,0))))</f>
        <v/>
      </c>
      <c r="BZ44" s="31" t="inlineStr">
        <is>
          <t>Yes</t>
        </is>
      </c>
      <c r="CA44" s="31">
        <f>IF(BZ44="Yes",10,0)</f>
        <v/>
      </c>
    </row>
    <row r="45">
      <c r="A45" s="31">
        <f>IF(B45=0,"",RANK(B45,$B$2:$B$67,0))</f>
        <v/>
      </c>
      <c r="B45" s="32">
        <f>SUM(N45,Y45,AA45,AC45,AE45,AG45,AI45,AK45,AM45,AO45,AQ45,AS45,AU45,AW45,AY45,BA45,BC45,BE45,BG45,BI45,BK45,BM45,BO45,BQ45,BS45,BU45,BW45,BY45,CA45)</f>
        <v/>
      </c>
      <c r="C45" s="33" t="inlineStr">
        <is>
          <t>HUDCO</t>
        </is>
      </c>
      <c r="D45" s="33" t="inlineStr">
        <is>
          <t>Housing and Urban Development Corporation Ltd</t>
        </is>
      </c>
      <c r="E45" s="31" t="inlineStr">
        <is>
          <t>financials</t>
        </is>
      </c>
      <c r="F45" s="31" t="inlineStr">
        <is>
          <t>finance - term-lending institutions</t>
        </is>
      </c>
      <c r="G45" s="31" t="inlineStr">
        <is>
          <t>largecap</t>
        </is>
      </c>
      <c r="H45" s="32" t="n">
        <v>41947.81</v>
      </c>
      <c r="I45" s="32" t="n">
        <v>212.83</v>
      </c>
      <c r="J45" s="32" t="n">
        <v>1.57</v>
      </c>
      <c r="K45" s="32" t="n">
        <v>3722427</v>
      </c>
      <c r="L45" s="31" t="n">
        <v>15</v>
      </c>
      <c r="M45" s="31" t="inlineStr">
        <is>
          <t>Underperforming</t>
        </is>
      </c>
      <c r="N45" s="32">
        <f>IF(M45="Underperforming",-5,IF(L45&gt;=95,15,IF(L45&gt;=90,10,IF(L45&gt;=80,5,0))))</f>
        <v/>
      </c>
      <c r="O45" s="32" t="n">
        <v>55.07</v>
      </c>
      <c r="P45" s="32" t="n">
        <v>17.97</v>
      </c>
      <c r="Q45" s="32" t="n">
        <v>188.39</v>
      </c>
      <c r="R45" s="31" t="inlineStr">
        <is>
          <t>Earnings / Momentum Support</t>
        </is>
      </c>
      <c r="S45" s="31" t="inlineStr">
        <is>
          <t>Nifty Bank</t>
        </is>
      </c>
      <c r="T45" s="32" t="n">
        <v>1.86</v>
      </c>
      <c r="U45" s="32" t="n">
        <v>-3.69</v>
      </c>
      <c r="V45" s="32" t="n">
        <v>-5.45</v>
      </c>
      <c r="W45" s="32" t="n">
        <v>5.03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Fragmented with High ROE</t>
        </is>
      </c>
      <c r="AA45" s="31">
        <f>IF(Z45="Fragmented with Low ROE",-5,IF(Z45="Fragmented with High ROE",10,IF(Z45= "highly cyclical",5,0)))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Consistency)",15,IF(AF45="Shallow Cyclical (2 to 3 years growth)",10,IF(AF45 = "Cyclical in an Uptick",5,IF(AF45 = "Cyclical in an Downtick",-10,0))))</f>
        <v/>
      </c>
      <c r="AH45" s="31" t="inlineStr">
        <is>
          <t>Yes</t>
        </is>
      </c>
      <c r="AI45" s="31">
        <f>IF(AH45="Yes",10,0)</f>
        <v/>
      </c>
      <c r="AJ45" s="31" t="inlineStr">
        <is>
          <t>Yes</t>
        </is>
      </c>
      <c r="AK45" s="31">
        <f>IF(AJ45="Yes",10,0)</f>
        <v/>
      </c>
      <c r="AL45" s="31" t="n"/>
      <c r="AM45" s="31">
        <f>IF(AL45="No",10,0)</f>
        <v/>
      </c>
      <c r="AN45" s="31" t="inlineStr">
        <is>
          <t>Yes</t>
        </is>
      </c>
      <c r="AO45" s="31">
        <f>IF(AN45="Yes",10,0)</f>
        <v/>
      </c>
      <c r="AP45" s="31" t="inlineStr">
        <is>
          <t>No</t>
        </is>
      </c>
      <c r="AQ45" s="31">
        <f>IF(AP45="Yes",10,0)</f>
        <v/>
      </c>
      <c r="AR45" s="31" t="inlineStr">
        <is>
          <t>Yes</t>
        </is>
      </c>
      <c r="AS45" s="31">
        <f>IF(AR45="Yes",5,0)</f>
        <v/>
      </c>
      <c r="AT45" s="31" t="inlineStr">
        <is>
          <t>No</t>
        </is>
      </c>
      <c r="AU45" s="31">
        <f>IF(AT45="No",10,IF(AT45="Yes",-10,0))</f>
        <v/>
      </c>
      <c r="AV45" s="31" t="inlineStr">
        <is>
          <t>No</t>
        </is>
      </c>
      <c r="AW45" s="31">
        <f>IF(AV45="No",10,0)</f>
        <v/>
      </c>
      <c r="AX45" s="31" t="inlineStr">
        <is>
          <t>No</t>
        </is>
      </c>
      <c r="AY45" s="31">
        <f>IF(AX45="No",10,IF(AX45= "Yes CEO Resignation",-5,0))</f>
        <v/>
      </c>
      <c r="AZ45" s="31" t="inlineStr">
        <is>
          <t>No</t>
        </is>
      </c>
      <c r="BA45" s="31">
        <f>IF(AZ45="No",10,IF(AZ45="Yes",-5,0))</f>
        <v/>
      </c>
      <c r="BB45" s="31" t="inlineStr">
        <is>
          <t>No</t>
        </is>
      </c>
      <c r="BC45" s="31">
        <f>IF(BB45="No",5,IF(BB45="Yes",-5,0))</f>
        <v/>
      </c>
      <c r="BD45" s="31" t="inlineStr">
        <is>
          <t>Yes</t>
        </is>
      </c>
      <c r="BE45" s="31">
        <f>IF(BD45="Yes",10,0)</f>
        <v/>
      </c>
      <c r="BF45" s="31" t="inlineStr">
        <is>
          <t>Yes</t>
        </is>
      </c>
      <c r="BG45" s="31">
        <f>IF(BF45="Yes",10,0)</f>
        <v/>
      </c>
      <c r="BH45" s="31" t="inlineStr">
        <is>
          <t>Yes</t>
        </is>
      </c>
      <c r="BI45" s="31">
        <f>IF(BH45="Yes",10,0)</f>
        <v/>
      </c>
      <c r="BJ45" s="31" t="inlineStr">
        <is>
          <t>P/BV less than 2.5x and Growth more than 20%</t>
        </is>
      </c>
      <c r="BK45" s="31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1" t="inlineStr">
        <is>
          <t>0 to 20</t>
        </is>
      </c>
      <c r="BM45" s="31">
        <f>IF(BL45="Above 40",20,IF(BL45="20 to 40",10,IF(BL45="0 to 20",-5,0)))</f>
        <v/>
      </c>
      <c r="BN45" s="31" t="inlineStr">
        <is>
          <t>Between 50 to 75</t>
        </is>
      </c>
      <c r="BO45" s="31">
        <f>IF(BN45="Between 50 to 75",10,IF(BN45="Above 75",0,0))</f>
        <v/>
      </c>
      <c r="BP45" s="31" t="inlineStr">
        <is>
          <t>Stage 2</t>
        </is>
      </c>
      <c r="BQ45" s="31">
        <f>IF(BP45="Stage 2",20,IF(BP45="Stage 1",0,IF(BP45="Stage 3",5,IF(BP45="Stage 4",-5,0))))</f>
        <v/>
      </c>
      <c r="BR45" s="31" t="inlineStr">
        <is>
          <t>Positive Trend</t>
        </is>
      </c>
      <c r="BS45" s="31">
        <f>IF(BR45="Positive Trend",20,IF(BR45="Negative Trend",-10,0))</f>
        <v/>
      </c>
      <c r="BT45" s="31" t="inlineStr">
        <is>
          <t>Uptrend</t>
        </is>
      </c>
      <c r="BU45" s="31">
        <f>IF(BT45="Uptrend",10,IF(BT45="Sideways",5,0))</f>
        <v/>
      </c>
      <c r="BV45" s="31" t="inlineStr">
        <is>
          <t>Uptrend</t>
        </is>
      </c>
      <c r="BW45" s="31">
        <f>IF(BV45="Uptrend",10,IF(BV45="Sideways",5,0))</f>
        <v/>
      </c>
      <c r="BX45" s="31" t="inlineStr">
        <is>
          <t>Close to 52 week high or retracement</t>
        </is>
      </c>
      <c r="BY45" s="31">
        <f>IF(BX45="Overhead supply in last 2 years in last 2 years",-5,IF(BX45="Close to 52 week high or retracement",5,IF(BX45="Blue sky scenario",10,IF(BX45="Long term Downtrend",-10,0))))</f>
        <v/>
      </c>
      <c r="BZ45" s="31" t="inlineStr">
        <is>
          <t>Yes</t>
        </is>
      </c>
      <c r="CA45" s="31">
        <f>IF(BZ45="Yes",10,0)</f>
        <v/>
      </c>
    </row>
    <row r="46">
      <c r="A46" s="31">
        <f>IF(B46=0,"",RANK(B46,$B$2:$B$67,0))</f>
        <v/>
      </c>
      <c r="B46" s="32">
        <f>SUM(N46,Y46,AA46,AC46,AE46,AG46,AI46,AK46,AM46,AO46,AQ46,AS46,AU46,AW46,AY46,BA46,BC46,BE46,BG46,BI46,BK46,BM46,BO46,BQ46,BS46,BU46,BW46,BY46,CA46)</f>
        <v/>
      </c>
      <c r="C46" s="31" t="inlineStr">
        <is>
          <t>MUFIN</t>
        </is>
      </c>
      <c r="D46" s="31" t="inlineStr">
        <is>
          <t>Mufin Green Finance Ltd</t>
        </is>
      </c>
      <c r="E46" s="31" t="inlineStr">
        <is>
          <t>financials</t>
        </is>
      </c>
      <c r="F46" s="31" t="inlineStr">
        <is>
          <t>finance &amp; investments</t>
        </is>
      </c>
      <c r="G46" s="31" t="inlineStr">
        <is>
          <t>smallcap</t>
        </is>
      </c>
      <c r="H46" s="32" t="n">
        <v>2445.52</v>
      </c>
      <c r="I46" s="32" t="n">
        <v>123.77</v>
      </c>
      <c r="J46" s="32" t="n">
        <v>0.29</v>
      </c>
      <c r="K46" s="32" t="n">
        <v>1003160</v>
      </c>
      <c r="L46" s="31" t="n">
        <v>59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62.76</v>
      </c>
      <c r="P46" s="32" t="n">
        <v>18.42</v>
      </c>
      <c r="Q46" s="32" t="n">
        <v>99.79000000000001</v>
      </c>
      <c r="R46" s="31" t="inlineStr">
        <is>
          <t>Near 52W High Breakout</t>
        </is>
      </c>
      <c r="S46" s="31" t="inlineStr">
        <is>
          <t>Nifty Bank</t>
        </is>
      </c>
      <c r="T46" s="32" t="n">
        <v>1.86</v>
      </c>
      <c r="U46" s="32" t="n">
        <v>68.23</v>
      </c>
      <c r="V46" s="32" t="n">
        <v>65.17</v>
      </c>
      <c r="W46" s="32" t="n">
        <v>16.06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Fragmented with High ROE</t>
        </is>
      </c>
      <c r="AA46" s="31">
        <f>IF(Z46="Fragmented with Low ROE",-5,IF(Z46="Fragmented with High ROE",10,IF(Z46= "highly cyclical",5,0)))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Consistency)",15,IF(AF46="Shallow Cyclical (2 to 3 years growth)",10,IF(AF46 = "Cyclical in an Uptick",5,IF(AF46 = "Cyclical in an Downtick",-10,0))))</f>
        <v/>
      </c>
      <c r="AH46" s="31" t="inlineStr">
        <is>
          <t>Yes</t>
        </is>
      </c>
      <c r="AI46" s="31">
        <f>IF(AH46="Yes",10,0)</f>
        <v/>
      </c>
      <c r="AJ46" s="31" t="inlineStr">
        <is>
          <t>Yes</t>
        </is>
      </c>
      <c r="AK46" s="31">
        <f>IF(AJ46="Yes",10,0)</f>
        <v/>
      </c>
      <c r="AL46" s="31" t="n"/>
      <c r="AM46" s="31">
        <f>IF(AL46="No",10,0)</f>
        <v/>
      </c>
      <c r="AN46" s="31" t="inlineStr">
        <is>
          <t>Yes</t>
        </is>
      </c>
      <c r="AO46" s="31">
        <f>IF(AN46="Yes",10,0)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Yes</t>
        </is>
      </c>
      <c r="AS46" s="31">
        <f>IF(AR46="Yes",5,0)</f>
        <v/>
      </c>
      <c r="AT46" s="31" t="inlineStr">
        <is>
          <t>No</t>
        </is>
      </c>
      <c r="AU46" s="31">
        <f>IF(AT46="No",10,IF(AT46="Yes",-10,0))</f>
        <v/>
      </c>
      <c r="AV46" s="31" t="inlineStr">
        <is>
          <t>No</t>
        </is>
      </c>
      <c r="AW46" s="31">
        <f>IF(AV46="No",10,0)</f>
        <v/>
      </c>
      <c r="AX46" s="31" t="inlineStr">
        <is>
          <t>No</t>
        </is>
      </c>
      <c r="AY46" s="31">
        <f>IF(AX46="No",10,IF(AX46= "Yes CEO Resignation",-5,0))</f>
        <v/>
      </c>
      <c r="AZ46" s="31" t="inlineStr">
        <is>
          <t>No</t>
        </is>
      </c>
      <c r="BA46" s="31">
        <f>IF(AZ46="No",10,IF(AZ46="Yes",-5,0))</f>
        <v/>
      </c>
      <c r="BB46" s="31" t="inlineStr">
        <is>
          <t>No</t>
        </is>
      </c>
      <c r="BC46" s="31">
        <f>IF(BB46="No",5,IF(BB46="Yes",-5,0))</f>
        <v/>
      </c>
      <c r="BD46" s="31" t="inlineStr">
        <is>
          <t>Yes</t>
        </is>
      </c>
      <c r="BE46" s="31">
        <f>IF(BD46="Yes",10,0)</f>
        <v/>
      </c>
      <c r="BF46" s="31" t="inlineStr">
        <is>
          <t>Yes</t>
        </is>
      </c>
      <c r="BG46" s="31">
        <f>IF(BF46="Yes",10,0)</f>
        <v/>
      </c>
      <c r="BH46" s="31" t="inlineStr">
        <is>
          <t>Yes</t>
        </is>
      </c>
      <c r="BI46" s="31">
        <f>IF(BH46="Yes",10,0)</f>
        <v/>
      </c>
      <c r="BJ46" s="31" t="inlineStr">
        <is>
          <t>P/BV above 5x</t>
        </is>
      </c>
      <c r="BK46" s="31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1" t="inlineStr">
        <is>
          <t>0 to 20</t>
        </is>
      </c>
      <c r="BM46" s="31">
        <f>IF(BL46="Above 40",20,IF(BL46="20 to 40",10,IF(BL46="0 to 20",-5,0)))</f>
        <v/>
      </c>
      <c r="BN46" s="31" t="inlineStr">
        <is>
          <t>Between 50 to 75</t>
        </is>
      </c>
      <c r="BO46" s="31">
        <f>IF(BN46="Between 50 to 75",10,IF(BN46="Above 75",0,0))</f>
        <v/>
      </c>
      <c r="BP46" s="31" t="inlineStr">
        <is>
          <t>Stage 2</t>
        </is>
      </c>
      <c r="BQ46" s="31">
        <f>IF(BP46="Stage 2",20,IF(BP46="Stage 1",0,IF(BP46="Stage 3",5,IF(BP46="Stage 4",-5,0))))</f>
        <v/>
      </c>
      <c r="BR46" s="31" t="inlineStr">
        <is>
          <t>Positive Trend</t>
        </is>
      </c>
      <c r="BS46" s="31">
        <f>IF(BR46="Positive Trend",20,IF(BR46="Negative Trend",-10,0))</f>
        <v/>
      </c>
      <c r="BT46" s="31" t="inlineStr">
        <is>
          <t>Uptrend</t>
        </is>
      </c>
      <c r="BU46" s="31">
        <f>IF(BT46="Uptrend",10,IF(BT46="Sideways",5,0))</f>
        <v/>
      </c>
      <c r="BV46" s="31" t="inlineStr">
        <is>
          <t>Uptrend</t>
        </is>
      </c>
      <c r="BW46" s="31">
        <f>IF(BV46="Uptrend",10,IF(BV46="Sideways",5,0))</f>
        <v/>
      </c>
      <c r="BX46" s="31" t="inlineStr">
        <is>
          <t>Close to 52 week high or retracement</t>
        </is>
      </c>
      <c r="BY46" s="31">
        <f>IF(BX46="Overhead supply in last 2 years in last 2 years",-5,IF(BX46="Close to 52 week high or retracement",5,IF(BX46="Blue sky scenario",10,IF(BX46="Long term Downtrend",-10,0))))</f>
        <v/>
      </c>
      <c r="BZ46" s="31" t="inlineStr">
        <is>
          <t>Yes</t>
        </is>
      </c>
      <c r="CA46" s="31">
        <f>IF(BZ46="Yes",10,0)</f>
        <v/>
      </c>
    </row>
    <row r="47">
      <c r="A47" s="31">
        <f>IF(B47=0,"",RANK(B47,$B$2:$B$67,0))</f>
        <v/>
      </c>
      <c r="B47" s="32">
        <f>SUM(N47,Y47,AA47,AC47,AE47,AG47,AI47,AK47,AM47,AO47,AQ47,AS47,AU47,AW47,AY47,BA47,BC47,BE47,BG47,BI47,BK47,BM47,BO47,BQ47,BS47,BU47,BW47,BY47,CA47)</f>
        <v/>
      </c>
      <c r="C47" s="31" t="inlineStr">
        <is>
          <t>MANAPPURAM</t>
        </is>
      </c>
      <c r="D47" s="31" t="inlineStr">
        <is>
          <t>Manappuram Finance Limited</t>
        </is>
      </c>
      <c r="E47" s="31" t="inlineStr">
        <is>
          <t>financials</t>
        </is>
      </c>
      <c r="F47" s="31" t="inlineStr">
        <is>
          <t>finance &amp; investments</t>
        </is>
      </c>
      <c r="G47" s="31" t="inlineStr">
        <is>
          <t>largecap</t>
        </is>
      </c>
      <c r="H47" s="32" t="n">
        <v>29838.01</v>
      </c>
      <c r="I47" s="32" t="n">
        <v>317.45</v>
      </c>
      <c r="J47" s="32" t="n">
        <v>-0.06</v>
      </c>
      <c r="K47" s="32" t="n">
        <v>2216024</v>
      </c>
      <c r="L47" s="31" t="n">
        <v>31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59.1</v>
      </c>
      <c r="P47" s="32" t="n">
        <v>19.34</v>
      </c>
      <c r="Q47" s="32" t="n">
        <v>260.17</v>
      </c>
      <c r="R47" s="31" t="inlineStr">
        <is>
          <t>Near 52W High Breakout</t>
        </is>
      </c>
      <c r="S47" s="31" t="inlineStr">
        <is>
          <t>Nifty Bank</t>
        </is>
      </c>
      <c r="T47" s="32" t="n">
        <v>1.86</v>
      </c>
      <c r="U47" s="32" t="n">
        <v>17.78</v>
      </c>
      <c r="V47" s="32" t="n">
        <v>15.63</v>
      </c>
      <c r="W47" s="32" t="n">
        <v>8.42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Fragmented with High ROE</t>
        </is>
      </c>
      <c r="AA47" s="31">
        <f>IF(Z47="Fragmented with Low ROE",-5,IF(Z47="Fragmented with High ROE",10,IF(Z47= "highly cyclical",5,0)))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Consistency)",15,IF(AF47="Shallow Cyclical (2 to 3 years growth)",10,IF(AF47 = "Cyclical in an Uptick",5,IF(AF47 = "Cyclical in an Downtick",-10,0))))</f>
        <v/>
      </c>
      <c r="AH47" s="31" t="inlineStr">
        <is>
          <t>Yes</t>
        </is>
      </c>
      <c r="AI47" s="31">
        <f>IF(AH47="Yes",10,0)</f>
        <v/>
      </c>
      <c r="AJ47" s="31" t="inlineStr">
        <is>
          <t>Yes</t>
        </is>
      </c>
      <c r="AK47" s="31">
        <f>IF(AJ47="Yes",10,0)</f>
        <v/>
      </c>
      <c r="AL47" s="31" t="n"/>
      <c r="AM47" s="31">
        <f>IF(AL47="No",10,0)</f>
        <v/>
      </c>
      <c r="AN47" s="31" t="inlineStr">
        <is>
          <t>Yes</t>
        </is>
      </c>
      <c r="AO47" s="31">
        <f>IF(AN47="Yes",10,0)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Yes</t>
        </is>
      </c>
      <c r="AS47" s="31">
        <f>IF(AR47="Yes",5,0)</f>
        <v/>
      </c>
      <c r="AT47" s="31" t="inlineStr">
        <is>
          <t>No</t>
        </is>
      </c>
      <c r="AU47" s="31">
        <f>IF(AT47="No",10,IF(AT47="Yes",-10,0))</f>
        <v/>
      </c>
      <c r="AV47" s="31" t="inlineStr">
        <is>
          <t>No</t>
        </is>
      </c>
      <c r="AW47" s="31">
        <f>IF(AV47="No",10,0)</f>
        <v/>
      </c>
      <c r="AX47" s="31" t="inlineStr">
        <is>
          <t>No</t>
        </is>
      </c>
      <c r="AY47" s="31">
        <f>IF(AX47="No",10,IF(AX47= "Yes CEO Resignation",-5,0))</f>
        <v/>
      </c>
      <c r="AZ47" s="31" t="inlineStr">
        <is>
          <t>No</t>
        </is>
      </c>
      <c r="BA47" s="31">
        <f>IF(AZ47="No",10,IF(AZ47="Yes",-5,0))</f>
        <v/>
      </c>
      <c r="BB47" s="31" t="inlineStr">
        <is>
          <t>No</t>
        </is>
      </c>
      <c r="BC47" s="31">
        <f>IF(BB47="No",5,IF(BB47="Yes",-5,0))</f>
        <v/>
      </c>
      <c r="BD47" s="31" t="inlineStr">
        <is>
          <t>Yes</t>
        </is>
      </c>
      <c r="BE47" s="31">
        <f>IF(BD47="Yes",10,0)</f>
        <v/>
      </c>
      <c r="BF47" s="31" t="inlineStr">
        <is>
          <t>Yes</t>
        </is>
      </c>
      <c r="BG47" s="31">
        <f>IF(BF47="Yes",10,0)</f>
        <v/>
      </c>
      <c r="BH47" s="31" t="inlineStr">
        <is>
          <t>Yes</t>
        </is>
      </c>
      <c r="BI47" s="31">
        <f>IF(BH47="Yes",10,0)</f>
        <v/>
      </c>
      <c r="BJ47" s="31" t="inlineStr">
        <is>
          <t>P/BV less than 2.5x and Growth more than 20%</t>
        </is>
      </c>
      <c r="BK47" s="31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1" t="inlineStr">
        <is>
          <t>0 to 20</t>
        </is>
      </c>
      <c r="BM47" s="31">
        <f>IF(BL47="Above 40",20,IF(BL47="20 to 40",10,IF(BL47="0 to 20",-5,0)))</f>
        <v/>
      </c>
      <c r="BN47" s="31" t="inlineStr">
        <is>
          <t>Between 50 to 75</t>
        </is>
      </c>
      <c r="BO47" s="31">
        <f>IF(BN47="Between 50 to 75",10,IF(BN47="Above 75",0,0))</f>
        <v/>
      </c>
      <c r="BP47" s="31" t="inlineStr">
        <is>
          <t>Stage 2</t>
        </is>
      </c>
      <c r="BQ47" s="31">
        <f>IF(BP47="Stage 2",20,IF(BP47="Stage 1",0,IF(BP47="Stage 3",5,IF(BP47="Stage 4",-5,0))))</f>
        <v/>
      </c>
      <c r="BR47" s="31" t="inlineStr">
        <is>
          <t>Negative Trend</t>
        </is>
      </c>
      <c r="BS47" s="31">
        <f>IF(BR47="Positive Trend",20,IF(BR47="Negative Trend",-10,0))</f>
        <v/>
      </c>
      <c r="BT47" s="31" t="inlineStr">
        <is>
          <t>Uptrend</t>
        </is>
      </c>
      <c r="BU47" s="31">
        <f>IF(BT47="Uptrend",10,IF(BT47="Sideways",5,0))</f>
        <v/>
      </c>
      <c r="BV47" s="31" t="inlineStr">
        <is>
          <t>Uptrend</t>
        </is>
      </c>
      <c r="BW47" s="31">
        <f>IF(BV47="Uptrend",10,IF(BV47="Sideways",5,0))</f>
        <v/>
      </c>
      <c r="BX47" s="31" t="inlineStr">
        <is>
          <t>Blue sky scenario</t>
        </is>
      </c>
      <c r="BY47" s="31">
        <f>IF(BX47="Overhead supply in last 2 years in last 2 years",-5,IF(BX47="Close to 52 week high or retracement",5,IF(BX47="Blue sky scenario",10,IF(BX47="Long term Downtrend",-10,0))))</f>
        <v/>
      </c>
      <c r="BZ47" s="31" t="inlineStr">
        <is>
          <t>Yes</t>
        </is>
      </c>
      <c r="CA47" s="31">
        <f>IF(BZ47="Yes",10,0)</f>
        <v/>
      </c>
    </row>
    <row r="48">
      <c r="A48" s="31">
        <f>IF(B48=0,"",RANK(B48,$B$2:$B$67,0))</f>
        <v/>
      </c>
      <c r="B48" s="32">
        <f>SUM(N48,Y48,AA48,AC48,AE48,AG48,AI48,AK48,AM48,AO48,AQ48,AS48,AU48,AW48,AY48,BA48,BC48,BE48,BG48,BI48,BK48,BM48,BO48,BQ48,BS48,BU48,BW48,BY48,CA48)</f>
        <v/>
      </c>
      <c r="C48" s="33" t="inlineStr">
        <is>
          <t>GEOJITFSL</t>
        </is>
      </c>
      <c r="D48" s="33" t="inlineStr">
        <is>
          <t>Geojit Financial Services Ltd</t>
        </is>
      </c>
      <c r="E48" s="31" t="inlineStr">
        <is>
          <t>financials</t>
        </is>
      </c>
      <c r="F48" s="31" t="inlineStr">
        <is>
          <t>finance &amp; investments</t>
        </is>
      </c>
      <c r="G48" s="31" t="inlineStr">
        <is>
          <t>smallcap</t>
        </is>
      </c>
      <c r="H48" s="32" t="n">
        <v>2135.01</v>
      </c>
      <c r="I48" s="32" t="n">
        <v>78.03</v>
      </c>
      <c r="J48" s="32" t="n">
        <v>2.01</v>
      </c>
      <c r="K48" s="32" t="n">
        <v>513611</v>
      </c>
      <c r="L48" s="31" t="n">
        <v>24</v>
      </c>
      <c r="M48" s="31" t="inlineStr">
        <is>
          <t>Underperforming</t>
        </is>
      </c>
      <c r="N48" s="32">
        <f>IF(M48="Underperforming",-5,IF(L48&gt;=95,15,IF(L48&gt;=90,10,IF(L48&gt;=80,5,0))))</f>
        <v/>
      </c>
      <c r="O48" s="32" t="n">
        <v>60.85</v>
      </c>
      <c r="P48" s="32" t="n">
        <v>16.76</v>
      </c>
      <c r="Q48" s="32" t="n">
        <v>59.96</v>
      </c>
      <c r="R48" s="31" t="inlineStr">
        <is>
          <t>Earnings / Momentum Support</t>
        </is>
      </c>
      <c r="S48" s="31" t="inlineStr">
        <is>
          <t>Nifty Bank</t>
        </is>
      </c>
      <c r="T48" s="32" t="n">
        <v>1.86</v>
      </c>
      <c r="U48" s="32" t="n">
        <v>-0.47</v>
      </c>
      <c r="V48" s="32" t="n">
        <v>-2.28</v>
      </c>
      <c r="W48" s="32" t="n">
        <v>7.38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Fragmented with High ROE</t>
        </is>
      </c>
      <c r="AA48" s="31">
        <f>IF(Z48="Fragmented with Low ROE",-5,IF(Z48="Fragmented with High ROE",10,IF(Z48= "highly cyclical",5,0)))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Consistency)",15,IF(AF48="Shallow Cyclical (2 to 3 years growth)",10,IF(AF48 = "Cyclical in an Uptick",5,IF(AF48 = "Cyclical in an Downtick",-10,0))))</f>
        <v/>
      </c>
      <c r="AH48" s="31" t="inlineStr">
        <is>
          <t>Yes</t>
        </is>
      </c>
      <c r="AI48" s="31">
        <f>IF(AH48="Yes",10,0)</f>
        <v/>
      </c>
      <c r="AJ48" s="31" t="inlineStr">
        <is>
          <t>Yes</t>
        </is>
      </c>
      <c r="AK48" s="31">
        <f>IF(AJ48="Yes",10,0)</f>
        <v/>
      </c>
      <c r="AL48" s="31" t="n"/>
      <c r="AM48" s="31">
        <f>IF(AL48="No",10,0)</f>
        <v/>
      </c>
      <c r="AN48" s="31" t="inlineStr">
        <is>
          <t>Yes</t>
        </is>
      </c>
      <c r="AO48" s="31">
        <f>IF(AN48="Yes",10,0)</f>
        <v/>
      </c>
      <c r="AP48" s="31" t="inlineStr">
        <is>
          <t>No</t>
        </is>
      </c>
      <c r="AQ48" s="31">
        <f>IF(AP48="Yes",10,0)</f>
        <v/>
      </c>
      <c r="AR48" s="31" t="inlineStr">
        <is>
          <t>Yes</t>
        </is>
      </c>
      <c r="AS48" s="31">
        <f>IF(AR48="Yes",5,0)</f>
        <v/>
      </c>
      <c r="AT48" s="31" t="inlineStr">
        <is>
          <t>No</t>
        </is>
      </c>
      <c r="AU48" s="31">
        <f>IF(AT48="No",10,IF(AT48="Yes",-10,0))</f>
        <v/>
      </c>
      <c r="AV48" s="31" t="inlineStr">
        <is>
          <t>No</t>
        </is>
      </c>
      <c r="AW48" s="31">
        <f>IF(AV48="No",10,0)</f>
        <v/>
      </c>
      <c r="AX48" s="31" t="inlineStr">
        <is>
          <t>No</t>
        </is>
      </c>
      <c r="AY48" s="31">
        <f>IF(AX48="No",10,IF(AX48= "Yes CEO Resignation",-5,0))</f>
        <v/>
      </c>
      <c r="AZ48" s="31" t="inlineStr">
        <is>
          <t>No</t>
        </is>
      </c>
      <c r="BA48" s="31">
        <f>IF(AZ48="No",10,IF(AZ48="Yes",-5,0))</f>
        <v/>
      </c>
      <c r="BB48" s="31" t="inlineStr">
        <is>
          <t>No</t>
        </is>
      </c>
      <c r="BC48" s="31">
        <f>IF(BB48="No",5,IF(BB48="Yes",-5,0))</f>
        <v/>
      </c>
      <c r="BD48" s="31" t="inlineStr">
        <is>
          <t>Yes</t>
        </is>
      </c>
      <c r="BE48" s="31">
        <f>IF(BD48="Yes",10,0)</f>
        <v/>
      </c>
      <c r="BF48" s="31" t="inlineStr">
        <is>
          <t>Yes</t>
        </is>
      </c>
      <c r="BG48" s="31">
        <f>IF(BF48="Yes",10,0)</f>
        <v/>
      </c>
      <c r="BH48" s="31" t="inlineStr">
        <is>
          <t>Yes</t>
        </is>
      </c>
      <c r="BI48" s="31">
        <f>IF(BH48="Yes",10,0)</f>
        <v/>
      </c>
      <c r="BJ48" s="31" t="inlineStr">
        <is>
          <t>P/BV less than 2.5x and Growth less than 20%</t>
        </is>
      </c>
      <c r="BK48" s="31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1" t="inlineStr">
        <is>
          <t>0 to 20</t>
        </is>
      </c>
      <c r="BM48" s="31">
        <f>IF(BL48="Above 40",20,IF(BL48="20 to 40",10,IF(BL48="0 to 20",-5,0)))</f>
        <v/>
      </c>
      <c r="BN48" s="31" t="inlineStr">
        <is>
          <t>Between 50 to 75</t>
        </is>
      </c>
      <c r="BO48" s="31">
        <f>IF(BN48="Between 50 to 75",10,IF(BN48="Above 75",0,0))</f>
        <v/>
      </c>
      <c r="BP48" s="31" t="inlineStr">
        <is>
          <t>Stage 2</t>
        </is>
      </c>
      <c r="BQ48" s="31">
        <f>IF(BP48="Stage 2",20,IF(BP48="Stage 1",0,IF(BP48="Stage 3",5,IF(BP48="Stage 4",-5,0))))</f>
        <v/>
      </c>
      <c r="BR48" s="31" t="inlineStr">
        <is>
          <t>Positive Trend</t>
        </is>
      </c>
      <c r="BS48" s="31">
        <f>IF(BR48="Positive Trend",20,IF(BR48="Negative Trend",-10,0))</f>
        <v/>
      </c>
      <c r="BT48" s="31" t="inlineStr">
        <is>
          <t>Uptrend</t>
        </is>
      </c>
      <c r="BU48" s="31">
        <f>IF(BT48="Uptrend",10,IF(BT48="Sideways",5,0))</f>
        <v/>
      </c>
      <c r="BV48" s="31" t="inlineStr">
        <is>
          <t>Uptrend</t>
        </is>
      </c>
      <c r="BW48" s="31">
        <f>IF(BV48="Uptrend",10,IF(BV48="Sideways",5,0))</f>
        <v/>
      </c>
      <c r="BX48" s="31" t="inlineStr">
        <is>
          <t>Close to 52 week high or retracement</t>
        </is>
      </c>
      <c r="BY48" s="31">
        <f>IF(BX48="Overhead supply in last 2 years in last 2 years",-5,IF(BX48="Close to 52 week high or retracement",5,IF(BX48="Blue sky scenario",10,IF(BX48="Long term Downtrend",-10,0))))</f>
        <v/>
      </c>
      <c r="BZ48" s="31" t="inlineStr">
        <is>
          <t>Yes</t>
        </is>
      </c>
      <c r="CA48" s="31">
        <f>IF(BZ48="Yes",10,0)</f>
        <v/>
      </c>
    </row>
    <row r="49">
      <c r="A49" s="31">
        <f>IF(B49=0,"",RANK(B49,$B$2:$B$67,0))</f>
        <v/>
      </c>
      <c r="B49" s="32">
        <f>SUM(N49,Y49,AA49,AC49,AE49,AG49,AI49,AK49,AM49,AO49,AQ49,AS49,AU49,AW49,AY49,BA49,BC49,BE49,BG49,BI49,BK49,BM49,BO49,BQ49,BS49,BU49,BW49,BY49,CA49)</f>
        <v/>
      </c>
      <c r="C49" s="33" t="inlineStr">
        <is>
          <t>GEECEE</t>
        </is>
      </c>
      <c r="D49" s="33" t="inlineStr">
        <is>
          <t>Geecee Ventures Limited</t>
        </is>
      </c>
      <c r="E49" s="31" t="inlineStr">
        <is>
          <t>financials</t>
        </is>
      </c>
      <c r="F49" s="31" t="inlineStr">
        <is>
          <t>finance &amp; investments</t>
        </is>
      </c>
      <c r="G49" s="31" t="inlineStr">
        <is>
          <t>smallcap</t>
        </is>
      </c>
      <c r="H49" s="32" t="n">
        <v>675.97</v>
      </c>
      <c r="I49" s="32" t="n">
        <v>328.2</v>
      </c>
      <c r="J49" s="32" t="n">
        <v>1.53</v>
      </c>
      <c r="K49" s="32" t="n">
        <v>9207</v>
      </c>
      <c r="L49" s="31" t="n">
        <v>6</v>
      </c>
      <c r="M49" s="31" t="inlineStr">
        <is>
          <t>Underperforming</t>
        </is>
      </c>
      <c r="N49" s="32">
        <f>IF(M49="Underperforming",-5,IF(L49&gt;=95,15,IF(L49&gt;=90,10,IF(L49&gt;=80,5,0))))</f>
        <v/>
      </c>
      <c r="O49" s="32" t="n">
        <v>55.37</v>
      </c>
      <c r="P49" s="32" t="n">
        <v>23.33</v>
      </c>
      <c r="Q49" s="32" t="n">
        <v>249.69</v>
      </c>
      <c r="R49" s="31" t="inlineStr">
        <is>
          <t>Earnings / Momentum Support</t>
        </is>
      </c>
      <c r="S49" s="31" t="inlineStr">
        <is>
          <t>Nifty Bank</t>
        </is>
      </c>
      <c r="T49" s="32" t="n">
        <v>1.86</v>
      </c>
      <c r="U49" s="32" t="n">
        <v>-14.42</v>
      </c>
      <c r="V49" s="32" t="n">
        <v>-15.98</v>
      </c>
      <c r="W49" s="32" t="n">
        <v>3.03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Fragmented with High ROE</t>
        </is>
      </c>
      <c r="AA49" s="31">
        <f>IF(Z49="Fragmented with Low ROE",-5,IF(Z49="Fragmented with High ROE",10,IF(Z49= "highly cyclical",5,0)))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Consistency)",15,IF(AF49="Shallow Cyclical (2 to 3 years growth)",10,IF(AF49 = "Cyclical in an Uptick",5,IF(AF49 = "Cyclical in an Downtick",-10,0))))</f>
        <v/>
      </c>
      <c r="AH49" s="31" t="inlineStr">
        <is>
          <t>Yes</t>
        </is>
      </c>
      <c r="AI49" s="31">
        <f>IF(AH49="Yes",10,0)</f>
        <v/>
      </c>
      <c r="AJ49" s="31" t="inlineStr">
        <is>
          <t>Yes</t>
        </is>
      </c>
      <c r="AK49" s="31">
        <f>IF(AJ49="Yes",10,0)</f>
        <v/>
      </c>
      <c r="AL49" s="31" t="n"/>
      <c r="AM49" s="31">
        <f>IF(AL49="No",10,0)</f>
        <v/>
      </c>
      <c r="AN49" s="31" t="inlineStr">
        <is>
          <t>Yes</t>
        </is>
      </c>
      <c r="AO49" s="31">
        <f>IF(AN49="Yes",10,0)</f>
        <v/>
      </c>
      <c r="AP49" s="31" t="inlineStr">
        <is>
          <t>No</t>
        </is>
      </c>
      <c r="AQ49" s="31">
        <f>IF(AP49="Yes",10,0)</f>
        <v/>
      </c>
      <c r="AR49" s="31" t="inlineStr">
        <is>
          <t>Yes</t>
        </is>
      </c>
      <c r="AS49" s="31">
        <f>IF(AR49="Yes",5,0)</f>
        <v/>
      </c>
      <c r="AT49" s="31" t="inlineStr">
        <is>
          <t>No</t>
        </is>
      </c>
      <c r="AU49" s="31">
        <f>IF(AT49="No",10,IF(AT49="Yes",-10,0))</f>
        <v/>
      </c>
      <c r="AV49" s="31" t="inlineStr">
        <is>
          <t>No</t>
        </is>
      </c>
      <c r="AW49" s="31">
        <f>IF(AV49="No",10,0)</f>
        <v/>
      </c>
      <c r="AX49" s="31" t="inlineStr">
        <is>
          <t>No</t>
        </is>
      </c>
      <c r="AY49" s="31">
        <f>IF(AX49="No",10,IF(AX49= "Yes CEO Resignation",-5,0))</f>
        <v/>
      </c>
      <c r="AZ49" s="31" t="inlineStr">
        <is>
          <t>No</t>
        </is>
      </c>
      <c r="BA49" s="31">
        <f>IF(AZ49="No",10,IF(AZ49="Yes",-5,0))</f>
        <v/>
      </c>
      <c r="BB49" s="31" t="inlineStr">
        <is>
          <t>No</t>
        </is>
      </c>
      <c r="BC49" s="31">
        <f>IF(BB49="No",5,IF(BB49="Yes",-5,0))</f>
        <v/>
      </c>
      <c r="BD49" s="31" t="inlineStr">
        <is>
          <t>Yes</t>
        </is>
      </c>
      <c r="BE49" s="31">
        <f>IF(BD49="Yes",10,0)</f>
        <v/>
      </c>
      <c r="BF49" s="31" t="inlineStr">
        <is>
          <t>Yes</t>
        </is>
      </c>
      <c r="BG49" s="31">
        <f>IF(BF49="Yes",10,0)</f>
        <v/>
      </c>
      <c r="BH49" s="31" t="inlineStr">
        <is>
          <t>Yes</t>
        </is>
      </c>
      <c r="BI49" s="31">
        <f>IF(BH49="Yes",10,0)</f>
        <v/>
      </c>
      <c r="BJ49" s="31" t="inlineStr">
        <is>
          <t>P/BV less than 2.5x and Growth more than 20%</t>
        </is>
      </c>
      <c r="BK49" s="31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1" t="inlineStr">
        <is>
          <t>20 to 40</t>
        </is>
      </c>
      <c r="BM49" s="31">
        <f>IF(BL49="Above 40",20,IF(BL49="20 to 40",10,IF(BL49="0 to 20",-5,0)))</f>
        <v/>
      </c>
      <c r="BN49" s="31" t="inlineStr">
        <is>
          <t>Between 50 to 75</t>
        </is>
      </c>
      <c r="BO49" s="31">
        <f>IF(BN49="Between 50 to 75",10,IF(BN49="Above 75",0,0))</f>
        <v/>
      </c>
      <c r="BP49" s="31" t="inlineStr">
        <is>
          <t>Stage 2</t>
        </is>
      </c>
      <c r="BQ49" s="31">
        <f>IF(BP49="Stage 2",20,IF(BP49="Stage 1",0,IF(BP49="Stage 3",5,IF(BP49="Stage 4",-5,0))))</f>
        <v/>
      </c>
      <c r="BR49" s="31" t="inlineStr">
        <is>
          <t>Negative Trend</t>
        </is>
      </c>
      <c r="BS49" s="31">
        <f>IF(BR49="Positive Trend",20,IF(BR49="Negative Trend",-10,0))</f>
        <v/>
      </c>
      <c r="BT49" s="31" t="inlineStr">
        <is>
          <t>Uptrend</t>
        </is>
      </c>
      <c r="BU49" s="31">
        <f>IF(BT49="Uptrend",10,IF(BT49="Sideways",5,0))</f>
        <v/>
      </c>
      <c r="BV49" s="31" t="inlineStr">
        <is>
          <t>Uptrend</t>
        </is>
      </c>
      <c r="BW49" s="31">
        <f>IF(BV49="Uptrend",10,IF(BV49="Sideways",5,0))</f>
        <v/>
      </c>
      <c r="BX49" s="31" t="inlineStr">
        <is>
          <t>Close to 52 week high or retracement</t>
        </is>
      </c>
      <c r="BY49" s="31">
        <f>IF(BX49="Overhead supply in last 2 years in last 2 years",-5,IF(BX49="Close to 52 week high or retracement",5,IF(BX49="Blue sky scenario",10,IF(BX49="Long term Downtrend",-10,0))))</f>
        <v/>
      </c>
      <c r="BZ49" s="31" t="inlineStr">
        <is>
          <t>Yes</t>
        </is>
      </c>
      <c r="CA49" s="31">
        <f>IF(BZ49="Yes",10,0)</f>
        <v/>
      </c>
    </row>
    <row r="50">
      <c r="A50" s="31">
        <f>IF(B50=0,"",RANK(B50,$B$2:$B$67,0))</f>
        <v/>
      </c>
      <c r="B50" s="32">
        <f>SUM(N50,Y50,AA50,AC50,AE50,AG50,AI50,AK50,AM50,AO50,AQ50,AS50,AU50,AW50,AY50,BA50,BC50,BE50,BG50,BI50,BK50,BM50,BO50,BQ50,BS50,BU50,BW50,BY50,CA50)</f>
        <v/>
      </c>
      <c r="C50" s="31" t="inlineStr">
        <is>
          <t>UJJIVANSFB</t>
        </is>
      </c>
      <c r="D50" s="31" t="inlineStr">
        <is>
          <t>Ujjivan Small Finance Bank Ltd</t>
        </is>
      </c>
      <c r="E50" s="31" t="inlineStr">
        <is>
          <t>bank</t>
        </is>
      </c>
      <c r="F50" s="31" t="inlineStr">
        <is>
          <t>banks - private sector</t>
        </is>
      </c>
      <c r="G50" s="31" t="inlineStr">
        <is>
          <t>midcap</t>
        </is>
      </c>
      <c r="H50" s="32" t="n">
        <v>11063.76</v>
      </c>
      <c r="I50" s="32" t="n">
        <v>57.39</v>
      </c>
      <c r="J50" s="32" t="n">
        <v>0.77</v>
      </c>
      <c r="K50" s="32" t="n">
        <v>8280013</v>
      </c>
      <c r="L50" s="31" t="n">
        <v>17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53.09</v>
      </c>
      <c r="P50" s="32" t="n">
        <v>15.79</v>
      </c>
      <c r="Q50" s="32" t="n">
        <v>48.93</v>
      </c>
      <c r="R50" s="31" t="inlineStr">
        <is>
          <t>Earnings / Momentum Support</t>
        </is>
      </c>
      <c r="S50" s="31" t="inlineStr">
        <is>
          <t>Nifty Bank</t>
        </is>
      </c>
      <c r="T50" s="32" t="n">
        <v>1.86</v>
      </c>
      <c r="U50" s="32" t="n">
        <v>19.14</v>
      </c>
      <c r="V50" s="32" t="n">
        <v>16.97</v>
      </c>
      <c r="W50" s="32" t="n">
        <v>5.39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Fragmented with High ROE</t>
        </is>
      </c>
      <c r="AA50" s="31">
        <f>IF(Z50="Fragmented with Low ROE",-5,IF(Z50="Fragmented with High ROE",10,IF(Z50= "highly cyclical",5,0)))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Consistency)",15,IF(AF50="Shallow Cyclical (2 to 3 years growth)",10,IF(AF50 = "Cyclical in an Uptick",5,IF(AF50 = "Cyclical in an Downtick",-10,0))))</f>
        <v/>
      </c>
      <c r="AH50" s="31" t="inlineStr">
        <is>
          <t>Yes</t>
        </is>
      </c>
      <c r="AI50" s="31">
        <f>IF(AH50="Yes",10,0)</f>
        <v/>
      </c>
      <c r="AJ50" s="31" t="inlineStr">
        <is>
          <t>Yes</t>
        </is>
      </c>
      <c r="AK50" s="31">
        <f>IF(AJ50="Yes",10,0)</f>
        <v/>
      </c>
      <c r="AL50" s="31" t="n"/>
      <c r="AM50" s="31">
        <f>IF(AL50="No",10,0)</f>
        <v/>
      </c>
      <c r="AN50" s="31" t="inlineStr">
        <is>
          <t>Yes</t>
        </is>
      </c>
      <c r="AO50" s="31">
        <f>IF(AN50="Yes",10,0)</f>
        <v/>
      </c>
      <c r="AP50" s="31" t="inlineStr">
        <is>
          <t>No</t>
        </is>
      </c>
      <c r="AQ50" s="31">
        <f>IF(AP50="Yes",10,0)</f>
        <v/>
      </c>
      <c r="AR50" s="31" t="inlineStr">
        <is>
          <t>Yes</t>
        </is>
      </c>
      <c r="AS50" s="31">
        <f>IF(AR50="Yes",5,0)</f>
        <v/>
      </c>
      <c r="AT50" s="31" t="inlineStr">
        <is>
          <t>No</t>
        </is>
      </c>
      <c r="AU50" s="31">
        <f>IF(AT50="No",10,IF(AT50="Yes",-10,0))</f>
        <v/>
      </c>
      <c r="AV50" s="31" t="inlineStr">
        <is>
          <t>No</t>
        </is>
      </c>
      <c r="AW50" s="31">
        <f>IF(AV50="No",10,0)</f>
        <v/>
      </c>
      <c r="AX50" s="31" t="inlineStr">
        <is>
          <t>No</t>
        </is>
      </c>
      <c r="AY50" s="31">
        <f>IF(AX50="No",10,IF(AX50= "Yes CEO Resignation",-5,0))</f>
        <v/>
      </c>
      <c r="AZ50" s="31" t="inlineStr">
        <is>
          <t>No</t>
        </is>
      </c>
      <c r="BA50" s="31">
        <f>IF(AZ50="No",10,IF(AZ50="Yes",-5,0))</f>
        <v/>
      </c>
      <c r="BB50" s="31" t="inlineStr">
        <is>
          <t>No</t>
        </is>
      </c>
      <c r="BC50" s="31">
        <f>IF(BB50="No",5,IF(BB50="Yes",-5,0))</f>
        <v/>
      </c>
      <c r="BD50" s="31" t="inlineStr">
        <is>
          <t>Yes</t>
        </is>
      </c>
      <c r="BE50" s="31">
        <f>IF(BD50="Yes",10,0)</f>
        <v/>
      </c>
      <c r="BF50" s="31" t="inlineStr">
        <is>
          <t>Yes</t>
        </is>
      </c>
      <c r="BG50" s="31">
        <f>IF(BF50="Yes",10,0)</f>
        <v/>
      </c>
      <c r="BH50" s="31" t="inlineStr">
        <is>
          <t>Yes</t>
        </is>
      </c>
      <c r="BI50" s="31">
        <f>IF(BH50="Yes",10,0)</f>
        <v/>
      </c>
      <c r="BJ50" s="31" t="inlineStr">
        <is>
          <t>P/BV less than 2.5x and Growth more than 20%</t>
        </is>
      </c>
      <c r="BK50" s="31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1" t="inlineStr">
        <is>
          <t>0 to 20</t>
        </is>
      </c>
      <c r="BM50" s="31">
        <f>IF(BL50="Above 40",20,IF(BL50="20 to 40",10,IF(BL50="0 to 20",-5,0)))</f>
        <v/>
      </c>
      <c r="BN50" s="31" t="inlineStr">
        <is>
          <t>Between 50 to 75</t>
        </is>
      </c>
      <c r="BO50" s="31">
        <f>IF(BN50="Between 50 to 75",10,IF(BN50="Above 75",0,0))</f>
        <v/>
      </c>
      <c r="BP50" s="31" t="inlineStr">
        <is>
          <t>Stage 1</t>
        </is>
      </c>
      <c r="BQ50" s="31">
        <f>IF(BP50="Stage 2",20,IF(BP50="Stage 1",0,IF(BP50="Stage 3",5,IF(BP50="Stage 4",-5,0))))</f>
        <v/>
      </c>
      <c r="BR50" s="31" t="inlineStr">
        <is>
          <t>Positive Trend</t>
        </is>
      </c>
      <c r="BS50" s="31">
        <f>IF(BR50="Positive Trend",20,IF(BR50="Negative Trend",-10,0))</f>
        <v/>
      </c>
      <c r="BT50" s="31" t="inlineStr">
        <is>
          <t>Uptrend</t>
        </is>
      </c>
      <c r="BU50" s="31">
        <f>IF(BT50="Uptrend",10,IF(BT50="Sideways",5,0))</f>
        <v/>
      </c>
      <c r="BV50" s="31" t="inlineStr">
        <is>
          <t>Uptrend</t>
        </is>
      </c>
      <c r="BW50" s="31">
        <f>IF(BV50="Uptrend",10,IF(BV50="Sideways",5,0))</f>
        <v/>
      </c>
      <c r="BX50" s="31" t="inlineStr">
        <is>
          <t>Close to 52 week high or retracement</t>
        </is>
      </c>
      <c r="BY50" s="31">
        <f>IF(BX50="Overhead supply in last 2 years in last 2 years",-5,IF(BX50="Close to 52 week high or retracement",5,IF(BX50="Blue sky scenario",10,IF(BX50="Long term Downtrend",-10,0))))</f>
        <v/>
      </c>
      <c r="BZ50" s="31" t="inlineStr">
        <is>
          <t>Yes</t>
        </is>
      </c>
      <c r="CA50" s="31">
        <f>IF(BZ50="Yes",10,0)</f>
        <v/>
      </c>
    </row>
    <row r="51">
      <c r="A51" s="31">
        <f>IF(B51=0,"",RANK(B51,$B$2:$B$67,0))</f>
        <v/>
      </c>
      <c r="B51" s="32">
        <f>SUM(N51,Y51,AA51,AC51,AE51,AG51,AI51,AK51,AM51,AO51,AQ51,AS51,AU51,AW51,AY51,BA51,BC51,BE51,BG51,BI51,BK51,BM51,BO51,BQ51,BS51,BU51,BW51,BY51,CA51)</f>
        <v/>
      </c>
      <c r="C51" s="31" t="inlineStr">
        <is>
          <t>LTF</t>
        </is>
      </c>
      <c r="D51" s="31" t="inlineStr">
        <is>
          <t>L&amp;T Finance Ltd</t>
        </is>
      </c>
      <c r="E51" s="31" t="inlineStr">
        <is>
          <t>financials</t>
        </is>
      </c>
      <c r="F51" s="31" t="inlineStr">
        <is>
          <t>finance &amp; investments</t>
        </is>
      </c>
      <c r="G51" s="31" t="inlineStr">
        <is>
          <t>largecap</t>
        </is>
      </c>
      <c r="H51" s="32" t="n">
        <v>73441.12</v>
      </c>
      <c r="I51" s="32" t="n">
        <v>294.25</v>
      </c>
      <c r="J51" s="32" t="n">
        <v>0.34</v>
      </c>
      <c r="K51" s="32" t="n">
        <v>3771951</v>
      </c>
      <c r="L51" s="31" t="n">
        <v>50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55.93</v>
      </c>
      <c r="P51" s="32" t="n">
        <v>15.31</v>
      </c>
      <c r="Q51" s="32" t="n">
        <v>236.35</v>
      </c>
      <c r="R51" s="31" t="inlineStr">
        <is>
          <t>Earnings / Momentum Support</t>
        </is>
      </c>
      <c r="S51" s="31" t="inlineStr">
        <is>
          <t>Nifty Bank</t>
        </is>
      </c>
      <c r="T51" s="32" t="n">
        <v>1.86</v>
      </c>
      <c r="U51" s="32" t="n">
        <v>56.42</v>
      </c>
      <c r="V51" s="32" t="n">
        <v>53.57</v>
      </c>
      <c r="W51" s="32" t="n">
        <v>13.23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Fragmented with High ROE</t>
        </is>
      </c>
      <c r="AA51" s="31">
        <f>IF(Z51="Fragmented with Low ROE",-5,IF(Z51="Fragmented with High ROE",10,IF(Z51= "highly cyclical",5,0)))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Consistency)",15,IF(AF51="Shallow Cyclical (2 to 3 years growth)",10,IF(AF51 = "Cyclical in an Uptick",5,IF(AF51 = "Cyclical in an Downtick",-10,0))))</f>
        <v/>
      </c>
      <c r="AH51" s="31" t="inlineStr">
        <is>
          <t>Yes</t>
        </is>
      </c>
      <c r="AI51" s="31">
        <f>IF(AH51="Yes",10,0)</f>
        <v/>
      </c>
      <c r="AJ51" s="31" t="inlineStr">
        <is>
          <t>Yes</t>
        </is>
      </c>
      <c r="AK51" s="31">
        <f>IF(AJ51="Yes",10,0)</f>
        <v/>
      </c>
      <c r="AL51" s="31" t="n"/>
      <c r="AM51" s="31">
        <f>IF(AL51="No",10,0)</f>
        <v/>
      </c>
      <c r="AN51" s="31" t="inlineStr">
        <is>
          <t>Yes</t>
        </is>
      </c>
      <c r="AO51" s="31">
        <f>IF(AN51="Yes",10,0)</f>
        <v/>
      </c>
      <c r="AP51" s="31" t="inlineStr">
        <is>
          <t>No</t>
        </is>
      </c>
      <c r="AQ51" s="31">
        <f>IF(AP51="Yes",10,0)</f>
        <v/>
      </c>
      <c r="AR51" s="31" t="inlineStr">
        <is>
          <t>Yes</t>
        </is>
      </c>
      <c r="AS51" s="31">
        <f>IF(AR51="Yes",5,0)</f>
        <v/>
      </c>
      <c r="AT51" s="31" t="inlineStr">
        <is>
          <t>No</t>
        </is>
      </c>
      <c r="AU51" s="31">
        <f>IF(AT51="No",10,IF(AT51="Yes",-10,0))</f>
        <v/>
      </c>
      <c r="AV51" s="31" t="inlineStr">
        <is>
          <t>No</t>
        </is>
      </c>
      <c r="AW51" s="31">
        <f>IF(AV51="No",10,0)</f>
        <v/>
      </c>
      <c r="AX51" s="31" t="inlineStr">
        <is>
          <t>No</t>
        </is>
      </c>
      <c r="AY51" s="31">
        <f>IF(AX51="No",10,IF(AX51= "Yes CEO Resignation",-5,0))</f>
        <v/>
      </c>
      <c r="AZ51" s="31" t="inlineStr">
        <is>
          <t>No</t>
        </is>
      </c>
      <c r="BA51" s="31">
        <f>IF(AZ51="No",10,IF(AZ51="Yes",-5,0))</f>
        <v/>
      </c>
      <c r="BB51" s="31" t="inlineStr">
        <is>
          <t>No</t>
        </is>
      </c>
      <c r="BC51" s="31">
        <f>IF(BB51="No",5,IF(BB51="Yes",-5,0))</f>
        <v/>
      </c>
      <c r="BD51" s="31" t="inlineStr">
        <is>
          <t>Yes</t>
        </is>
      </c>
      <c r="BE51" s="31">
        <f>IF(BD51="Yes",10,0)</f>
        <v/>
      </c>
      <c r="BF51" s="31" t="inlineStr">
        <is>
          <t>Yes</t>
        </is>
      </c>
      <c r="BG51" s="31">
        <f>IF(BF51="Yes",10,0)</f>
        <v/>
      </c>
      <c r="BH51" s="31" t="inlineStr">
        <is>
          <t>Yes</t>
        </is>
      </c>
      <c r="BI51" s="31">
        <f>IF(BH51="Yes",10,0)</f>
        <v/>
      </c>
      <c r="BJ51" s="31" t="inlineStr">
        <is>
          <t>P/BV between 2.5x to 5x and Growth more than 20%</t>
        </is>
      </c>
      <c r="BK51" s="31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1" t="inlineStr">
        <is>
          <t>0 to 20</t>
        </is>
      </c>
      <c r="BM51" s="31">
        <f>IF(BL51="Above 40",20,IF(BL51="20 to 40",10,IF(BL51="0 to 20",-5,0)))</f>
        <v/>
      </c>
      <c r="BN51" s="31" t="inlineStr">
        <is>
          <t>Between 50 to 75</t>
        </is>
      </c>
      <c r="BO51" s="31">
        <f>IF(BN51="Between 50 to 75",10,IF(BN51="Above 75",0,0))</f>
        <v/>
      </c>
      <c r="BP51" s="31" t="inlineStr">
        <is>
          <t>Stage 2</t>
        </is>
      </c>
      <c r="BQ51" s="31">
        <f>IF(BP51="Stage 2",20,IF(BP51="Stage 1",0,IF(BP51="Stage 3",5,IF(BP51="Stage 4",-5,0))))</f>
        <v/>
      </c>
      <c r="BR51" s="31" t="inlineStr">
        <is>
          <t>Positive Trend</t>
        </is>
      </c>
      <c r="BS51" s="31">
        <f>IF(BR51="Positive Trend",20,IF(BR51="Negative Trend",-10,0))</f>
        <v/>
      </c>
      <c r="BT51" s="31" t="inlineStr">
        <is>
          <t>Uptrend</t>
        </is>
      </c>
      <c r="BU51" s="31">
        <f>IF(BT51="Uptrend",10,IF(BT51="Sideways",5,0))</f>
        <v/>
      </c>
      <c r="BV51" s="31" t="inlineStr">
        <is>
          <t>Uptrend</t>
        </is>
      </c>
      <c r="BW51" s="31">
        <f>IF(BV51="Uptrend",10,IF(BV51="Sideways",5,0))</f>
        <v/>
      </c>
      <c r="BX51" s="31" t="inlineStr">
        <is>
          <t>Close to 52 week high or retracement</t>
        </is>
      </c>
      <c r="BY51" s="31">
        <f>IF(BX51="Overhead supply in last 2 years in last 2 years",-5,IF(BX51="Close to 52 week high or retracement",5,IF(BX51="Blue sky scenario",10,IF(BX51="Long term Downtrend",-10,0))))</f>
        <v/>
      </c>
      <c r="BZ51" s="31" t="inlineStr">
        <is>
          <t>Yes</t>
        </is>
      </c>
      <c r="CA51" s="31">
        <f>IF(BZ51="Yes",10,0)</f>
        <v/>
      </c>
    </row>
    <row r="52">
      <c r="A52" s="31">
        <f>IF(B52=0,"",RANK(B52,$B$2:$B$67,0))</f>
        <v/>
      </c>
      <c r="B52" s="32">
        <f>SUM(N52,Y52,AA52,AC52,AE52,AG52,AI52,AK52,AM52,AO52,AQ52,AS52,AU52,AW52,AY52,BA52,BC52,BE52,BG52,BI52,BK52,BM52,BO52,BQ52,BS52,BU52,BW52,BY52,CA52)</f>
        <v/>
      </c>
      <c r="C52" s="31" t="inlineStr">
        <is>
          <t>NIVABUPA</t>
        </is>
      </c>
      <c r="D52" s="31" t="inlineStr">
        <is>
          <t>Niva Bupa Health Insurance Company Ltd</t>
        </is>
      </c>
      <c r="E52" s="31" t="inlineStr">
        <is>
          <t>financials</t>
        </is>
      </c>
      <c r="F52" s="31" t="inlineStr">
        <is>
          <t>finance &amp; investments</t>
        </is>
      </c>
      <c r="G52" s="31" t="inlineStr">
        <is>
          <t>midcap</t>
        </is>
      </c>
      <c r="H52" s="32" t="n">
        <v>15405.94</v>
      </c>
      <c r="I52" s="32" t="n">
        <v>84.3</v>
      </c>
      <c r="J52" s="32" t="n">
        <v>1.09</v>
      </c>
      <c r="K52" s="32" t="n">
        <v>5760659</v>
      </c>
      <c r="L52" s="31" t="n">
        <v>17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60.24</v>
      </c>
      <c r="P52" s="32" t="n">
        <v>24.21</v>
      </c>
      <c r="Q52" s="32" t="n">
        <v>70.84999999999999</v>
      </c>
      <c r="R52" s="31" t="inlineStr">
        <is>
          <t>Earnings / Momentum Support</t>
        </is>
      </c>
      <c r="S52" s="31" t="inlineStr">
        <is>
          <t>Nifty Bank</t>
        </is>
      </c>
      <c r="T52" s="32" t="n">
        <v>1.86</v>
      </c>
      <c r="U52" s="32" t="n">
        <v>3.88</v>
      </c>
      <c r="V52" s="32" t="n">
        <v>1.99</v>
      </c>
      <c r="W52" s="32" t="n">
        <v>5.35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Fragmented with High ROE</t>
        </is>
      </c>
      <c r="AA52" s="31">
        <f>IF(Z52="Fragmented with Low ROE",-5,IF(Z52="Fragmented with High ROE",10,IF(Z52= "highly cyclical",5,0)))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Consistency)",15,IF(AF52="Shallow Cyclical (2 to 3 years growth)",10,IF(AF52 = "Cyclical in an Uptick",5,IF(AF52 = "Cyclical in an Downtick",-10,0))))</f>
        <v/>
      </c>
      <c r="AH52" s="31" t="inlineStr">
        <is>
          <t>Yes</t>
        </is>
      </c>
      <c r="AI52" s="31">
        <f>IF(AH52="Yes",10,0)</f>
        <v/>
      </c>
      <c r="AJ52" s="31" t="inlineStr">
        <is>
          <t>Yes</t>
        </is>
      </c>
      <c r="AK52" s="31">
        <f>IF(AJ52="Yes",10,0)</f>
        <v/>
      </c>
      <c r="AL52" s="31" t="n"/>
      <c r="AM52" s="31">
        <f>IF(AL52="No",10,0)</f>
        <v/>
      </c>
      <c r="AN52" s="31" t="inlineStr">
        <is>
          <t>Yes</t>
        </is>
      </c>
      <c r="AO52" s="31">
        <f>IF(AN52="Yes",10,0)</f>
        <v/>
      </c>
      <c r="AP52" s="31" t="inlineStr">
        <is>
          <t>No</t>
        </is>
      </c>
      <c r="AQ52" s="31">
        <f>IF(AP52="Yes",10,0)</f>
        <v/>
      </c>
      <c r="AR52" s="31" t="inlineStr">
        <is>
          <t>Yes</t>
        </is>
      </c>
      <c r="AS52" s="31">
        <f>IF(AR52="Yes",5,0)</f>
        <v/>
      </c>
      <c r="AT52" s="31" t="inlineStr">
        <is>
          <t>No</t>
        </is>
      </c>
      <c r="AU52" s="31">
        <f>IF(AT52="No",10,IF(AT52="Yes",-10,0))</f>
        <v/>
      </c>
      <c r="AV52" s="31" t="inlineStr">
        <is>
          <t>No</t>
        </is>
      </c>
      <c r="AW52" s="31">
        <f>IF(AV52="No",10,0)</f>
        <v/>
      </c>
      <c r="AX52" s="31" t="inlineStr">
        <is>
          <t>No</t>
        </is>
      </c>
      <c r="AY52" s="31">
        <f>IF(AX52="No",10,IF(AX52= "Yes CEO Resignation",-5,0))</f>
        <v/>
      </c>
      <c r="AZ52" s="31" t="inlineStr">
        <is>
          <t>No</t>
        </is>
      </c>
      <c r="BA52" s="31">
        <f>IF(AZ52="No",10,IF(AZ52="Yes",-5,0))</f>
        <v/>
      </c>
      <c r="BB52" s="31" t="inlineStr">
        <is>
          <t>No</t>
        </is>
      </c>
      <c r="BC52" s="31">
        <f>IF(BB52="No",5,IF(BB52="Yes",-5,0))</f>
        <v/>
      </c>
      <c r="BD52" s="31" t="inlineStr">
        <is>
          <t>Yes</t>
        </is>
      </c>
      <c r="BE52" s="31">
        <f>IF(BD52="Yes",10,0)</f>
        <v/>
      </c>
      <c r="BF52" s="31" t="inlineStr">
        <is>
          <t>Yes</t>
        </is>
      </c>
      <c r="BG52" s="31">
        <f>IF(BF52="Yes",10,0)</f>
        <v/>
      </c>
      <c r="BH52" s="31" t="inlineStr">
        <is>
          <t>Yes</t>
        </is>
      </c>
      <c r="BI52" s="31">
        <f>IF(BH52="Yes",10,0)</f>
        <v/>
      </c>
      <c r="BJ52" s="31" t="inlineStr">
        <is>
          <t>P/BV between 2.5x to 5x and Growth more than 20%</t>
        </is>
      </c>
      <c r="BK52" s="31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1" t="inlineStr">
        <is>
          <t>20 to 40</t>
        </is>
      </c>
      <c r="BM52" s="31">
        <f>IF(BL52="Above 40",20,IF(BL52="20 to 40",10,IF(BL52="0 to 20",-5,0)))</f>
        <v/>
      </c>
      <c r="BN52" s="31" t="inlineStr">
        <is>
          <t>Between 50 to 75</t>
        </is>
      </c>
      <c r="BO52" s="31">
        <f>IF(BN52="Between 50 to 75",10,IF(BN52="Above 75",0,0))</f>
        <v/>
      </c>
      <c r="BP52" s="31" t="inlineStr">
        <is>
          <t>Stage 2</t>
        </is>
      </c>
      <c r="BQ52" s="31">
        <f>IF(BP52="Stage 2",20,IF(BP52="Stage 1",0,IF(BP52="Stage 3",5,IF(BP52="Stage 4",-5,0))))</f>
        <v/>
      </c>
      <c r="BR52" s="31" t="inlineStr">
        <is>
          <t>Negative Trend</t>
        </is>
      </c>
      <c r="BS52" s="31">
        <f>IF(BR52="Positive Trend",20,IF(BR52="Negative Trend",-10,0))</f>
        <v/>
      </c>
      <c r="BT52" s="31" t="inlineStr">
        <is>
          <t>Uptrend</t>
        </is>
      </c>
      <c r="BU52" s="31">
        <f>IF(BT52="Uptrend",10,IF(BT52="Sideways",5,0))</f>
        <v/>
      </c>
      <c r="BV52" s="31" t="inlineStr">
        <is>
          <t>Uptrend</t>
        </is>
      </c>
      <c r="BW52" s="31">
        <f>IF(BV52="Uptrend",10,IF(BV52="Sideways",5,0))</f>
        <v/>
      </c>
      <c r="BX52" s="31" t="inlineStr">
        <is>
          <t>Close to 52 week high or retracement</t>
        </is>
      </c>
      <c r="BY52" s="31">
        <f>IF(BX52="Overhead supply in last 2 years in last 2 years",-5,IF(BX52="Close to 52 week high or retracement",5,IF(BX52="Blue sky scenario",10,IF(BX52="Long term Downtrend",-10,0))))</f>
        <v/>
      </c>
      <c r="BZ52" s="31" t="inlineStr">
        <is>
          <t>Yes</t>
        </is>
      </c>
      <c r="CA52" s="31">
        <f>IF(BZ52="Yes",10,0)</f>
        <v/>
      </c>
    </row>
    <row r="53">
      <c r="A53" s="31">
        <f>IF(B53=0,"",RANK(B53,$B$2:$B$67,0))</f>
        <v/>
      </c>
      <c r="B53" s="32">
        <f>SUM(N53,Y53,AA53,AC53,AE53,AG53,AI53,AK53,AM53,AO53,AQ53,AS53,AU53,AW53,AY53,BA53,BC53,BE53,BG53,BI53,BK53,BM53,BO53,BQ53,BS53,BU53,BW53,BY53,CA53)</f>
        <v/>
      </c>
      <c r="C53" s="31" t="inlineStr">
        <is>
          <t>BSE</t>
        </is>
      </c>
      <c r="D53" s="31" t="inlineStr">
        <is>
          <t>BSE (Bombay stock exchange) Ltd</t>
        </is>
      </c>
      <c r="E53" s="31" t="inlineStr">
        <is>
          <t>financials</t>
        </is>
      </c>
      <c r="F53" s="31" t="inlineStr">
        <is>
          <t>miscellaneous</t>
        </is>
      </c>
      <c r="G53" s="31" t="inlineStr">
        <is>
          <t>largecap</t>
        </is>
      </c>
      <c r="H53" s="32" t="n">
        <v>168292.97</v>
      </c>
      <c r="I53" s="32" t="n">
        <v>4162.4</v>
      </c>
      <c r="J53" s="32" t="n">
        <v>0.88</v>
      </c>
      <c r="K53" s="32" t="n">
        <v>2676483</v>
      </c>
      <c r="L53" s="31" t="n">
        <v>73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71.81999999999999</v>
      </c>
      <c r="P53" s="32" t="n">
        <v>33.38</v>
      </c>
      <c r="Q53" s="32" t="n">
        <v>3388.03</v>
      </c>
      <c r="R53" s="31" t="inlineStr">
        <is>
          <t>Near 52W High Breakout</t>
        </is>
      </c>
      <c r="S53" s="31" t="inlineStr">
        <is>
          <t>Nifty Bank</t>
        </is>
      </c>
      <c r="T53" s="32" t="n">
        <v>1.86</v>
      </c>
      <c r="U53" s="32" t="n">
        <v>54.85</v>
      </c>
      <c r="V53" s="32" t="n">
        <v>52.02</v>
      </c>
      <c r="W53" s="32" t="n">
        <v>21.08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Fragmented with High ROE</t>
        </is>
      </c>
      <c r="AA53" s="31">
        <f>IF(Z53="Fragmented with Low ROE",-5,IF(Z53="Fragmented with High ROE",10,IF(Z53= "highly cyclical",5,0)))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Consistency)",15,IF(AF53="Shallow Cyclical (2 to 3 years growth)",10,IF(AF53 = "Cyclical in an Uptick",5,IF(AF53 = "Cyclical in an Downtick",-10,0))))</f>
        <v/>
      </c>
      <c r="AH53" s="31" t="inlineStr">
        <is>
          <t>Yes</t>
        </is>
      </c>
      <c r="AI53" s="31">
        <f>IF(AH53="Yes",10,0)</f>
        <v/>
      </c>
      <c r="AJ53" s="31" t="inlineStr">
        <is>
          <t>Yes</t>
        </is>
      </c>
      <c r="AK53" s="31">
        <f>IF(AJ53="Yes",10,0)</f>
        <v/>
      </c>
      <c r="AL53" s="31" t="n"/>
      <c r="AM53" s="31">
        <f>IF(AL53="No",10,0)</f>
        <v/>
      </c>
      <c r="AN53" s="31" t="inlineStr">
        <is>
          <t>Yes</t>
        </is>
      </c>
      <c r="AO53" s="31">
        <f>IF(AN53="Yes",10,0)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Yes</t>
        </is>
      </c>
      <c r="AS53" s="31">
        <f>IF(AR53="Yes",5,0)</f>
        <v/>
      </c>
      <c r="AT53" s="31" t="inlineStr">
        <is>
          <t>No</t>
        </is>
      </c>
      <c r="AU53" s="31">
        <f>IF(AT53="No",10,IF(AT53="Yes",-10,0))</f>
        <v/>
      </c>
      <c r="AV53" s="31" t="inlineStr">
        <is>
          <t>No</t>
        </is>
      </c>
      <c r="AW53" s="31">
        <f>IF(AV53="No",10,0)</f>
        <v/>
      </c>
      <c r="AX53" s="31" t="inlineStr">
        <is>
          <t>No</t>
        </is>
      </c>
      <c r="AY53" s="31">
        <f>IF(AX53="No",10,IF(AX53= "Yes CEO Resignation",-5,0))</f>
        <v/>
      </c>
      <c r="AZ53" s="31" t="inlineStr">
        <is>
          <t>No</t>
        </is>
      </c>
      <c r="BA53" s="31">
        <f>IF(AZ53="No",10,IF(AZ53="Yes",-5,0))</f>
        <v/>
      </c>
      <c r="BB53" s="31" t="inlineStr">
        <is>
          <t>No</t>
        </is>
      </c>
      <c r="BC53" s="31">
        <f>IF(BB53="No",5,IF(BB53="Yes",-5,0))</f>
        <v/>
      </c>
      <c r="BD53" s="31" t="inlineStr">
        <is>
          <t>Yes</t>
        </is>
      </c>
      <c r="BE53" s="31">
        <f>IF(BD53="Yes",10,0)</f>
        <v/>
      </c>
      <c r="BF53" s="31" t="inlineStr">
        <is>
          <t>Yes</t>
        </is>
      </c>
      <c r="BG53" s="31">
        <f>IF(BF53="Yes",10,0)</f>
        <v/>
      </c>
      <c r="BH53" s="31" t="inlineStr">
        <is>
          <t>Yes</t>
        </is>
      </c>
      <c r="BI53" s="31">
        <f>IF(BH53="Yes",10,0)</f>
        <v/>
      </c>
      <c r="BJ53" s="31" t="inlineStr">
        <is>
          <t>P/BV above 5x</t>
        </is>
      </c>
      <c r="BK53" s="31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1" t="inlineStr">
        <is>
          <t>20 to 40</t>
        </is>
      </c>
      <c r="BM53" s="31">
        <f>IF(BL53="Above 40",20,IF(BL53="20 to 40",10,IF(BL53="0 to 20",-5,0)))</f>
        <v/>
      </c>
      <c r="BN53" s="31" t="inlineStr">
        <is>
          <t>Between 50 to 75</t>
        </is>
      </c>
      <c r="BO53" s="31">
        <f>IF(BN53="Between 50 to 75",10,IF(BN53="Above 75",0,0))</f>
        <v/>
      </c>
      <c r="BP53" s="31" t="inlineStr">
        <is>
          <t>Stage 2</t>
        </is>
      </c>
      <c r="BQ53" s="31">
        <f>IF(BP53="Stage 2",20,IF(BP53="Stage 1",0,IF(BP53="Stage 3",5,IF(BP53="Stage 4",-5,0))))</f>
        <v/>
      </c>
      <c r="BR53" s="31" t="inlineStr">
        <is>
          <t>Negative Trend</t>
        </is>
      </c>
      <c r="BS53" s="31">
        <f>IF(BR53="Positive Trend",20,IF(BR53="Negative Trend",-10,0))</f>
        <v/>
      </c>
      <c r="BT53" s="31" t="inlineStr">
        <is>
          <t>Uptrend</t>
        </is>
      </c>
      <c r="BU53" s="31">
        <f>IF(BT53="Uptrend",10,IF(BT53="Sideways",5,0))</f>
        <v/>
      </c>
      <c r="BV53" s="31" t="inlineStr">
        <is>
          <t>Uptrend</t>
        </is>
      </c>
      <c r="BW53" s="31">
        <f>IF(BV53="Uptrend",10,IF(BV53="Sideways",5,0))</f>
        <v/>
      </c>
      <c r="BX53" s="31" t="inlineStr">
        <is>
          <t>Blue sky scenario</t>
        </is>
      </c>
      <c r="BY53" s="31">
        <f>IF(BX53="Overhead supply in last 2 years in last 2 years",-5,IF(BX53="Close to 52 week high or retracement",5,IF(BX53="Blue sky scenario",10,IF(BX53="Long term Downtrend",-10,0))))</f>
        <v/>
      </c>
      <c r="BZ53" s="31" t="inlineStr">
        <is>
          <t>Yes</t>
        </is>
      </c>
      <c r="CA53" s="31">
        <f>IF(BZ53="Yes",10,0)</f>
        <v/>
      </c>
    </row>
    <row r="54">
      <c r="A54" s="31">
        <f>IF(B54=0,"",RANK(B54,$B$2:$B$67,0))</f>
        <v/>
      </c>
      <c r="B54" s="32">
        <f>SUM(N54,Y54,AA54,AC54,AE54,AG54,AI54,AK54,AM54,AO54,AQ54,AS54,AU54,AW54,AY54,BA54,BC54,BE54,BG54,BI54,BK54,BM54,BO54,BQ54,BS54,BU54,BW54,BY54,CA54)</f>
        <v/>
      </c>
      <c r="C54" s="31" t="inlineStr">
        <is>
          <t>IIFLCAPS</t>
        </is>
      </c>
      <c r="D54" s="31" t="inlineStr">
        <is>
          <t>IIFL Capital Services Ltd</t>
        </is>
      </c>
      <c r="E54" s="31" t="inlineStr">
        <is>
          <t>financials</t>
        </is>
      </c>
      <c r="F54" s="31" t="inlineStr">
        <is>
          <t>finance &amp; investments</t>
        </is>
      </c>
      <c r="G54" s="31" t="inlineStr">
        <is>
          <t>midcap</t>
        </is>
      </c>
      <c r="H54" s="32" t="n">
        <v>10609.02</v>
      </c>
      <c r="I54" s="32" t="n">
        <v>342.9</v>
      </c>
      <c r="J54" s="32" t="n">
        <v>0.66</v>
      </c>
      <c r="K54" s="32" t="n">
        <v>254533</v>
      </c>
      <c r="L54" s="31" t="n">
        <v>26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56.74</v>
      </c>
      <c r="P54" s="32" t="n">
        <v>19.11</v>
      </c>
      <c r="Q54" s="32" t="n">
        <v>278.15</v>
      </c>
      <c r="R54" s="31" t="inlineStr">
        <is>
          <t>Earnings / Momentum Support</t>
        </is>
      </c>
      <c r="S54" s="31" t="inlineStr">
        <is>
          <t>Nifty Bank</t>
        </is>
      </c>
      <c r="T54" s="32" t="n">
        <v>1.86</v>
      </c>
      <c r="U54" s="32" t="n">
        <v>6.1</v>
      </c>
      <c r="V54" s="32" t="n">
        <v>4.16</v>
      </c>
      <c r="W54" s="32" t="n">
        <v>7.6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Fragmented with High ROE</t>
        </is>
      </c>
      <c r="AA54" s="31">
        <f>IF(Z54="Fragmented with Low ROE",-5,IF(Z54="Fragmented with High ROE",10,IF(Z54= "highly cyclical",5,0)))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Consistency)",15,IF(AF54="Shallow Cyclical (2 to 3 years growth)",10,IF(AF54 = "Cyclical in an Uptick",5,IF(AF54 = "Cyclical in an Downtick",-10,0))))</f>
        <v/>
      </c>
      <c r="AH54" s="31" t="inlineStr">
        <is>
          <t>Yes</t>
        </is>
      </c>
      <c r="AI54" s="31">
        <f>IF(AH54="Yes",10,0)</f>
        <v/>
      </c>
      <c r="AJ54" s="31" t="inlineStr">
        <is>
          <t>Yes</t>
        </is>
      </c>
      <c r="AK54" s="31">
        <f>IF(AJ54="Yes",10,0)</f>
        <v/>
      </c>
      <c r="AL54" s="31" t="n"/>
      <c r="AM54" s="31">
        <f>IF(AL54="No",10,0)</f>
        <v/>
      </c>
      <c r="AN54" s="31" t="inlineStr">
        <is>
          <t>Yes</t>
        </is>
      </c>
      <c r="AO54" s="31">
        <f>IF(AN54="Yes",10,0)</f>
        <v/>
      </c>
      <c r="AP54" s="31" t="inlineStr">
        <is>
          <t>No</t>
        </is>
      </c>
      <c r="AQ54" s="31">
        <f>IF(AP54="Yes",10,0)</f>
        <v/>
      </c>
      <c r="AR54" s="31" t="inlineStr">
        <is>
          <t>Yes</t>
        </is>
      </c>
      <c r="AS54" s="31">
        <f>IF(AR54="Yes",5,0)</f>
        <v/>
      </c>
      <c r="AT54" s="31" t="inlineStr">
        <is>
          <t>No</t>
        </is>
      </c>
      <c r="AU54" s="31">
        <f>IF(AT54="No",10,IF(AT54="Yes",-10,0))</f>
        <v/>
      </c>
      <c r="AV54" s="31" t="inlineStr">
        <is>
          <t>No</t>
        </is>
      </c>
      <c r="AW54" s="31">
        <f>IF(AV54="No",10,0)</f>
        <v/>
      </c>
      <c r="AX54" s="31" t="inlineStr">
        <is>
          <t>No</t>
        </is>
      </c>
      <c r="AY54" s="31">
        <f>IF(AX54="No",10,IF(AX54= "Yes CEO Resignation",-5,0))</f>
        <v/>
      </c>
      <c r="AZ54" s="31" t="inlineStr">
        <is>
          <t>No</t>
        </is>
      </c>
      <c r="BA54" s="31">
        <f>IF(AZ54="No",10,IF(AZ54="Yes",-5,0))</f>
        <v/>
      </c>
      <c r="BB54" s="31" t="inlineStr">
        <is>
          <t>No</t>
        </is>
      </c>
      <c r="BC54" s="31">
        <f>IF(BB54="No",5,IF(BB54="Yes",-5,0))</f>
        <v/>
      </c>
      <c r="BD54" s="31" t="inlineStr">
        <is>
          <t>Yes</t>
        </is>
      </c>
      <c r="BE54" s="31">
        <f>IF(BD54="Yes",10,0)</f>
        <v/>
      </c>
      <c r="BF54" s="31" t="inlineStr">
        <is>
          <t>Yes</t>
        </is>
      </c>
      <c r="BG54" s="31">
        <f>IF(BF54="Yes",10,0)</f>
        <v/>
      </c>
      <c r="BH54" s="31" t="inlineStr">
        <is>
          <t>Yes</t>
        </is>
      </c>
      <c r="BI54" s="31">
        <f>IF(BH54="Yes",10,0)</f>
        <v/>
      </c>
      <c r="BJ54" s="31" t="inlineStr">
        <is>
          <t>P/BV between 2.5x to 5x and Growth less than 20%</t>
        </is>
      </c>
      <c r="BK54" s="31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1" t="inlineStr">
        <is>
          <t>0 to 20</t>
        </is>
      </c>
      <c r="BM54" s="31">
        <f>IF(BL54="Above 40",20,IF(BL54="20 to 40",10,IF(BL54="0 to 20",-5,0)))</f>
        <v/>
      </c>
      <c r="BN54" s="31" t="inlineStr">
        <is>
          <t>Between 50 to 75</t>
        </is>
      </c>
      <c r="BO54" s="31">
        <f>IF(BN54="Between 50 to 75",10,IF(BN54="Above 75",0,0))</f>
        <v/>
      </c>
      <c r="BP54" s="31" t="inlineStr">
        <is>
          <t>Stage 2</t>
        </is>
      </c>
      <c r="BQ54" s="31">
        <f>IF(BP54="Stage 2",20,IF(BP54="Stage 1",0,IF(BP54="Stage 3",5,IF(BP54="Stage 4",-5,0))))</f>
        <v/>
      </c>
      <c r="BR54" s="31" t="inlineStr">
        <is>
          <t>Positive Trend</t>
        </is>
      </c>
      <c r="BS54" s="31">
        <f>IF(BR54="Positive Trend",20,IF(BR54="Negative Trend",-10,0))</f>
        <v/>
      </c>
      <c r="BT54" s="31" t="inlineStr">
        <is>
          <t>Uptrend</t>
        </is>
      </c>
      <c r="BU54" s="31">
        <f>IF(BT54="Uptrend",10,IF(BT54="Sideways",5,0))</f>
        <v/>
      </c>
      <c r="BV54" s="31" t="inlineStr">
        <is>
          <t>Uptrend</t>
        </is>
      </c>
      <c r="BW54" s="31">
        <f>IF(BV54="Uptrend",10,IF(BV54="Sideways",5,0))</f>
        <v/>
      </c>
      <c r="BX54" s="31" t="inlineStr">
        <is>
          <t>Close to 52 week high or retracement</t>
        </is>
      </c>
      <c r="BY54" s="31">
        <f>IF(BX54="Overhead supply in last 2 years in last 2 years",-5,IF(BX54="Close to 52 week high or retracement",5,IF(BX54="Blue sky scenario",10,IF(BX54="Long term Downtrend",-10,0))))</f>
        <v/>
      </c>
      <c r="BZ54" s="31" t="inlineStr">
        <is>
          <t>Yes</t>
        </is>
      </c>
      <c r="CA54" s="31">
        <f>IF(BZ54="Yes",10,0)</f>
        <v/>
      </c>
    </row>
    <row r="55">
      <c r="A55" s="31">
        <f>IF(B55=0,"",RANK(B55,$B$2:$B$67,0))</f>
        <v/>
      </c>
      <c r="B55" s="32">
        <f>SUM(N55,Y55,AA55,AC55,AE55,AG55,AI55,AK55,AM55,AO55,AQ55,AS55,AU55,AW55,AY55,BA55,BC55,BE55,BG55,BI55,BK55,BM55,BO55,BQ55,BS55,BU55,BW55,BY55,CA55)</f>
        <v/>
      </c>
      <c r="C55" s="33" t="inlineStr">
        <is>
          <t>CAMS</t>
        </is>
      </c>
      <c r="D55" s="33" t="inlineStr">
        <is>
          <t>Computer Age Management Services Ltd</t>
        </is>
      </c>
      <c r="E55" s="31" t="inlineStr">
        <is>
          <t>financials</t>
        </is>
      </c>
      <c r="F55" s="31" t="inlineStr">
        <is>
          <t>miscellaneous</t>
        </is>
      </c>
      <c r="G55" s="31" t="inlineStr">
        <is>
          <t>midcap</t>
        </is>
      </c>
      <c r="H55" s="32" t="n">
        <v>19277.08</v>
      </c>
      <c r="I55" s="32" t="n">
        <v>792.2</v>
      </c>
      <c r="J55" s="32" t="n">
        <v>1.91</v>
      </c>
      <c r="K55" s="32" t="n">
        <v>938403</v>
      </c>
      <c r="L55" s="31" t="n">
        <v>14</v>
      </c>
      <c r="M55" s="31" t="inlineStr">
        <is>
          <t>Underperforming</t>
        </is>
      </c>
      <c r="N55" s="32">
        <f>IF(M55="Underperforming",-5,IF(L55&gt;=95,15,IF(L55&gt;=90,10,IF(L55&gt;=80,5,0))))</f>
        <v/>
      </c>
      <c r="O55" s="32" t="n">
        <v>56.75</v>
      </c>
      <c r="P55" s="32" t="n">
        <v>19.71</v>
      </c>
      <c r="Q55" s="32" t="n">
        <v>681.87</v>
      </c>
      <c r="R55" s="31" t="inlineStr">
        <is>
          <t>Earnings / Momentum Support</t>
        </is>
      </c>
      <c r="S55" s="31" t="inlineStr">
        <is>
          <t>Nifty Bank</t>
        </is>
      </c>
      <c r="T55" s="32" t="n">
        <v>1.86</v>
      </c>
      <c r="U55" s="32" t="n">
        <v>-3.4</v>
      </c>
      <c r="V55" s="32" t="n">
        <v>-5.16</v>
      </c>
      <c r="W55" s="32" t="n">
        <v>4.83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Fragmented with High ROE</t>
        </is>
      </c>
      <c r="AA55" s="31">
        <f>IF(Z55="Fragmented with Low ROE",-5,IF(Z55="Fragmented with High ROE",10,IF(Z55= "highly cyclical",5,0)))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Consistency)",15,IF(AF55="Shallow Cyclical (2 to 3 years growth)",10,IF(AF55 = "Cyclical in an Uptick",5,IF(AF55 = "Cyclical in an Downtick",-10,0))))</f>
        <v/>
      </c>
      <c r="AH55" s="31" t="inlineStr">
        <is>
          <t>Yes</t>
        </is>
      </c>
      <c r="AI55" s="31">
        <f>IF(AH55="Yes",10,0)</f>
        <v/>
      </c>
      <c r="AJ55" s="31" t="inlineStr">
        <is>
          <t>Yes</t>
        </is>
      </c>
      <c r="AK55" s="31">
        <f>IF(AJ55="Yes",10,0)</f>
        <v/>
      </c>
      <c r="AL55" s="31" t="n"/>
      <c r="AM55" s="31">
        <f>IF(AL55="No",10,0)</f>
        <v/>
      </c>
      <c r="AN55" s="31" t="inlineStr">
        <is>
          <t>Yes</t>
        </is>
      </c>
      <c r="AO55" s="31">
        <f>IF(AN55="Yes",10,0)</f>
        <v/>
      </c>
      <c r="AP55" s="31" t="inlineStr">
        <is>
          <t>No</t>
        </is>
      </c>
      <c r="AQ55" s="31">
        <f>IF(AP55="Yes",10,0)</f>
        <v/>
      </c>
      <c r="AR55" s="31" t="inlineStr">
        <is>
          <t>Yes</t>
        </is>
      </c>
      <c r="AS55" s="31">
        <f>IF(AR55="Yes",5,0)</f>
        <v/>
      </c>
      <c r="AT55" s="31" t="inlineStr">
        <is>
          <t>No</t>
        </is>
      </c>
      <c r="AU55" s="31">
        <f>IF(AT55="No",10,IF(AT55="Yes",-10,0))</f>
        <v/>
      </c>
      <c r="AV55" s="31" t="inlineStr">
        <is>
          <t>No</t>
        </is>
      </c>
      <c r="AW55" s="31">
        <f>IF(AV55="No",10,0)</f>
        <v/>
      </c>
      <c r="AX55" s="31" t="inlineStr">
        <is>
          <t>No</t>
        </is>
      </c>
      <c r="AY55" s="31">
        <f>IF(AX55="No",10,IF(AX55= "Yes CEO Resignation",-5,0))</f>
        <v/>
      </c>
      <c r="AZ55" s="31" t="inlineStr">
        <is>
          <t>No</t>
        </is>
      </c>
      <c r="BA55" s="31">
        <f>IF(AZ55="No",10,IF(AZ55="Yes",-5,0))</f>
        <v/>
      </c>
      <c r="BB55" s="31" t="inlineStr">
        <is>
          <t>No</t>
        </is>
      </c>
      <c r="BC55" s="31">
        <f>IF(BB55="No",5,IF(BB55="Yes",-5,0))</f>
        <v/>
      </c>
      <c r="BD55" s="31" t="inlineStr">
        <is>
          <t>Yes</t>
        </is>
      </c>
      <c r="BE55" s="31">
        <f>IF(BD55="Yes",10,0)</f>
        <v/>
      </c>
      <c r="BF55" s="31" t="inlineStr">
        <is>
          <t>Yes</t>
        </is>
      </c>
      <c r="BG55" s="31">
        <f>IF(BF55="Yes",10,0)</f>
        <v/>
      </c>
      <c r="BH55" s="31" t="inlineStr">
        <is>
          <t>Yes</t>
        </is>
      </c>
      <c r="BI55" s="31">
        <f>IF(BH55="Yes",10,0)</f>
        <v/>
      </c>
      <c r="BJ55" s="31" t="inlineStr">
        <is>
          <t>P/BV above 5x</t>
        </is>
      </c>
      <c r="BK55" s="31">
        <f>IF(BJ55="P/BV less than 2.5x and Growth more than 20%",20,IF(BJ55 = "P/BV less than 2.5x and Growth less than 20%",5,IF(BJ55="P/BV between 2.5x to 5x and Growth more than 20%",10,IF(BJ55= "P/BV between 2.5x to 5x and Growth less than 20%",-5,IF(BJ55= "P/BV above 5x",-5,0)))))</f>
        <v/>
      </c>
      <c r="BL55" s="31" t="inlineStr">
        <is>
          <t>0 to 20</t>
        </is>
      </c>
      <c r="BM55" s="31">
        <f>IF(BL55="Above 40",20,IF(BL55="20 to 40",10,IF(BL55="0 to 20",-5,0)))</f>
        <v/>
      </c>
      <c r="BN55" s="31" t="inlineStr">
        <is>
          <t>Between 50 to 75</t>
        </is>
      </c>
      <c r="BO55" s="31">
        <f>IF(BN55="Between 50 to 75",10,IF(BN55="Above 75",0,0))</f>
        <v/>
      </c>
      <c r="BP55" s="31" t="inlineStr">
        <is>
          <t>Stage 2</t>
        </is>
      </c>
      <c r="BQ55" s="31">
        <f>IF(BP55="Stage 2",20,IF(BP55="Stage 1",0,IF(BP55="Stage 3",5,IF(BP55="Stage 4",-5,0))))</f>
        <v/>
      </c>
      <c r="BR55" s="31" t="inlineStr">
        <is>
          <t>Positive Trend</t>
        </is>
      </c>
      <c r="BS55" s="31">
        <f>IF(BR55="Positive Trend",20,IF(BR55="Negative Trend",-10,0))</f>
        <v/>
      </c>
      <c r="BT55" s="31" t="inlineStr">
        <is>
          <t>Uptrend</t>
        </is>
      </c>
      <c r="BU55" s="31">
        <f>IF(BT55="Uptrend",10,IF(BT55="Sideways",5,0))</f>
        <v/>
      </c>
      <c r="BV55" s="31" t="inlineStr">
        <is>
          <t>Uptrend</t>
        </is>
      </c>
      <c r="BW55" s="31">
        <f>IF(BV55="Uptrend",10,IF(BV55="Sideways",5,0))</f>
        <v/>
      </c>
      <c r="BX55" s="31" t="inlineStr">
        <is>
          <t>Close to 52 week high or retracement</t>
        </is>
      </c>
      <c r="BY55" s="31">
        <f>IF(BX55="Overhead supply in last 2 years in last 2 years",-5,IF(BX55="Close to 52 week high or retracement",5,IF(BX55="Blue sky scenario",10,IF(BX55="Long term Downtrend",-10,0))))</f>
        <v/>
      </c>
      <c r="BZ55" s="31" t="inlineStr">
        <is>
          <t>Yes</t>
        </is>
      </c>
      <c r="CA55" s="31">
        <f>IF(BZ55="Yes",10,0)</f>
        <v/>
      </c>
    </row>
    <row r="56">
      <c r="A56" s="31">
        <f>IF(B56=0,"",RANK(B56,$B$2:$B$67,0))</f>
        <v/>
      </c>
      <c r="B56" s="32">
        <f>SUM(N56,Y56,AA56,AC56,AE56,AG56,AI56,AK56,AM56,AO56,AQ56,AS56,AU56,AW56,AY56,BA56,BC56,BE56,BG56,BI56,BK56,BM56,BO56,BQ56,BS56,BU56,BW56,BY56,CA56)</f>
        <v/>
      </c>
      <c r="C56" s="31" t="inlineStr">
        <is>
          <t>CANFINHOME</t>
        </is>
      </c>
      <c r="D56" s="31" t="inlineStr">
        <is>
          <t>Can Fin Homes Limited</t>
        </is>
      </c>
      <c r="E56" s="31" t="inlineStr">
        <is>
          <t>financials</t>
        </is>
      </c>
      <c r="F56" s="31" t="inlineStr">
        <is>
          <t>finance - housing</t>
        </is>
      </c>
      <c r="G56" s="31" t="inlineStr">
        <is>
          <t>midcap</t>
        </is>
      </c>
      <c r="H56" s="32" t="n">
        <v>11509.84</v>
      </c>
      <c r="I56" s="32" t="n">
        <v>870.1</v>
      </c>
      <c r="J56" s="32" t="n">
        <v>0.66</v>
      </c>
      <c r="K56" s="32" t="n">
        <v>87342</v>
      </c>
      <c r="L56" s="31" t="n">
        <v>13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53.19</v>
      </c>
      <c r="P56" s="32" t="n">
        <v>16.13</v>
      </c>
      <c r="Q56" s="32" t="n">
        <v>735.72</v>
      </c>
      <c r="R56" s="31" t="inlineStr">
        <is>
          <t>Earnings / Momentum Support</t>
        </is>
      </c>
      <c r="S56" s="31" t="inlineStr">
        <is>
          <t>Nifty Bank</t>
        </is>
      </c>
      <c r="T56" s="32" t="n">
        <v>1.86</v>
      </c>
      <c r="U56" s="32" t="n">
        <v>15.56</v>
      </c>
      <c r="V56" s="32" t="n">
        <v>13.45</v>
      </c>
      <c r="W56" s="32" t="n">
        <v>4.68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Fragmented with High ROE</t>
        </is>
      </c>
      <c r="AA56" s="31">
        <f>IF(Z56="Fragmented with Low ROE",-5,IF(Z56="Fragmented with High ROE",10,IF(Z56= "highly cyclical",5,0)))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Consistency)",15,IF(AF56="Shallow Cyclical (2 to 3 years growth)",10,IF(AF56 = "Cyclical in an Uptick",5,IF(AF56 = "Cyclical in an Downtick",-10,0))))</f>
        <v/>
      </c>
      <c r="AH56" s="31" t="inlineStr">
        <is>
          <t>Yes</t>
        </is>
      </c>
      <c r="AI56" s="31">
        <f>IF(AH56="Yes",10,0)</f>
        <v/>
      </c>
      <c r="AJ56" s="31" t="inlineStr">
        <is>
          <t>Yes</t>
        </is>
      </c>
      <c r="AK56" s="31">
        <f>IF(AJ56="Yes",10,0)</f>
        <v/>
      </c>
      <c r="AL56" s="31" t="n"/>
      <c r="AM56" s="31">
        <f>IF(AL56="No",10,0)</f>
        <v/>
      </c>
      <c r="AN56" s="31" t="inlineStr">
        <is>
          <t>Yes</t>
        </is>
      </c>
      <c r="AO56" s="31">
        <f>IF(AN56="Yes",10,0)</f>
        <v/>
      </c>
      <c r="AP56" s="31" t="inlineStr">
        <is>
          <t>No</t>
        </is>
      </c>
      <c r="AQ56" s="31">
        <f>IF(AP56="Yes",10,0)</f>
        <v/>
      </c>
      <c r="AR56" s="31" t="inlineStr">
        <is>
          <t>Yes</t>
        </is>
      </c>
      <c r="AS56" s="31">
        <f>IF(AR56="Yes",5,0)</f>
        <v/>
      </c>
      <c r="AT56" s="31" t="inlineStr">
        <is>
          <t>No</t>
        </is>
      </c>
      <c r="AU56" s="31">
        <f>IF(AT56="No",10,IF(AT56="Yes",-10,0))</f>
        <v/>
      </c>
      <c r="AV56" s="31" t="inlineStr">
        <is>
          <t>No</t>
        </is>
      </c>
      <c r="AW56" s="31">
        <f>IF(AV56="No",10,0)</f>
        <v/>
      </c>
      <c r="AX56" s="31" t="inlineStr">
        <is>
          <t>No</t>
        </is>
      </c>
      <c r="AY56" s="31">
        <f>IF(AX56="No",10,IF(AX56= "Yes CEO Resignation",-5,0))</f>
        <v/>
      </c>
      <c r="AZ56" s="31" t="inlineStr">
        <is>
          <t>No</t>
        </is>
      </c>
      <c r="BA56" s="31">
        <f>IF(AZ56="No",10,IF(AZ56="Yes",-5,0))</f>
        <v/>
      </c>
      <c r="BB56" s="31" t="inlineStr">
        <is>
          <t>No</t>
        </is>
      </c>
      <c r="BC56" s="31">
        <f>IF(BB56="No",5,IF(BB56="Yes",-5,0))</f>
        <v/>
      </c>
      <c r="BD56" s="31" t="inlineStr">
        <is>
          <t>Yes</t>
        </is>
      </c>
      <c r="BE56" s="31">
        <f>IF(BD56="Yes",10,0)</f>
        <v/>
      </c>
      <c r="BF56" s="31" t="inlineStr">
        <is>
          <t>Yes</t>
        </is>
      </c>
      <c r="BG56" s="31">
        <f>IF(BF56="Yes",10,0)</f>
        <v/>
      </c>
      <c r="BH56" s="31" t="inlineStr">
        <is>
          <t>Yes</t>
        </is>
      </c>
      <c r="BI56" s="31">
        <f>IF(BH56="Yes",10,0)</f>
        <v/>
      </c>
      <c r="BJ56" s="31" t="inlineStr">
        <is>
          <t>P/BV less than 2.5x and Growth more than 20%</t>
        </is>
      </c>
      <c r="BK56" s="31">
        <f>IF(BJ56="P/BV less than 2.5x and Growth more than 20%",20,IF(BJ56 = "P/BV less than 2.5x and Growth less than 20%",5,IF(BJ56="P/BV between 2.5x to 5x and Growth more than 20%",10,IF(BJ56= "P/BV between 2.5x to 5x and Growth less than 20%",-5,IF(BJ56= "P/BV above 5x",-5,0)))))</f>
        <v/>
      </c>
      <c r="BL56" s="31" t="inlineStr">
        <is>
          <t>0 to 20</t>
        </is>
      </c>
      <c r="BM56" s="31">
        <f>IF(BL56="Above 40",20,IF(BL56="20 to 40",10,IF(BL56="0 to 20",-5,0)))</f>
        <v/>
      </c>
      <c r="BN56" s="31" t="inlineStr">
        <is>
          <t>Between 50 to 75</t>
        </is>
      </c>
      <c r="BO56" s="31">
        <f>IF(BN56="Between 50 to 75",10,IF(BN56="Above 75",0,0))</f>
        <v/>
      </c>
      <c r="BP56" s="31" t="inlineStr">
        <is>
          <t>Stage 1</t>
        </is>
      </c>
      <c r="BQ56" s="31">
        <f>IF(BP56="Stage 2",20,IF(BP56="Stage 1",0,IF(BP56="Stage 3",5,IF(BP56="Stage 4",-5,0))))</f>
        <v/>
      </c>
      <c r="BR56" s="31" t="inlineStr">
        <is>
          <t>Positive Trend</t>
        </is>
      </c>
      <c r="BS56" s="31">
        <f>IF(BR56="Positive Trend",20,IF(BR56="Negative Trend",-10,0))</f>
        <v/>
      </c>
      <c r="BT56" s="31" t="inlineStr">
        <is>
          <t>Uptrend</t>
        </is>
      </c>
      <c r="BU56" s="31">
        <f>IF(BT56="Uptrend",10,IF(BT56="Sideways",5,0))</f>
        <v/>
      </c>
      <c r="BV56" s="31" t="inlineStr">
        <is>
          <t>Uptrend</t>
        </is>
      </c>
      <c r="BW56" s="31">
        <f>IF(BV56="Uptrend",10,IF(BV56="Sideways",5,0))</f>
        <v/>
      </c>
      <c r="BX56" s="31" t="inlineStr">
        <is>
          <t>Close to 52 week high or retracement</t>
        </is>
      </c>
      <c r="BY56" s="31">
        <f>IF(BX56="Overhead supply in last 2 years in last 2 years",-5,IF(BX56="Close to 52 week high or retracement",5,IF(BX56="Blue sky scenario",10,IF(BX56="Long term Downtrend",-10,0))))</f>
        <v/>
      </c>
      <c r="BZ56" s="31" t="inlineStr">
        <is>
          <t>Yes</t>
        </is>
      </c>
      <c r="CA56" s="31">
        <f>IF(BZ56="Yes",10,0)</f>
        <v/>
      </c>
    </row>
    <row r="57">
      <c r="A57" s="31">
        <f>IF(B57=0,"",RANK(B57,$B$2:$B$67,0))</f>
        <v/>
      </c>
      <c r="B57" s="32">
        <f>SUM(N57,Y57,AA57,AC57,AE57,AG57,AI57,AK57,AM57,AO57,AQ57,AS57,AU57,AW57,AY57,BA57,BC57,BE57,BG57,BI57,BK57,BM57,BO57,BQ57,BS57,BU57,BW57,BY57,CA57)</f>
        <v/>
      </c>
      <c r="C57" s="31" t="inlineStr">
        <is>
          <t>AADHARHFC</t>
        </is>
      </c>
      <c r="D57" s="31" t="inlineStr">
        <is>
          <t>Aadhar Housing Finance Ltd</t>
        </is>
      </c>
      <c r="E57" s="31" t="inlineStr">
        <is>
          <t>financials</t>
        </is>
      </c>
      <c r="F57" s="31" t="inlineStr">
        <is>
          <t>finance - housing</t>
        </is>
      </c>
      <c r="G57" s="31" t="inlineStr">
        <is>
          <t>largecap</t>
        </is>
      </c>
      <c r="H57" s="32" t="n">
        <v>21303.73</v>
      </c>
      <c r="I57" s="32" t="n">
        <v>485</v>
      </c>
      <c r="J57" s="32" t="n">
        <v>-0.8100000000000001</v>
      </c>
      <c r="K57" s="32" t="n">
        <v>387503</v>
      </c>
      <c r="L57" s="31" t="n">
        <v>11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52.72</v>
      </c>
      <c r="P57" s="32" t="n">
        <v>19.55</v>
      </c>
      <c r="Q57" s="32" t="n">
        <v>412.69</v>
      </c>
      <c r="R57" s="31" t="inlineStr">
        <is>
          <t>Earnings / Momentum Support</t>
        </is>
      </c>
      <c r="S57" s="31" t="inlineStr">
        <is>
          <t>Nifty Bank</t>
        </is>
      </c>
      <c r="T57" s="32" t="n">
        <v>1.86</v>
      </c>
      <c r="U57" s="32" t="n">
        <v>10.86</v>
      </c>
      <c r="V57" s="32" t="n">
        <v>8.84</v>
      </c>
      <c r="W57" s="32" t="n">
        <v>4.31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Fragmented with High ROE</t>
        </is>
      </c>
      <c r="AA57" s="31">
        <f>IF(Z57="Fragmented with Low ROE",-5,IF(Z57="Fragmented with High ROE",10,IF(Z57= "highly cyclical",5,0)))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Consistency)",15,IF(AF57="Shallow Cyclical (2 to 3 years growth)",10,IF(AF57 = "Cyclical in an Uptick",5,IF(AF57 = "Cyclical in an Downtick",-10,0))))</f>
        <v/>
      </c>
      <c r="AH57" s="31" t="inlineStr">
        <is>
          <t>Yes</t>
        </is>
      </c>
      <c r="AI57" s="31">
        <f>IF(AH57="Yes",10,0)</f>
        <v/>
      </c>
      <c r="AJ57" s="31" t="inlineStr">
        <is>
          <t>Yes</t>
        </is>
      </c>
      <c r="AK57" s="31">
        <f>IF(AJ57="Yes",10,0)</f>
        <v/>
      </c>
      <c r="AL57" s="31" t="n"/>
      <c r="AM57" s="31">
        <f>IF(AL57="No",10,0)</f>
        <v/>
      </c>
      <c r="AN57" s="31" t="inlineStr">
        <is>
          <t>Yes</t>
        </is>
      </c>
      <c r="AO57" s="31">
        <f>IF(AN57="Yes",10,0)</f>
        <v/>
      </c>
      <c r="AP57" s="31" t="inlineStr">
        <is>
          <t>No</t>
        </is>
      </c>
      <c r="AQ57" s="31">
        <f>IF(AP57="Yes",10,0)</f>
        <v/>
      </c>
      <c r="AR57" s="31" t="inlineStr">
        <is>
          <t>Yes</t>
        </is>
      </c>
      <c r="AS57" s="31">
        <f>IF(AR57="Yes",5,0)</f>
        <v/>
      </c>
      <c r="AT57" s="31" t="inlineStr">
        <is>
          <t>No</t>
        </is>
      </c>
      <c r="AU57" s="31">
        <f>IF(AT57="No",10,IF(AT57="Yes",-10,0))</f>
        <v/>
      </c>
      <c r="AV57" s="31" t="inlineStr">
        <is>
          <t>No</t>
        </is>
      </c>
      <c r="AW57" s="31">
        <f>IF(AV57="No",10,0)</f>
        <v/>
      </c>
      <c r="AX57" s="31" t="inlineStr">
        <is>
          <t>No</t>
        </is>
      </c>
      <c r="AY57" s="31">
        <f>IF(AX57="No",10,IF(AX57= "Yes CEO Resignation",-5,0))</f>
        <v/>
      </c>
      <c r="AZ57" s="31" t="inlineStr">
        <is>
          <t>No</t>
        </is>
      </c>
      <c r="BA57" s="31">
        <f>IF(AZ57="No",10,IF(AZ57="Yes",-5,0))</f>
        <v/>
      </c>
      <c r="BB57" s="31" t="inlineStr">
        <is>
          <t>No</t>
        </is>
      </c>
      <c r="BC57" s="31">
        <f>IF(BB57="No",5,IF(BB57="Yes",-5,0))</f>
        <v/>
      </c>
      <c r="BD57" s="31" t="inlineStr">
        <is>
          <t>Yes</t>
        </is>
      </c>
      <c r="BE57" s="31">
        <f>IF(BD57="Yes",10,0)</f>
        <v/>
      </c>
      <c r="BF57" s="31" t="inlineStr">
        <is>
          <t>Yes</t>
        </is>
      </c>
      <c r="BG57" s="31">
        <f>IF(BF57="Yes",10,0)</f>
        <v/>
      </c>
      <c r="BH57" s="31" t="inlineStr">
        <is>
          <t>Yes</t>
        </is>
      </c>
      <c r="BI57" s="31">
        <f>IF(BH57="Yes",10,0)</f>
        <v/>
      </c>
      <c r="BJ57" s="31" t="inlineStr">
        <is>
          <t>P/BV between 2.5x to 5x and Growth more than 20%</t>
        </is>
      </c>
      <c r="BK57" s="31">
        <f>IF(BJ57="P/BV less than 2.5x and Growth more than 20%",20,IF(BJ57 = "P/BV less than 2.5x and Growth less than 20%",5,IF(BJ57="P/BV between 2.5x to 5x and Growth more than 20%",10,IF(BJ57= "P/BV between 2.5x to 5x and Growth less than 20%",-5,IF(BJ57= "P/BV above 5x",-5,0)))))</f>
        <v/>
      </c>
      <c r="BL57" s="31" t="inlineStr">
        <is>
          <t>0 to 20</t>
        </is>
      </c>
      <c r="BM57" s="31">
        <f>IF(BL57="Above 40",20,IF(BL57="20 to 40",10,IF(BL57="0 to 20",-5,0)))</f>
        <v/>
      </c>
      <c r="BN57" s="31" t="inlineStr">
        <is>
          <t>Between 50 to 75</t>
        </is>
      </c>
      <c r="BO57" s="31">
        <f>IF(BN57="Between 50 to 75",10,IF(BN57="Above 75",0,0))</f>
        <v/>
      </c>
      <c r="BP57" s="31" t="inlineStr">
        <is>
          <t>Stage 1</t>
        </is>
      </c>
      <c r="BQ57" s="31">
        <f>IF(BP57="Stage 2",20,IF(BP57="Stage 1",0,IF(BP57="Stage 3",5,IF(BP57="Stage 4",-5,0))))</f>
        <v/>
      </c>
      <c r="BR57" s="31" t="inlineStr">
        <is>
          <t>Positive Trend</t>
        </is>
      </c>
      <c r="BS57" s="31">
        <f>IF(BR57="Positive Trend",20,IF(BR57="Negative Trend",-10,0))</f>
        <v/>
      </c>
      <c r="BT57" s="31" t="inlineStr">
        <is>
          <t>Uptrend</t>
        </is>
      </c>
      <c r="BU57" s="31">
        <f>IF(BT57="Uptrend",10,IF(BT57="Sideways",5,0))</f>
        <v/>
      </c>
      <c r="BV57" s="31" t="inlineStr">
        <is>
          <t>Uptrend</t>
        </is>
      </c>
      <c r="BW57" s="31">
        <f>IF(BV57="Uptrend",10,IF(BV57="Sideways",5,0))</f>
        <v/>
      </c>
      <c r="BX57" s="31" t="inlineStr">
        <is>
          <t>Close to 52 week high or retracement</t>
        </is>
      </c>
      <c r="BY57" s="31">
        <f>IF(BX57="Overhead supply in last 2 years in last 2 years",-5,IF(BX57="Close to 52 week high or retracement",5,IF(BX57="Blue sky scenario",10,IF(BX57="Long term Downtrend",-10,0))))</f>
        <v/>
      </c>
      <c r="BZ57" s="31" t="inlineStr">
        <is>
          <t>Yes</t>
        </is>
      </c>
      <c r="CA57" s="31">
        <f>IF(BZ57="Yes",10,0)</f>
        <v/>
      </c>
    </row>
    <row r="58">
      <c r="A58" s="31">
        <f>IF(B58=0,"",RANK(B58,$B$2:$B$67,0))</f>
        <v/>
      </c>
      <c r="B58" s="32">
        <f>SUM(N58,Y58,AA58,AC58,AE58,AG58,AI58,AK58,AM58,AO58,AQ58,AS58,AU58,AW58,AY58,BA58,BC58,BE58,BG58,BI58,BK58,BM58,BO58,BQ58,BS58,BU58,BW58,BY58,CA58)</f>
        <v/>
      </c>
      <c r="C58" s="31" t="inlineStr">
        <is>
          <t>RELIGARE</t>
        </is>
      </c>
      <c r="D58" s="31" t="inlineStr">
        <is>
          <t>Religare Enterprises Limited</t>
        </is>
      </c>
      <c r="E58" s="31" t="inlineStr">
        <is>
          <t>financials</t>
        </is>
      </c>
      <c r="F58" s="31" t="inlineStr">
        <is>
          <t>finance &amp; investments</t>
        </is>
      </c>
      <c r="G58" s="31" t="inlineStr">
        <is>
          <t>midcap</t>
        </is>
      </c>
      <c r="H58" s="32" t="n">
        <v>8012.34</v>
      </c>
      <c r="I58" s="32" t="n">
        <v>245.77</v>
      </c>
      <c r="J58" s="32" t="n">
        <v>2.11</v>
      </c>
      <c r="K58" s="32" t="n">
        <v>755976</v>
      </c>
      <c r="L58" s="31" t="n">
        <v>14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57.76</v>
      </c>
      <c r="P58" s="32" t="n">
        <v>8.779999999999999</v>
      </c>
      <c r="Q58" s="32" t="n">
        <v>194.42</v>
      </c>
      <c r="R58" s="31" t="inlineStr">
        <is>
          <t>Earnings / Momentum Support</t>
        </is>
      </c>
      <c r="S58" s="31" t="inlineStr">
        <is>
          <t>Nifty Bank</t>
        </is>
      </c>
      <c r="T58" s="32" t="n">
        <v>1.86</v>
      </c>
      <c r="U58" s="32" t="n">
        <v>9.18</v>
      </c>
      <c r="V58" s="32" t="n">
        <v>7.19</v>
      </c>
      <c r="W58" s="32" t="n">
        <v>4.92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Fragmented with High ROE</t>
        </is>
      </c>
      <c r="AA58" s="31">
        <f>IF(Z58="Fragmented with Low ROE",-5,IF(Z58="Fragmented with High ROE",10,IF(Z58= "highly cyclical",5,0)))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Consistency)",15,IF(AF58="Shallow Cyclical (2 to 3 years growth)",10,IF(AF58 = "Cyclical in an Uptick",5,IF(AF58 = "Cyclical in an Downtick",-10,0))))</f>
        <v/>
      </c>
      <c r="AH58" s="31" t="inlineStr">
        <is>
          <t>Yes</t>
        </is>
      </c>
      <c r="AI58" s="31">
        <f>IF(AH58="Yes",10,0)</f>
        <v/>
      </c>
      <c r="AJ58" s="31" t="inlineStr">
        <is>
          <t>Yes</t>
        </is>
      </c>
      <c r="AK58" s="31">
        <f>IF(AJ58="Yes",10,0)</f>
        <v/>
      </c>
      <c r="AL58" s="31" t="n"/>
      <c r="AM58" s="31">
        <f>IF(AL58="No",10,0)</f>
        <v/>
      </c>
      <c r="AN58" s="31" t="inlineStr">
        <is>
          <t>Yes</t>
        </is>
      </c>
      <c r="AO58" s="31">
        <f>IF(AN58="Yes",10,0)</f>
        <v/>
      </c>
      <c r="AP58" s="31" t="inlineStr">
        <is>
          <t>No</t>
        </is>
      </c>
      <c r="AQ58" s="31">
        <f>IF(AP58="Yes",10,0)</f>
        <v/>
      </c>
      <c r="AR58" s="31" t="inlineStr">
        <is>
          <t>Yes</t>
        </is>
      </c>
      <c r="AS58" s="31">
        <f>IF(AR58="Yes",5,0)</f>
        <v/>
      </c>
      <c r="AT58" s="31" t="inlineStr">
        <is>
          <t>No</t>
        </is>
      </c>
      <c r="AU58" s="31">
        <f>IF(AT58="No",10,IF(AT58="Yes",-10,0))</f>
        <v/>
      </c>
      <c r="AV58" s="31" t="inlineStr">
        <is>
          <t>No</t>
        </is>
      </c>
      <c r="AW58" s="31">
        <f>IF(AV58="No",10,0)</f>
        <v/>
      </c>
      <c r="AX58" s="31" t="inlineStr">
        <is>
          <t>No</t>
        </is>
      </c>
      <c r="AY58" s="31">
        <f>IF(AX58="No",10,IF(AX58= "Yes CEO Resignation",-5,0))</f>
        <v/>
      </c>
      <c r="AZ58" s="31" t="inlineStr">
        <is>
          <t>No</t>
        </is>
      </c>
      <c r="BA58" s="31">
        <f>IF(AZ58="No",10,IF(AZ58="Yes",-5,0))</f>
        <v/>
      </c>
      <c r="BB58" s="31" t="inlineStr">
        <is>
          <t>No</t>
        </is>
      </c>
      <c r="BC58" s="31">
        <f>IF(BB58="No",5,IF(BB58="Yes",-5,0))</f>
        <v/>
      </c>
      <c r="BD58" s="31" t="inlineStr">
        <is>
          <t>Yes</t>
        </is>
      </c>
      <c r="BE58" s="31">
        <f>IF(BD58="Yes",10,0)</f>
        <v/>
      </c>
      <c r="BF58" s="31" t="inlineStr">
        <is>
          <t>Yes</t>
        </is>
      </c>
      <c r="BG58" s="31">
        <f>IF(BF58="Yes",10,0)</f>
        <v/>
      </c>
      <c r="BH58" s="31" t="inlineStr">
        <is>
          <t>Yes</t>
        </is>
      </c>
      <c r="BI58" s="31">
        <f>IF(BH58="Yes",10,0)</f>
        <v/>
      </c>
      <c r="BJ58" s="31" t="inlineStr">
        <is>
          <t>P/BV between 2.5x to 5x and Growth less than 20%</t>
        </is>
      </c>
      <c r="BK58" s="31">
        <f>IF(BJ58="P/BV less than 2.5x and Growth more than 20%",20,IF(BJ58 = "P/BV less than 2.5x and Growth less than 20%",5,IF(BJ58="P/BV between 2.5x to 5x and Growth more than 20%",10,IF(BJ58= "P/BV between 2.5x to 5x and Growth less than 20%",-5,IF(BJ58= "P/BV above 5x",-5,0)))))</f>
        <v/>
      </c>
      <c r="BL58" s="31" t="inlineStr">
        <is>
          <t>0 to 20</t>
        </is>
      </c>
      <c r="BM58" s="31">
        <f>IF(BL58="Above 40",20,IF(BL58="20 to 40",10,IF(BL58="0 to 20",-5,0)))</f>
        <v/>
      </c>
      <c r="BN58" s="31" t="inlineStr">
        <is>
          <t>Between 50 to 75</t>
        </is>
      </c>
      <c r="BO58" s="31">
        <f>IF(BN58="Between 50 to 75",10,IF(BN58="Above 75",0,0))</f>
        <v/>
      </c>
      <c r="BP58" s="31" t="inlineStr">
        <is>
          <t>Stage 2</t>
        </is>
      </c>
      <c r="BQ58" s="31">
        <f>IF(BP58="Stage 2",20,IF(BP58="Stage 1",0,IF(BP58="Stage 3",5,IF(BP58="Stage 4",-5,0))))</f>
        <v/>
      </c>
      <c r="BR58" s="31" t="inlineStr">
        <is>
          <t>Positive Trend</t>
        </is>
      </c>
      <c r="BS58" s="31">
        <f>IF(BR58="Positive Trend",20,IF(BR58="Negative Trend",-10,0))</f>
        <v/>
      </c>
      <c r="BT58" s="31" t="inlineStr">
        <is>
          <t>Uptrend</t>
        </is>
      </c>
      <c r="BU58" s="31">
        <f>IF(BT58="Uptrend",10,IF(BT58="Sideways",5,0))</f>
        <v/>
      </c>
      <c r="BV58" s="31" t="inlineStr">
        <is>
          <t>Uptrend</t>
        </is>
      </c>
      <c r="BW58" s="31">
        <f>IF(BV58="Uptrend",10,IF(BV58="Sideways",5,0))</f>
        <v/>
      </c>
      <c r="BX58" s="31" t="inlineStr">
        <is>
          <t>Close to 52 week high or retracement</t>
        </is>
      </c>
      <c r="BY58" s="31">
        <f>IF(BX58="Overhead supply in last 2 years in last 2 years",-5,IF(BX58="Close to 52 week high or retracement",5,IF(BX58="Blue sky scenario",10,IF(BX58="Long term Downtrend",-10,0))))</f>
        <v/>
      </c>
      <c r="BZ58" s="31" t="inlineStr">
        <is>
          <t>Yes</t>
        </is>
      </c>
      <c r="CA58" s="31">
        <f>IF(BZ58="Yes",10,0)</f>
        <v/>
      </c>
    </row>
    <row r="59">
      <c r="A59" s="31">
        <f>IF(B59=0,"",RANK(B59,$B$2:$B$67,0))</f>
        <v/>
      </c>
      <c r="B59" s="32">
        <f>SUM(N59,Y59,AA59,AC59,AE59,AG59,AI59,AK59,AM59,AO59,AQ59,AS59,AU59,AW59,AY59,BA59,BC59,BE59,BG59,BI59,BK59,BM59,BO59,BQ59,BS59,BU59,BW59,BY59,CA59)</f>
        <v/>
      </c>
      <c r="C59" s="31" t="inlineStr">
        <is>
          <t>SBIN</t>
        </is>
      </c>
      <c r="D59" s="31" t="inlineStr">
        <is>
          <t>State Bank Of India Ltd</t>
        </is>
      </c>
      <c r="E59" s="31" t="inlineStr">
        <is>
          <t>bank</t>
        </is>
      </c>
      <c r="F59" s="31" t="inlineStr">
        <is>
          <t>banks - public sector</t>
        </is>
      </c>
      <c r="G59" s="31" t="inlineStr">
        <is>
          <t>largecap</t>
        </is>
      </c>
      <c r="H59" s="32" t="n">
        <v>942307.6</v>
      </c>
      <c r="I59" s="32" t="n">
        <v>1015.3</v>
      </c>
      <c r="J59" s="32" t="n">
        <v>-0.54</v>
      </c>
      <c r="K59" s="32" t="n">
        <v>9693677</v>
      </c>
      <c r="L59" s="31" t="n">
        <v>15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52.16</v>
      </c>
      <c r="P59" s="32" t="n">
        <v>9.5</v>
      </c>
      <c r="Q59" s="32" t="n">
        <v>930.66</v>
      </c>
      <c r="R59" s="31" t="inlineStr">
        <is>
          <t>Earnings / Momentum Support</t>
        </is>
      </c>
      <c r="S59" s="31" t="inlineStr">
        <is>
          <t>Nifty Bank</t>
        </is>
      </c>
      <c r="T59" s="32" t="n">
        <v>1.86</v>
      </c>
      <c r="U59" s="32" t="n">
        <v>29.82</v>
      </c>
      <c r="V59" s="32" t="n">
        <v>27.46</v>
      </c>
      <c r="W59" s="32" t="n">
        <v>5.06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Fragmented with High ROE</t>
        </is>
      </c>
      <c r="AA59" s="31">
        <f>IF(Z59="Fragmented with Low ROE",-5,IF(Z59="Fragmented with High ROE",10,IF(Z59= "highly cyclical",5,0)))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Consistency)",15,IF(AF59="Shallow Cyclical (2 to 3 years growth)",10,IF(AF59 = "Cyclical in an Uptick",5,IF(AF59 = "Cyclical in an Downtick",-10,0))))</f>
        <v/>
      </c>
      <c r="AH59" s="31" t="inlineStr">
        <is>
          <t>Yes</t>
        </is>
      </c>
      <c r="AI59" s="31">
        <f>IF(AH59="Yes",10,0)</f>
        <v/>
      </c>
      <c r="AJ59" s="31" t="inlineStr">
        <is>
          <t>Yes</t>
        </is>
      </c>
      <c r="AK59" s="31">
        <f>IF(AJ59="Yes",10,0)</f>
        <v/>
      </c>
      <c r="AL59" s="31" t="n"/>
      <c r="AM59" s="31">
        <f>IF(AL59="No",10,0)</f>
        <v/>
      </c>
      <c r="AN59" s="31" t="inlineStr">
        <is>
          <t>Yes</t>
        </is>
      </c>
      <c r="AO59" s="31">
        <f>IF(AN59="Yes",10,0)</f>
        <v/>
      </c>
      <c r="AP59" s="31" t="inlineStr">
        <is>
          <t>No</t>
        </is>
      </c>
      <c r="AQ59" s="31">
        <f>IF(AP59="Yes",10,0)</f>
        <v/>
      </c>
      <c r="AR59" s="31" t="inlineStr">
        <is>
          <t>Yes</t>
        </is>
      </c>
      <c r="AS59" s="31">
        <f>IF(AR59="Yes",5,0)</f>
        <v/>
      </c>
      <c r="AT59" s="31" t="inlineStr">
        <is>
          <t>No</t>
        </is>
      </c>
      <c r="AU59" s="31">
        <f>IF(AT59="No",10,IF(AT59="Yes",-10,0))</f>
        <v/>
      </c>
      <c r="AV59" s="31" t="inlineStr">
        <is>
          <t>No</t>
        </is>
      </c>
      <c r="AW59" s="31">
        <f>IF(AV59="No",10,0)</f>
        <v/>
      </c>
      <c r="AX59" s="31" t="inlineStr">
        <is>
          <t>No</t>
        </is>
      </c>
      <c r="AY59" s="31">
        <f>IF(AX59="No",10,IF(AX59= "Yes CEO Resignation",-5,0))</f>
        <v/>
      </c>
      <c r="AZ59" s="31" t="inlineStr">
        <is>
          <t>No</t>
        </is>
      </c>
      <c r="BA59" s="31">
        <f>IF(AZ59="No",10,IF(AZ59="Yes",-5,0))</f>
        <v/>
      </c>
      <c r="BB59" s="31" t="inlineStr">
        <is>
          <t>No</t>
        </is>
      </c>
      <c r="BC59" s="31">
        <f>IF(BB59="No",5,IF(BB59="Yes",-5,0))</f>
        <v/>
      </c>
      <c r="BD59" s="31" t="inlineStr">
        <is>
          <t>Yes</t>
        </is>
      </c>
      <c r="BE59" s="31">
        <f>IF(BD59="Yes",10,0)</f>
        <v/>
      </c>
      <c r="BF59" s="31" t="inlineStr">
        <is>
          <t>Yes</t>
        </is>
      </c>
      <c r="BG59" s="31">
        <f>IF(BF59="Yes",10,0)</f>
        <v/>
      </c>
      <c r="BH59" s="31" t="inlineStr">
        <is>
          <t>Yes</t>
        </is>
      </c>
      <c r="BI59" s="31">
        <f>IF(BH59="Yes",10,0)</f>
        <v/>
      </c>
      <c r="BJ59" s="31" t="inlineStr">
        <is>
          <t>P/BV less than 2.5x and Growth less than 20%</t>
        </is>
      </c>
      <c r="BK59" s="31">
        <f>IF(BJ59="P/BV less than 2.5x and Growth more than 20%",20,IF(BJ59 = "P/BV less than 2.5x and Growth less than 20%",5,IF(BJ59="P/BV between 2.5x to 5x and Growth more than 20%",10,IF(BJ59= "P/BV between 2.5x to 5x and Growth less than 20%",-5,IF(BJ59= "P/BV above 5x",-5,0)))))</f>
        <v/>
      </c>
      <c r="BL59" s="31" t="inlineStr">
        <is>
          <t>0 to 20</t>
        </is>
      </c>
      <c r="BM59" s="31">
        <f>IF(BL59="Above 40",20,IF(BL59="20 to 40",10,IF(BL59="0 to 20",-5,0)))</f>
        <v/>
      </c>
      <c r="BN59" s="31" t="inlineStr">
        <is>
          <t>Between 50 to 75</t>
        </is>
      </c>
      <c r="BO59" s="31">
        <f>IF(BN59="Between 50 to 75",10,IF(BN59="Above 75",0,0))</f>
        <v/>
      </c>
      <c r="BP59" s="31" t="inlineStr">
        <is>
          <t>Stage 1</t>
        </is>
      </c>
      <c r="BQ59" s="31">
        <f>IF(BP59="Stage 2",20,IF(BP59="Stage 1",0,IF(BP59="Stage 3",5,IF(BP59="Stage 4",-5,0))))</f>
        <v/>
      </c>
      <c r="BR59" s="31" t="inlineStr">
        <is>
          <t>Positive Trend</t>
        </is>
      </c>
      <c r="BS59" s="31">
        <f>IF(BR59="Positive Trend",20,IF(BR59="Negative Trend",-10,0))</f>
        <v/>
      </c>
      <c r="BT59" s="31" t="inlineStr">
        <is>
          <t>Uptrend</t>
        </is>
      </c>
      <c r="BU59" s="31">
        <f>IF(BT59="Uptrend",10,IF(BT59="Sideways",5,0))</f>
        <v/>
      </c>
      <c r="BV59" s="31" t="inlineStr">
        <is>
          <t>Uptrend</t>
        </is>
      </c>
      <c r="BW59" s="31">
        <f>IF(BV59="Uptrend",10,IF(BV59="Sideways",5,0))</f>
        <v/>
      </c>
      <c r="BX59" s="31" t="inlineStr">
        <is>
          <t>Close to 52 week high or retracement</t>
        </is>
      </c>
      <c r="BY59" s="31">
        <f>IF(BX59="Overhead supply in last 2 years in last 2 years",-5,IF(BX59="Close to 52 week high or retracement",5,IF(BX59="Blue sky scenario",10,IF(BX59="Long term Downtrend",-10,0))))</f>
        <v/>
      </c>
      <c r="BZ59" s="31" t="inlineStr">
        <is>
          <t>Yes</t>
        </is>
      </c>
      <c r="CA59" s="31">
        <f>IF(BZ59="Yes",10,0)</f>
        <v/>
      </c>
    </row>
    <row r="60">
      <c r="A60" s="31">
        <f>IF(B60=0,"",RANK(B60,$B$2:$B$67,0))</f>
        <v/>
      </c>
      <c r="B60" s="32">
        <f>SUM(N60,Y60,AA60,AC60,AE60,AG60,AI60,AK60,AM60,AO60,AQ60,AS60,AU60,AW60,AY60,BA60,BC60,BE60,BG60,BI60,BK60,BM60,BO60,BQ60,BS60,BU60,BW60,BY60,CA60)</f>
        <v/>
      </c>
      <c r="C60" s="31" t="inlineStr">
        <is>
          <t>CHOLAFIN</t>
        </is>
      </c>
      <c r="D60" s="31" t="inlineStr">
        <is>
          <t>Cholamandalam Investment And Finance Company Limited</t>
        </is>
      </c>
      <c r="E60" s="31" t="inlineStr">
        <is>
          <t>financials</t>
        </is>
      </c>
      <c r="F60" s="31" t="inlineStr">
        <is>
          <t>finance &amp; investments</t>
        </is>
      </c>
      <c r="G60" s="31" t="inlineStr">
        <is>
          <t>largecap</t>
        </is>
      </c>
      <c r="H60" s="32" t="n">
        <v>140892.87</v>
      </c>
      <c r="I60" s="32" t="n">
        <v>1680.4</v>
      </c>
      <c r="J60" s="32" t="n">
        <v>1.62</v>
      </c>
      <c r="K60" s="32" t="n">
        <v>2152281</v>
      </c>
      <c r="L60" s="31" t="n">
        <v>16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56.01</v>
      </c>
      <c r="P60" s="32" t="n">
        <v>11.34</v>
      </c>
      <c r="Q60" s="32" t="n">
        <v>1331.87</v>
      </c>
      <c r="R60" s="31" t="inlineStr">
        <is>
          <t>Earnings / Momentum Support</t>
        </is>
      </c>
      <c r="S60" s="31" t="inlineStr">
        <is>
          <t>Nifty Bank</t>
        </is>
      </c>
      <c r="T60" s="32" t="n">
        <v>1.86</v>
      </c>
      <c r="U60" s="32" t="n">
        <v>8.02</v>
      </c>
      <c r="V60" s="32" t="n">
        <v>6.05</v>
      </c>
      <c r="W60" s="32" t="n">
        <v>5.31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Fragmented with High ROE</t>
        </is>
      </c>
      <c r="AA60" s="31">
        <f>IF(Z60="Fragmented with Low ROE",-5,IF(Z60="Fragmented with High ROE",10,IF(Z60= "highly cyclical",5,0)))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Consistency)",15,IF(AF60="Shallow Cyclical (2 to 3 years growth)",10,IF(AF60 = "Cyclical in an Uptick",5,IF(AF60 = "Cyclical in an Downtick",-10,0))))</f>
        <v/>
      </c>
      <c r="AH60" s="31" t="inlineStr">
        <is>
          <t>Yes</t>
        </is>
      </c>
      <c r="AI60" s="31">
        <f>IF(AH60="Yes",10,0)</f>
        <v/>
      </c>
      <c r="AJ60" s="31" t="inlineStr">
        <is>
          <t>Yes</t>
        </is>
      </c>
      <c r="AK60" s="31">
        <f>IF(AJ60="Yes",10,0)</f>
        <v/>
      </c>
      <c r="AL60" s="31" t="n"/>
      <c r="AM60" s="31">
        <f>IF(AL60="No",10,0)</f>
        <v/>
      </c>
      <c r="AN60" s="31" t="inlineStr">
        <is>
          <t>Yes</t>
        </is>
      </c>
      <c r="AO60" s="31">
        <f>IF(AN60="Yes",10,0)</f>
        <v/>
      </c>
      <c r="AP60" s="31" t="inlineStr">
        <is>
          <t>No</t>
        </is>
      </c>
      <c r="AQ60" s="31">
        <f>IF(AP60="Yes",10,0)</f>
        <v/>
      </c>
      <c r="AR60" s="31" t="inlineStr">
        <is>
          <t>Yes</t>
        </is>
      </c>
      <c r="AS60" s="31">
        <f>IF(AR60="Yes",5,0)</f>
        <v/>
      </c>
      <c r="AT60" s="31" t="inlineStr">
        <is>
          <t>No</t>
        </is>
      </c>
      <c r="AU60" s="31">
        <f>IF(AT60="No",10,IF(AT60="Yes",-10,0))</f>
        <v/>
      </c>
      <c r="AV60" s="31" t="inlineStr">
        <is>
          <t>No</t>
        </is>
      </c>
      <c r="AW60" s="31">
        <f>IF(AV60="No",10,0)</f>
        <v/>
      </c>
      <c r="AX60" s="31" t="inlineStr">
        <is>
          <t>No</t>
        </is>
      </c>
      <c r="AY60" s="31">
        <f>IF(AX60="No",10,IF(AX60= "Yes CEO Resignation",-5,0))</f>
        <v/>
      </c>
      <c r="AZ60" s="31" t="inlineStr">
        <is>
          <t>No</t>
        </is>
      </c>
      <c r="BA60" s="31">
        <f>IF(AZ60="No",10,IF(AZ60="Yes",-5,0))</f>
        <v/>
      </c>
      <c r="BB60" s="31" t="inlineStr">
        <is>
          <t>No</t>
        </is>
      </c>
      <c r="BC60" s="31">
        <f>IF(BB60="No",5,IF(BB60="Yes",-5,0))</f>
        <v/>
      </c>
      <c r="BD60" s="31" t="inlineStr">
        <is>
          <t>Yes</t>
        </is>
      </c>
      <c r="BE60" s="31">
        <f>IF(BD60="Yes",10,0)</f>
        <v/>
      </c>
      <c r="BF60" s="31" t="inlineStr">
        <is>
          <t>Yes</t>
        </is>
      </c>
      <c r="BG60" s="31">
        <f>IF(BF60="Yes",10,0)</f>
        <v/>
      </c>
      <c r="BH60" s="31" t="inlineStr">
        <is>
          <t>Yes</t>
        </is>
      </c>
      <c r="BI60" s="31">
        <f>IF(BH60="Yes",10,0)</f>
        <v/>
      </c>
      <c r="BJ60" s="31" t="inlineStr">
        <is>
          <t>P/BV between 2.5x to 5x and Growth more than 20%</t>
        </is>
      </c>
      <c r="BK60" s="31">
        <f>IF(BJ60="P/BV less than 2.5x and Growth more than 20%",20,IF(BJ60 = "P/BV less than 2.5x and Growth less than 20%",5,IF(BJ60="P/BV between 2.5x to 5x and Growth more than 20%",10,IF(BJ60= "P/BV between 2.5x to 5x and Growth less than 20%",-5,IF(BJ60= "P/BV above 5x",-5,0)))))</f>
        <v/>
      </c>
      <c r="BL60" s="31" t="inlineStr">
        <is>
          <t>0 to 20</t>
        </is>
      </c>
      <c r="BM60" s="31">
        <f>IF(BL60="Above 40",20,IF(BL60="20 to 40",10,IF(BL60="0 to 20",-5,0)))</f>
        <v/>
      </c>
      <c r="BN60" s="31" t="inlineStr">
        <is>
          <t>Between 50 to 75</t>
        </is>
      </c>
      <c r="BO60" s="31">
        <f>IF(BN60="Between 50 to 75",10,IF(BN60="Above 75",0,0))</f>
        <v/>
      </c>
      <c r="BP60" s="31" t="inlineStr">
        <is>
          <t>Stage 1</t>
        </is>
      </c>
      <c r="BQ60" s="31">
        <f>IF(BP60="Stage 2",20,IF(BP60="Stage 1",0,IF(BP60="Stage 3",5,IF(BP60="Stage 4",-5,0))))</f>
        <v/>
      </c>
      <c r="BR60" s="31" t="inlineStr">
        <is>
          <t>Positive Trend</t>
        </is>
      </c>
      <c r="BS60" s="31">
        <f>IF(BR60="Positive Trend",20,IF(BR60="Negative Trend",-10,0))</f>
        <v/>
      </c>
      <c r="BT60" s="31" t="inlineStr">
        <is>
          <t>Uptrend</t>
        </is>
      </c>
      <c r="BU60" s="31">
        <f>IF(BT60="Uptrend",10,IF(BT60="Sideways",5,0))</f>
        <v/>
      </c>
      <c r="BV60" s="31" t="inlineStr">
        <is>
          <t>Uptrend</t>
        </is>
      </c>
      <c r="BW60" s="31">
        <f>IF(BV60="Uptrend",10,IF(BV60="Sideways",5,0))</f>
        <v/>
      </c>
      <c r="BX60" s="31" t="inlineStr">
        <is>
          <t>Close to 52 week high or retracement</t>
        </is>
      </c>
      <c r="BY60" s="31">
        <f>IF(BX60="Overhead supply in last 2 years in last 2 years",-5,IF(BX60="Close to 52 week high or retracement",5,IF(BX60="Blue sky scenario",10,IF(BX60="Long term Downtrend",-10,0))))</f>
        <v/>
      </c>
      <c r="BZ60" s="31" t="inlineStr">
        <is>
          <t>Yes</t>
        </is>
      </c>
      <c r="CA60" s="31">
        <f>IF(BZ60="Yes",10,0)</f>
        <v/>
      </c>
    </row>
    <row r="61">
      <c r="A61" s="31">
        <f>IF(B61=0,"",RANK(B61,$B$2:$B$67,0))</f>
        <v/>
      </c>
      <c r="B61" s="32">
        <f>SUM(N61,Y61,AA61,AC61,AE61,AG61,AI61,AK61,AM61,AO61,AQ61,AS61,AU61,AW61,AY61,BA61,BC61,BE61,BG61,BI61,BK61,BM61,BO61,BQ61,BS61,BU61,BW61,BY61,CA61)</f>
        <v/>
      </c>
      <c r="C61" s="33" t="inlineStr">
        <is>
          <t>360ONE</t>
        </is>
      </c>
      <c r="D61" s="33" t="inlineStr">
        <is>
          <t>360 ONE WAM Ltd</t>
        </is>
      </c>
      <c r="E61" s="31" t="inlineStr">
        <is>
          <t>financials</t>
        </is>
      </c>
      <c r="F61" s="31" t="inlineStr">
        <is>
          <t>finance &amp; investments</t>
        </is>
      </c>
      <c r="G61" s="31" t="inlineStr">
        <is>
          <t>largecap</t>
        </is>
      </c>
      <c r="H61" s="32" t="n">
        <v>45926.13</v>
      </c>
      <c r="I61" s="32" t="n">
        <v>1133.6</v>
      </c>
      <c r="J61" s="32" t="n">
        <v>0.25</v>
      </c>
      <c r="K61" s="32" t="n">
        <v>1168609</v>
      </c>
      <c r="L61" s="31" t="n">
        <v>3</v>
      </c>
      <c r="M61" s="31" t="inlineStr">
        <is>
          <t>Underperforming</t>
        </is>
      </c>
      <c r="N61" s="32">
        <f>IF(M61="Underperforming",-5,IF(L61&gt;=95,15,IF(L61&gt;=90,10,IF(L61&gt;=80,5,0))))</f>
        <v/>
      </c>
      <c r="O61" s="32" t="n">
        <v>55.35</v>
      </c>
      <c r="P61" s="32" t="n">
        <v>14.22</v>
      </c>
      <c r="Q61" s="32" t="n">
        <v>899.59</v>
      </c>
      <c r="R61" s="31" t="inlineStr">
        <is>
          <t>Earnings / Momentum Support</t>
        </is>
      </c>
      <c r="S61" s="31" t="inlineStr">
        <is>
          <t>Nifty Bank</t>
        </is>
      </c>
      <c r="T61" s="32" t="n">
        <v>1.86</v>
      </c>
      <c r="U61" s="32" t="n">
        <v>0.77</v>
      </c>
      <c r="V61" s="32" t="n">
        <v>-1.07</v>
      </c>
      <c r="W61" s="32" t="n">
        <v>2.29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Fragmented with High ROE</t>
        </is>
      </c>
      <c r="AA61" s="31">
        <f>IF(Z61="Fragmented with Low ROE",-5,IF(Z61="Fragmented with High ROE",10,IF(Z61= "highly cyclical",5,0)))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Consistency)",15,IF(AF61="Shallow Cyclical (2 to 3 years growth)",10,IF(AF61 = "Cyclical in an Uptick",5,IF(AF61 = "Cyclical in an Downtick",-10,0))))</f>
        <v/>
      </c>
      <c r="AH61" s="31" t="inlineStr">
        <is>
          <t>Yes</t>
        </is>
      </c>
      <c r="AI61" s="31">
        <f>IF(AH61="Yes",10,0)</f>
        <v/>
      </c>
      <c r="AJ61" s="31" t="inlineStr">
        <is>
          <t>Yes</t>
        </is>
      </c>
      <c r="AK61" s="31">
        <f>IF(AJ61="Yes",10,0)</f>
        <v/>
      </c>
      <c r="AL61" s="31" t="n"/>
      <c r="AM61" s="31">
        <f>IF(AL61="No",10,0)</f>
        <v/>
      </c>
      <c r="AN61" s="31" t="inlineStr">
        <is>
          <t>Yes</t>
        </is>
      </c>
      <c r="AO61" s="31">
        <f>IF(AN61="Yes",10,0)</f>
        <v/>
      </c>
      <c r="AP61" s="31" t="inlineStr">
        <is>
          <t>No</t>
        </is>
      </c>
      <c r="AQ61" s="31">
        <f>IF(AP61="Yes",10,0)</f>
        <v/>
      </c>
      <c r="AR61" s="31" t="inlineStr">
        <is>
          <t>Yes</t>
        </is>
      </c>
      <c r="AS61" s="31">
        <f>IF(AR61="Yes",5,0)</f>
        <v/>
      </c>
      <c r="AT61" s="31" t="inlineStr">
        <is>
          <t>No</t>
        </is>
      </c>
      <c r="AU61" s="31">
        <f>IF(AT61="No",10,IF(AT61="Yes",-10,0))</f>
        <v/>
      </c>
      <c r="AV61" s="31" t="inlineStr">
        <is>
          <t>No</t>
        </is>
      </c>
      <c r="AW61" s="31">
        <f>IF(AV61="No",10,0)</f>
        <v/>
      </c>
      <c r="AX61" s="31" t="inlineStr">
        <is>
          <t>No</t>
        </is>
      </c>
      <c r="AY61" s="31">
        <f>IF(AX61="No",10,IF(AX61= "Yes CEO Resignation",-5,0))</f>
        <v/>
      </c>
      <c r="AZ61" s="31" t="inlineStr">
        <is>
          <t>No</t>
        </is>
      </c>
      <c r="BA61" s="31">
        <f>IF(AZ61="No",10,IF(AZ61="Yes",-5,0))</f>
        <v/>
      </c>
      <c r="BB61" s="31" t="inlineStr">
        <is>
          <t>No</t>
        </is>
      </c>
      <c r="BC61" s="31">
        <f>IF(BB61="No",5,IF(BB61="Yes",-5,0))</f>
        <v/>
      </c>
      <c r="BD61" s="31" t="inlineStr">
        <is>
          <t>Yes</t>
        </is>
      </c>
      <c r="BE61" s="31">
        <f>IF(BD61="Yes",10,0)</f>
        <v/>
      </c>
      <c r="BF61" s="31" t="inlineStr">
        <is>
          <t>Yes</t>
        </is>
      </c>
      <c r="BG61" s="31">
        <f>IF(BF61="Yes",10,0)</f>
        <v/>
      </c>
      <c r="BH61" s="31" t="inlineStr">
        <is>
          <t>Yes</t>
        </is>
      </c>
      <c r="BI61" s="31">
        <f>IF(BH61="Yes",10,0)</f>
        <v/>
      </c>
      <c r="BJ61" s="31" t="inlineStr">
        <is>
          <t>P/BV between 2.5x to 5x and Growth less than 20%</t>
        </is>
      </c>
      <c r="BK61" s="31">
        <f>IF(BJ61="P/BV less than 2.5x and Growth more than 20%",20,IF(BJ61 = "P/BV less than 2.5x and Growth less than 20%",5,IF(BJ61="P/BV between 2.5x to 5x and Growth more than 20%",10,IF(BJ61= "P/BV between 2.5x to 5x and Growth less than 20%",-5,IF(BJ61= "P/BV above 5x",-5,0)))))</f>
        <v/>
      </c>
      <c r="BL61" s="31" t="inlineStr">
        <is>
          <t>0 to 20</t>
        </is>
      </c>
      <c r="BM61" s="31">
        <f>IF(BL61="Above 40",20,IF(BL61="20 to 40",10,IF(BL61="0 to 20",-5,0)))</f>
        <v/>
      </c>
      <c r="BN61" s="31" t="inlineStr">
        <is>
          <t>Between 50 to 75</t>
        </is>
      </c>
      <c r="BO61" s="31">
        <f>IF(BN61="Between 50 to 75",10,IF(BN61="Above 75",0,0))</f>
        <v/>
      </c>
      <c r="BP61" s="31" t="inlineStr">
        <is>
          <t>Stage 2</t>
        </is>
      </c>
      <c r="BQ61" s="31">
        <f>IF(BP61="Stage 2",20,IF(BP61="Stage 1",0,IF(BP61="Stage 3",5,IF(BP61="Stage 4",-5,0))))</f>
        <v/>
      </c>
      <c r="BR61" s="31" t="inlineStr">
        <is>
          <t>Positive Trend</t>
        </is>
      </c>
      <c r="BS61" s="31">
        <f>IF(BR61="Positive Trend",20,IF(BR61="Negative Trend",-10,0))</f>
        <v/>
      </c>
      <c r="BT61" s="31" t="inlineStr">
        <is>
          <t>Uptrend</t>
        </is>
      </c>
      <c r="BU61" s="31">
        <f>IF(BT61="Uptrend",10,IF(BT61="Sideways",5,0))</f>
        <v/>
      </c>
      <c r="BV61" s="31" t="inlineStr">
        <is>
          <t>Uptrend</t>
        </is>
      </c>
      <c r="BW61" s="31">
        <f>IF(BV61="Uptrend",10,IF(BV61="Sideways",5,0))</f>
        <v/>
      </c>
      <c r="BX61" s="31" t="inlineStr">
        <is>
          <t>Close to 52 week high or retracement</t>
        </is>
      </c>
      <c r="BY61" s="31">
        <f>IF(BX61="Overhead supply in last 2 years in last 2 years",-5,IF(BX61="Close to 52 week high or retracement",5,IF(BX61="Blue sky scenario",10,IF(BX61="Long term Downtrend",-10,0))))</f>
        <v/>
      </c>
      <c r="BZ61" s="31" t="inlineStr">
        <is>
          <t>Yes</t>
        </is>
      </c>
      <c r="CA61" s="31">
        <f>IF(BZ61="Yes",10,0)</f>
        <v/>
      </c>
    </row>
    <row r="62">
      <c r="A62" s="31">
        <f>IF(B62=0,"",RANK(B62,$B$2:$B$67,0))</f>
        <v/>
      </c>
      <c r="B62" s="32">
        <f>SUM(N62,Y62,AA62,AC62,AE62,AG62,AI62,AK62,AM62,AO62,AQ62,AS62,AU62,AW62,AY62,BA62,BC62,BE62,BG62,BI62,BK62,BM62,BO62,BQ62,BS62,BU62,BW62,BY62,CA62)</f>
        <v/>
      </c>
      <c r="C62" s="33" t="inlineStr">
        <is>
          <t>CHOICEIN</t>
        </is>
      </c>
      <c r="D62" s="33" t="inlineStr">
        <is>
          <t>Choice International Ltd</t>
        </is>
      </c>
      <c r="E62" s="31" t="inlineStr">
        <is>
          <t>financials</t>
        </is>
      </c>
      <c r="F62" s="31" t="inlineStr">
        <is>
          <t>finance &amp; investments</t>
        </is>
      </c>
      <c r="G62" s="31" t="inlineStr">
        <is>
          <t>midcap</t>
        </is>
      </c>
      <c r="H62" s="32" t="n">
        <v>15644.48</v>
      </c>
      <c r="I62" s="32" t="n">
        <v>709.7</v>
      </c>
      <c r="J62" s="32" t="n">
        <v>1.06</v>
      </c>
      <c r="K62" s="32" t="n">
        <v>801463</v>
      </c>
      <c r="L62" s="31" t="n">
        <v>10</v>
      </c>
      <c r="M62" s="31" t="inlineStr">
        <is>
          <t>Underperforming</t>
        </is>
      </c>
      <c r="N62" s="32">
        <f>IF(M62="Underperforming",-5,IF(L62&gt;=95,15,IF(L62&gt;=90,10,IF(L62&gt;=80,5,0))))</f>
        <v/>
      </c>
      <c r="O62" s="32" t="n">
        <v>50.78</v>
      </c>
      <c r="P62" s="32" t="n">
        <v>26.6</v>
      </c>
      <c r="Q62" s="32" t="n">
        <v>580.03</v>
      </c>
      <c r="R62" s="31" t="inlineStr">
        <is>
          <t>Earnings / Momentum Support</t>
        </is>
      </c>
      <c r="S62" s="31" t="inlineStr">
        <is>
          <t>Nifty Bank</t>
        </is>
      </c>
      <c r="T62" s="32" t="n">
        <v>1.86</v>
      </c>
      <c r="U62" s="32" t="n">
        <v>0.74</v>
      </c>
      <c r="V62" s="32" t="n">
        <v>-1.1</v>
      </c>
      <c r="W62" s="32" t="n">
        <v>4.21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Fragmented with High ROE</t>
        </is>
      </c>
      <c r="AA62" s="31">
        <f>IF(Z62="Fragmented with Low ROE",-5,IF(Z62="Fragmented with High ROE",10,IF(Z62= "highly cyclical",5,0)))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Consistency)",15,IF(AF62="Shallow Cyclical (2 to 3 years growth)",10,IF(AF62 = "Cyclical in an Uptick",5,IF(AF62 = "Cyclical in an Downtick",-10,0))))</f>
        <v/>
      </c>
      <c r="AH62" s="31" t="inlineStr">
        <is>
          <t>Yes</t>
        </is>
      </c>
      <c r="AI62" s="31">
        <f>IF(AH62="Yes",10,0)</f>
        <v/>
      </c>
      <c r="AJ62" s="31" t="inlineStr">
        <is>
          <t>Yes</t>
        </is>
      </c>
      <c r="AK62" s="31">
        <f>IF(AJ62="Yes",10,0)</f>
        <v/>
      </c>
      <c r="AL62" s="31" t="n"/>
      <c r="AM62" s="31">
        <f>IF(AL62="No",10,0)</f>
        <v/>
      </c>
      <c r="AN62" s="31" t="inlineStr">
        <is>
          <t>Yes</t>
        </is>
      </c>
      <c r="AO62" s="31">
        <f>IF(AN62="Yes",10,0)</f>
        <v/>
      </c>
      <c r="AP62" s="31" t="inlineStr">
        <is>
          <t>No</t>
        </is>
      </c>
      <c r="AQ62" s="31">
        <f>IF(AP62="Yes",10,0)</f>
        <v/>
      </c>
      <c r="AR62" s="31" t="inlineStr">
        <is>
          <t>Yes</t>
        </is>
      </c>
      <c r="AS62" s="31">
        <f>IF(AR62="Yes",5,0)</f>
        <v/>
      </c>
      <c r="AT62" s="31" t="inlineStr">
        <is>
          <t>No</t>
        </is>
      </c>
      <c r="AU62" s="31">
        <f>IF(AT62="No",10,IF(AT62="Yes",-10,0))</f>
        <v/>
      </c>
      <c r="AV62" s="31" t="inlineStr">
        <is>
          <t>No</t>
        </is>
      </c>
      <c r="AW62" s="31">
        <f>IF(AV62="No",10,0)</f>
        <v/>
      </c>
      <c r="AX62" s="31" t="inlineStr">
        <is>
          <t>No</t>
        </is>
      </c>
      <c r="AY62" s="31">
        <f>IF(AX62="No",10,IF(AX62= "Yes CEO Resignation",-5,0))</f>
        <v/>
      </c>
      <c r="AZ62" s="31" t="inlineStr">
        <is>
          <t>No</t>
        </is>
      </c>
      <c r="BA62" s="31">
        <f>IF(AZ62="No",10,IF(AZ62="Yes",-5,0))</f>
        <v/>
      </c>
      <c r="BB62" s="31" t="inlineStr">
        <is>
          <t>No</t>
        </is>
      </c>
      <c r="BC62" s="31">
        <f>IF(BB62="No",5,IF(BB62="Yes",-5,0))</f>
        <v/>
      </c>
      <c r="BD62" s="31" t="inlineStr">
        <is>
          <t>Yes</t>
        </is>
      </c>
      <c r="BE62" s="31">
        <f>IF(BD62="Yes",10,0)</f>
        <v/>
      </c>
      <c r="BF62" s="31" t="inlineStr">
        <is>
          <t>Yes</t>
        </is>
      </c>
      <c r="BG62" s="31">
        <f>IF(BF62="Yes",10,0)</f>
        <v/>
      </c>
      <c r="BH62" s="31" t="inlineStr">
        <is>
          <t>Yes</t>
        </is>
      </c>
      <c r="BI62" s="31">
        <f>IF(BH62="Yes",10,0)</f>
        <v/>
      </c>
      <c r="BJ62" s="31" t="inlineStr">
        <is>
          <t>P/BV above 5x</t>
        </is>
      </c>
      <c r="BK62" s="31">
        <f>IF(BJ62="P/BV less than 2.5x and Growth more than 20%",20,IF(BJ62 = "P/BV less than 2.5x and Growth less than 20%",5,IF(BJ62="P/BV between 2.5x to 5x and Growth more than 20%",10,IF(BJ62= "P/BV between 2.5x to 5x and Growth less than 20%",-5,IF(BJ62= "P/BV above 5x",-5,0)))))</f>
        <v/>
      </c>
      <c r="BL62" s="31" t="inlineStr">
        <is>
          <t>20 to 40</t>
        </is>
      </c>
      <c r="BM62" s="31">
        <f>IF(BL62="Above 40",20,IF(BL62="20 to 40",10,IF(BL62="0 to 20",-5,0)))</f>
        <v/>
      </c>
      <c r="BN62" s="31" t="inlineStr">
        <is>
          <t>Between 50 to 75</t>
        </is>
      </c>
      <c r="BO62" s="31">
        <f>IF(BN62="Between 50 to 75",10,IF(BN62="Above 75",0,0))</f>
        <v/>
      </c>
      <c r="BP62" s="31" t="inlineStr">
        <is>
          <t>Stage 1</t>
        </is>
      </c>
      <c r="BQ62" s="31">
        <f>IF(BP62="Stage 2",20,IF(BP62="Stage 1",0,IF(BP62="Stage 3",5,IF(BP62="Stage 4",-5,0))))</f>
        <v/>
      </c>
      <c r="BR62" s="31" t="inlineStr">
        <is>
          <t>Positive Trend</t>
        </is>
      </c>
      <c r="BS62" s="31">
        <f>IF(BR62="Positive Trend",20,IF(BR62="Negative Trend",-10,0))</f>
        <v/>
      </c>
      <c r="BT62" s="31" t="inlineStr">
        <is>
          <t>Uptrend</t>
        </is>
      </c>
      <c r="BU62" s="31">
        <f>IF(BT62="Uptrend",10,IF(BT62="Sideways",5,0))</f>
        <v/>
      </c>
      <c r="BV62" s="31" t="inlineStr">
        <is>
          <t>Uptrend</t>
        </is>
      </c>
      <c r="BW62" s="31">
        <f>IF(BV62="Uptrend",10,IF(BV62="Sideways",5,0))</f>
        <v/>
      </c>
      <c r="BX62" s="31" t="inlineStr">
        <is>
          <t>Close to 52 week high or retracement</t>
        </is>
      </c>
      <c r="BY62" s="31">
        <f>IF(BX62="Overhead supply in last 2 years in last 2 years",-5,IF(BX62="Close to 52 week high or retracement",5,IF(BX62="Blue sky scenario",10,IF(BX62="Long term Downtrend",-10,0))))</f>
        <v/>
      </c>
      <c r="BZ62" s="31" t="inlineStr">
        <is>
          <t>Yes</t>
        </is>
      </c>
      <c r="CA62" s="31">
        <f>IF(BZ62="Yes",10,0)</f>
        <v/>
      </c>
    </row>
    <row r="63">
      <c r="A63" s="31">
        <f>IF(B63=0,"",RANK(B63,$B$2:$B$67,0))</f>
        <v/>
      </c>
      <c r="B63" s="32">
        <f>SUM(N63,Y63,AA63,AC63,AE63,AG63,AI63,AK63,AM63,AO63,AQ63,AS63,AU63,AW63,AY63,BA63,BC63,BE63,BG63,BI63,BK63,BM63,BO63,BQ63,BS63,BU63,BW63,BY63,CA63)</f>
        <v/>
      </c>
      <c r="C63" s="31" t="inlineStr">
        <is>
          <t>BANKBARODA</t>
        </is>
      </c>
      <c r="D63" s="31" t="inlineStr">
        <is>
          <t>Bank Of Baroda Ltd</t>
        </is>
      </c>
      <c r="E63" s="31" t="inlineStr">
        <is>
          <t>bank</t>
        </is>
      </c>
      <c r="F63" s="31" t="inlineStr">
        <is>
          <t>banks - public sector</t>
        </is>
      </c>
      <c r="G63" s="31" t="inlineStr">
        <is>
          <t>largecap</t>
        </is>
      </c>
      <c r="H63" s="32" t="n">
        <v>142755.45</v>
      </c>
      <c r="I63" s="32" t="n">
        <v>275.35</v>
      </c>
      <c r="J63" s="32" t="n">
        <v>-0.25</v>
      </c>
      <c r="K63" s="32" t="n">
        <v>9933682</v>
      </c>
      <c r="L63" s="31" t="n">
        <v>12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54.18</v>
      </c>
      <c r="P63" s="32" t="n">
        <v>8.77</v>
      </c>
      <c r="Q63" s="32" t="n">
        <v>228.91</v>
      </c>
      <c r="R63" s="31" t="inlineStr">
        <is>
          <t>Earnings / Momentum Support</t>
        </is>
      </c>
      <c r="S63" s="31" t="inlineStr">
        <is>
          <t>Nifty Bank</t>
        </is>
      </c>
      <c r="T63" s="32" t="n">
        <v>1.86</v>
      </c>
      <c r="U63" s="32" t="n">
        <v>21.4</v>
      </c>
      <c r="V63" s="32" t="n">
        <v>19.19</v>
      </c>
      <c r="W63" s="32" t="n">
        <v>4.49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Fragmented with High ROE</t>
        </is>
      </c>
      <c r="AA63" s="31">
        <f>IF(Z63="Fragmented with Low ROE",-5,IF(Z63="Fragmented with High ROE",10,IF(Z63= "highly cyclical",5,0)))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Consistency)",15,IF(AF63="Shallow Cyclical (2 to 3 years growth)",10,IF(AF63 = "Cyclical in an Uptick",5,IF(AF63 = "Cyclical in an Downtick",-10,0))))</f>
        <v/>
      </c>
      <c r="AH63" s="31" t="inlineStr">
        <is>
          <t>Yes</t>
        </is>
      </c>
      <c r="AI63" s="31">
        <f>IF(AH63="Yes",10,0)</f>
        <v/>
      </c>
      <c r="AJ63" s="31" t="inlineStr">
        <is>
          <t>Yes</t>
        </is>
      </c>
      <c r="AK63" s="31">
        <f>IF(AJ63="Yes",10,0)</f>
        <v/>
      </c>
      <c r="AL63" s="31" t="n"/>
      <c r="AM63" s="31">
        <f>IF(AL63="No",10,0)</f>
        <v/>
      </c>
      <c r="AN63" s="31" t="inlineStr">
        <is>
          <t>Yes</t>
        </is>
      </c>
      <c r="AO63" s="31">
        <f>IF(AN63="Yes",10,0)</f>
        <v/>
      </c>
      <c r="AP63" s="31" t="inlineStr">
        <is>
          <t>No</t>
        </is>
      </c>
      <c r="AQ63" s="31">
        <f>IF(AP63="Yes",10,0)</f>
        <v/>
      </c>
      <c r="AR63" s="31" t="inlineStr">
        <is>
          <t>Yes</t>
        </is>
      </c>
      <c r="AS63" s="31">
        <f>IF(AR63="Yes",5,0)</f>
        <v/>
      </c>
      <c r="AT63" s="31" t="inlineStr">
        <is>
          <t>No</t>
        </is>
      </c>
      <c r="AU63" s="31">
        <f>IF(AT63="No",10,IF(AT63="Yes",-10,0))</f>
        <v/>
      </c>
      <c r="AV63" s="31" t="inlineStr">
        <is>
          <t>No</t>
        </is>
      </c>
      <c r="AW63" s="31">
        <f>IF(AV63="No",10,0)</f>
        <v/>
      </c>
      <c r="AX63" s="31" t="inlineStr">
        <is>
          <t>No</t>
        </is>
      </c>
      <c r="AY63" s="31">
        <f>IF(AX63="No",10,IF(AX63= "Yes CEO Resignation",-5,0))</f>
        <v/>
      </c>
      <c r="AZ63" s="31" t="inlineStr">
        <is>
          <t>No</t>
        </is>
      </c>
      <c r="BA63" s="31">
        <f>IF(AZ63="No",10,IF(AZ63="Yes",-5,0))</f>
        <v/>
      </c>
      <c r="BB63" s="31" t="inlineStr">
        <is>
          <t>No</t>
        </is>
      </c>
      <c r="BC63" s="31">
        <f>IF(BB63="No",5,IF(BB63="Yes",-5,0))</f>
        <v/>
      </c>
      <c r="BD63" s="31" t="inlineStr">
        <is>
          <t>Yes</t>
        </is>
      </c>
      <c r="BE63" s="31">
        <f>IF(BD63="Yes",10,0)</f>
        <v/>
      </c>
      <c r="BF63" s="31" t="inlineStr">
        <is>
          <t>Yes</t>
        </is>
      </c>
      <c r="BG63" s="31">
        <f>IF(BF63="Yes",10,0)</f>
        <v/>
      </c>
      <c r="BH63" s="31" t="inlineStr">
        <is>
          <t>Yes</t>
        </is>
      </c>
      <c r="BI63" s="31">
        <f>IF(BH63="Yes",10,0)</f>
        <v/>
      </c>
      <c r="BJ63" s="31" t="inlineStr">
        <is>
          <t>P/BV less than 2.5x and Growth less than 20%</t>
        </is>
      </c>
      <c r="BK63" s="31">
        <f>IF(BJ63="P/BV less than 2.5x and Growth more than 20%",20,IF(BJ63 = "P/BV less than 2.5x and Growth less than 20%",5,IF(BJ63="P/BV between 2.5x to 5x and Growth more than 20%",10,IF(BJ63= "P/BV between 2.5x to 5x and Growth less than 20%",-5,IF(BJ63= "P/BV above 5x",-5,0)))))</f>
        <v/>
      </c>
      <c r="BL63" s="31" t="inlineStr">
        <is>
          <t>0 to 20</t>
        </is>
      </c>
      <c r="BM63" s="31">
        <f>IF(BL63="Above 40",20,IF(BL63="20 to 40",10,IF(BL63="0 to 20",-5,0)))</f>
        <v/>
      </c>
      <c r="BN63" s="31" t="inlineStr">
        <is>
          <t>Between 50 to 75</t>
        </is>
      </c>
      <c r="BO63" s="31">
        <f>IF(BN63="Between 50 to 75",10,IF(BN63="Above 75",0,0))</f>
        <v/>
      </c>
      <c r="BP63" s="31" t="inlineStr">
        <is>
          <t>Stage 1</t>
        </is>
      </c>
      <c r="BQ63" s="31">
        <f>IF(BP63="Stage 2",20,IF(BP63="Stage 1",0,IF(BP63="Stage 3",5,IF(BP63="Stage 4",-5,0))))</f>
        <v/>
      </c>
      <c r="BR63" s="31" t="inlineStr">
        <is>
          <t>Positive Trend</t>
        </is>
      </c>
      <c r="BS63" s="31">
        <f>IF(BR63="Positive Trend",20,IF(BR63="Negative Trend",-10,0))</f>
        <v/>
      </c>
      <c r="BT63" s="31" t="inlineStr">
        <is>
          <t>Uptrend</t>
        </is>
      </c>
      <c r="BU63" s="31">
        <f>IF(BT63="Uptrend",10,IF(BT63="Sideways",5,0))</f>
        <v/>
      </c>
      <c r="BV63" s="31" t="inlineStr">
        <is>
          <t>Uptrend</t>
        </is>
      </c>
      <c r="BW63" s="31">
        <f>IF(BV63="Uptrend",10,IF(BV63="Sideways",5,0))</f>
        <v/>
      </c>
      <c r="BX63" s="31" t="inlineStr">
        <is>
          <t>Close to 52 week high or retracement</t>
        </is>
      </c>
      <c r="BY63" s="31">
        <f>IF(BX63="Overhead supply in last 2 years in last 2 years",-5,IF(BX63="Close to 52 week high or retracement",5,IF(BX63="Blue sky scenario",10,IF(BX63="Long term Downtrend",-10,0))))</f>
        <v/>
      </c>
      <c r="BZ63" s="31" t="inlineStr">
        <is>
          <t>Yes</t>
        </is>
      </c>
      <c r="CA63" s="31">
        <f>IF(BZ63="Yes",10,0)</f>
        <v/>
      </c>
    </row>
    <row r="64">
      <c r="A64" s="31">
        <f>IF(B64=0,"",RANK(B64,$B$2:$B$67,0))</f>
        <v/>
      </c>
      <c r="B64" s="32">
        <f>SUM(N64,Y64,AA64,AC64,AE64,AG64,AI64,AK64,AM64,AO64,AQ64,AS64,AU64,AW64,AY64,BA64,BC64,BE64,BG64,BI64,BK64,BM64,BO64,BQ64,BS64,BU64,BW64,BY64,CA64)</f>
        <v/>
      </c>
      <c r="C64" s="31" t="inlineStr">
        <is>
          <t>AIIL</t>
        </is>
      </c>
      <c r="D64" s="31" t="inlineStr">
        <is>
          <t>Authum Investment &amp; Infrastructure Ltd</t>
        </is>
      </c>
      <c r="E64" s="31" t="inlineStr">
        <is>
          <t>financials</t>
        </is>
      </c>
      <c r="F64" s="31" t="inlineStr">
        <is>
          <t>finance &amp; investments</t>
        </is>
      </c>
      <c r="G64" s="31" t="inlineStr">
        <is>
          <t>largecap</t>
        </is>
      </c>
      <c r="H64" s="32" t="n">
        <v>47446.23</v>
      </c>
      <c r="I64" s="32" t="n">
        <v>551.65</v>
      </c>
      <c r="J64" s="32" t="n">
        <v>-1.26</v>
      </c>
      <c r="K64" s="32" t="n">
        <v>636047</v>
      </c>
      <c r="L64" s="31" t="n">
        <v>12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56.92</v>
      </c>
      <c r="P64" s="32" t="n">
        <v>11.21</v>
      </c>
      <c r="Q64" s="32" t="n">
        <v>389.7</v>
      </c>
      <c r="R64" s="31" t="inlineStr">
        <is>
          <t>Volume Spike / Accumulation</t>
        </is>
      </c>
      <c r="S64" s="31" t="inlineStr">
        <is>
          <t>Nifty Bank</t>
        </is>
      </c>
      <c r="T64" s="32" t="n">
        <v>1.86</v>
      </c>
      <c r="U64" s="32" t="n">
        <v>6.58</v>
      </c>
      <c r="V64" s="32" t="n">
        <v>4.64</v>
      </c>
      <c r="W64" s="32" t="n">
        <v>4.58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Fragmented with High ROE</t>
        </is>
      </c>
      <c r="AA64" s="31">
        <f>IF(Z64="Fragmented with Low ROE",-5,IF(Z64="Fragmented with High ROE",10,IF(Z64= "highly cyclical",5,0)))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Consistency)",15,IF(AF64="Shallow Cyclical (2 to 3 years growth)",10,IF(AF64 = "Cyclical in an Uptick",5,IF(AF64 = "Cyclical in an Downtick",-10,0))))</f>
        <v/>
      </c>
      <c r="AH64" s="31" t="inlineStr">
        <is>
          <t>Yes</t>
        </is>
      </c>
      <c r="AI64" s="31">
        <f>IF(AH64="Yes",10,0)</f>
        <v/>
      </c>
      <c r="AJ64" s="31" t="inlineStr">
        <is>
          <t>Yes</t>
        </is>
      </c>
      <c r="AK64" s="31">
        <f>IF(AJ64="Yes",10,0)</f>
        <v/>
      </c>
      <c r="AL64" s="31" t="n"/>
      <c r="AM64" s="31">
        <f>IF(AL64="No",10,0)</f>
        <v/>
      </c>
      <c r="AN64" s="31" t="inlineStr">
        <is>
          <t>Yes</t>
        </is>
      </c>
      <c r="AO64" s="31">
        <f>IF(AN64="Yes",10,0)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Yes</t>
        </is>
      </c>
      <c r="AS64" s="31">
        <f>IF(AR64="Yes",5,0)</f>
        <v/>
      </c>
      <c r="AT64" s="31" t="inlineStr">
        <is>
          <t>No</t>
        </is>
      </c>
      <c r="AU64" s="31">
        <f>IF(AT64="No",10,IF(AT64="Yes",-10,0))</f>
        <v/>
      </c>
      <c r="AV64" s="31" t="inlineStr">
        <is>
          <t>No</t>
        </is>
      </c>
      <c r="AW64" s="31">
        <f>IF(AV64="No",10,0)</f>
        <v/>
      </c>
      <c r="AX64" s="31" t="inlineStr">
        <is>
          <t>No</t>
        </is>
      </c>
      <c r="AY64" s="31">
        <f>IF(AX64="No",10,IF(AX64= "Yes CEO Resignation",-5,0))</f>
        <v/>
      </c>
      <c r="AZ64" s="31" t="inlineStr">
        <is>
          <t>No</t>
        </is>
      </c>
      <c r="BA64" s="31">
        <f>IF(AZ64="No",10,IF(AZ64="Yes",-5,0))</f>
        <v/>
      </c>
      <c r="BB64" s="31" t="inlineStr">
        <is>
          <t>No</t>
        </is>
      </c>
      <c r="BC64" s="31">
        <f>IF(BB64="No",5,IF(BB64="Yes",-5,0))</f>
        <v/>
      </c>
      <c r="BD64" s="31" t="inlineStr">
        <is>
          <t>Yes</t>
        </is>
      </c>
      <c r="BE64" s="31">
        <f>IF(BD64="Yes",10,0)</f>
        <v/>
      </c>
      <c r="BF64" s="31" t="inlineStr">
        <is>
          <t>Yes</t>
        </is>
      </c>
      <c r="BG64" s="31">
        <f>IF(BF64="Yes",10,0)</f>
        <v/>
      </c>
      <c r="BH64" s="31" t="inlineStr">
        <is>
          <t>Yes</t>
        </is>
      </c>
      <c r="BI64" s="31">
        <f>IF(BH64="Yes",10,0)</f>
        <v/>
      </c>
      <c r="BJ64" s="31" t="inlineStr">
        <is>
          <t>P/BV between 2.5x to 5x and Growth less than 20%</t>
        </is>
      </c>
      <c r="BK64" s="31">
        <f>IF(BJ64="P/BV less than 2.5x and Growth more than 20%",20,IF(BJ64 = "P/BV less than 2.5x and Growth less than 20%",5,IF(BJ64="P/BV between 2.5x to 5x and Growth more than 20%",10,IF(BJ64= "P/BV between 2.5x to 5x and Growth less than 20%",-5,IF(BJ64= "P/BV above 5x",-5,0)))))</f>
        <v/>
      </c>
      <c r="BL64" s="31" t="inlineStr">
        <is>
          <t>0 to 20</t>
        </is>
      </c>
      <c r="BM64" s="31">
        <f>IF(BL64="Above 40",20,IF(BL64="20 to 40",10,IF(BL64="0 to 20",-5,0)))</f>
        <v/>
      </c>
      <c r="BN64" s="31" t="inlineStr">
        <is>
          <t>Between 50 to 75</t>
        </is>
      </c>
      <c r="BO64" s="31">
        <f>IF(BN64="Between 50 to 75",10,IF(BN64="Above 75",0,0))</f>
        <v/>
      </c>
      <c r="BP64" s="31" t="inlineStr">
        <is>
          <t>Stage 1</t>
        </is>
      </c>
      <c r="BQ64" s="31">
        <f>IF(BP64="Stage 2",20,IF(BP64="Stage 1",0,IF(BP64="Stage 3",5,IF(BP64="Stage 4",-5,0))))</f>
        <v/>
      </c>
      <c r="BR64" s="31" t="inlineStr">
        <is>
          <t>Positive Trend</t>
        </is>
      </c>
      <c r="BS64" s="31">
        <f>IF(BR64="Positive Trend",20,IF(BR64="Negative Trend",-10,0))</f>
        <v/>
      </c>
      <c r="BT64" s="31" t="inlineStr">
        <is>
          <t>Uptrend</t>
        </is>
      </c>
      <c r="BU64" s="31">
        <f>IF(BT64="Uptrend",10,IF(BT64="Sideways",5,0))</f>
        <v/>
      </c>
      <c r="BV64" s="31" t="inlineStr">
        <is>
          <t>Uptrend</t>
        </is>
      </c>
      <c r="BW64" s="31">
        <f>IF(BV64="Uptrend",10,IF(BV64="Sideways",5,0))</f>
        <v/>
      </c>
      <c r="BX64" s="31" t="inlineStr">
        <is>
          <t>Close to 52 week high or retracement</t>
        </is>
      </c>
      <c r="BY64" s="31">
        <f>IF(BX64="Overhead supply in last 2 years in last 2 years",-5,IF(BX64="Close to 52 week high or retracement",5,IF(BX64="Blue sky scenario",10,IF(BX64="Long term Downtrend",-10,0))))</f>
        <v/>
      </c>
      <c r="BZ64" s="31" t="inlineStr">
        <is>
          <t>Yes</t>
        </is>
      </c>
      <c r="CA64" s="31">
        <f>IF(BZ64="Yes",10,0)</f>
        <v/>
      </c>
    </row>
    <row r="65">
      <c r="A65" s="31">
        <f>IF(B65=0,"",RANK(B65,$B$2:$B$67,0))</f>
        <v/>
      </c>
      <c r="B65" s="32">
        <f>SUM(N65,Y65,AA65,AC65,AE65,AG65,AI65,AK65,AM65,AO65,AQ65,AS65,AU65,AW65,AY65,BA65,BC65,BE65,BG65,BI65,BK65,BM65,BO65,BQ65,BS65,BU65,BW65,BY65,CA65)</f>
        <v/>
      </c>
      <c r="C65" s="33" t="inlineStr">
        <is>
          <t>KOTAKBANK</t>
        </is>
      </c>
      <c r="D65" s="33" t="inlineStr">
        <is>
          <t>Kotak Mahindra Bank Limited</t>
        </is>
      </c>
      <c r="E65" s="31" t="inlineStr">
        <is>
          <t>bank</t>
        </is>
      </c>
      <c r="F65" s="31" t="inlineStr">
        <is>
          <t>banks - private sector</t>
        </is>
      </c>
      <c r="G65" s="31" t="inlineStr">
        <is>
          <t>largecap</t>
        </is>
      </c>
      <c r="H65" s="32" t="n">
        <v>80707.67999999999</v>
      </c>
      <c r="I65" s="32" t="n">
        <v>407.85</v>
      </c>
      <c r="J65" s="32" t="n">
        <v>0.52</v>
      </c>
      <c r="K65" s="32" t="n">
        <v>9079548</v>
      </c>
      <c r="L65" s="31" t="n">
        <v>2</v>
      </c>
      <c r="M65" s="31" t="inlineStr">
        <is>
          <t>Underperforming</t>
        </is>
      </c>
      <c r="N65" s="32">
        <f>IF(M65="Underperforming",-5,IF(L65&gt;=95,15,IF(L65&gt;=90,10,IF(L65&gt;=80,5,0))))</f>
        <v/>
      </c>
      <c r="O65" s="32" t="n">
        <v>55.83</v>
      </c>
      <c r="P65" s="32" t="n">
        <v>18.53</v>
      </c>
      <c r="Q65" s="32" t="n">
        <v>353.18</v>
      </c>
      <c r="R65" s="31" t="inlineStr">
        <is>
          <t>Earnings / Momentum Support</t>
        </is>
      </c>
      <c r="S65" s="31" t="inlineStr">
        <is>
          <t>Nifty Bank</t>
        </is>
      </c>
      <c r="T65" s="32" t="n">
        <v>1.86</v>
      </c>
      <c r="U65" s="32" t="n">
        <v>-5.91</v>
      </c>
      <c r="V65" s="32" t="n">
        <v>-7.62</v>
      </c>
      <c r="W65" s="32" t="n">
        <v>1.47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Fragmented with High ROE</t>
        </is>
      </c>
      <c r="AA65" s="31">
        <f>IF(Z65="Fragmented with Low ROE",-5,IF(Z65="Fragmented with High ROE",10,IF(Z65= "highly cyclical",5,0)))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Consistency)",15,IF(AF65="Shallow Cyclical (2 to 3 years growth)",10,IF(AF65 = "Cyclical in an Uptick",5,IF(AF65 = "Cyclical in an Downtick",-10,0))))</f>
        <v/>
      </c>
      <c r="AH65" s="31" t="inlineStr">
        <is>
          <t>Yes</t>
        </is>
      </c>
      <c r="AI65" s="31">
        <f>IF(AH65="Yes",10,0)</f>
        <v/>
      </c>
      <c r="AJ65" s="31" t="inlineStr">
        <is>
          <t>Yes</t>
        </is>
      </c>
      <c r="AK65" s="31">
        <f>IF(AJ65="Yes",10,0)</f>
        <v/>
      </c>
      <c r="AL65" s="31" t="n"/>
      <c r="AM65" s="31">
        <f>IF(AL65="No",10,0)</f>
        <v/>
      </c>
      <c r="AN65" s="31" t="inlineStr">
        <is>
          <t>Yes</t>
        </is>
      </c>
      <c r="AO65" s="31">
        <f>IF(AN65="Yes",10,0)</f>
        <v/>
      </c>
      <c r="AP65" s="31" t="inlineStr">
        <is>
          <t>No</t>
        </is>
      </c>
      <c r="AQ65" s="31">
        <f>IF(AP65="Yes",10,0)</f>
        <v/>
      </c>
      <c r="AR65" s="31" t="inlineStr">
        <is>
          <t>Yes</t>
        </is>
      </c>
      <c r="AS65" s="31">
        <f>IF(AR65="Yes",5,0)</f>
        <v/>
      </c>
      <c r="AT65" s="31" t="inlineStr">
        <is>
          <t>No</t>
        </is>
      </c>
      <c r="AU65" s="31">
        <f>IF(AT65="No",10,IF(AT65="Yes",-10,0))</f>
        <v/>
      </c>
      <c r="AV65" s="31" t="inlineStr">
        <is>
          <t>No</t>
        </is>
      </c>
      <c r="AW65" s="31">
        <f>IF(AV65="No",10,0)</f>
        <v/>
      </c>
      <c r="AX65" s="31" t="inlineStr">
        <is>
          <t>No</t>
        </is>
      </c>
      <c r="AY65" s="31">
        <f>IF(AX65="No",10,IF(AX65= "Yes CEO Resignation",-5,0))</f>
        <v/>
      </c>
      <c r="AZ65" s="31" t="inlineStr">
        <is>
          <t>No</t>
        </is>
      </c>
      <c r="BA65" s="31">
        <f>IF(AZ65="No",10,IF(AZ65="Yes",-5,0))</f>
        <v/>
      </c>
      <c r="BB65" s="31" t="inlineStr">
        <is>
          <t>No</t>
        </is>
      </c>
      <c r="BC65" s="31">
        <f>IF(BB65="No",5,IF(BB65="Yes",-5,0))</f>
        <v/>
      </c>
      <c r="BD65" s="31" t="inlineStr">
        <is>
          <t>Yes</t>
        </is>
      </c>
      <c r="BE65" s="31">
        <f>IF(BD65="Yes",10,0)</f>
        <v/>
      </c>
      <c r="BF65" s="31" t="inlineStr">
        <is>
          <t>Yes</t>
        </is>
      </c>
      <c r="BG65" s="31">
        <f>IF(BF65="Yes",10,0)</f>
        <v/>
      </c>
      <c r="BH65" s="31" t="inlineStr">
        <is>
          <t>Yes</t>
        </is>
      </c>
      <c r="BI65" s="31">
        <f>IF(BH65="Yes",10,0)</f>
        <v/>
      </c>
      <c r="BJ65" s="31" t="inlineStr">
        <is>
          <t>P/BV less than 2.5x and Growth less than 20%</t>
        </is>
      </c>
      <c r="BK65" s="31">
        <f>IF(BJ65="P/BV less than 2.5x and Growth more than 20%",20,IF(BJ65 = "P/BV less than 2.5x and Growth less than 20%",5,IF(BJ65="P/BV between 2.5x to 5x and Growth more than 20%",10,IF(BJ65= "P/BV between 2.5x to 5x and Growth less than 20%",-5,IF(BJ65= "P/BV above 5x",-5,0)))))</f>
        <v/>
      </c>
      <c r="BL65" s="31" t="inlineStr">
        <is>
          <t>0 to 20</t>
        </is>
      </c>
      <c r="BM65" s="31">
        <f>IF(BL65="Above 40",20,IF(BL65="20 to 40",10,IF(BL65="0 to 20",-5,0)))</f>
        <v/>
      </c>
      <c r="BN65" s="31" t="inlineStr">
        <is>
          <t>Between 50 to 75</t>
        </is>
      </c>
      <c r="BO65" s="31">
        <f>IF(BN65="Between 50 to 75",10,IF(BN65="Above 75",0,0))</f>
        <v/>
      </c>
      <c r="BP65" s="31" t="inlineStr">
        <is>
          <t>Stage 1</t>
        </is>
      </c>
      <c r="BQ65" s="31">
        <f>IF(BP65="Stage 2",20,IF(BP65="Stage 1",0,IF(BP65="Stage 3",5,IF(BP65="Stage 4",-5,0))))</f>
        <v/>
      </c>
      <c r="BR65" s="31" t="inlineStr">
        <is>
          <t>Positive Trend</t>
        </is>
      </c>
      <c r="BS65" s="31">
        <f>IF(BR65="Positive Trend",20,IF(BR65="Negative Trend",-10,0))</f>
        <v/>
      </c>
      <c r="BT65" s="31" t="inlineStr">
        <is>
          <t>Uptrend</t>
        </is>
      </c>
      <c r="BU65" s="31">
        <f>IF(BT65="Uptrend",10,IF(BT65="Sideways",5,0))</f>
        <v/>
      </c>
      <c r="BV65" s="31" t="inlineStr">
        <is>
          <t>Uptrend</t>
        </is>
      </c>
      <c r="BW65" s="31">
        <f>IF(BV65="Uptrend",10,IF(BV65="Sideways",5,0))</f>
        <v/>
      </c>
      <c r="BX65" s="31" t="inlineStr">
        <is>
          <t>Close to 52 week high or retracement</t>
        </is>
      </c>
      <c r="BY65" s="31">
        <f>IF(BX65="Overhead supply in last 2 years in last 2 years",-5,IF(BX65="Close to 52 week high or retracement",5,IF(BX65="Blue sky scenario",10,IF(BX65="Long term Downtrend",-10,0))))</f>
        <v/>
      </c>
      <c r="BZ65" s="31" t="inlineStr">
        <is>
          <t>Yes</t>
        </is>
      </c>
      <c r="CA65" s="31">
        <f>IF(BZ65="Yes",10,0)</f>
        <v/>
      </c>
    </row>
    <row r="66">
      <c r="A66" s="31">
        <f>IF(B66=0,"",RANK(B66,$B$2:$B$67,0))</f>
        <v/>
      </c>
      <c r="B66" s="32">
        <f>SUM(N66,Y66,AA66,AC66,AE66,AG66,AI66,AK66,AM66,AO66,AQ66,AS66,AU66,AW66,AY66,BA66,BC66,BE66,BG66,BI66,BK66,BM66,BO66,BQ66,BS66,BU66,BW66,BY66,CA66)</f>
        <v/>
      </c>
      <c r="C66" s="31" t="inlineStr">
        <is>
          <t>BAJFINANCE</t>
        </is>
      </c>
      <c r="D66" s="31" t="inlineStr">
        <is>
          <t>Bajaj Finance Limited</t>
        </is>
      </c>
      <c r="E66" s="31" t="inlineStr">
        <is>
          <t>financials</t>
        </is>
      </c>
      <c r="F66" s="31" t="inlineStr">
        <is>
          <t>finance &amp; investments</t>
        </is>
      </c>
      <c r="G66" s="31" t="inlineStr">
        <is>
          <t>largecap</t>
        </is>
      </c>
      <c r="H66" s="32" t="n">
        <v>586344.47</v>
      </c>
      <c r="I66" s="32" t="n">
        <v>959.65</v>
      </c>
      <c r="J66" s="32" t="n">
        <v>1.84</v>
      </c>
      <c r="K66" s="32" t="n">
        <v>9335988</v>
      </c>
      <c r="L66" s="31" t="n">
        <v>15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53.87</v>
      </c>
      <c r="P66" s="32" t="n">
        <v>13.57</v>
      </c>
      <c r="Q66" s="32" t="n">
        <v>784.53</v>
      </c>
      <c r="R66" s="31" t="inlineStr">
        <is>
          <t>Earnings / Momentum Support</t>
        </is>
      </c>
      <c r="S66" s="31" t="inlineStr">
        <is>
          <t>Nifty Bank</t>
        </is>
      </c>
      <c r="T66" s="32" t="n">
        <v>1.86</v>
      </c>
      <c r="U66" s="32" t="n">
        <v>6.04</v>
      </c>
      <c r="V66" s="32" t="n">
        <v>4.11</v>
      </c>
      <c r="W66" s="32" t="n">
        <v>4.94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Fragmented with High ROE</t>
        </is>
      </c>
      <c r="AA66" s="31">
        <f>IF(Z66="Fragmented with Low ROE",-5,IF(Z66="Fragmented with High ROE",10,IF(Z66= "highly cyclical",5,0)))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Consistency)",15,IF(AF66="Shallow Cyclical (2 to 3 years growth)",10,IF(AF66 = "Cyclical in an Uptick",5,IF(AF66 = "Cyclical in an Downtick",-10,0))))</f>
        <v/>
      </c>
      <c r="AH66" s="31" t="inlineStr">
        <is>
          <t>Yes</t>
        </is>
      </c>
      <c r="AI66" s="31">
        <f>IF(AH66="Yes",10,0)</f>
        <v/>
      </c>
      <c r="AJ66" s="31" t="inlineStr">
        <is>
          <t>Yes</t>
        </is>
      </c>
      <c r="AK66" s="31">
        <f>IF(AJ66="Yes",10,0)</f>
        <v/>
      </c>
      <c r="AL66" s="31" t="n"/>
      <c r="AM66" s="31">
        <f>IF(AL66="No",10,0)</f>
        <v/>
      </c>
      <c r="AN66" s="31" t="inlineStr">
        <is>
          <t>Yes</t>
        </is>
      </c>
      <c r="AO66" s="31">
        <f>IF(AN66="Yes",10,0)</f>
        <v/>
      </c>
      <c r="AP66" s="31" t="inlineStr">
        <is>
          <t>No</t>
        </is>
      </c>
      <c r="AQ66" s="31">
        <f>IF(AP66="Yes",10,0)</f>
        <v/>
      </c>
      <c r="AR66" s="31" t="inlineStr">
        <is>
          <t>Yes</t>
        </is>
      </c>
      <c r="AS66" s="31">
        <f>IF(AR66="Yes",5,0)</f>
        <v/>
      </c>
      <c r="AT66" s="31" t="inlineStr">
        <is>
          <t>No</t>
        </is>
      </c>
      <c r="AU66" s="31">
        <f>IF(AT66="No",10,IF(AT66="Yes",-10,0))</f>
        <v/>
      </c>
      <c r="AV66" s="31" t="inlineStr">
        <is>
          <t>No</t>
        </is>
      </c>
      <c r="AW66" s="31">
        <f>IF(AV66="No",10,0)</f>
        <v/>
      </c>
      <c r="AX66" s="31" t="inlineStr">
        <is>
          <t>No</t>
        </is>
      </c>
      <c r="AY66" s="31">
        <f>IF(AX66="No",10,IF(AX66= "Yes CEO Resignation",-5,0))</f>
        <v/>
      </c>
      <c r="AZ66" s="31" t="inlineStr">
        <is>
          <t>No</t>
        </is>
      </c>
      <c r="BA66" s="31">
        <f>IF(AZ66="No",10,IF(AZ66="Yes",-5,0))</f>
        <v/>
      </c>
      <c r="BB66" s="31" t="inlineStr">
        <is>
          <t>No</t>
        </is>
      </c>
      <c r="BC66" s="31">
        <f>IF(BB66="No",5,IF(BB66="Yes",-5,0))</f>
        <v/>
      </c>
      <c r="BD66" s="31" t="inlineStr">
        <is>
          <t>Yes</t>
        </is>
      </c>
      <c r="BE66" s="31">
        <f>IF(BD66="Yes",10,0)</f>
        <v/>
      </c>
      <c r="BF66" s="31" t="inlineStr">
        <is>
          <t>Yes</t>
        </is>
      </c>
      <c r="BG66" s="31">
        <f>IF(BF66="Yes",10,0)</f>
        <v/>
      </c>
      <c r="BH66" s="31" t="inlineStr">
        <is>
          <t>Yes</t>
        </is>
      </c>
      <c r="BI66" s="31">
        <f>IF(BH66="Yes",10,0)</f>
        <v/>
      </c>
      <c r="BJ66" s="31" t="inlineStr">
        <is>
          <t>P/BV above 5x</t>
        </is>
      </c>
      <c r="BK66" s="31">
        <f>IF(BJ66="P/BV less than 2.5x and Growth more than 20%",20,IF(BJ66 = "P/BV less than 2.5x and Growth less than 20%",5,IF(BJ66="P/BV between 2.5x to 5x and Growth more than 20%",10,IF(BJ66= "P/BV between 2.5x to 5x and Growth less than 20%",-5,IF(BJ66= "P/BV above 5x",-5,0)))))</f>
        <v/>
      </c>
      <c r="BL66" s="31" t="inlineStr">
        <is>
          <t>0 to 20</t>
        </is>
      </c>
      <c r="BM66" s="31">
        <f>IF(BL66="Above 40",20,IF(BL66="20 to 40",10,IF(BL66="0 to 20",-5,0)))</f>
        <v/>
      </c>
      <c r="BN66" s="31" t="inlineStr">
        <is>
          <t>Between 50 to 75</t>
        </is>
      </c>
      <c r="BO66" s="31">
        <f>IF(BN66="Between 50 to 75",10,IF(BN66="Above 75",0,0))</f>
        <v/>
      </c>
      <c r="BP66" s="31" t="inlineStr">
        <is>
          <t>Stage 1</t>
        </is>
      </c>
      <c r="BQ66" s="31">
        <f>IF(BP66="Stage 2",20,IF(BP66="Stage 1",0,IF(BP66="Stage 3",5,IF(BP66="Stage 4",-5,0))))</f>
        <v/>
      </c>
      <c r="BR66" s="31" t="inlineStr">
        <is>
          <t>Positive Trend</t>
        </is>
      </c>
      <c r="BS66" s="31">
        <f>IF(BR66="Positive Trend",20,IF(BR66="Negative Trend",-10,0))</f>
        <v/>
      </c>
      <c r="BT66" s="31" t="inlineStr">
        <is>
          <t>Uptrend</t>
        </is>
      </c>
      <c r="BU66" s="31">
        <f>IF(BT66="Uptrend",10,IF(BT66="Sideways",5,0))</f>
        <v/>
      </c>
      <c r="BV66" s="31" t="inlineStr">
        <is>
          <t>Uptrend</t>
        </is>
      </c>
      <c r="BW66" s="31">
        <f>IF(BV66="Uptrend",10,IF(BV66="Sideways",5,0))</f>
        <v/>
      </c>
      <c r="BX66" s="31" t="inlineStr">
        <is>
          <t>Close to 52 week high or retracement</t>
        </is>
      </c>
      <c r="BY66" s="31">
        <f>IF(BX66="Overhead supply in last 2 years in last 2 years",-5,IF(BX66="Close to 52 week high or retracement",5,IF(BX66="Blue sky scenario",10,IF(BX66="Long term Downtrend",-10,0))))</f>
        <v/>
      </c>
      <c r="BZ66" s="31" t="inlineStr">
        <is>
          <t>Yes</t>
        </is>
      </c>
      <c r="CA66" s="31">
        <f>IF(BZ66="Yes",10,0)</f>
        <v/>
      </c>
    </row>
    <row r="67">
      <c r="A67" s="31">
        <f>IF(B67=0,"",RANK(B67,$B$2:$B$67,0))</f>
        <v/>
      </c>
      <c r="B67" s="32">
        <f>SUM(N67,Y67,AA67,AC67,AE67,AG67,AI67,AK67,AM67,AO67,AQ67,AS67,AU67,AW67,AY67,BA67,BC67,BE67,BG67,BI67,BK67,BM67,BO67,BQ67,BS67,BU67,BW67,BY67,CA67)</f>
        <v/>
      </c>
      <c r="C67" s="33" t="inlineStr">
        <is>
          <t>ICICIBANK</t>
        </is>
      </c>
      <c r="D67" s="33" t="inlineStr">
        <is>
          <t>Icici Bank Limited</t>
        </is>
      </c>
      <c r="E67" s="31" t="inlineStr">
        <is>
          <t>bank</t>
        </is>
      </c>
      <c r="F67" s="31" t="inlineStr">
        <is>
          <t>banks - private sector</t>
        </is>
      </c>
      <c r="G67" s="31" t="inlineStr">
        <is>
          <t>largecap</t>
        </is>
      </c>
      <c r="H67" s="32" t="n">
        <v>950576.54</v>
      </c>
      <c r="I67" s="32" t="n">
        <v>1334.3</v>
      </c>
      <c r="J67" s="32" t="n">
        <v>0.5</v>
      </c>
      <c r="K67" s="32" t="n">
        <v>13069159</v>
      </c>
      <c r="L67" s="31" t="n">
        <v>1</v>
      </c>
      <c r="M67" s="31" t="inlineStr">
        <is>
          <t>Underperforming</t>
        </is>
      </c>
      <c r="N67" s="32">
        <f>IF(M67="Underperforming",-5,IF(L67&gt;=95,15,IF(L67&gt;=90,10,IF(L67&gt;=80,5,0))))</f>
        <v/>
      </c>
      <c r="O67" s="32" t="n">
        <v>52.84</v>
      </c>
      <c r="P67" s="32" t="n">
        <v>15.07</v>
      </c>
      <c r="Q67" s="32" t="n">
        <v>1172.5</v>
      </c>
      <c r="R67" s="31" t="inlineStr">
        <is>
          <t>Earnings / Momentum Support</t>
        </is>
      </c>
      <c r="S67" s="31" t="inlineStr">
        <is>
          <t>Nifty Bank</t>
        </is>
      </c>
      <c r="T67" s="32" t="n">
        <v>1.86</v>
      </c>
      <c r="U67" s="32" t="n">
        <v>-5.78</v>
      </c>
      <c r="V67" s="32" t="n">
        <v>-7.5</v>
      </c>
      <c r="W67" s="32" t="n">
        <v>0.37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Fragmented with High ROE</t>
        </is>
      </c>
      <c r="AA67" s="31">
        <f>IF(Z67="Fragmented with Low ROE",-5,IF(Z67="Fragmented with High ROE",10,IF(Z67= "highly cyclical",5,0)))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Consistency)",15,IF(AF67="Shallow Cyclical (2 to 3 years growth)",10,IF(AF67 = "Cyclical in an Uptick",5,IF(AF67 = "Cyclical in an Downtick",-10,0))))</f>
        <v/>
      </c>
      <c r="AH67" s="31" t="inlineStr">
        <is>
          <t>Yes</t>
        </is>
      </c>
      <c r="AI67" s="31">
        <f>IF(AH67="Yes",10,0)</f>
        <v/>
      </c>
      <c r="AJ67" s="31" t="inlineStr">
        <is>
          <t>Yes</t>
        </is>
      </c>
      <c r="AK67" s="31">
        <f>IF(AJ67="Yes",10,0)</f>
        <v/>
      </c>
      <c r="AL67" s="31" t="n"/>
      <c r="AM67" s="31">
        <f>IF(AL67="No",10,0)</f>
        <v/>
      </c>
      <c r="AN67" s="31" t="inlineStr">
        <is>
          <t>Yes</t>
        </is>
      </c>
      <c r="AO67" s="31">
        <f>IF(AN67="Yes",10,0)</f>
        <v/>
      </c>
      <c r="AP67" s="31" t="inlineStr">
        <is>
          <t>No</t>
        </is>
      </c>
      <c r="AQ67" s="31">
        <f>IF(AP67="Yes",10,0)</f>
        <v/>
      </c>
      <c r="AR67" s="31" t="inlineStr">
        <is>
          <t>Yes</t>
        </is>
      </c>
      <c r="AS67" s="31">
        <f>IF(AR67="Yes",5,0)</f>
        <v/>
      </c>
      <c r="AT67" s="31" t="inlineStr">
        <is>
          <t>No</t>
        </is>
      </c>
      <c r="AU67" s="31">
        <f>IF(AT67="No",10,IF(AT67="Yes",-10,0))</f>
        <v/>
      </c>
      <c r="AV67" s="31" t="inlineStr">
        <is>
          <t>No</t>
        </is>
      </c>
      <c r="AW67" s="31">
        <f>IF(AV67="No",10,0)</f>
        <v/>
      </c>
      <c r="AX67" s="31" t="inlineStr">
        <is>
          <t>No</t>
        </is>
      </c>
      <c r="AY67" s="31">
        <f>IF(AX67="No",10,IF(AX67= "Yes CEO Resignation",-5,0))</f>
        <v/>
      </c>
      <c r="AZ67" s="31" t="inlineStr">
        <is>
          <t>No</t>
        </is>
      </c>
      <c r="BA67" s="31">
        <f>IF(AZ67="No",10,IF(AZ67="Yes",-5,0))</f>
        <v/>
      </c>
      <c r="BB67" s="31" t="inlineStr">
        <is>
          <t>No</t>
        </is>
      </c>
      <c r="BC67" s="31">
        <f>IF(BB67="No",5,IF(BB67="Yes",-5,0))</f>
        <v/>
      </c>
      <c r="BD67" s="31" t="inlineStr">
        <is>
          <t>Yes</t>
        </is>
      </c>
      <c r="BE67" s="31">
        <f>IF(BD67="Yes",10,0)</f>
        <v/>
      </c>
      <c r="BF67" s="31" t="inlineStr">
        <is>
          <t>Yes</t>
        </is>
      </c>
      <c r="BG67" s="31">
        <f>IF(BF67="Yes",10,0)</f>
        <v/>
      </c>
      <c r="BH67" s="31" t="inlineStr">
        <is>
          <t>Yes</t>
        </is>
      </c>
      <c r="BI67" s="31">
        <f>IF(BH67="Yes",10,0)</f>
        <v/>
      </c>
      <c r="BJ67" s="31" t="inlineStr">
        <is>
          <t>P/BV between 2.5x to 5x and Growth less than 20%</t>
        </is>
      </c>
      <c r="BK67" s="31">
        <f>IF(BJ67="P/BV less than 2.5x and Growth more than 20%",20,IF(BJ67 = "P/BV less than 2.5x and Growth less than 20%",5,IF(BJ67="P/BV between 2.5x to 5x and Growth more than 20%",10,IF(BJ67= "P/BV between 2.5x to 5x and Growth less than 20%",-5,IF(BJ67= "P/BV above 5x",-5,0)))))</f>
        <v/>
      </c>
      <c r="BL67" s="31" t="inlineStr">
        <is>
          <t>0 to 20</t>
        </is>
      </c>
      <c r="BM67" s="31">
        <f>IF(BL67="Above 40",20,IF(BL67="20 to 40",10,IF(BL67="0 to 20",-5,0)))</f>
        <v/>
      </c>
      <c r="BN67" s="31" t="inlineStr">
        <is>
          <t>Between 50 to 75</t>
        </is>
      </c>
      <c r="BO67" s="31">
        <f>IF(BN67="Between 50 to 75",10,IF(BN67="Above 75",0,0))</f>
        <v/>
      </c>
      <c r="BP67" s="31" t="inlineStr">
        <is>
          <t>Stage 1</t>
        </is>
      </c>
      <c r="BQ67" s="31">
        <f>IF(BP67="Stage 2",20,IF(BP67="Stage 1",0,IF(BP67="Stage 3",5,IF(BP67="Stage 4",-5,0))))</f>
        <v/>
      </c>
      <c r="BR67" s="31" t="inlineStr">
        <is>
          <t>Positive Trend</t>
        </is>
      </c>
      <c r="BS67" s="31">
        <f>IF(BR67="Positive Trend",20,IF(BR67="Negative Trend",-10,0))</f>
        <v/>
      </c>
      <c r="BT67" s="31" t="inlineStr">
        <is>
          <t>Uptrend</t>
        </is>
      </c>
      <c r="BU67" s="31">
        <f>IF(BT67="Uptrend",10,IF(BT67="Sideways",5,0))</f>
        <v/>
      </c>
      <c r="BV67" s="31" t="inlineStr">
        <is>
          <t>Uptrend</t>
        </is>
      </c>
      <c r="BW67" s="31">
        <f>IF(BV67="Uptrend",10,IF(BV67="Sideways",5,0))</f>
        <v/>
      </c>
      <c r="BX67" s="31" t="inlineStr">
        <is>
          <t>Close to 52 week high or retracement</t>
        </is>
      </c>
      <c r="BY67" s="31">
        <f>IF(BX67="Overhead supply in last 2 years in last 2 years",-5,IF(BX67="Close to 52 week high or retracement",5,IF(BX67="Blue sky scenario",10,IF(BX67="Long term Downtrend",-10,0))))</f>
        <v/>
      </c>
      <c r="BZ67" s="31" t="inlineStr">
        <is>
          <t>Yes</t>
        </is>
      </c>
      <c r="CA67" s="31">
        <f>IF(BZ67="Yes",10,0)</f>
        <v/>
      </c>
    </row>
  </sheetData>
  <autoFilter ref="A1:CA67"/>
  <conditionalFormatting sqref="B2:B6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6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6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6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6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6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6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6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6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6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6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6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6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6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6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6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6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6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6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6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6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6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6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6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6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6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6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6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6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7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67">
    <cfRule type="cellIs" priority="34" operator="equal" dxfId="3" stopIfTrue="1">
      <formula>"Underperforming"</formula>
    </cfRule>
  </conditionalFormatting>
  <conditionalFormatting sqref="N2:N67">
    <cfRule type="cellIs" priority="35" operator="equal" dxfId="3" stopIfTrue="1">
      <formula>-5</formula>
    </cfRule>
  </conditionalFormatting>
  <conditionalFormatting sqref="Q2:Q67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67" showDropDown="0" showInputMessage="0" showErrorMessage="0" allowBlank="1" type="list">
      <formula1>"Growing Industry,Stagnant Industry,Cyclical in an Upturn"</formula1>
    </dataValidation>
    <dataValidation sqref="Z2:Z67" showDropDown="0" showInputMessage="0" showErrorMessage="0" allowBlank="1" type="list">
      <formula1>"Fragmented with Low ROE,Fragmented with High ROE,Highly Cyclical"</formula1>
    </dataValidation>
    <dataValidation sqref="AB2:AB67" showDropDown="0" showInputMessage="0" showErrorMessage="0" allowBlank="1" type="list">
      <formula1>"Yes,No"</formula1>
    </dataValidation>
    <dataValidation sqref="AD2:AD67" showDropDown="0" showInputMessage="0" showErrorMessage="0" allowBlank="1" type="list">
      <formula1>"Tailwind,Headwind"</formula1>
    </dataValidation>
    <dataValidation sqref="AF2:AF6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67" showDropDown="0" showInputMessage="0" showErrorMessage="0" allowBlank="1" type="list">
      <formula1>"Yes,No"</formula1>
    </dataValidation>
    <dataValidation sqref="AJ2:AJ67" showDropDown="0" showInputMessage="0" showErrorMessage="0" allowBlank="1" type="list">
      <formula1>"Yes,No,Not Applicable"</formula1>
    </dataValidation>
    <dataValidation sqref="AL2:AL67" showDropDown="0" showInputMessage="0" showErrorMessage="0" allowBlank="1" type="list">
      <formula1>"Yes,No"</formula1>
    </dataValidation>
    <dataValidation sqref="AN2:AN67" showDropDown="0" showInputMessage="0" showErrorMessage="0" allowBlank="1" type="list">
      <formula1>"Yes,No"</formula1>
    </dataValidation>
    <dataValidation sqref="AP2:AP67" showDropDown="0" showInputMessage="0" showErrorMessage="0" allowBlank="1" type="list">
      <formula1>"Yes,No"</formula1>
    </dataValidation>
    <dataValidation sqref="AR2:AR67" showDropDown="0" showInputMessage="0" showErrorMessage="0" allowBlank="1" type="list">
      <formula1>"Yes,No"</formula1>
    </dataValidation>
    <dataValidation sqref="AT2:AT67" showDropDown="0" showInputMessage="0" showErrorMessage="0" allowBlank="1" type="list">
      <formula1>"No,Yes"</formula1>
    </dataValidation>
    <dataValidation sqref="AV2:AV67" showDropDown="0" showInputMessage="0" showErrorMessage="0" allowBlank="1" type="list">
      <formula1>"No,Yes"</formula1>
    </dataValidation>
    <dataValidation sqref="AX2:AX67" showDropDown="0" showInputMessage="0" showErrorMessage="0" allowBlank="1" type="list">
      <formula1>"No,Yes CEO Resignation,Yes CEO Retirement"</formula1>
    </dataValidation>
    <dataValidation sqref="AZ2:AZ67" showDropDown="0" showInputMessage="0" showErrorMessage="0" allowBlank="1" type="list">
      <formula1>"No,Yes"</formula1>
    </dataValidation>
    <dataValidation sqref="BB2:BB67" showDropDown="0" showInputMessage="0" showErrorMessage="0" allowBlank="1" type="list">
      <formula1>"No,Yes"</formula1>
    </dataValidation>
    <dataValidation sqref="BD2:BD67" showDropDown="0" showInputMessage="0" showErrorMessage="0" allowBlank="1" type="list">
      <formula1>"Yes,No"</formula1>
    </dataValidation>
    <dataValidation sqref="BF2:BF67" showDropDown="0" showInputMessage="0" showErrorMessage="0" allowBlank="1" type="list">
      <formula1>"Yes,No"</formula1>
    </dataValidation>
    <dataValidation sqref="BH2:BH67" showDropDown="0" showInputMessage="0" showErrorMessage="0" allowBlank="1" type="list">
      <formula1>"Yes,No"</formula1>
    </dataValidation>
    <dataValidation sqref="BJ2:BJ6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67" showDropDown="0" showInputMessage="0" showErrorMessage="0" allowBlank="1" type="list">
      <formula1>"Above 40,20 to 40,0 to 20"</formula1>
    </dataValidation>
    <dataValidation sqref="BN2:BN67" showDropDown="0" showInputMessage="0" showErrorMessage="0" allowBlank="1" type="list">
      <formula1>"Between 50 to 75,Above 75,Below 45"</formula1>
    </dataValidation>
    <dataValidation sqref="BP2:BP67" showDropDown="0" showInputMessage="0" showErrorMessage="0" allowBlank="1" type="list">
      <formula1>"Stage 1,Stage 2,Stage 3,Stage 4"</formula1>
    </dataValidation>
    <dataValidation sqref="BR2:BR67" showDropDown="0" showInputMessage="0" showErrorMessage="0" allowBlank="1" type="list">
      <formula1>"Positive Trend,Negative Trend"</formula1>
    </dataValidation>
    <dataValidation sqref="BT2:BT67" showDropDown="0" showInputMessage="0" showErrorMessage="0" allowBlank="1" type="list">
      <formula1>"Uptrend,Sideways,Downtrend"</formula1>
    </dataValidation>
    <dataValidation sqref="BV2:BV67" showDropDown="0" showInputMessage="0" showErrorMessage="0" allowBlank="1" type="list">
      <formula1>"Uptrend,Sideways,Downtrend"</formula1>
    </dataValidation>
    <dataValidation sqref="BX2:BX6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6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19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IF(B2=0,"",RANK(B2,$B$2:$B$19,0))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140</v>
      </c>
      <c r="E2" s="32" t="inlineStr">
        <is>
          <t>5%</t>
        </is>
      </c>
      <c r="F2" s="32" t="n">
        <v>50000</v>
      </c>
      <c r="G2" s="32" t="n">
        <v>2075</v>
      </c>
      <c r="H2" s="31" t="inlineStr">
        <is>
          <t>GAYAPROJ</t>
        </is>
      </c>
      <c r="I2" s="31" t="inlineStr">
        <is>
          <t>Gayatri Projects Limited</t>
        </is>
      </c>
      <c r="J2" s="31" t="inlineStr">
        <is>
          <t>realty</t>
        </is>
      </c>
      <c r="K2" s="31" t="inlineStr">
        <is>
          <t>construction</t>
        </is>
      </c>
      <c r="L2" s="31" t="inlineStr">
        <is>
          <t>smallcap</t>
        </is>
      </c>
      <c r="M2" s="32" t="n">
        <v>679.78</v>
      </c>
      <c r="N2" s="32" t="n">
        <v>24.09</v>
      </c>
      <c r="O2" s="32" t="n">
        <v>4.97</v>
      </c>
      <c r="P2" s="32" t="n">
        <v>562646</v>
      </c>
      <c r="Q2" s="31" t="n">
        <v>94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79.42</v>
      </c>
      <c r="U2" s="32" t="n">
        <v>60.05</v>
      </c>
      <c r="V2" s="32" t="n">
        <v>19.51</v>
      </c>
      <c r="W2" s="31" t="inlineStr">
        <is>
          <t>Near 52W High Breakout</t>
        </is>
      </c>
      <c r="X2" s="31" t="inlineStr">
        <is>
          <t>Nifty Realty</t>
        </is>
      </c>
      <c r="Y2" s="32" t="n">
        <v>-19.29</v>
      </c>
      <c r="Z2" s="32" t="n">
        <v>181.75</v>
      </c>
      <c r="AA2" s="32" t="n">
        <v>249.1</v>
      </c>
      <c r="AB2" s="32" t="n">
        <v>41.93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Above 2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IF(B3=0,"",RANK(B3,$B$2:$B$19,0))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138.4</v>
      </c>
      <c r="E3" s="32" t="inlineStr">
        <is>
          <t>5%</t>
        </is>
      </c>
      <c r="F3" s="32" t="n">
        <v>50000</v>
      </c>
      <c r="G3" s="32" t="n">
        <v>75</v>
      </c>
      <c r="H3" s="31" t="inlineStr">
        <is>
          <t>RPTECH</t>
        </is>
      </c>
      <c r="I3" s="31" t="inlineStr">
        <is>
          <t>Rashi Peripherals Ltd</t>
        </is>
      </c>
      <c r="J3" s="31" t="inlineStr">
        <is>
          <t>services</t>
        </is>
      </c>
      <c r="K3" s="31" t="inlineStr">
        <is>
          <t>trading</t>
        </is>
      </c>
      <c r="L3" s="31" t="inlineStr">
        <is>
          <t>smallcap</t>
        </is>
      </c>
      <c r="M3" s="32" t="n">
        <v>3698.62</v>
      </c>
      <c r="N3" s="32" t="n">
        <v>662.6</v>
      </c>
      <c r="O3" s="32" t="n">
        <v>18.06</v>
      </c>
      <c r="P3" s="32" t="n">
        <v>17060651</v>
      </c>
      <c r="Q3" s="31" t="n">
        <v>93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85.31</v>
      </c>
      <c r="U3" s="32" t="n">
        <v>53.47</v>
      </c>
      <c r="V3" s="32" t="n">
        <v>518.3</v>
      </c>
      <c r="W3" s="31" t="inlineStr">
        <is>
          <t>Volume Spike &amp; Near 52W High Breakout</t>
        </is>
      </c>
      <c r="X3" s="31" t="inlineStr">
        <is>
          <t>Nifty 50</t>
        </is>
      </c>
      <c r="Y3" s="32" t="n">
        <v>-4.47</v>
      </c>
      <c r="Z3" s="32" t="n">
        <v>125.35</v>
      </c>
      <c r="AA3" s="32" t="n">
        <v>135.9</v>
      </c>
      <c r="AB3" s="32" t="n">
        <v>40.59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Less than 50%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IF(B4=0,"",RANK(B4,$B$2:$B$19,0))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139.9</v>
      </c>
      <c r="E4" s="32" t="inlineStr">
        <is>
          <t>5%</t>
        </is>
      </c>
      <c r="F4" s="32" t="n">
        <v>50000</v>
      </c>
      <c r="G4" s="32" t="n">
        <v>303</v>
      </c>
      <c r="H4" s="31" t="inlineStr">
        <is>
          <t>CUPID</t>
        </is>
      </c>
      <c r="I4" s="31" t="inlineStr">
        <is>
          <t>Cupid Limited</t>
        </is>
      </c>
      <c r="J4" s="31" t="inlineStr">
        <is>
          <t>fmcg</t>
        </is>
      </c>
      <c r="K4" s="31" t="inlineStr">
        <is>
          <t>personal care - indian</t>
        </is>
      </c>
      <c r="L4" s="31" t="inlineStr">
        <is>
          <t>largecap</t>
        </is>
      </c>
      <c r="M4" s="32" t="n">
        <v>22164.04</v>
      </c>
      <c r="N4" s="32" t="n">
        <v>164.89</v>
      </c>
      <c r="O4" s="32" t="n">
        <v>0.04</v>
      </c>
      <c r="P4" s="32" t="n">
        <v>32502732</v>
      </c>
      <c r="Q4" s="31" t="n">
        <v>99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82.47</v>
      </c>
      <c r="U4" s="32" t="n">
        <v>48.43</v>
      </c>
      <c r="V4" s="32" t="n">
        <v>128.63</v>
      </c>
      <c r="W4" s="31" t="inlineStr">
        <is>
          <t>Near 52W High Breakout</t>
        </is>
      </c>
      <c r="X4" s="31" t="inlineStr">
        <is>
          <t>Nifty FMCG</t>
        </is>
      </c>
      <c r="Y4" s="32" t="n">
        <v>-9.130000000000001</v>
      </c>
      <c r="Z4" s="32" t="n">
        <v>787.27</v>
      </c>
      <c r="AA4" s="32" t="n">
        <v>876.4299999999999</v>
      </c>
      <c r="AB4" s="32" t="n">
        <v>88.55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B2C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Annuity, Lower One Time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Above 2</t>
        </is>
      </c>
      <c r="BZ4" s="31">
        <f>IF(BY4="Above 2",0,IF(BY4="Between 1.5 to 2",5,IF(BY4="Less than 1.5",10,0)))</f>
        <v/>
      </c>
      <c r="CA4" s="31" t="inlineStr">
        <is>
          <t>Less than 50%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IF(B5=0,"",RANK(B5,$B$2:$B$19,0))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137.2</v>
      </c>
      <c r="E5" s="32" t="inlineStr">
        <is>
          <t>5%</t>
        </is>
      </c>
      <c r="F5" s="32" t="n">
        <v>50000</v>
      </c>
      <c r="G5" s="32" t="n">
        <v>22</v>
      </c>
      <c r="H5" s="31" t="inlineStr">
        <is>
          <t>SJS</t>
        </is>
      </c>
      <c r="I5" s="31" t="inlineStr">
        <is>
          <t>S J S Enterprises Ltd</t>
        </is>
      </c>
      <c r="J5" s="31" t="inlineStr">
        <is>
          <t>auto</t>
        </is>
      </c>
      <c r="K5" s="31" t="inlineStr">
        <is>
          <t>plastics products</t>
        </is>
      </c>
      <c r="L5" s="31" t="inlineStr">
        <is>
          <t>midcap</t>
        </is>
      </c>
      <c r="M5" s="32" t="n">
        <v>7051.45</v>
      </c>
      <c r="N5" s="32" t="n">
        <v>2219.5</v>
      </c>
      <c r="O5" s="32" t="n">
        <v>0.71</v>
      </c>
      <c r="P5" s="32" t="n">
        <v>110788</v>
      </c>
      <c r="Q5" s="31" t="n">
        <v>73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66.78</v>
      </c>
      <c r="U5" s="32" t="n">
        <v>24.27</v>
      </c>
      <c r="V5" s="32" t="n">
        <v>1741.8</v>
      </c>
      <c r="W5" s="31" t="inlineStr">
        <is>
          <t>Near 52W High Breakout</t>
        </is>
      </c>
      <c r="X5" s="31" t="inlineStr">
        <is>
          <t>Nifty Auto</t>
        </is>
      </c>
      <c r="Y5" s="32" t="n">
        <v>13.57</v>
      </c>
      <c r="Z5" s="32" t="n">
        <v>79.45</v>
      </c>
      <c r="AA5" s="32" t="n">
        <v>58.01</v>
      </c>
      <c r="AB5" s="32" t="n">
        <v>21.62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20 to 40</t>
        </is>
      </c>
      <c r="BD5" s="31">
        <f>IF(BC5="Above 40",20,IF(BC5="20 to 40",10,IF(BC5="0 to 20",-5,0)))</f>
        <v/>
      </c>
      <c r="BE5" s="31" t="inlineStr">
        <is>
          <t>Between 50 to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IF(B6=0,"",RANK(B6,$B$2:$B$19,0))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137</v>
      </c>
      <c r="E6" s="32" t="inlineStr">
        <is>
          <t>5%</t>
        </is>
      </c>
      <c r="F6" s="32" t="n">
        <v>50000</v>
      </c>
      <c r="G6" s="32" t="n">
        <v>60</v>
      </c>
      <c r="H6" s="31" t="inlineStr">
        <is>
          <t>MAYURUNIQ</t>
        </is>
      </c>
      <c r="I6" s="31" t="inlineStr">
        <is>
          <t>Mayur Uniquoters Ltd</t>
        </is>
      </c>
      <c r="J6" s="31" t="inlineStr">
        <is>
          <t>consumer discretionary</t>
        </is>
      </c>
      <c r="K6" s="31" t="inlineStr">
        <is>
          <t>leather / leather products</t>
        </is>
      </c>
      <c r="L6" s="31" t="inlineStr">
        <is>
          <t>smallcap</t>
        </is>
      </c>
      <c r="M6" s="32" t="n">
        <v>3463.61</v>
      </c>
      <c r="N6" s="32" t="n">
        <v>823.95</v>
      </c>
      <c r="O6" s="32" t="n">
        <v>3.37</v>
      </c>
      <c r="P6" s="32" t="n">
        <v>226343</v>
      </c>
      <c r="Q6" s="31" t="n">
        <v>78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79.33</v>
      </c>
      <c r="U6" s="32" t="n">
        <v>40.58</v>
      </c>
      <c r="V6" s="32" t="n">
        <v>647.21</v>
      </c>
      <c r="W6" s="31" t="inlineStr">
        <is>
          <t>Near 52W High Breakout</t>
        </is>
      </c>
      <c r="X6" s="31" t="inlineStr">
        <is>
          <t>Nifty 50</t>
        </is>
      </c>
      <c r="Y6" s="32" t="n">
        <v>-4.47</v>
      </c>
      <c r="Z6" s="32" t="n">
        <v>50.3</v>
      </c>
      <c r="AA6" s="32" t="n">
        <v>57.33</v>
      </c>
      <c r="AB6" s="32" t="n">
        <v>23.37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Between 50% to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IF(B7=0,"",RANK(B7,$B$2:$B$19,0))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140</v>
      </c>
      <c r="E7" s="32" t="inlineStr">
        <is>
          <t>5%</t>
        </is>
      </c>
      <c r="F7" s="32" t="n">
        <v>50000</v>
      </c>
      <c r="G7" s="32" t="n">
        <v>48</v>
      </c>
      <c r="H7" s="31" t="inlineStr">
        <is>
          <t>GVPIL</t>
        </is>
      </c>
      <c r="I7" s="31" t="inlineStr">
        <is>
          <t>GE Power India Ltd</t>
        </is>
      </c>
      <c r="J7" s="31" t="inlineStr">
        <is>
          <t>realty</t>
        </is>
      </c>
      <c r="K7" s="31" t="inlineStr">
        <is>
          <t>engineering - turnkey services</t>
        </is>
      </c>
      <c r="L7" s="31" t="inlineStr">
        <is>
          <t>midcap</t>
        </is>
      </c>
      <c r="M7" s="32" t="n">
        <v>6561.4</v>
      </c>
      <c r="N7" s="32" t="n">
        <v>1024.8</v>
      </c>
      <c r="O7" s="32" t="n">
        <v>5</v>
      </c>
      <c r="P7" s="32" t="n">
        <v>382750</v>
      </c>
      <c r="Q7" s="31" t="n">
        <v>98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90.12</v>
      </c>
      <c r="U7" s="32" t="n">
        <v>58.69</v>
      </c>
      <c r="V7" s="32" t="n">
        <v>802.4</v>
      </c>
      <c r="W7" s="31" t="inlineStr">
        <is>
          <t>Near 52W High Breakout</t>
        </is>
      </c>
      <c r="X7" s="31" t="inlineStr">
        <is>
          <t>Nifty Realty</t>
        </is>
      </c>
      <c r="Y7" s="32" t="n">
        <v>-19.29</v>
      </c>
      <c r="Z7" s="32" t="n">
        <v>237.27</v>
      </c>
      <c r="AA7" s="32" t="n">
        <v>317.89</v>
      </c>
      <c r="AB7" s="32" t="n">
        <v>64.45999999999999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Duopoly That Cooperate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Shallow Cyclical (2 to 3 Years Growth)</t>
        </is>
      </c>
      <c r="AL7" s="31">
        <f>IF(AK7="Structural (10 Years Consistency)",10,IF(AK7="Shallow Cyclical (2 to 3 years growth)",5,0))</f>
        <v/>
      </c>
      <c r="AM7" s="31" t="inlineStr">
        <is>
          <t>Yes due to Product Mix change or Operating Leverage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B2C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Fully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only for next 1 to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Close to 52 week high or retracement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Between 50% to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Between 0.7 to 1.2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IF(B8=0,"",RANK(B8,$B$2:$B$19,0))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139.7</v>
      </c>
      <c r="E8" s="32" t="inlineStr">
        <is>
          <t>5%</t>
        </is>
      </c>
      <c r="F8" s="32" t="n">
        <v>50000</v>
      </c>
      <c r="G8" s="32" t="n">
        <v>74</v>
      </c>
      <c r="H8" s="31" t="inlineStr">
        <is>
          <t>UNIPARTS</t>
        </is>
      </c>
      <c r="I8" s="31" t="inlineStr">
        <is>
          <t>Uniparts India Ltd</t>
        </is>
      </c>
      <c r="J8" s="31" t="inlineStr">
        <is>
          <t>industrials</t>
        </is>
      </c>
      <c r="K8" s="31" t="inlineStr">
        <is>
          <t>engineering</t>
        </is>
      </c>
      <c r="L8" s="31" t="inlineStr">
        <is>
          <t>smallcap</t>
        </is>
      </c>
      <c r="M8" s="32" t="n">
        <v>2995.92</v>
      </c>
      <c r="N8" s="32" t="n">
        <v>670.3</v>
      </c>
      <c r="O8" s="32" t="n">
        <v>1</v>
      </c>
      <c r="P8" s="32" t="n">
        <v>115691</v>
      </c>
      <c r="Q8" s="31" t="n">
        <v>80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74.73</v>
      </c>
      <c r="U8" s="32" t="n">
        <v>37.86</v>
      </c>
      <c r="V8" s="32" t="n">
        <v>527.96</v>
      </c>
      <c r="W8" s="31" t="inlineStr">
        <is>
          <t>Near 52W High Breakout</t>
        </is>
      </c>
      <c r="X8" s="31" t="inlineStr">
        <is>
          <t>Nifty 50</t>
        </is>
      </c>
      <c r="Y8" s="32" t="n">
        <v>-4.47</v>
      </c>
      <c r="Z8" s="32" t="n">
        <v>94.66</v>
      </c>
      <c r="AA8" s="32" t="n">
        <v>103.78</v>
      </c>
      <c r="AB8" s="32" t="n">
        <v>25.05</v>
      </c>
      <c r="AC8" s="31" t="inlineStr">
        <is>
          <t>Cyclical in an Upturn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20 to 40</t>
        </is>
      </c>
      <c r="BD8" s="31">
        <f>IF(BC8="Above 40",20,IF(BC8="20 to 40",10,IF(BC8="0 to 20",-5,0)))</f>
        <v/>
      </c>
      <c r="BE8" s="31" t="inlineStr">
        <is>
          <t>Between 50 to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IF(B9=0,"",RANK(B9,$B$2:$B$19,0))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137.3</v>
      </c>
      <c r="E9" s="32" t="inlineStr">
        <is>
          <t>5%</t>
        </is>
      </c>
      <c r="F9" s="32" t="n">
        <v>50000</v>
      </c>
      <c r="G9" s="32" t="n">
        <v>146</v>
      </c>
      <c r="H9" s="31" t="inlineStr">
        <is>
          <t>BHAGYANGR</t>
        </is>
      </c>
      <c r="I9" s="31" t="inlineStr">
        <is>
          <t>Bhagyanagar India</t>
        </is>
      </c>
      <c r="J9" s="31" t="inlineStr">
        <is>
          <t>power &amp; utilities</t>
        </is>
      </c>
      <c r="K9" s="31" t="inlineStr">
        <is>
          <t>power generation and supply</t>
        </is>
      </c>
      <c r="L9" s="31" t="inlineStr">
        <is>
          <t>smallcap</t>
        </is>
      </c>
      <c r="M9" s="32" t="n">
        <v>1043.36</v>
      </c>
      <c r="N9" s="32" t="n">
        <v>342.4</v>
      </c>
      <c r="O9" s="32" t="n">
        <v>5</v>
      </c>
      <c r="P9" s="32" t="n">
        <v>179815</v>
      </c>
      <c r="Q9" s="31" t="n">
        <v>98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78.72</v>
      </c>
      <c r="U9" s="32" t="n">
        <v>59.88</v>
      </c>
      <c r="V9" s="32" t="n">
        <v>244.55</v>
      </c>
      <c r="W9" s="31" t="inlineStr">
        <is>
          <t>Near 52W High Breakout</t>
        </is>
      </c>
      <c r="X9" s="31" t="inlineStr">
        <is>
          <t>Nifty IT</t>
        </is>
      </c>
      <c r="Y9" s="32" t="n">
        <v>-26.73</v>
      </c>
      <c r="Z9" s="32" t="n">
        <v>336.35</v>
      </c>
      <c r="AA9" s="32" t="n">
        <v>495.55</v>
      </c>
      <c r="AB9" s="32" t="n">
        <v>68.20999999999999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Between 50% to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Between 0.7 to 1.2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IF(B10=0,"",RANK(B10,$B$2:$B$19,0))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138.3</v>
      </c>
      <c r="E10" s="32" t="inlineStr">
        <is>
          <t>5%</t>
        </is>
      </c>
      <c r="F10" s="32" t="n">
        <v>50000</v>
      </c>
      <c r="G10" s="32" t="n">
        <v>59</v>
      </c>
      <c r="H10" s="31" t="inlineStr">
        <is>
          <t>RATEGAIN</t>
        </is>
      </c>
      <c r="I10" s="31" t="inlineStr">
        <is>
          <t>Rategain Travel Technologies Ltd</t>
        </is>
      </c>
      <c r="J10" s="31" t="inlineStr">
        <is>
          <t>i.t</t>
        </is>
      </c>
      <c r="K10" s="31" t="inlineStr">
        <is>
          <t>computers - software - medium / small</t>
        </is>
      </c>
      <c r="L10" s="31" t="inlineStr">
        <is>
          <t>midcap</t>
        </is>
      </c>
      <c r="M10" s="32" t="n">
        <v>9743.33</v>
      </c>
      <c r="N10" s="32" t="n">
        <v>844.35</v>
      </c>
      <c r="O10" s="32" t="n">
        <v>2.4</v>
      </c>
      <c r="P10" s="32" t="n">
        <v>624904</v>
      </c>
      <c r="Q10" s="31" t="n">
        <v>90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76.44</v>
      </c>
      <c r="U10" s="32" t="n">
        <v>26.43</v>
      </c>
      <c r="V10" s="32" t="n">
        <v>660.09</v>
      </c>
      <c r="W10" s="31" t="inlineStr">
        <is>
          <t>Near 52W High Breakout</t>
        </is>
      </c>
      <c r="X10" s="31" t="inlineStr">
        <is>
          <t>Nifty IT</t>
        </is>
      </c>
      <c r="Y10" s="32" t="n">
        <v>-26.73</v>
      </c>
      <c r="Z10" s="32" t="n">
        <v>95.02</v>
      </c>
      <c r="AA10" s="32" t="n">
        <v>166.18</v>
      </c>
      <c r="AB10" s="32" t="n">
        <v>34.86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Annuity, Lower One Time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Between 1.5 to 2</t>
        </is>
      </c>
      <c r="BZ10" s="31">
        <f>IF(BY10="Above 2",0,IF(BY10="Between 1.5 to 2",5,IF(BY10="Less than 1.5",10,0)))</f>
        <v/>
      </c>
      <c r="CA10" s="31" t="inlineStr">
        <is>
          <t>Between 50% to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IF(B11=0,"",RANK(B11,$B$2:$B$19,0))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139.1</v>
      </c>
      <c r="E11" s="32" t="inlineStr">
        <is>
          <t>5%</t>
        </is>
      </c>
      <c r="F11" s="32" t="n">
        <v>50000</v>
      </c>
      <c r="G11" s="32" t="n">
        <v>24</v>
      </c>
      <c r="H11" s="31" t="inlineStr">
        <is>
          <t>KERNEX</t>
        </is>
      </c>
      <c r="I11" s="31" t="inlineStr">
        <is>
          <t>Kernex Microsystems (india) Limited</t>
        </is>
      </c>
      <c r="J11" s="31" t="inlineStr">
        <is>
          <t>consumer discretionary</t>
        </is>
      </c>
      <c r="K11" s="31" t="inlineStr">
        <is>
          <t>electronics - components</t>
        </is>
      </c>
      <c r="L11" s="31" t="inlineStr">
        <is>
          <t>smallcap</t>
        </is>
      </c>
      <c r="M11" s="32" t="n">
        <v>3422.99</v>
      </c>
      <c r="N11" s="32" t="n">
        <v>2055</v>
      </c>
      <c r="O11" s="32" t="n">
        <v>0.87</v>
      </c>
      <c r="P11" s="32" t="n">
        <v>178781</v>
      </c>
      <c r="Q11" s="31" t="n">
        <v>93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74.38</v>
      </c>
      <c r="U11" s="32" t="n">
        <v>34.31</v>
      </c>
      <c r="V11" s="32" t="n">
        <v>1542.16</v>
      </c>
      <c r="W11" s="31" t="inlineStr">
        <is>
          <t>Near 52W High Breakout</t>
        </is>
      </c>
      <c r="X11" s="31" t="inlineStr">
        <is>
          <t>Nifty 50</t>
        </is>
      </c>
      <c r="Y11" s="32" t="n">
        <v>-4.47</v>
      </c>
      <c r="Z11" s="32" t="n">
        <v>71.51000000000001</v>
      </c>
      <c r="AA11" s="32" t="n">
        <v>79.54000000000001</v>
      </c>
      <c r="AB11" s="32" t="n">
        <v>41.39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No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Negative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IF(B12=0,"",RANK(B12,$B$2:$B$19,0))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138.9</v>
      </c>
      <c r="E12" s="32" t="inlineStr">
        <is>
          <t>5%</t>
        </is>
      </c>
      <c r="F12" s="32" t="n">
        <v>50000</v>
      </c>
      <c r="G12" s="32" t="n">
        <v>7</v>
      </c>
      <c r="H12" s="31" t="inlineStr">
        <is>
          <t>GRWRHITECH</t>
        </is>
      </c>
      <c r="I12" s="31" t="inlineStr">
        <is>
          <t>Garware Hi Tech Films Ltd</t>
        </is>
      </c>
      <c r="J12" s="31" t="inlineStr">
        <is>
          <t>industrials</t>
        </is>
      </c>
      <c r="K12" s="31" t="inlineStr">
        <is>
          <t>packaging</t>
        </is>
      </c>
      <c r="L12" s="31" t="inlineStr">
        <is>
          <t>midcap</t>
        </is>
      </c>
      <c r="M12" s="32" t="n">
        <v>14684.03</v>
      </c>
      <c r="N12" s="32" t="n">
        <v>6380.5</v>
      </c>
      <c r="O12" s="32" t="n">
        <v>0.95</v>
      </c>
      <c r="P12" s="32" t="n">
        <v>128065</v>
      </c>
      <c r="Q12" s="31" t="n">
        <v>84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75.64</v>
      </c>
      <c r="U12" s="32" t="n">
        <v>30.65</v>
      </c>
      <c r="V12" s="32" t="n">
        <v>4787.26</v>
      </c>
      <c r="W12" s="31" t="inlineStr">
        <is>
          <t>Near 52W High Breakout</t>
        </is>
      </c>
      <c r="X12" s="31" t="inlineStr">
        <is>
          <t>Nifty 50</t>
        </is>
      </c>
      <c r="Y12" s="32" t="n">
        <v>-4.47</v>
      </c>
      <c r="Z12" s="32" t="n">
        <v>58.94</v>
      </c>
      <c r="AA12" s="32" t="n">
        <v>66.38</v>
      </c>
      <c r="AB12" s="32" t="n">
        <v>28.37</v>
      </c>
      <c r="AC12" s="31" t="inlineStr">
        <is>
          <t>Cyclical in an Upturn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20 to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Less than 1.5</t>
        </is>
      </c>
      <c r="BZ12" s="31">
        <f>IF(BY12="Above 2",0,IF(BY12="Between 1.5 to 2",5,IF(BY12="Less than 1.5",10,0)))</f>
        <v/>
      </c>
      <c r="CA12" s="31" t="inlineStr">
        <is>
          <t>Between 50% to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IF(B13=0,"",RANK(B13,$B$2:$B$19,0))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139.3</v>
      </c>
      <c r="E13" s="32" t="inlineStr">
        <is>
          <t>5%</t>
        </is>
      </c>
      <c r="F13" s="32" t="n">
        <v>50000</v>
      </c>
      <c r="G13" s="32" t="n">
        <v>33</v>
      </c>
      <c r="H13" s="31" t="inlineStr">
        <is>
          <t>ASTRAMICRO</t>
        </is>
      </c>
      <c r="I13" s="31" t="inlineStr">
        <is>
          <t>Astra Microwave Products Limited</t>
        </is>
      </c>
      <c r="J13" s="31" t="inlineStr">
        <is>
          <t>aerospace &amp; defence</t>
        </is>
      </c>
      <c r="K13" s="31" t="inlineStr">
        <is>
          <t>telecommunications - equipment</t>
        </is>
      </c>
      <c r="L13" s="31" t="inlineStr">
        <is>
          <t>midcap</t>
        </is>
      </c>
      <c r="M13" s="32" t="n">
        <v>13842.98</v>
      </c>
      <c r="N13" s="32" t="n">
        <v>1480.1</v>
      </c>
      <c r="O13" s="32" t="n">
        <v>1.52</v>
      </c>
      <c r="P13" s="32" t="n">
        <v>661269</v>
      </c>
      <c r="Q13" s="31" t="n">
        <v>76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77.5</v>
      </c>
      <c r="U13" s="32" t="n">
        <v>32.31</v>
      </c>
      <c r="V13" s="32" t="n">
        <v>1172.46</v>
      </c>
      <c r="W13" s="31" t="inlineStr">
        <is>
          <t>Near 52W High Breakout</t>
        </is>
      </c>
      <c r="X13" s="31" t="inlineStr">
        <is>
          <t>Nifty 50</t>
        </is>
      </c>
      <c r="Y13" s="32" t="n">
        <v>-4.47</v>
      </c>
      <c r="Z13" s="32" t="n">
        <v>33.88</v>
      </c>
      <c r="AA13" s="32" t="n">
        <v>40.14</v>
      </c>
      <c r="AB13" s="32" t="n">
        <v>22.64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Oligopoly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Yes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Between 1.5 to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IF(B14=0,"",RANK(B14,$B$2:$B$19,0))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139.1</v>
      </c>
      <c r="E14" s="32" t="inlineStr">
        <is>
          <t>5%</t>
        </is>
      </c>
      <c r="F14" s="32" t="n">
        <v>50000</v>
      </c>
      <c r="G14" s="32" t="n">
        <v>298</v>
      </c>
      <c r="H14" s="31" t="inlineStr">
        <is>
          <t>JAYBARMARU</t>
        </is>
      </c>
      <c r="I14" s="31" t="inlineStr">
        <is>
          <t>Jay Bharat Maruti Limited</t>
        </is>
      </c>
      <c r="J14" s="31" t="inlineStr">
        <is>
          <t>auto</t>
        </is>
      </c>
      <c r="K14" s="31" t="inlineStr">
        <is>
          <t>auto ancillaries</t>
        </is>
      </c>
      <c r="L14" s="31" t="inlineStr">
        <is>
          <t>smallcap</t>
        </is>
      </c>
      <c r="M14" s="32" t="n">
        <v>1722.47</v>
      </c>
      <c r="N14" s="32" t="n">
        <v>167.68</v>
      </c>
      <c r="O14" s="32" t="n">
        <v>5.38</v>
      </c>
      <c r="P14" s="32" t="n">
        <v>5101072</v>
      </c>
      <c r="Q14" s="31" t="n">
        <v>93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75.43000000000001</v>
      </c>
      <c r="U14" s="32" t="n">
        <v>20.69</v>
      </c>
      <c r="V14" s="32" t="n">
        <v>125.17</v>
      </c>
      <c r="W14" s="31" t="inlineStr">
        <is>
          <t>Near 52W High Breakout</t>
        </is>
      </c>
      <c r="X14" s="31" t="inlineStr">
        <is>
          <t>Nifty Auto</t>
        </is>
      </c>
      <c r="Y14" s="32" t="n">
        <v>13.57</v>
      </c>
      <c r="Z14" s="32" t="n">
        <v>119.59</v>
      </c>
      <c r="AA14" s="32" t="n">
        <v>93.36</v>
      </c>
      <c r="AB14" s="32" t="n">
        <v>41.4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No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Between 50% to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Between 0.7 to 1.2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IF(B15=0,"",RANK(B15,$B$2:$B$19,0))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138.7</v>
      </c>
      <c r="E15" s="32" t="inlineStr">
        <is>
          <t>5%</t>
        </is>
      </c>
      <c r="F15" s="32" t="n">
        <v>50000</v>
      </c>
      <c r="G15" s="32" t="n">
        <v>41</v>
      </c>
      <c r="H15" s="31" t="inlineStr">
        <is>
          <t>RPEL</t>
        </is>
      </c>
      <c r="I15" s="31" t="inlineStr">
        <is>
          <t>Raghav Productivity Enhancers Ltd</t>
        </is>
      </c>
      <c r="J15" s="31" t="inlineStr">
        <is>
          <t>building materials</t>
        </is>
      </c>
      <c r="K15" s="31" t="inlineStr">
        <is>
          <t>refractories / intermediates</t>
        </is>
      </c>
      <c r="L15" s="31" t="inlineStr">
        <is>
          <t>midcap</t>
        </is>
      </c>
      <c r="M15" s="32" t="n">
        <v>5508.98</v>
      </c>
      <c r="N15" s="32" t="n">
        <v>1203.4</v>
      </c>
      <c r="O15" s="32" t="n">
        <v>0.29</v>
      </c>
      <c r="P15" s="32" t="n">
        <v>192096</v>
      </c>
      <c r="Q15" s="31" t="n">
        <v>90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77.54000000000001</v>
      </c>
      <c r="U15" s="32" t="n">
        <v>32.05</v>
      </c>
      <c r="V15" s="32" t="n">
        <v>934.35</v>
      </c>
      <c r="W15" s="31" t="inlineStr">
        <is>
          <t>Near 52W High Breakout</t>
        </is>
      </c>
      <c r="X15" s="31" t="inlineStr">
        <is>
          <t>Nifty Infra</t>
        </is>
      </c>
      <c r="Y15" s="32" t="n">
        <v>3.24</v>
      </c>
      <c r="Z15" s="32" t="n">
        <v>71.43000000000001</v>
      </c>
      <c r="AA15" s="32" t="n">
        <v>66.04000000000001</v>
      </c>
      <c r="AB15" s="32" t="n">
        <v>35.34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Less than 50%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IF(B16=0,"",RANK(B16,$B$2:$B$19,0))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137.4</v>
      </c>
      <c r="E16" s="32" t="inlineStr">
        <is>
          <t>5%</t>
        </is>
      </c>
      <c r="F16" s="32" t="n">
        <v>50000</v>
      </c>
      <c r="G16" s="32" t="n">
        <v>13</v>
      </c>
      <c r="H16" s="31" t="inlineStr">
        <is>
          <t>CENTUM</t>
        </is>
      </c>
      <c r="I16" s="31" t="inlineStr">
        <is>
          <t>Centum Electronics Limited</t>
        </is>
      </c>
      <c r="J16" s="31" t="inlineStr">
        <is>
          <t>consumer discretionary</t>
        </is>
      </c>
      <c r="K16" s="31" t="inlineStr">
        <is>
          <t>electronics - components</t>
        </is>
      </c>
      <c r="L16" s="31" t="inlineStr">
        <is>
          <t>midcap</t>
        </is>
      </c>
      <c r="M16" s="32" t="n">
        <v>5345.96</v>
      </c>
      <c r="N16" s="32" t="n">
        <v>3627.8</v>
      </c>
      <c r="O16" s="32" t="n">
        <v>0.03</v>
      </c>
      <c r="P16" s="32" t="n">
        <v>28721</v>
      </c>
      <c r="Q16" s="31" t="n">
        <v>60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69.13</v>
      </c>
      <c r="U16" s="32" t="n">
        <v>57.85</v>
      </c>
      <c r="V16" s="32" t="n">
        <v>2657.94</v>
      </c>
      <c r="W16" s="31" t="inlineStr">
        <is>
          <t>Near 52W High Breakout</t>
        </is>
      </c>
      <c r="X16" s="31" t="inlineStr">
        <is>
          <t>Nifty Infra</t>
        </is>
      </c>
      <c r="Y16" s="32" t="n">
        <v>3.24</v>
      </c>
      <c r="Z16" s="32" t="n">
        <v>60.23</v>
      </c>
      <c r="AA16" s="32" t="n">
        <v>55.2</v>
      </c>
      <c r="AB16" s="32" t="n">
        <v>16.4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Above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Less than 12%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Less than 50%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IF(B17=0,"",RANK(B17,$B$2:$B$19,0))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138.1</v>
      </c>
      <c r="E17" s="32" t="inlineStr">
        <is>
          <t>5%</t>
        </is>
      </c>
      <c r="F17" s="32" t="n">
        <v>50000</v>
      </c>
      <c r="G17" s="32" t="n">
        <v>3</v>
      </c>
      <c r="H17" s="31" t="inlineStr">
        <is>
          <t>APARINDS</t>
        </is>
      </c>
      <c r="I17" s="31" t="inlineStr">
        <is>
          <t>Apar Industries Limited</t>
        </is>
      </c>
      <c r="J17" s="31" t="inlineStr">
        <is>
          <t>industrials</t>
        </is>
      </c>
      <c r="K17" s="31" t="inlineStr">
        <is>
          <t>electric equipment</t>
        </is>
      </c>
      <c r="L17" s="31" t="inlineStr">
        <is>
          <t>largecap</t>
        </is>
      </c>
      <c r="M17" s="32" t="n">
        <v>64213.07</v>
      </c>
      <c r="N17" s="32" t="n">
        <v>16168</v>
      </c>
      <c r="O17" s="32" t="n">
        <v>1.14</v>
      </c>
      <c r="P17" s="32" t="n">
        <v>207124</v>
      </c>
      <c r="Q17" s="31" t="n">
        <v>86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79.23999999999999</v>
      </c>
      <c r="U17" s="32" t="n">
        <v>42</v>
      </c>
      <c r="V17" s="32" t="n">
        <v>12719.27</v>
      </c>
      <c r="W17" s="31" t="inlineStr">
        <is>
          <t>Near 52W High Breakout</t>
        </is>
      </c>
      <c r="X17" s="31" t="inlineStr">
        <is>
          <t>Nifty 50</t>
        </is>
      </c>
      <c r="Y17" s="32" t="n">
        <v>-4.47</v>
      </c>
      <c r="Z17" s="32" t="n">
        <v>105.38</v>
      </c>
      <c r="AA17" s="32" t="n">
        <v>114.99</v>
      </c>
      <c r="AB17" s="32" t="n">
        <v>31.22</v>
      </c>
      <c r="AC17" s="31" t="inlineStr">
        <is>
          <t>Cyclical in an Upturn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Above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Less than 12%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Between 50% to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IF(B18=0,"",RANK(B18,$B$2:$B$19,0))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140</v>
      </c>
      <c r="E18" s="32" t="inlineStr">
        <is>
          <t>5%</t>
        </is>
      </c>
      <c r="F18" s="32" t="n">
        <v>50000</v>
      </c>
      <c r="G18" s="32" t="n">
        <v>69</v>
      </c>
      <c r="H18" s="31" t="inlineStr">
        <is>
          <t>DEEDEV</t>
        </is>
      </c>
      <c r="I18" s="31" t="inlineStr">
        <is>
          <t>DEE Development Engineers Ltd</t>
        </is>
      </c>
      <c r="J18" s="31" t="inlineStr">
        <is>
          <t>metals &amp; mining</t>
        </is>
      </c>
      <c r="K18" s="31" t="inlineStr">
        <is>
          <t>steel - medium / small</t>
        </is>
      </c>
      <c r="L18" s="31" t="inlineStr">
        <is>
          <t>smallcap</t>
        </is>
      </c>
      <c r="M18" s="32" t="n">
        <v>4775.71</v>
      </c>
      <c r="N18" s="32" t="n">
        <v>723.95</v>
      </c>
      <c r="O18" s="32" t="n">
        <v>5</v>
      </c>
      <c r="P18" s="32" t="n">
        <v>209829</v>
      </c>
      <c r="Q18" s="31" t="n">
        <v>98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86.72</v>
      </c>
      <c r="U18" s="32" t="n">
        <v>62.09</v>
      </c>
      <c r="V18" s="32" t="n">
        <v>561.5599999999999</v>
      </c>
      <c r="W18" s="31" t="inlineStr">
        <is>
          <t>Near 52W High Breakout</t>
        </is>
      </c>
      <c r="X18" s="31" t="inlineStr">
        <is>
          <t>Nifty Metal</t>
        </is>
      </c>
      <c r="Y18" s="32" t="n">
        <v>40.96</v>
      </c>
      <c r="Z18" s="32" t="n">
        <v>133.76</v>
      </c>
      <c r="AA18" s="32" t="n">
        <v>65.84</v>
      </c>
      <c r="AB18" s="32" t="n">
        <v>66.67</v>
      </c>
      <c r="AC18" s="31" t="inlineStr">
        <is>
          <t>Cyclical in an Upturn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Cyclical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Volatile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Above 40</t>
        </is>
      </c>
      <c r="BD18" s="31">
        <f>IF(BC18="Above 40",20,IF(BC18="20 to 40",10,IF(BC18="0 to 20",-5,0)))</f>
        <v/>
      </c>
      <c r="BE18" s="31" t="inlineStr">
        <is>
          <t>Above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Less than 12%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Less than 50%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Between 0.7 to 1.2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IF(B19=0,"",RANK(B19,$B$2:$B$19,0))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EMA Crossover</t>
        </is>
      </c>
      <c r="D19" s="32" t="n">
        <v>137.9</v>
      </c>
      <c r="E19" s="32" t="inlineStr">
        <is>
          <t>7%</t>
        </is>
      </c>
      <c r="F19" s="32" t="n">
        <v>70000</v>
      </c>
      <c r="G19" s="32" t="n">
        <v>357</v>
      </c>
      <c r="H19" s="33" t="inlineStr">
        <is>
          <t>NCLIND</t>
        </is>
      </c>
      <c r="I19" s="33" t="inlineStr">
        <is>
          <t>Ncl Industries Limited</t>
        </is>
      </c>
      <c r="J19" s="31" t="inlineStr">
        <is>
          <t>building materials</t>
        </is>
      </c>
      <c r="K19" s="31" t="inlineStr">
        <is>
          <t>cement - south india</t>
        </is>
      </c>
      <c r="L19" s="31" t="inlineStr">
        <is>
          <t>smallcap</t>
        </is>
      </c>
      <c r="M19" s="32" t="n">
        <v>844.13</v>
      </c>
      <c r="N19" s="32" t="n">
        <v>195.83</v>
      </c>
      <c r="O19" s="32" t="n">
        <v>4.94</v>
      </c>
      <c r="P19" s="32" t="n">
        <v>284510</v>
      </c>
      <c r="Q19" s="31" t="n">
        <v>3</v>
      </c>
      <c r="R19" s="31" t="inlineStr">
        <is>
          <t>Underperforming</t>
        </is>
      </c>
      <c r="S19" s="32">
        <f>IF(R19="Underperforming",-5,IF(Q19&gt;=95,15,IF(Q19&gt;=90,10,IF(Q19&gt;=80,5,0))))</f>
        <v/>
      </c>
      <c r="T19" s="32" t="n">
        <v>57.69</v>
      </c>
      <c r="U19" s="32" t="n">
        <v>18.27</v>
      </c>
      <c r="V19" s="32" t="n">
        <v>156.04</v>
      </c>
      <c r="W19" s="31" t="inlineStr">
        <is>
          <t>Earnings / Momentum Support</t>
        </is>
      </c>
      <c r="X19" s="31" t="inlineStr">
        <is>
          <t>Nifty Infra</t>
        </is>
      </c>
      <c r="Y19" s="32" t="n">
        <v>3.24</v>
      </c>
      <c r="Z19" s="32" t="n">
        <v>-8.49</v>
      </c>
      <c r="AA19" s="32" t="n">
        <v>-11.36</v>
      </c>
      <c r="AB19" s="32" t="n">
        <v>1.75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No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0 to 20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1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Close to 52 week high or retracement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No</t>
        </is>
      </c>
      <c r="BX19" s="31">
        <f>IF(BW19="NO",5,0)</f>
        <v/>
      </c>
      <c r="BY19" s="31" t="inlineStr">
        <is>
          <t>Less than 1.5</t>
        </is>
      </c>
      <c r="BZ19" s="31">
        <f>IF(BY19="Above 2",0,IF(BY19="Between 1.5 to 2",5,IF(BY19="Less than 1.5",10,0)))</f>
        <v/>
      </c>
      <c r="CA19" s="31" t="inlineStr">
        <is>
          <t>Between 50% to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</sheetData>
  <autoFilter ref="A1:CJ19"/>
  <conditionalFormatting sqref="B2:B1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1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1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1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1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1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1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1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1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1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1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1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1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1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1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1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1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9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19">
    <cfRule type="cellIs" priority="36" operator="equal" dxfId="3" stopIfTrue="1">
      <formula>"Underperforming"</formula>
    </cfRule>
  </conditionalFormatting>
  <conditionalFormatting sqref="S2:S19">
    <cfRule type="cellIs" priority="37" operator="equal" dxfId="3" stopIfTrue="1">
      <formula>-5</formula>
    </cfRule>
  </conditionalFormatting>
  <conditionalFormatting sqref="V2:V19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19" showDropDown="0" showInputMessage="0" showErrorMessage="0" allowBlank="1" type="list">
      <formula1>"Growing Industry,Stagnant Industry,Cyclical in an Upturn"</formula1>
    </dataValidation>
    <dataValidation sqref="AE2:AE19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19" showDropDown="0" showInputMessage="0" showErrorMessage="0" allowBlank="1" type="list">
      <formula1>"Yes,No"</formula1>
    </dataValidation>
    <dataValidation sqref="AI2:AI19" showDropDown="0" showInputMessage="0" showErrorMessage="0" allowBlank="1" type="list">
      <formula1>"Tailwind,Headwind"</formula1>
    </dataValidation>
    <dataValidation sqref="AK2:AK19" showDropDown="0" showInputMessage="0" showErrorMessage="0" allowBlank="1" type="list">
      <formula1>"Structural (10 Years Consistency),Shallow Cyclical (2 to 3 Years Growth),Cyclical"</formula1>
    </dataValidation>
    <dataValidation sqref="AM2:AM19" showDropDown="0" showInputMessage="0" showErrorMessage="0" allowBlank="1" type="list">
      <formula1>"Yes due to Product Mix change or Operating Leverage,Yes, these are peak margins,No"</formula1>
    </dataValidation>
    <dataValidation sqref="AO2:AO19" showDropDown="0" showInputMessage="0" showErrorMessage="0" allowBlank="1" type="list">
      <formula1>"Stable,Volatile"</formula1>
    </dataValidation>
    <dataValidation sqref="AQ2:AQ19" showDropDown="0" showInputMessage="0" showErrorMessage="0" allowBlank="1" type="list">
      <formula1>"Yes,No"</formula1>
    </dataValidation>
    <dataValidation sqref="AS2:AS19" showDropDown="0" showInputMessage="0" showErrorMessage="0" allowBlank="1" type="list">
      <formula1>"B2C,B2B,B2G"</formula1>
    </dataValidation>
    <dataValidation sqref="AU2:AU19" showDropDown="0" showInputMessage="0" showErrorMessage="0" allowBlank="1" type="list">
      <formula1>"Yes,No"</formula1>
    </dataValidation>
    <dataValidation sqref="AW2:AW19" showDropDown="0" showInputMessage="0" showErrorMessage="0" allowBlank="1" type="list">
      <formula1>"Fully Annuity,Higher Annuity, Lower One time,Higher One Time, Lower Annuity,Fully One Time"</formula1>
    </dataValidation>
    <dataValidation sqref="AY2:AY19" showDropDown="0" showInputMessage="0" showErrorMessage="0" allowBlank="1" type="list">
      <formula1>"Good,Allocated capital in Non-core Areas"</formula1>
    </dataValidation>
    <dataValidation sqref="BA2:BA19" showDropDown="0" showInputMessage="0" showErrorMessage="0" allowBlank="1" type="list">
      <formula1>"Yes for more than 2 years,Yes only for next 1 to 2 years,No"</formula1>
    </dataValidation>
    <dataValidation sqref="BC2:BC19" showDropDown="0" showInputMessage="0" showErrorMessage="0" allowBlank="1" type="list">
      <formula1>"Above 40,20 to 40,0 to 20"</formula1>
    </dataValidation>
    <dataValidation sqref="BE2:BE19" showDropDown="0" showInputMessage="0" showErrorMessage="0" allowBlank="1" type="list">
      <formula1>"Between 50 to 75,Above 75,Below 45"</formula1>
    </dataValidation>
    <dataValidation sqref="BG2:BG19" showDropDown="0" showInputMessage="0" showErrorMessage="0" allowBlank="1" type="list">
      <formula1>"Stage 1,Stage 2,Stage 3,Stage 4"</formula1>
    </dataValidation>
    <dataValidation sqref="BI2:BI19" showDropDown="0" showInputMessage="0" showErrorMessage="0" allowBlank="1" type="list">
      <formula1>"Positive Trend,Negative Trend"</formula1>
    </dataValidation>
    <dataValidation sqref="BK2:BK19" showDropDown="0" showInputMessage="0" showErrorMessage="0" allowBlank="1" type="list">
      <formula1>"Uptrend,Sideways,Downtrend"</formula1>
    </dataValidation>
    <dataValidation sqref="BM2:BM19" showDropDown="0" showInputMessage="0" showErrorMessage="0" allowBlank="1" type="list">
      <formula1>"Uptrend,Sideways,Downtrend"</formula1>
    </dataValidation>
    <dataValidation sqref="BO2:BO1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19" showDropDown="0" showInputMessage="0" showErrorMessage="0" allowBlank="1" type="list">
      <formula1>"Yes,No"</formula1>
    </dataValidation>
    <dataValidation sqref="BS2:BS19" showDropDown="0" showInputMessage="0" showErrorMessage="0" allowBlank="1" type="list">
      <formula1>"More than 20%,Between 12 to 20%,Less than 12%"</formula1>
    </dataValidation>
    <dataValidation sqref="BU2:BU19" showDropDown="0" showInputMessage="0" showErrorMessage="0" allowBlank="1" type="list">
      <formula1>"Yes,No"</formula1>
    </dataValidation>
    <dataValidation sqref="BW2:BW19" showDropDown="0" showInputMessage="0" showErrorMessage="0" allowBlank="1" type="list">
      <formula1>"Yes,No"</formula1>
    </dataValidation>
    <dataValidation sqref="BY2:BY19" showDropDown="0" showInputMessage="0" showErrorMessage="0" allowBlank="1" type="list">
      <formula1>"Above 2,Between 1.5 to 2,Less than 1.5"</formula1>
    </dataValidation>
    <dataValidation sqref="CA2:CA19" showDropDown="0" showInputMessage="0" showErrorMessage="0" allowBlank="1" type="list">
      <formula1>"Above 70%,Between 50% to 70%,Less than 50%,Less than 50% and Borrowings are increasing,Negative"</formula1>
    </dataValidation>
    <dataValidation sqref="CC2:CC19" showDropDown="0" showInputMessage="0" showErrorMessage="0" allowBlank="1" type="list">
      <formula1>"More than 1.2,Between 0.7 to 1.2,Less than 0.7"</formula1>
    </dataValidation>
    <dataValidation sqref="CE2:CE19" showDropDown="0" showInputMessage="0" showErrorMessage="0" allowBlank="1" type="list">
      <formula1>"Yes,No"</formula1>
    </dataValidation>
    <dataValidation sqref="CG2:CG19" showDropDown="0" showInputMessage="0" showErrorMessage="0" allowBlank="1" type="list">
      <formula1>"More than 15%,Less than 15%"</formula1>
    </dataValidation>
    <dataValidation sqref="CI2:CI19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5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IF(B2=0,"",RANK(B2,$B$2:$B$5,0))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139.1</v>
      </c>
      <c r="E2" s="32" t="inlineStr">
        <is>
          <t>5%</t>
        </is>
      </c>
      <c r="F2" s="32" t="n">
        <v>50000</v>
      </c>
      <c r="G2" s="32" t="n">
        <v>230</v>
      </c>
      <c r="H2" s="31" t="inlineStr">
        <is>
          <t>BANDHANBNK</t>
        </is>
      </c>
      <c r="I2" s="31" t="inlineStr">
        <is>
          <t>Bandhan Bank Ltd</t>
        </is>
      </c>
      <c r="J2" s="31" t="inlineStr">
        <is>
          <t>bank</t>
        </is>
      </c>
      <c r="K2" s="31" t="inlineStr">
        <is>
          <t>banks - private sector</t>
        </is>
      </c>
      <c r="L2" s="31" t="inlineStr">
        <is>
          <t>largecap</t>
        </is>
      </c>
      <c r="M2" s="32" t="n">
        <v>33972.18</v>
      </c>
      <c r="N2" s="32" t="n">
        <v>216.74</v>
      </c>
      <c r="O2" s="32" t="n">
        <v>2.78</v>
      </c>
      <c r="P2" s="32" t="n">
        <v>14775474</v>
      </c>
      <c r="Q2" s="31" t="n">
        <v>46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68.19</v>
      </c>
      <c r="U2" s="32" t="n">
        <v>26.1</v>
      </c>
      <c r="V2" s="32" t="n">
        <v>175.61</v>
      </c>
      <c r="W2" s="31" t="inlineStr">
        <is>
          <t>Near 52W High Breakout</t>
        </is>
      </c>
      <c r="X2" s="31" t="inlineStr">
        <is>
          <t>Nifty Bank</t>
        </is>
      </c>
      <c r="Y2" s="32" t="n">
        <v>1.86</v>
      </c>
      <c r="Z2" s="32" t="n">
        <v>21.48</v>
      </c>
      <c r="AA2" s="32" t="n">
        <v>19.26</v>
      </c>
      <c r="AB2" s="32" t="n">
        <v>12.53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IF(B3=0,"",RANK(B3,$B$2:$B$5,0))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139.8</v>
      </c>
      <c r="E3" s="32" t="inlineStr">
        <is>
          <t>5%</t>
        </is>
      </c>
      <c r="F3" s="32" t="n">
        <v>50000</v>
      </c>
      <c r="G3" s="32" t="n">
        <v>155</v>
      </c>
      <c r="H3" s="31" t="inlineStr">
        <is>
          <t>FEDERALBNK</t>
        </is>
      </c>
      <c r="I3" s="31" t="inlineStr">
        <is>
          <t>The Federal Bank  Limited</t>
        </is>
      </c>
      <c r="J3" s="31" t="inlineStr">
        <is>
          <t>bank</t>
        </is>
      </c>
      <c r="K3" s="31" t="inlineStr">
        <is>
          <t>banks - private sector</t>
        </is>
      </c>
      <c r="L3" s="31" t="inlineStr">
        <is>
          <t>largecap</t>
        </is>
      </c>
      <c r="M3" s="32" t="n">
        <v>78142.39</v>
      </c>
      <c r="N3" s="32" t="n">
        <v>320.6</v>
      </c>
      <c r="O3" s="32" t="n">
        <v>1.1</v>
      </c>
      <c r="P3" s="32" t="n">
        <v>8921387</v>
      </c>
      <c r="Q3" s="31" t="n">
        <v>54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69.2</v>
      </c>
      <c r="U3" s="32" t="n">
        <v>18.79</v>
      </c>
      <c r="V3" s="32" t="n">
        <v>274.98</v>
      </c>
      <c r="W3" s="31" t="inlineStr">
        <is>
          <t>Near 52W High Breakout</t>
        </is>
      </c>
      <c r="X3" s="31" t="inlineStr">
        <is>
          <t>Nifty Bank</t>
        </is>
      </c>
      <c r="Y3" s="32" t="n">
        <v>1.86</v>
      </c>
      <c r="Z3" s="32" t="n">
        <v>55.43</v>
      </c>
      <c r="AA3" s="32" t="n">
        <v>52.6</v>
      </c>
      <c r="AB3" s="32" t="n">
        <v>14.21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less than 2.5x and Growth more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0 to 20</t>
        </is>
      </c>
      <c r="BR3" s="31">
        <f>IF(BQ3="Above 40",20,IF(BQ3="20 to 40",10,IF(BQ3="0 to 20",-5,0)))</f>
        <v/>
      </c>
      <c r="BS3" s="31" t="inlineStr">
        <is>
          <t>Between 50 to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IF(B4=0,"",RANK(B4,$B$2:$B$5,0))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52W Breakout</t>
        </is>
      </c>
      <c r="D4" s="32" t="n">
        <v>139.1</v>
      </c>
      <c r="E4" s="32" t="inlineStr">
        <is>
          <t>5%</t>
        </is>
      </c>
      <c r="F4" s="32" t="n">
        <v>50000</v>
      </c>
      <c r="G4" s="32" t="n">
        <v>308</v>
      </c>
      <c r="H4" s="31" t="inlineStr">
        <is>
          <t>J&amp;KBANK</t>
        </is>
      </c>
      <c r="I4" s="31" t="inlineStr">
        <is>
          <t>The Jammu &amp; Kashmir Bank Limited</t>
        </is>
      </c>
      <c r="J4" s="31" t="inlineStr">
        <is>
          <t>bank</t>
        </is>
      </c>
      <c r="K4" s="31" t="inlineStr">
        <is>
          <t>banks - private sector</t>
        </is>
      </c>
      <c r="L4" s="31" t="inlineStr">
        <is>
          <t>midcap</t>
        </is>
      </c>
      <c r="M4" s="32" t="n">
        <v>17609.01</v>
      </c>
      <c r="N4" s="32" t="n">
        <v>161.99</v>
      </c>
      <c r="O4" s="32" t="n">
        <v>1.3</v>
      </c>
      <c r="P4" s="32" t="n">
        <v>3578791</v>
      </c>
      <c r="Q4" s="31" t="n">
        <v>66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75.04000000000001</v>
      </c>
      <c r="U4" s="32" t="n">
        <v>50.44</v>
      </c>
      <c r="V4" s="32" t="n">
        <v>131.37</v>
      </c>
      <c r="W4" s="31" t="inlineStr">
        <is>
          <t>Near 52W High Breakout</t>
        </is>
      </c>
      <c r="X4" s="31" t="inlineStr">
        <is>
          <t>Nifty Bank</t>
        </is>
      </c>
      <c r="Y4" s="32" t="n">
        <v>1.86</v>
      </c>
      <c r="Z4" s="32" t="n">
        <v>58.47</v>
      </c>
      <c r="AA4" s="32" t="n">
        <v>55.58</v>
      </c>
      <c r="AB4" s="32" t="n">
        <v>17.98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Yes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less than 2.5x and Growth less than 20%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Above 40</t>
        </is>
      </c>
      <c r="BR4" s="31">
        <f>IF(BQ4="Above 40",20,IF(BQ4="20 to 40",10,IF(BQ4="0 to 20",-5,0)))</f>
        <v/>
      </c>
      <c r="BS4" s="31" t="inlineStr">
        <is>
          <t>Above 75</t>
        </is>
      </c>
      <c r="BT4" s="31">
        <f>IF(BS4="Between 50 to 75",10,IF(BS4="Above 75",0,0))</f>
        <v/>
      </c>
      <c r="BU4" s="31" t="inlineStr">
        <is>
          <t>Stage 2</t>
        </is>
      </c>
      <c r="BV4" s="31">
        <f>IF(BU4="Stage 2",20,IF(BU4="Stage 1",0,IF(BU4="Stage 3",5,IF(BU4="Stage 4",-5,0))))</f>
        <v/>
      </c>
      <c r="BW4" s="31" t="inlineStr">
        <is>
          <t>Positive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Blue sky scenario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  <row r="5">
      <c r="A5" s="31">
        <f>IF(B5=0,"",RANK(B5,$B$2:$B$5,0))</f>
        <v/>
      </c>
      <c r="B5" s="32">
        <f>SUM(S5,AD5,AF5,AH5,AJ5,AL5,AN5,AP5,AR5,AT5,AV5,AX5,AZ5,BB5,BD5,BF5,BH5,BJ5,BL5,BN5,BP5,BR5,BT5,BV5,BX5,BZ5,CB5,CD5,CF5)</f>
        <v/>
      </c>
      <c r="C5" s="31" t="inlineStr">
        <is>
          <t>52W Breakout</t>
        </is>
      </c>
      <c r="D5" s="32" t="n">
        <v>137.2</v>
      </c>
      <c r="E5" s="32" t="inlineStr">
        <is>
          <t>5%</t>
        </is>
      </c>
      <c r="F5" s="32" t="n">
        <v>50000</v>
      </c>
      <c r="G5" s="32" t="n">
        <v>1059</v>
      </c>
      <c r="H5" s="31" t="inlineStr">
        <is>
          <t>SOUTHBANK</t>
        </is>
      </c>
      <c r="I5" s="31" t="inlineStr">
        <is>
          <t>The South Indian Bank Limited</t>
        </is>
      </c>
      <c r="J5" s="31" t="inlineStr">
        <is>
          <t>bank</t>
        </is>
      </c>
      <c r="K5" s="31" t="inlineStr">
        <is>
          <t>banks - private sector</t>
        </is>
      </c>
      <c r="L5" s="31" t="inlineStr">
        <is>
          <t>midcap</t>
        </is>
      </c>
      <c r="M5" s="32" t="n">
        <v>12281.63</v>
      </c>
      <c r="N5" s="32" t="n">
        <v>47.2</v>
      </c>
      <c r="O5" s="32" t="n">
        <v>0.6</v>
      </c>
      <c r="P5" s="32" t="n">
        <v>13747133</v>
      </c>
      <c r="Q5" s="31" t="n">
        <v>65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68.66</v>
      </c>
      <c r="U5" s="32" t="n">
        <v>16.2</v>
      </c>
      <c r="V5" s="32" t="n">
        <v>37.63</v>
      </c>
      <c r="W5" s="31" t="inlineStr">
        <is>
          <t>Near 52W High Breakout</t>
        </is>
      </c>
      <c r="X5" s="31" t="inlineStr">
        <is>
          <t>Nifty Bank</t>
        </is>
      </c>
      <c r="Y5" s="32" t="n">
        <v>1.86</v>
      </c>
      <c r="Z5" s="32" t="n">
        <v>63.73</v>
      </c>
      <c r="AA5" s="32" t="n">
        <v>60.74</v>
      </c>
      <c r="AB5" s="32" t="n">
        <v>17.95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Fragmented with High ROE</t>
        </is>
      </c>
      <c r="AF5" s="31">
        <f>IF(AE5="Fragmented with Low ROE",-5,IF(AE5="Fragmented with High ROE",10,IF(AE5= "highly cyclical",5,0)))</f>
        <v/>
      </c>
      <c r="AG5" s="31" t="inlineStr">
        <is>
          <t>Yes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Consistency)",15,IF(AK5="Shallow Cyclical (2 to 3 years growth)",10,IF(AK5 = "Cyclical in an Uptick",5,IF(AK5 = "Cyclical in an Downtick",-10,0))))</f>
        <v/>
      </c>
      <c r="AM5" s="31" t="inlineStr">
        <is>
          <t>Yes</t>
        </is>
      </c>
      <c r="AN5" s="31">
        <f>IF(AM5="Yes",10,0)</f>
        <v/>
      </c>
      <c r="AO5" s="31" t="inlineStr">
        <is>
          <t>Yes</t>
        </is>
      </c>
      <c r="AP5" s="31">
        <f>IF(AO5="Yes",10,0)</f>
        <v/>
      </c>
      <c r="AQ5" s="31" t="n"/>
      <c r="AR5" s="31">
        <f>IF(AQ5="No",10,0)</f>
        <v/>
      </c>
      <c r="AS5" s="31" t="inlineStr">
        <is>
          <t>Yes</t>
        </is>
      </c>
      <c r="AT5" s="31">
        <f>IF(AS5="Yes",10,0)</f>
        <v/>
      </c>
      <c r="AU5" s="31" t="inlineStr">
        <is>
          <t>Yes</t>
        </is>
      </c>
      <c r="AV5" s="31">
        <f>IF(AU5="Yes",10,0)</f>
        <v/>
      </c>
      <c r="AW5" s="31" t="inlineStr">
        <is>
          <t>Yes</t>
        </is>
      </c>
      <c r="AX5" s="31">
        <f>IF(AW5="Yes",5,0)</f>
        <v/>
      </c>
      <c r="AY5" s="31" t="inlineStr">
        <is>
          <t>No</t>
        </is>
      </c>
      <c r="AZ5" s="31">
        <f>IF(AY5="No",10,IF(AY5="Yes",-10,0))</f>
        <v/>
      </c>
      <c r="BA5" s="31" t="inlineStr">
        <is>
          <t>No</t>
        </is>
      </c>
      <c r="BB5" s="31">
        <f>IF(BA5="No",10,0)</f>
        <v/>
      </c>
      <c r="BC5" s="31" t="inlineStr">
        <is>
          <t>No</t>
        </is>
      </c>
      <c r="BD5" s="31">
        <f>IF(BC5="No",10,IF(BC5= "Yes CEO Resignation",-5,0))</f>
        <v/>
      </c>
      <c r="BE5" s="31" t="inlineStr">
        <is>
          <t>No</t>
        </is>
      </c>
      <c r="BF5" s="31">
        <f>IF(BE5="No",10,IF(BE5="Yes",-5,0))</f>
        <v/>
      </c>
      <c r="BG5" s="31" t="inlineStr">
        <is>
          <t>No</t>
        </is>
      </c>
      <c r="BH5" s="31">
        <f>IF(BG5="No",5,IF(BG5="Yes",-5,0))</f>
        <v/>
      </c>
      <c r="BI5" s="31" t="inlineStr">
        <is>
          <t>Yes</t>
        </is>
      </c>
      <c r="BJ5" s="31">
        <f>IF(BI5="Yes",10,0)</f>
        <v/>
      </c>
      <c r="BK5" s="31" t="inlineStr">
        <is>
          <t>Yes</t>
        </is>
      </c>
      <c r="BL5" s="31">
        <f>IF(BK5="Yes",10,0)</f>
        <v/>
      </c>
      <c r="BM5" s="31" t="inlineStr">
        <is>
          <t>Yes</t>
        </is>
      </c>
      <c r="BN5" s="31">
        <f>IF(BM5="Yes",10,0)</f>
        <v/>
      </c>
      <c r="BO5" s="31" t="inlineStr">
        <is>
          <t>P/BV less than 2.5x and Growth less than 20%</t>
        </is>
      </c>
      <c r="BP5" s="31">
        <f>IF(BO5="P/BV less than 2.5x and Growth more than 20%",20,IF(BO5 = "P/BV less than 2.5x and Growth less than 20%",5,IF(BO5="P/BV between 2.5x to 5x and Growth more than 20%",10,IF(BO5= "P/BV between 2.5x to 5x and Growth less than 20%",-5,IF(BO5= "P/BV above 5x",-5,0)))))</f>
        <v/>
      </c>
      <c r="BQ5" s="31" t="inlineStr">
        <is>
          <t>0 to 20</t>
        </is>
      </c>
      <c r="BR5" s="31">
        <f>IF(BQ5="Above 40",20,IF(BQ5="20 to 40",10,IF(BQ5="0 to 20",-5,0)))</f>
        <v/>
      </c>
      <c r="BS5" s="31" t="inlineStr">
        <is>
          <t>Between 50 to 75</t>
        </is>
      </c>
      <c r="BT5" s="31">
        <f>IF(BS5="Between 50 to 75",10,IF(BS5="Above 75",0,0))</f>
        <v/>
      </c>
      <c r="BU5" s="31" t="inlineStr">
        <is>
          <t>Stage 2</t>
        </is>
      </c>
      <c r="BV5" s="31">
        <f>IF(BU5="Stage 2",20,IF(BU5="Stage 1",0,IF(BU5="Stage 3",5,IF(BU5="Stage 4",-5,0))))</f>
        <v/>
      </c>
      <c r="BW5" s="31" t="inlineStr">
        <is>
          <t>Positive Trend</t>
        </is>
      </c>
      <c r="BX5" s="31">
        <f>IF(BW5="Positive Trend",20,IF(BW5="Negative Trend",-10,0))</f>
        <v/>
      </c>
      <c r="BY5" s="31" t="inlineStr">
        <is>
          <t>Uptrend</t>
        </is>
      </c>
      <c r="BZ5" s="31">
        <f>IF(BY5="Uptrend",10,IF(BY5="Sideways",5,0))</f>
        <v/>
      </c>
      <c r="CA5" s="31" t="inlineStr">
        <is>
          <t>Uptrend</t>
        </is>
      </c>
      <c r="CB5" s="31">
        <f>IF(CA5="Uptrend",10,IF(CA5="Sideways",5,0))</f>
        <v/>
      </c>
      <c r="CC5" s="31" t="inlineStr">
        <is>
          <t>Blue sky scenario</t>
        </is>
      </c>
      <c r="CD5" s="31">
        <f>IF(CC5="Overhead supply in last 2 years in last 2 years",-5,IF(CC5="Close to 52 week high or retracement",5,IF(CC5="Blue sky scenario",10,IF(CC5="Long term Downtrend",-10,0))))</f>
        <v/>
      </c>
      <c r="CE5" s="31" t="inlineStr">
        <is>
          <t>Yes</t>
        </is>
      </c>
      <c r="CF5" s="31">
        <f>IF(CE5="Yes",10,0)</f>
        <v/>
      </c>
    </row>
  </sheetData>
  <autoFilter ref="A1:CF5"/>
  <conditionalFormatting sqref="B2:B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5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5">
    <cfRule type="cellIs" priority="34" operator="equal" dxfId="3" stopIfTrue="1">
      <formula>"Underperforming"</formula>
    </cfRule>
  </conditionalFormatting>
  <conditionalFormatting sqref="S2:S5">
    <cfRule type="cellIs" priority="35" operator="equal" dxfId="3" stopIfTrue="1">
      <formula>-5</formula>
    </cfRule>
  </conditionalFormatting>
  <conditionalFormatting sqref="V2:V5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5" showDropDown="0" showInputMessage="0" showErrorMessage="0" allowBlank="1" type="list">
      <formula1>"Growing Industry,Stagnant Industry,Cyclical in an Upturn"</formula1>
    </dataValidation>
    <dataValidation sqref="AE2:AE5" showDropDown="0" showInputMessage="0" showErrorMessage="0" allowBlank="1" type="list">
      <formula1>"Fragmented with Low ROE,Fragmented with High ROE,Highly Cyclical"</formula1>
    </dataValidation>
    <dataValidation sqref="AG2:AG5" showDropDown="0" showInputMessage="0" showErrorMessage="0" allowBlank="1" type="list">
      <formula1>"Yes,No"</formula1>
    </dataValidation>
    <dataValidation sqref="AI2:AI5" showDropDown="0" showInputMessage="0" showErrorMessage="0" allowBlank="1" type="list">
      <formula1>"Tailwind,Headwind"</formula1>
    </dataValidation>
    <dataValidation sqref="AK2:AK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5" showDropDown="0" showInputMessage="0" showErrorMessage="0" allowBlank="1" type="list">
      <formula1>"Yes,No"</formula1>
    </dataValidation>
    <dataValidation sqref="AO2:AO5" showDropDown="0" showInputMessage="0" showErrorMessage="0" allowBlank="1" type="list">
      <formula1>"Yes,No,Not Applicable"</formula1>
    </dataValidation>
    <dataValidation sqref="AQ2:AQ5" showDropDown="0" showInputMessage="0" showErrorMessage="0" allowBlank="1" type="list">
      <formula1>"Yes,No"</formula1>
    </dataValidation>
    <dataValidation sqref="AS2:AS5" showDropDown="0" showInputMessage="0" showErrorMessage="0" allowBlank="1" type="list">
      <formula1>"Yes,No"</formula1>
    </dataValidation>
    <dataValidation sqref="AU2:AU5" showDropDown="0" showInputMessage="0" showErrorMessage="0" allowBlank="1" type="list">
      <formula1>"Yes,No"</formula1>
    </dataValidation>
    <dataValidation sqref="AW2:AW5" showDropDown="0" showInputMessage="0" showErrorMessage="0" allowBlank="1" type="list">
      <formula1>"Yes,No"</formula1>
    </dataValidation>
    <dataValidation sqref="AY2:AY5" showDropDown="0" showInputMessage="0" showErrorMessage="0" allowBlank="1" type="list">
      <formula1>"No,Yes"</formula1>
    </dataValidation>
    <dataValidation sqref="BA2:BA5" showDropDown="0" showInputMessage="0" showErrorMessage="0" allowBlank="1" type="list">
      <formula1>"No,Yes"</formula1>
    </dataValidation>
    <dataValidation sqref="BC2:BC5" showDropDown="0" showInputMessage="0" showErrorMessage="0" allowBlank="1" type="list">
      <formula1>"No,Yes CEO Resignation,Yes CEO Retirement"</formula1>
    </dataValidation>
    <dataValidation sqref="BE2:BE5" showDropDown="0" showInputMessage="0" showErrorMessage="0" allowBlank="1" type="list">
      <formula1>"No,Yes"</formula1>
    </dataValidation>
    <dataValidation sqref="BG2:BG5" showDropDown="0" showInputMessage="0" showErrorMessage="0" allowBlank="1" type="list">
      <formula1>"No,Yes"</formula1>
    </dataValidation>
    <dataValidation sqref="BI2:BI5" showDropDown="0" showInputMessage="0" showErrorMessage="0" allowBlank="1" type="list">
      <formula1>"Yes,No"</formula1>
    </dataValidation>
    <dataValidation sqref="BK2:BK5" showDropDown="0" showInputMessage="0" showErrorMessage="0" allowBlank="1" type="list">
      <formula1>"Yes,No"</formula1>
    </dataValidation>
    <dataValidation sqref="BM2:BM5" showDropDown="0" showInputMessage="0" showErrorMessage="0" allowBlank="1" type="list">
      <formula1>"Yes,No"</formula1>
    </dataValidation>
    <dataValidation sqref="BO2:BO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5" showDropDown="0" showInputMessage="0" showErrorMessage="0" allowBlank="1" type="list">
      <formula1>"Above 40,20 to 40,0 to 20"</formula1>
    </dataValidation>
    <dataValidation sqref="BS2:BS5" showDropDown="0" showInputMessage="0" showErrorMessage="0" allowBlank="1" type="list">
      <formula1>"Between 50 to 75,Above 75,Below 45"</formula1>
    </dataValidation>
    <dataValidation sqref="BU2:BU5" showDropDown="0" showInputMessage="0" showErrorMessage="0" allowBlank="1" type="list">
      <formula1>"Stage 1,Stage 2,Stage 3,Stage 4"</formula1>
    </dataValidation>
    <dataValidation sqref="BW2:BW5" showDropDown="0" showInputMessage="0" showErrorMessage="0" allowBlank="1" type="list">
      <formula1>"Positive Trend,Negative Trend"</formula1>
    </dataValidation>
    <dataValidation sqref="BY2:BY5" showDropDown="0" showInputMessage="0" showErrorMessage="0" allowBlank="1" type="list">
      <formula1>"Uptrend,Sideways,Downtrend"</formula1>
    </dataValidation>
    <dataValidation sqref="CA2:CA5" showDropDown="0" showInputMessage="0" showErrorMessage="0" allowBlank="1" type="list">
      <formula1>"Uptrend,Sideways,Downtrend"</formula1>
    </dataValidation>
    <dataValidation sqref="CC2:CC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1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IF(B2=0,"",RANK(B2,$B$2:$B$94,0))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IBULLSLTD</t>
        </is>
      </c>
      <c r="D2" s="31" t="inlineStr">
        <is>
          <t>Indiabulls Limited</t>
        </is>
      </c>
      <c r="E2" s="31" t="inlineStr">
        <is>
          <t>miscellaneous</t>
        </is>
      </c>
      <c r="F2" s="31" t="inlineStr">
        <is>
          <t>Diversified</t>
        </is>
      </c>
      <c r="G2" s="31" t="inlineStr">
        <is>
          <t>midcap</t>
        </is>
      </c>
      <c r="H2" s="32" t="n">
        <v>5562.95</v>
      </c>
      <c r="I2" s="32" t="n">
        <v>23.88</v>
      </c>
      <c r="J2" s="32" t="n">
        <v>0.42</v>
      </c>
      <c r="K2" s="32" t="n">
        <v>0</v>
      </c>
      <c r="L2" s="31" t="n">
        <v>95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72.73</v>
      </c>
      <c r="P2" s="32" t="n">
        <v>36.21</v>
      </c>
      <c r="Q2" s="32" t="n">
        <v>16.89</v>
      </c>
      <c r="R2" s="31" t="inlineStr">
        <is>
          <t>Near 52W High Breakout</t>
        </is>
      </c>
      <c r="S2" s="31" t="inlineStr">
        <is>
          <t>Nifty 50</t>
        </is>
      </c>
      <c r="T2" s="32" t="n">
        <v>-4.47</v>
      </c>
      <c r="U2" s="32" t="n">
        <v>36.07</v>
      </c>
      <c r="V2" s="32" t="n">
        <v>42.44</v>
      </c>
      <c r="W2" s="32" t="n">
        <v>47.17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20 to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Between 50% to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20</t>
        </is>
      </c>
      <c r="CG2" s="31">
        <f>IF(CF2&gt;20,10,IF(CF2&gt;=10,5,2))</f>
        <v/>
      </c>
    </row>
    <row r="3">
      <c r="A3" s="31">
        <f>IF(B3=0,"",RANK(B3,$B$2:$B$94,0))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BAJAJCON</t>
        </is>
      </c>
      <c r="D3" s="31" t="inlineStr">
        <is>
          <t>Bajaj Consumer Care Ltd</t>
        </is>
      </c>
      <c r="E3" s="31" t="inlineStr">
        <is>
          <t>fmcg</t>
        </is>
      </c>
      <c r="F3" s="31" t="inlineStr">
        <is>
          <t>FMCG - Personal Care</t>
        </is>
      </c>
      <c r="G3" s="31" t="inlineStr">
        <is>
          <t>midcap</t>
        </is>
      </c>
      <c r="H3" s="32" t="n">
        <v>7842.98</v>
      </c>
      <c r="I3" s="32" t="n">
        <v>600.45</v>
      </c>
      <c r="J3" s="32" t="n">
        <v>1.36</v>
      </c>
      <c r="K3" s="32" t="n">
        <v>0</v>
      </c>
      <c r="L3" s="31" t="n">
        <v>95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77.95</v>
      </c>
      <c r="P3" s="32" t="n">
        <v>56.02</v>
      </c>
      <c r="Q3" s="32" t="n">
        <v>470.61</v>
      </c>
      <c r="R3" s="31" t="inlineStr">
        <is>
          <t>Near 52W High Breakout</t>
        </is>
      </c>
      <c r="S3" s="31" t="inlineStr">
        <is>
          <t>Nifty FMCG</t>
        </is>
      </c>
      <c r="T3" s="32" t="n">
        <v>-9.130000000000001</v>
      </c>
      <c r="U3" s="32" t="n">
        <v>254.77</v>
      </c>
      <c r="V3" s="32" t="n">
        <v>290.42</v>
      </c>
      <c r="W3" s="32" t="n">
        <v>44.51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Above 2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25</t>
        </is>
      </c>
      <c r="CG3" s="31">
        <f>IF(CF3&gt;20,10,IF(CF3&gt;=10,5,2))</f>
        <v/>
      </c>
    </row>
    <row r="4">
      <c r="A4" s="31">
        <f>IF(B4=0,"",RANK(B4,$B$2:$B$94,0))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MODINSU</t>
        </is>
      </c>
      <c r="D4" s="31" t="inlineStr">
        <is>
          <t>Modern Insulators Ltd</t>
        </is>
      </c>
      <c r="E4" s="31" t="inlineStr">
        <is>
          <t>Technology</t>
        </is>
      </c>
      <c r="F4" s="31" t="inlineStr">
        <is>
          <t>Capital Goods - Electric General</t>
        </is>
      </c>
      <c r="G4" s="31" t="inlineStr">
        <is>
          <t>smallcap</t>
        </is>
      </c>
      <c r="H4" s="32" t="n">
        <v>2145.05</v>
      </c>
      <c r="I4" s="32" t="n">
        <v>455</v>
      </c>
      <c r="J4" s="32" t="n">
        <v>5</v>
      </c>
      <c r="K4" s="32" t="n">
        <v>0</v>
      </c>
      <c r="L4" s="31" t="n">
        <v>97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72.39</v>
      </c>
      <c r="P4" s="32" t="n">
        <v>43.38</v>
      </c>
      <c r="Q4" s="32" t="n">
        <v>324.46</v>
      </c>
      <c r="R4" s="31" t="inlineStr">
        <is>
          <t>Near 52W High Breakout</t>
        </is>
      </c>
      <c r="S4" s="31" t="inlineStr">
        <is>
          <t>Nifty 50</t>
        </is>
      </c>
      <c r="T4" s="32" t="n">
        <v>-4.47</v>
      </c>
      <c r="U4" s="32" t="n">
        <v>348.5</v>
      </c>
      <c r="V4" s="32" t="n">
        <v>369.5</v>
      </c>
      <c r="W4" s="32" t="n">
        <v>59.79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Above 2</t>
        </is>
      </c>
      <c r="BU4" s="31">
        <f>IF(BT4="Above 2",0,IF(BT4="Between 1.5 to 2",5,IF(BT4="Less than 1.5",10,0)))</f>
        <v/>
      </c>
      <c r="BV4" s="31" t="inlineStr">
        <is>
          <t>Less than 50%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24</t>
        </is>
      </c>
      <c r="CG4" s="31">
        <f>IF(CF4&gt;20,10,IF(CF4&gt;=10,5,2))</f>
        <v/>
      </c>
    </row>
    <row r="5">
      <c r="A5" s="31">
        <f>IF(B5=0,"",RANK(B5,$B$2:$B$94,0))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VENUSREM</t>
        </is>
      </c>
      <c r="D5" s="31" t="inlineStr">
        <is>
          <t>Venus Remedies Ltd</t>
        </is>
      </c>
      <c r="E5" s="31" t="inlineStr">
        <is>
          <t>healthcare</t>
        </is>
      </c>
      <c r="F5" s="31" t="inlineStr">
        <is>
          <t>Pharmaceuticals - I V Fluids</t>
        </is>
      </c>
      <c r="G5" s="31" t="inlineStr">
        <is>
          <t>smallcap</t>
        </is>
      </c>
      <c r="H5" s="32" t="n">
        <v>2496.69</v>
      </c>
      <c r="I5" s="32" t="n">
        <v>1867.8</v>
      </c>
      <c r="J5" s="32" t="n">
        <v>-0.8100000000000001</v>
      </c>
      <c r="K5" s="32" t="n">
        <v>0</v>
      </c>
      <c r="L5" s="31" t="n">
        <v>97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83.62</v>
      </c>
      <c r="P5" s="32" t="n">
        <v>52.86</v>
      </c>
      <c r="Q5" s="32" t="n">
        <v>1428.32</v>
      </c>
      <c r="R5" s="31" t="inlineStr">
        <is>
          <t>Near 52W High Breakout</t>
        </is>
      </c>
      <c r="S5" s="31" t="inlineStr">
        <is>
          <t>Nifty Pharma</t>
        </is>
      </c>
      <c r="T5" s="32" t="n">
        <v>11.77</v>
      </c>
      <c r="U5" s="32" t="n">
        <v>331.01</v>
      </c>
      <c r="V5" s="32" t="n">
        <v>285.61</v>
      </c>
      <c r="W5" s="32" t="n">
        <v>64.16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Above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25</t>
        </is>
      </c>
      <c r="CG5" s="31">
        <f>IF(CF5&gt;20,10,IF(CF5&gt;=10,5,2))</f>
        <v/>
      </c>
    </row>
    <row r="6">
      <c r="A6" s="31">
        <f>IF(B6=0,"",RANK(B6,$B$2:$B$94,0))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BLISSGVS</t>
        </is>
      </c>
      <c r="D6" s="31" t="inlineStr">
        <is>
          <t>Bliss GVS Pharma Ltd</t>
        </is>
      </c>
      <c r="E6" s="31" t="inlineStr">
        <is>
          <t>healthcare</t>
        </is>
      </c>
      <c r="F6" s="31" t="inlineStr">
        <is>
          <t>Pharma - Formulators</t>
        </is>
      </c>
      <c r="G6" s="31" t="inlineStr">
        <is>
          <t>smallcap</t>
        </is>
      </c>
      <c r="H6" s="32" t="n">
        <v>4792.68</v>
      </c>
      <c r="I6" s="32" t="n">
        <v>451.9</v>
      </c>
      <c r="J6" s="32" t="n">
        <v>2.81</v>
      </c>
      <c r="K6" s="32" t="n">
        <v>0</v>
      </c>
      <c r="L6" s="31" t="n">
        <v>96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88.94</v>
      </c>
      <c r="P6" s="32" t="n">
        <v>63.4</v>
      </c>
      <c r="Q6" s="32" t="n">
        <v>346.94</v>
      </c>
      <c r="R6" s="31" t="inlineStr">
        <is>
          <t>Near 52W High Breakout</t>
        </is>
      </c>
      <c r="S6" s="31" t="inlineStr">
        <is>
          <t>Nifty Pharma</t>
        </is>
      </c>
      <c r="T6" s="32" t="n">
        <v>11.77</v>
      </c>
      <c r="U6" s="32" t="n">
        <v>228.18</v>
      </c>
      <c r="V6" s="32" t="n">
        <v>193.61</v>
      </c>
      <c r="W6" s="32" t="n">
        <v>55.14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22</t>
        </is>
      </c>
      <c r="CG6" s="31">
        <f>IF(CF6&gt;20,10,IF(CF6&gt;=10,5,2))</f>
        <v/>
      </c>
    </row>
    <row r="7">
      <c r="A7" s="31">
        <f>IF(B7=0,"",RANK(B7,$B$2:$B$94,0))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THANGAMAYL</t>
        </is>
      </c>
      <c r="D7" s="31" t="inlineStr">
        <is>
          <t>Thangamayil Jewellery Ltd</t>
        </is>
      </c>
      <c r="E7" s="31" t="inlineStr">
        <is>
          <t>consumer discretionary</t>
        </is>
      </c>
      <c r="F7" s="31" t="inlineStr">
        <is>
          <t>Diamond, Gems &amp; Jewellery</t>
        </is>
      </c>
      <c r="G7" s="31" t="inlineStr">
        <is>
          <t>midcap</t>
        </is>
      </c>
      <c r="H7" s="32" t="n">
        <v>16922.92</v>
      </c>
      <c r="I7" s="32" t="n">
        <v>5444.6</v>
      </c>
      <c r="J7" s="32" t="n">
        <v>-1.03</v>
      </c>
      <c r="K7" s="32" t="n">
        <v>0</v>
      </c>
      <c r="L7" s="31" t="n">
        <v>92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70.56999999999999</v>
      </c>
      <c r="P7" s="32" t="n">
        <v>40.06</v>
      </c>
      <c r="Q7" s="32" t="n">
        <v>4002.57</v>
      </c>
      <c r="R7" s="31" t="inlineStr">
        <is>
          <t>Near 52W High Breakout</t>
        </is>
      </c>
      <c r="S7" s="31" t="inlineStr">
        <is>
          <t>Nifty 50</t>
        </is>
      </c>
      <c r="T7" s="32" t="n">
        <v>-4.47</v>
      </c>
      <c r="U7" s="32" t="n">
        <v>191.35</v>
      </c>
      <c r="V7" s="32" t="n">
        <v>204.99</v>
      </c>
      <c r="W7" s="32" t="n">
        <v>39.42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Above 2</t>
        </is>
      </c>
      <c r="BU7" s="31">
        <f>IF(BT7="Above 2",0,IF(BT7="Between 1.5 to 2",5,IF(BT7="Less than 1.5",10,0)))</f>
        <v/>
      </c>
      <c r="BV7" s="31" t="inlineStr">
        <is>
          <t>Between 50% to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31</t>
        </is>
      </c>
      <c r="CG7" s="31">
        <f>IF(CF7&gt;20,10,IF(CF7&gt;=10,5,2))</f>
        <v/>
      </c>
    </row>
    <row r="8">
      <c r="A8" s="31">
        <f>IF(B8=0,"",RANK(B8,$B$2:$B$94,0))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AEGISLOG</t>
        </is>
      </c>
      <c r="D8" s="31" t="inlineStr">
        <is>
          <t>Aegis Logistics Ltd</t>
        </is>
      </c>
      <c r="E8" s="31" t="inlineStr">
        <is>
          <t>services</t>
        </is>
      </c>
      <c r="F8" s="31" t="inlineStr">
        <is>
          <t>Logistics</t>
        </is>
      </c>
      <c r="G8" s="31" t="inlineStr">
        <is>
          <t>largecap</t>
        </is>
      </c>
      <c r="H8" s="32" t="n">
        <v>34598.07</v>
      </c>
      <c r="I8" s="32" t="n">
        <v>985.7</v>
      </c>
      <c r="J8" s="32" t="n">
        <v>0.14</v>
      </c>
      <c r="K8" s="32" t="n">
        <v>0</v>
      </c>
      <c r="L8" s="31" t="n">
        <v>70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74.51000000000001</v>
      </c>
      <c r="P8" s="32" t="n">
        <v>23.26</v>
      </c>
      <c r="Q8" s="32" t="n">
        <v>763.6</v>
      </c>
      <c r="R8" s="31" t="inlineStr">
        <is>
          <t>Near 52W High Breakout</t>
        </is>
      </c>
      <c r="S8" s="31" t="inlineStr">
        <is>
          <t>Nifty 50</t>
        </is>
      </c>
      <c r="T8" s="32" t="n">
        <v>-4.47</v>
      </c>
      <c r="U8" s="32" t="n">
        <v>26.5</v>
      </c>
      <c r="V8" s="32" t="n">
        <v>32.43</v>
      </c>
      <c r="W8" s="32" t="n">
        <v>19.99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20 to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30</t>
        </is>
      </c>
      <c r="CG8" s="31">
        <f>IF(CF8&gt;20,10,IF(CF8&gt;=10,5,2))</f>
        <v/>
      </c>
    </row>
    <row r="9">
      <c r="A9" s="31">
        <f>IF(B9=0,"",RANK(B9,$B$2:$B$94,0))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RPTECH</t>
        </is>
      </c>
      <c r="D9" s="31" t="inlineStr">
        <is>
          <t>Rashi Peripherals Ltd</t>
        </is>
      </c>
      <c r="E9" s="31" t="inlineStr">
        <is>
          <t>services</t>
        </is>
      </c>
      <c r="F9" s="31" t="inlineStr">
        <is>
          <t>Trading</t>
        </is>
      </c>
      <c r="G9" s="31" t="inlineStr">
        <is>
          <t>smallcap</t>
        </is>
      </c>
      <c r="H9" s="32" t="n">
        <v>4366.51</v>
      </c>
      <c r="I9" s="32" t="n">
        <v>662.6</v>
      </c>
      <c r="J9" s="32" t="n">
        <v>18.06</v>
      </c>
      <c r="K9" s="32" t="n">
        <v>0</v>
      </c>
      <c r="L9" s="31" t="n">
        <v>93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85.31</v>
      </c>
      <c r="P9" s="32" t="n">
        <v>53.47</v>
      </c>
      <c r="Q9" s="32" t="n">
        <v>518.3</v>
      </c>
      <c r="R9" s="31" t="inlineStr">
        <is>
          <t>Volume Spike &amp; Near 52W High Breakout</t>
        </is>
      </c>
      <c r="S9" s="31" t="inlineStr">
        <is>
          <t>Nifty 50</t>
        </is>
      </c>
      <c r="T9" s="32" t="n">
        <v>-4.47</v>
      </c>
      <c r="U9" s="32" t="n">
        <v>125.35</v>
      </c>
      <c r="V9" s="32" t="n">
        <v>135.9</v>
      </c>
      <c r="W9" s="32" t="n">
        <v>40.59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Less than 50%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27</t>
        </is>
      </c>
      <c r="CG9" s="31">
        <f>IF(CF9&gt;20,10,IF(CF9&gt;=10,5,2))</f>
        <v/>
      </c>
    </row>
    <row r="10">
      <c r="A10" s="31">
        <f>IF(B10=0,"",RANK(B10,$B$2:$B$94,0))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VMARCIND</t>
        </is>
      </c>
      <c r="D10" s="31" t="inlineStr">
        <is>
          <t>V-Marc India Ltd</t>
        </is>
      </c>
      <c r="E10" s="31" t="inlineStr">
        <is>
          <t>unknown</t>
        </is>
      </c>
      <c r="F10" s="31" t="inlineStr">
        <is>
          <t>Cables - Power</t>
        </is>
      </c>
      <c r="G10" s="31" t="inlineStr">
        <is>
          <t>smallcap</t>
        </is>
      </c>
      <c r="H10" s="32" t="n">
        <v>3928.31</v>
      </c>
      <c r="I10" s="32" t="n">
        <v>1608.6</v>
      </c>
      <c r="J10" s="32" t="n">
        <v>12.98</v>
      </c>
      <c r="K10" s="32" t="n">
        <v>0</v>
      </c>
      <c r="L10" s="31" t="n">
        <v>98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78.16</v>
      </c>
      <c r="P10" s="32" t="n">
        <v>44.72</v>
      </c>
      <c r="Q10" s="32" t="n">
        <v>1144.87</v>
      </c>
      <c r="R10" s="31" t="inlineStr">
        <is>
          <t>Earnings / Momentum Support</t>
        </is>
      </c>
      <c r="S10" s="31" t="inlineStr">
        <is>
          <t>Nifty 50</t>
        </is>
      </c>
      <c r="T10" s="32" t="n">
        <v>-4.47</v>
      </c>
      <c r="U10" s="32" t="n">
        <v>384.78</v>
      </c>
      <c r="V10" s="32" t="n">
        <v>407.48</v>
      </c>
      <c r="W10" s="32" t="n">
        <v>67.77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22</t>
        </is>
      </c>
      <c r="CG10" s="31">
        <f>IF(CF10&gt;20,10,IF(CF10&gt;=10,5,2))</f>
        <v/>
      </c>
    </row>
    <row r="11">
      <c r="A11" s="31">
        <f>IF(B11=0,"",RANK(B11,$B$2:$B$94,0))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NETWEB</t>
        </is>
      </c>
      <c r="D11" s="31" t="inlineStr">
        <is>
          <t>Netweb Technologies India Ltd</t>
        </is>
      </c>
      <c r="E11" s="31" t="inlineStr">
        <is>
          <t>i.t</t>
        </is>
      </c>
      <c r="F11" s="31" t="inlineStr">
        <is>
          <t>Data Centre</t>
        </is>
      </c>
      <c r="G11" s="31" t="inlineStr">
        <is>
          <t>largecap</t>
        </is>
      </c>
      <c r="H11" s="32" t="n">
        <v>27812.11</v>
      </c>
      <c r="I11" s="32" t="n">
        <v>4884.4</v>
      </c>
      <c r="J11" s="32" t="n">
        <v>5.9</v>
      </c>
      <c r="K11" s="32" t="n">
        <v>0</v>
      </c>
      <c r="L11" s="31" t="n">
        <v>91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67.7</v>
      </c>
      <c r="P11" s="32" t="n">
        <v>45.04</v>
      </c>
      <c r="Q11" s="32" t="n">
        <v>3469.61</v>
      </c>
      <c r="R11" s="31" t="inlineStr">
        <is>
          <t>Near 52W High Breakout</t>
        </is>
      </c>
      <c r="S11" s="31" t="inlineStr">
        <is>
          <t>Nifty IT</t>
        </is>
      </c>
      <c r="T11" s="32" t="n">
        <v>-26.73</v>
      </c>
      <c r="U11" s="32" t="n">
        <v>177.21</v>
      </c>
      <c r="V11" s="32" t="n">
        <v>278.36</v>
      </c>
      <c r="W11" s="32" t="n">
        <v>36.74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Between 50% to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21</t>
        </is>
      </c>
      <c r="CG11" s="31">
        <f>IF(CF11&gt;20,10,IF(CF11&gt;=10,5,2))</f>
        <v/>
      </c>
    </row>
    <row r="12">
      <c r="A12" s="31">
        <f>IF(B12=0,"",RANK(B12,$B$2:$B$94,0))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GAYAPROJ</t>
        </is>
      </c>
      <c r="D12" s="31" t="inlineStr">
        <is>
          <t>Gayatri Projects Ltd</t>
        </is>
      </c>
      <c r="E12" s="31" t="inlineStr">
        <is>
          <t>realty</t>
        </is>
      </c>
      <c r="F12" s="31" t="inlineStr">
        <is>
          <t>Construction - Civil/Turnkey</t>
        </is>
      </c>
      <c r="G12" s="31" t="inlineStr">
        <is>
          <t>smallcap</t>
        </is>
      </c>
      <c r="H12" s="32" t="n">
        <v>1118.5</v>
      </c>
      <c r="I12" s="32" t="n">
        <v>24.09</v>
      </c>
      <c r="J12" s="32" t="n">
        <v>4.97</v>
      </c>
      <c r="K12" s="32" t="n">
        <v>0</v>
      </c>
      <c r="L12" s="31" t="n">
        <v>94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79.42</v>
      </c>
      <c r="P12" s="32" t="n">
        <v>60.05</v>
      </c>
      <c r="Q12" s="32" t="n">
        <v>19.51</v>
      </c>
      <c r="R12" s="31" t="inlineStr">
        <is>
          <t>Near 52W High Breakout</t>
        </is>
      </c>
      <c r="S12" s="31" t="inlineStr">
        <is>
          <t>Nifty Realty</t>
        </is>
      </c>
      <c r="T12" s="32" t="n">
        <v>-19.29</v>
      </c>
      <c r="U12" s="32" t="n">
        <v>181.75</v>
      </c>
      <c r="V12" s="32" t="n">
        <v>249.1</v>
      </c>
      <c r="W12" s="32" t="n">
        <v>41.93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19</t>
        </is>
      </c>
      <c r="CG12" s="31">
        <f>IF(CF12&gt;20,10,IF(CF12&gt;=10,5,2))</f>
        <v/>
      </c>
    </row>
    <row r="13">
      <c r="A13" s="31">
        <f>IF(B13=0,"",RANK(B13,$B$2:$B$94,0))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INDOBORAX</t>
        </is>
      </c>
      <c r="D13" s="31" t="inlineStr">
        <is>
          <t>Indo Borax &amp; Chemicals Ltd</t>
        </is>
      </c>
      <c r="E13" s="31" t="inlineStr">
        <is>
          <t>chemicals</t>
        </is>
      </c>
      <c r="F13" s="31" t="inlineStr">
        <is>
          <t>Chemicals - Inorganic</t>
        </is>
      </c>
      <c r="G13" s="31" t="inlineStr">
        <is>
          <t>smallcap</t>
        </is>
      </c>
      <c r="H13" s="32" t="n">
        <v>1178.67</v>
      </c>
      <c r="I13" s="32" t="n">
        <v>367.3</v>
      </c>
      <c r="J13" s="32" t="n">
        <v>-1.51</v>
      </c>
      <c r="K13" s="32" t="n">
        <v>0</v>
      </c>
      <c r="L13" s="31" t="n">
        <v>79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79.11</v>
      </c>
      <c r="P13" s="32" t="n">
        <v>52.58</v>
      </c>
      <c r="Q13" s="32" t="n">
        <v>295.31</v>
      </c>
      <c r="R13" s="31" t="inlineStr">
        <is>
          <t>Near 52W High Breakout</t>
        </is>
      </c>
      <c r="S13" s="31" t="inlineStr">
        <is>
          <t>Nifty 50</t>
        </is>
      </c>
      <c r="T13" s="32" t="n">
        <v>-4.47</v>
      </c>
      <c r="U13" s="32" t="n">
        <v>83.92</v>
      </c>
      <c r="V13" s="32" t="n">
        <v>92.53</v>
      </c>
      <c r="W13" s="32" t="n">
        <v>24.82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17</t>
        </is>
      </c>
      <c r="CG13" s="31">
        <f>IF(CF13&gt;20,10,IF(CF13&gt;=10,5,2))</f>
        <v/>
      </c>
    </row>
    <row r="14">
      <c r="A14" s="31">
        <f>IF(B14=0,"",RANK(B14,$B$2:$B$94,0))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CUPID</t>
        </is>
      </c>
      <c r="D14" s="31" t="inlineStr">
        <is>
          <t>Cupid Ltd</t>
        </is>
      </c>
      <c r="E14" s="31" t="inlineStr">
        <is>
          <t>fmcg</t>
        </is>
      </c>
      <c r="F14" s="31" t="inlineStr">
        <is>
          <t>Contraceptives/Protectives</t>
        </is>
      </c>
      <c r="G14" s="31" t="inlineStr">
        <is>
          <t>largecap</t>
        </is>
      </c>
      <c r="H14" s="32" t="n">
        <v>22172.11</v>
      </c>
      <c r="I14" s="32" t="n">
        <v>164.89</v>
      </c>
      <c r="J14" s="32" t="n">
        <v>0.04</v>
      </c>
      <c r="K14" s="32" t="n">
        <v>0</v>
      </c>
      <c r="L14" s="31" t="n">
        <v>99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82.47</v>
      </c>
      <c r="P14" s="32" t="n">
        <v>48.43</v>
      </c>
      <c r="Q14" s="32" t="n">
        <v>128.63</v>
      </c>
      <c r="R14" s="31" t="inlineStr">
        <is>
          <t>Near 52W High Breakout</t>
        </is>
      </c>
      <c r="S14" s="31" t="inlineStr">
        <is>
          <t>Nifty FMCG</t>
        </is>
      </c>
      <c r="T14" s="32" t="n">
        <v>-9.130000000000001</v>
      </c>
      <c r="U14" s="32" t="n">
        <v>787.27</v>
      </c>
      <c r="V14" s="32" t="n">
        <v>876.4299999999999</v>
      </c>
      <c r="W14" s="32" t="n">
        <v>88.55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B2C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Less than 50%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23</t>
        </is>
      </c>
      <c r="CG14" s="31">
        <f>IF(CF14&gt;20,10,IF(CF14&gt;=10,5,2))</f>
        <v/>
      </c>
    </row>
    <row r="15">
      <c r="A15" s="31">
        <f>IF(B15=0,"",RANK(B15,$B$2:$B$94,0))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SAKAR</t>
        </is>
      </c>
      <c r="D15" s="31" t="inlineStr">
        <is>
          <t>Sakar Healthcare Ltd</t>
        </is>
      </c>
      <c r="E15" s="31" t="inlineStr">
        <is>
          <t>healthcare</t>
        </is>
      </c>
      <c r="F15" s="31" t="inlineStr">
        <is>
          <t>Hospitals</t>
        </is>
      </c>
      <c r="G15" s="31" t="inlineStr">
        <is>
          <t>smallcap</t>
        </is>
      </c>
      <c r="H15" s="32" t="n">
        <v>1831.06</v>
      </c>
      <c r="I15" s="32" t="n">
        <v>822.95</v>
      </c>
      <c r="J15" s="32" t="n">
        <v>-2.51</v>
      </c>
      <c r="K15" s="32" t="n">
        <v>0</v>
      </c>
      <c r="L15" s="31" t="n">
        <v>87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76.34999999999999</v>
      </c>
      <c r="P15" s="32" t="n">
        <v>53.87</v>
      </c>
      <c r="Q15" s="32" t="n">
        <v>581.05</v>
      </c>
      <c r="R15" s="31" t="inlineStr">
        <is>
          <t>Near 52W High Breakout</t>
        </is>
      </c>
      <c r="S15" s="31" t="inlineStr">
        <is>
          <t>Nifty Pharma</t>
        </is>
      </c>
      <c r="T15" s="32" t="n">
        <v>11.77</v>
      </c>
      <c r="U15" s="32" t="n">
        <v>135.63</v>
      </c>
      <c r="V15" s="32" t="n">
        <v>110.81</v>
      </c>
      <c r="W15" s="32" t="n">
        <v>31.39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18</t>
        </is>
      </c>
      <c r="CG15" s="31">
        <f>IF(CF15&gt;20,10,IF(CF15&gt;=10,5,2))</f>
        <v/>
      </c>
    </row>
    <row r="16">
      <c r="A16" s="31">
        <f>IF(B16=0,"",RANK(B16,$B$2:$B$94,0))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TIMEX</t>
        </is>
      </c>
      <c r="D16" s="31" t="inlineStr">
        <is>
          <t>Timex Group India Ltd</t>
        </is>
      </c>
      <c r="E16" s="31" t="inlineStr">
        <is>
          <t>Consumer Cyclical</t>
        </is>
      </c>
      <c r="F16" s="31" t="inlineStr">
        <is>
          <t>Watches</t>
        </is>
      </c>
      <c r="G16" s="31" t="inlineStr">
        <is>
          <t>smallcap</t>
        </is>
      </c>
      <c r="H16" s="32" t="n">
        <v>4925.35</v>
      </c>
      <c r="I16" s="32" t="n">
        <v>487.9</v>
      </c>
      <c r="J16" s="32" t="n">
        <v>-1.92</v>
      </c>
      <c r="K16" s="32" t="n">
        <v>0</v>
      </c>
      <c r="L16" s="31" t="n">
        <v>88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73.39</v>
      </c>
      <c r="P16" s="32" t="n">
        <v>30.01</v>
      </c>
      <c r="Q16" s="32" t="n">
        <v>373.95</v>
      </c>
      <c r="R16" s="31" t="inlineStr">
        <is>
          <t>Near 52W High Breakout</t>
        </is>
      </c>
      <c r="S16" s="31" t="inlineStr">
        <is>
          <t>Nifty 50</t>
        </is>
      </c>
      <c r="T16" s="32" t="n">
        <v>-4.47</v>
      </c>
      <c r="U16" s="32" t="n">
        <v>88.27</v>
      </c>
      <c r="V16" s="32" t="n">
        <v>97.08</v>
      </c>
      <c r="W16" s="32" t="n">
        <v>32.84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21</t>
        </is>
      </c>
      <c r="CG16" s="31">
        <f>IF(CF16&gt;20,10,IF(CF16&gt;=10,5,2))</f>
        <v/>
      </c>
    </row>
    <row r="17">
      <c r="A17" s="31">
        <f>IF(B17=0,"",RANK(B17,$B$2:$B$94,0))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MAYURUNIQ</t>
        </is>
      </c>
      <c r="D17" s="31" t="inlineStr">
        <is>
          <t>Mayur Uniquoters Ltd</t>
        </is>
      </c>
      <c r="E17" s="31" t="inlineStr">
        <is>
          <t>consumer discretionary</t>
        </is>
      </c>
      <c r="F17" s="31" t="inlineStr">
        <is>
          <t>Plastics - Plastic &amp; Plastic Products</t>
        </is>
      </c>
      <c r="G17" s="31" t="inlineStr">
        <is>
          <t>smallcap</t>
        </is>
      </c>
      <c r="H17" s="32" t="n">
        <v>3580.28</v>
      </c>
      <c r="I17" s="32" t="n">
        <v>823.95</v>
      </c>
      <c r="J17" s="32" t="n">
        <v>3.37</v>
      </c>
      <c r="K17" s="32" t="n">
        <v>0</v>
      </c>
      <c r="L17" s="31" t="n">
        <v>78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79.33</v>
      </c>
      <c r="P17" s="32" t="n">
        <v>40.58</v>
      </c>
      <c r="Q17" s="32" t="n">
        <v>647.21</v>
      </c>
      <c r="R17" s="31" t="inlineStr">
        <is>
          <t>Near 52W High Breakout</t>
        </is>
      </c>
      <c r="S17" s="31" t="inlineStr">
        <is>
          <t>Nifty 50</t>
        </is>
      </c>
      <c r="T17" s="32" t="n">
        <v>-4.47</v>
      </c>
      <c r="U17" s="32" t="n">
        <v>50.3</v>
      </c>
      <c r="V17" s="32" t="n">
        <v>57.33</v>
      </c>
      <c r="W17" s="32" t="n">
        <v>23.37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Between 50% to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18</t>
        </is>
      </c>
      <c r="CG17" s="31">
        <f>IF(CF17&gt;20,10,IF(CF17&gt;=10,5,2))</f>
        <v/>
      </c>
    </row>
    <row r="18">
      <c r="A18" s="31">
        <f>IF(B18=0,"",RANK(B18,$B$2:$B$94,0))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KPL</t>
        </is>
      </c>
      <c r="D18" s="31" t="inlineStr">
        <is>
          <t>Kwality Pharmaceuticals Ltd</t>
        </is>
      </c>
      <c r="E18" s="31" t="inlineStr">
        <is>
          <t>Healthcare</t>
        </is>
      </c>
      <c r="F18" s="31" t="inlineStr">
        <is>
          <t>Pharma - Formulators</t>
        </is>
      </c>
      <c r="G18" s="31" t="inlineStr">
        <is>
          <t>smallcap</t>
        </is>
      </c>
      <c r="H18" s="32" t="n">
        <v>2519.5</v>
      </c>
      <c r="I18" s="32" t="n">
        <v>2428.15</v>
      </c>
      <c r="J18" s="32" t="n">
        <v>0.97</v>
      </c>
      <c r="K18" s="32" t="n">
        <v>0</v>
      </c>
      <c r="L18" s="31" t="n">
        <v>89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76.43000000000001</v>
      </c>
      <c r="P18" s="32" t="n">
        <v>52.94</v>
      </c>
      <c r="Q18" s="32" t="n">
        <v>1823.81</v>
      </c>
      <c r="R18" s="31" t="inlineStr">
        <is>
          <t>Near 52W High Breakout</t>
        </is>
      </c>
      <c r="S18" s="31" t="inlineStr">
        <is>
          <t>Nifty Pharma</t>
        </is>
      </c>
      <c r="T18" s="32" t="n">
        <v>11.77</v>
      </c>
      <c r="U18" s="32" t="n">
        <v>135.27</v>
      </c>
      <c r="V18" s="32" t="n">
        <v>110.49</v>
      </c>
      <c r="W18" s="32" t="n">
        <v>33.56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Less than 50%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26</t>
        </is>
      </c>
      <c r="CG18" s="31">
        <f>IF(CF18&gt;20,10,IF(CF18&gt;=10,5,2))</f>
        <v/>
      </c>
    </row>
    <row r="19">
      <c r="A19" s="31">
        <f>IF(B19=0,"",RANK(B19,$B$2:$B$94,0))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NGLFINE</t>
        </is>
      </c>
      <c r="D19" s="31" t="inlineStr">
        <is>
          <t>NGL Fine Chem Ltd</t>
        </is>
      </c>
      <c r="E19" s="31" t="inlineStr">
        <is>
          <t>healthcare</t>
        </is>
      </c>
      <c r="F19" s="31" t="inlineStr">
        <is>
          <t>Pharma - Animal</t>
        </is>
      </c>
      <c r="G19" s="31" t="inlineStr">
        <is>
          <t>smallcap</t>
        </is>
      </c>
      <c r="H19" s="32" t="n">
        <v>1839.01</v>
      </c>
      <c r="I19" s="32" t="n">
        <v>2976.7</v>
      </c>
      <c r="J19" s="32" t="n">
        <v>-4.26</v>
      </c>
      <c r="K19" s="32" t="n">
        <v>0</v>
      </c>
      <c r="L19" s="31" t="n">
        <v>90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75.77</v>
      </c>
      <c r="P19" s="32" t="n">
        <v>65.51000000000001</v>
      </c>
      <c r="Q19" s="32" t="n">
        <v>2026.99</v>
      </c>
      <c r="R19" s="31" t="inlineStr">
        <is>
          <t>Near 52W High Breakout</t>
        </is>
      </c>
      <c r="S19" s="31" t="inlineStr">
        <is>
          <t>Nifty Pharma</t>
        </is>
      </c>
      <c r="T19" s="32" t="n">
        <v>11.77</v>
      </c>
      <c r="U19" s="32" t="n">
        <v>198.1</v>
      </c>
      <c r="V19" s="32" t="n">
        <v>166.7</v>
      </c>
      <c r="W19" s="32" t="n">
        <v>35.08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Between 50% to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24</t>
        </is>
      </c>
      <c r="CG19" s="31">
        <f>IF(CF19&gt;20,10,IF(CF19&gt;=10,5,2))</f>
        <v/>
      </c>
    </row>
    <row r="20">
      <c r="A20" s="31">
        <f>IF(B20=0,"",RANK(B20,$B$2:$B$94,0))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SENORES</t>
        </is>
      </c>
      <c r="D20" s="31" t="inlineStr">
        <is>
          <t>Senores Pharmaceuticals Ltd</t>
        </is>
      </c>
      <c r="E20" s="31" t="inlineStr">
        <is>
          <t>healthcare</t>
        </is>
      </c>
      <c r="F20" s="31" t="inlineStr">
        <is>
          <t>Pharma - API</t>
        </is>
      </c>
      <c r="G20" s="31" t="inlineStr">
        <is>
          <t>midcap</t>
        </is>
      </c>
      <c r="H20" s="32" t="n">
        <v>5789.86</v>
      </c>
      <c r="I20" s="32" t="n">
        <v>1257.2</v>
      </c>
      <c r="J20" s="32" t="n">
        <v>-2.03</v>
      </c>
      <c r="K20" s="32" t="n">
        <v>0</v>
      </c>
      <c r="L20" s="31" t="n">
        <v>91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73.95</v>
      </c>
      <c r="P20" s="32" t="n">
        <v>44.65</v>
      </c>
      <c r="Q20" s="32" t="n">
        <v>1000.22</v>
      </c>
      <c r="R20" s="31" t="inlineStr">
        <is>
          <t>Near 52W High Breakout</t>
        </is>
      </c>
      <c r="S20" s="31" t="inlineStr">
        <is>
          <t>Nifty Pharma</t>
        </is>
      </c>
      <c r="T20" s="32" t="n">
        <v>11.77</v>
      </c>
      <c r="U20" s="32" t="n">
        <v>141.7</v>
      </c>
      <c r="V20" s="32" t="n">
        <v>116.24</v>
      </c>
      <c r="W20" s="32" t="n">
        <v>35.58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Less than 50%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24</t>
        </is>
      </c>
      <c r="CG20" s="31">
        <f>IF(CF20&gt;20,10,IF(CF20&gt;=10,5,2))</f>
        <v/>
      </c>
    </row>
    <row r="21">
      <c r="A21" s="31">
        <f>IF(B21=0,"",RANK(B21,$B$2:$B$94,0))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SKMEGGPROD</t>
        </is>
      </c>
      <c r="D21" s="31" t="inlineStr">
        <is>
          <t>SKM Egg Products Export (India) Ltd</t>
        </is>
      </c>
      <c r="E21" s="31" t="inlineStr">
        <is>
          <t>fmcg</t>
        </is>
      </c>
      <c r="F21" s="31" t="inlineStr">
        <is>
          <t>FMCG - Animal/Polutry</t>
        </is>
      </c>
      <c r="G21" s="31" t="inlineStr">
        <is>
          <t>smallcap</t>
        </is>
      </c>
      <c r="H21" s="32" t="n">
        <v>1283.9</v>
      </c>
      <c r="I21" s="32" t="n">
        <v>243.81</v>
      </c>
      <c r="J21" s="32" t="n">
        <v>3.34</v>
      </c>
      <c r="K21" s="32" t="n">
        <v>0</v>
      </c>
      <c r="L21" s="31" t="n">
        <v>85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69.72</v>
      </c>
      <c r="P21" s="32" t="n">
        <v>22.1</v>
      </c>
      <c r="Q21" s="32" t="n">
        <v>171.78</v>
      </c>
      <c r="R21" s="31" t="inlineStr">
        <is>
          <t>Near 52W High Breakout</t>
        </is>
      </c>
      <c r="S21" s="31" t="inlineStr">
        <is>
          <t>Nifty FMCG</t>
        </is>
      </c>
      <c r="T21" s="32" t="n">
        <v>-9.130000000000001</v>
      </c>
      <c r="U21" s="32" t="n">
        <v>93.53</v>
      </c>
      <c r="V21" s="32" t="n">
        <v>112.98</v>
      </c>
      <c r="W21" s="32" t="n">
        <v>29.36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B2C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Less than 50%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23</t>
        </is>
      </c>
      <c r="CG21" s="31">
        <f>IF(CF21&gt;20,10,IF(CF21&gt;=10,5,2))</f>
        <v/>
      </c>
    </row>
    <row r="22">
      <c r="A22" s="31">
        <f>IF(B22=0,"",RANK(B22,$B$2:$B$94,0))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GVPIL</t>
        </is>
      </c>
      <c r="D22" s="31" t="inlineStr">
        <is>
          <t>GE Power India Ltd</t>
        </is>
      </c>
      <c r="E22" s="31" t="inlineStr">
        <is>
          <t>realty</t>
        </is>
      </c>
      <c r="F22" s="31" t="inlineStr">
        <is>
          <t>Infra - General</t>
        </is>
      </c>
      <c r="G22" s="31" t="inlineStr">
        <is>
          <t>midcap</t>
        </is>
      </c>
      <c r="H22" s="32" t="n">
        <v>6889.47</v>
      </c>
      <c r="I22" s="32" t="n">
        <v>1024.8</v>
      </c>
      <c r="J22" s="32" t="n">
        <v>5</v>
      </c>
      <c r="K22" s="32" t="n">
        <v>0</v>
      </c>
      <c r="L22" s="31" t="n">
        <v>98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90.12</v>
      </c>
      <c r="P22" s="32" t="n">
        <v>58.69</v>
      </c>
      <c r="Q22" s="32" t="n">
        <v>802.4</v>
      </c>
      <c r="R22" s="31" t="inlineStr">
        <is>
          <t>Near 52W High Breakout</t>
        </is>
      </c>
      <c r="S22" s="31" t="inlineStr">
        <is>
          <t>Nifty Realty</t>
        </is>
      </c>
      <c r="T22" s="32" t="n">
        <v>-19.29</v>
      </c>
      <c r="U22" s="32" t="n">
        <v>237.27</v>
      </c>
      <c r="V22" s="32" t="n">
        <v>317.89</v>
      </c>
      <c r="W22" s="32" t="n">
        <v>64.45999999999999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Duopoly That Cooperate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Shallow Cyclical (2 to 3 Years Growth)</t>
        </is>
      </c>
      <c r="AG22" s="31">
        <f>IF(AF22="Structural (10 Years Consistency)",10,IF(AF22="Shallow Cyclical (2 to 3 years growth)",5,0))</f>
        <v/>
      </c>
      <c r="AH22" s="31" t="inlineStr">
        <is>
          <t>Yes due to Product Mix change or Operating Leverage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B2C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Fully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only for next 1 to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Between 50% to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Between 0.7 to 1.2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22</t>
        </is>
      </c>
      <c r="CG22" s="31">
        <f>IF(CF22&gt;20,10,IF(CF22&gt;=10,5,2))</f>
        <v/>
      </c>
    </row>
    <row r="23">
      <c r="A23" s="31">
        <f>IF(B23=0,"",RANK(B23,$B$2:$B$94,0))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SUPRIYA</t>
        </is>
      </c>
      <c r="D23" s="31" t="inlineStr">
        <is>
          <t>Supriya Lifescience Ltd</t>
        </is>
      </c>
      <c r="E23" s="31" t="inlineStr">
        <is>
          <t>healthcare</t>
        </is>
      </c>
      <c r="F23" s="31" t="inlineStr">
        <is>
          <t>Pharma - API &amp; CRAMS</t>
        </is>
      </c>
      <c r="G23" s="31" t="inlineStr">
        <is>
          <t>midcap</t>
        </is>
      </c>
      <c r="H23" s="32" t="n">
        <v>7620.92</v>
      </c>
      <c r="I23" s="32" t="n">
        <v>946.9</v>
      </c>
      <c r="J23" s="32" t="n">
        <v>-0.87</v>
      </c>
      <c r="K23" s="32" t="n">
        <v>0</v>
      </c>
      <c r="L23" s="31" t="n">
        <v>75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72.17</v>
      </c>
      <c r="P23" s="32" t="n">
        <v>35.54</v>
      </c>
      <c r="Q23" s="32" t="n">
        <v>742.33</v>
      </c>
      <c r="R23" s="31" t="inlineStr">
        <is>
          <t>Near 52W High Breakout</t>
        </is>
      </c>
      <c r="S23" s="31" t="inlineStr">
        <is>
          <t>Nifty Pharma</t>
        </is>
      </c>
      <c r="T23" s="32" t="n">
        <v>11.77</v>
      </c>
      <c r="U23" s="32" t="n">
        <v>39.09</v>
      </c>
      <c r="V23" s="32" t="n">
        <v>24.44</v>
      </c>
      <c r="W23" s="32" t="n">
        <v>22.32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Between 50% to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20</t>
        </is>
      </c>
      <c r="CG23" s="31">
        <f>IF(CF23&gt;20,10,IF(CF23&gt;=10,5,2))</f>
        <v/>
      </c>
    </row>
    <row r="24">
      <c r="A24" s="31">
        <f>IF(B24=0,"",RANK(B24,$B$2:$B$94,0))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BHAGYANGR</t>
        </is>
      </c>
      <c r="D24" s="31" t="inlineStr">
        <is>
          <t>Bhagyanagar India Ltd</t>
        </is>
      </c>
      <c r="E24" s="31" t="inlineStr">
        <is>
          <t>power &amp; utilities</t>
        </is>
      </c>
      <c r="F24" s="31" t="inlineStr">
        <is>
          <t>Recycling</t>
        </is>
      </c>
      <c r="G24" s="31" t="inlineStr">
        <is>
          <t>smallcap</t>
        </is>
      </c>
      <c r="H24" s="32" t="n">
        <v>1095.51</v>
      </c>
      <c r="I24" s="32" t="n">
        <v>342.4</v>
      </c>
      <c r="J24" s="32" t="n">
        <v>5</v>
      </c>
      <c r="K24" s="32" t="n">
        <v>0</v>
      </c>
      <c r="L24" s="31" t="n">
        <v>98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78.72</v>
      </c>
      <c r="P24" s="32" t="n">
        <v>59.88</v>
      </c>
      <c r="Q24" s="32" t="n">
        <v>244.55</v>
      </c>
      <c r="R24" s="31" t="inlineStr">
        <is>
          <t>Near 52W High Breakout</t>
        </is>
      </c>
      <c r="S24" s="31" t="inlineStr">
        <is>
          <t>Nifty IT</t>
        </is>
      </c>
      <c r="T24" s="32" t="n">
        <v>-26.73</v>
      </c>
      <c r="U24" s="32" t="n">
        <v>336.35</v>
      </c>
      <c r="V24" s="32" t="n">
        <v>495.55</v>
      </c>
      <c r="W24" s="32" t="n">
        <v>68.20999999999999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Between 50% to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Between 0.7 to 1.2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23</t>
        </is>
      </c>
      <c r="CG24" s="31">
        <f>IF(CF24&gt;20,10,IF(CF24&gt;=10,5,2))</f>
        <v/>
      </c>
    </row>
    <row r="25">
      <c r="A25" s="31">
        <f>IF(B25=0,"",RANK(B25,$B$2:$B$94,0))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UNIPARTS</t>
        </is>
      </c>
      <c r="D25" s="31" t="inlineStr">
        <is>
          <t>Uniparts India Ltd</t>
        </is>
      </c>
      <c r="E25" s="31" t="inlineStr">
        <is>
          <t>industrials</t>
        </is>
      </c>
      <c r="F25" s="31" t="inlineStr">
        <is>
          <t>Castings, Forgings &amp; Fastners</t>
        </is>
      </c>
      <c r="G25" s="31" t="inlineStr">
        <is>
          <t>smallcap</t>
        </is>
      </c>
      <c r="H25" s="32" t="n">
        <v>3025.94</v>
      </c>
      <c r="I25" s="32" t="n">
        <v>670.3</v>
      </c>
      <c r="J25" s="32" t="n">
        <v>1</v>
      </c>
      <c r="K25" s="32" t="n">
        <v>0</v>
      </c>
      <c r="L25" s="31" t="n">
        <v>80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74.73</v>
      </c>
      <c r="P25" s="32" t="n">
        <v>37.86</v>
      </c>
      <c r="Q25" s="32" t="n">
        <v>527.96</v>
      </c>
      <c r="R25" s="31" t="inlineStr">
        <is>
          <t>Near 52W High Breakout</t>
        </is>
      </c>
      <c r="S25" s="31" t="inlineStr">
        <is>
          <t>Nifty 50</t>
        </is>
      </c>
      <c r="T25" s="32" t="n">
        <v>-4.47</v>
      </c>
      <c r="U25" s="32" t="n">
        <v>94.66</v>
      </c>
      <c r="V25" s="32" t="n">
        <v>103.78</v>
      </c>
      <c r="W25" s="32" t="n">
        <v>25.05</v>
      </c>
      <c r="X25" s="31" t="inlineStr">
        <is>
          <t>Cyclical in an Upturn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23</t>
        </is>
      </c>
      <c r="CG25" s="31">
        <f>IF(CF25&gt;20,10,IF(CF25&gt;=10,5,2))</f>
        <v/>
      </c>
    </row>
    <row r="26">
      <c r="A26" s="31">
        <f>IF(B26=0,"",RANK(B26,$B$2:$B$94,0))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PARAS</t>
        </is>
      </c>
      <c r="D26" s="31" t="inlineStr">
        <is>
          <t>Paras Defence and Space Technologies Ltd</t>
        </is>
      </c>
      <c r="E26" s="31" t="inlineStr">
        <is>
          <t>aerospace &amp; defence</t>
        </is>
      </c>
      <c r="F26" s="31" t="inlineStr">
        <is>
          <t>Aerospace &amp; Defence - Equipments</t>
        </is>
      </c>
      <c r="G26" s="31" t="inlineStr">
        <is>
          <t>midcap</t>
        </is>
      </c>
      <c r="H26" s="32" t="n">
        <v>8778.780000000001</v>
      </c>
      <c r="I26" s="32" t="n">
        <v>1089.35</v>
      </c>
      <c r="J26" s="32" t="n">
        <v>-1.7</v>
      </c>
      <c r="K26" s="32" t="n">
        <v>0</v>
      </c>
      <c r="L26" s="31" t="n">
        <v>79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72.2</v>
      </c>
      <c r="P26" s="32" t="n">
        <v>40.62</v>
      </c>
      <c r="Q26" s="32" t="n">
        <v>814.9400000000001</v>
      </c>
      <c r="R26" s="31" t="inlineStr">
        <is>
          <t>Near 52W High Breakout</t>
        </is>
      </c>
      <c r="S26" s="31" t="inlineStr">
        <is>
          <t>Nifty 50</t>
        </is>
      </c>
      <c r="T26" s="32" t="n">
        <v>-4.47</v>
      </c>
      <c r="U26" s="32" t="n">
        <v>31.81</v>
      </c>
      <c r="V26" s="32" t="n">
        <v>37.98</v>
      </c>
      <c r="W26" s="32" t="n">
        <v>24.29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Less than 50%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23</t>
        </is>
      </c>
      <c r="CG26" s="31">
        <f>IF(CF26&gt;20,10,IF(CF26&gt;=10,5,2))</f>
        <v/>
      </c>
    </row>
    <row r="27">
      <c r="A27" s="31">
        <f>IF(B27=0,"",RANK(B27,$B$2:$B$94,0))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ACCENTMIC</t>
        </is>
      </c>
      <c r="D27" s="31" t="inlineStr">
        <is>
          <t>Accent Microcell Ltd</t>
        </is>
      </c>
      <c r="E27" s="31" t="inlineStr">
        <is>
          <t>unknown</t>
        </is>
      </c>
      <c r="F27" s="31" t="inlineStr">
        <is>
          <t>Pharma - Formulators</t>
        </is>
      </c>
      <c r="G27" s="31" t="inlineStr">
        <is>
          <t>smallcap</t>
        </is>
      </c>
      <c r="H27" s="32" t="n">
        <v>1055.16</v>
      </c>
      <c r="I27" s="32" t="n">
        <v>439.85</v>
      </c>
      <c r="J27" s="32" t="n">
        <v>-2.26</v>
      </c>
      <c r="K27" s="32" t="n">
        <v>0</v>
      </c>
      <c r="L27" s="31" t="n">
        <v>73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64.05</v>
      </c>
      <c r="P27" s="32" t="n">
        <v>56.16</v>
      </c>
      <c r="Q27" s="32" t="n">
        <v>371.63</v>
      </c>
      <c r="R27" s="31" t="inlineStr">
        <is>
          <t>Earnings / Momentum Support</t>
        </is>
      </c>
      <c r="S27" s="31" t="inlineStr">
        <is>
          <t>Nifty 50</t>
        </is>
      </c>
      <c r="T27" s="32" t="n">
        <v>-4.47</v>
      </c>
      <c r="U27" s="32" t="n">
        <v>106.79</v>
      </c>
      <c r="V27" s="32" t="n">
        <v>116.48</v>
      </c>
      <c r="W27" s="32" t="n">
        <v>21.24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20</t>
        </is>
      </c>
      <c r="CG27" s="31">
        <f>IF(CF27&gt;20,10,IF(CF27&gt;=10,5,2))</f>
        <v/>
      </c>
    </row>
    <row r="28">
      <c r="A28" s="31">
        <f>IF(B28=0,"",RANK(B28,$B$2:$B$94,0))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INNOVACAP</t>
        </is>
      </c>
      <c r="D28" s="31" t="inlineStr">
        <is>
          <t>Innova Captab Ltd</t>
        </is>
      </c>
      <c r="E28" s="31" t="inlineStr">
        <is>
          <t>healthcare</t>
        </is>
      </c>
      <c r="F28" s="31" t="inlineStr">
        <is>
          <t>Pharma - API</t>
        </is>
      </c>
      <c r="G28" s="31" t="inlineStr">
        <is>
          <t>midcap</t>
        </is>
      </c>
      <c r="H28" s="32" t="n">
        <v>5517.63</v>
      </c>
      <c r="I28" s="32" t="n">
        <v>964.2</v>
      </c>
      <c r="J28" s="32" t="n">
        <v>1.71</v>
      </c>
      <c r="K28" s="32" t="n">
        <v>0</v>
      </c>
      <c r="L28" s="31" t="n">
        <v>48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73.02</v>
      </c>
      <c r="P28" s="32" t="n">
        <v>31.94</v>
      </c>
      <c r="Q28" s="32" t="n">
        <v>763.42</v>
      </c>
      <c r="R28" s="31" t="inlineStr">
        <is>
          <t>Near 52W High Breakout</t>
        </is>
      </c>
      <c r="S28" s="31" t="inlineStr">
        <is>
          <t>Nifty Pharma</t>
        </is>
      </c>
      <c r="T28" s="32" t="n">
        <v>11.77</v>
      </c>
      <c r="U28" s="32" t="n">
        <v>14.09</v>
      </c>
      <c r="V28" s="32" t="n">
        <v>2.07</v>
      </c>
      <c r="W28" s="32" t="n">
        <v>12.86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Between 50% to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19</t>
        </is>
      </c>
      <c r="CG28" s="31">
        <f>IF(CF28&gt;20,10,IF(CF28&gt;=10,5,2))</f>
        <v/>
      </c>
    </row>
    <row r="29">
      <c r="A29" s="31">
        <f>IF(B29=0,"",RANK(B29,$B$2:$B$94,0))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SIGMAADV</t>
        </is>
      </c>
      <c r="D29" s="31" t="inlineStr">
        <is>
          <t>Sigma Advanced System Ltd</t>
        </is>
      </c>
      <c r="E29" s="31" t="inlineStr">
        <is>
          <t>aerospace &amp; defence</t>
        </is>
      </c>
      <c r="F29" s="31" t="inlineStr">
        <is>
          <t>Aerospace &amp; Defence - Equipments</t>
        </is>
      </c>
      <c r="G29" s="31" t="inlineStr">
        <is>
          <t>midcap</t>
        </is>
      </c>
      <c r="H29" s="32" t="n">
        <v>8373.15</v>
      </c>
      <c r="I29" s="32" t="n">
        <v>475.1</v>
      </c>
      <c r="J29" s="32" t="n">
        <v>2.79</v>
      </c>
      <c r="K29" s="32" t="n">
        <v>0</v>
      </c>
      <c r="L29" s="31" t="n">
        <v>99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84.88</v>
      </c>
      <c r="P29" s="32" t="n">
        <v>43.45</v>
      </c>
      <c r="Q29" s="32" t="n">
        <v>357.89</v>
      </c>
      <c r="R29" s="31" t="inlineStr">
        <is>
          <t>Near 52W High Breakout</t>
        </is>
      </c>
      <c r="S29" s="31" t="inlineStr">
        <is>
          <t>Nifty 50</t>
        </is>
      </c>
      <c r="T29" s="32" t="n">
        <v>-4.47</v>
      </c>
      <c r="U29" s="32" t="n">
        <v>456.13</v>
      </c>
      <c r="V29" s="32" t="n">
        <v>482.17</v>
      </c>
      <c r="W29" s="32" t="n">
        <v>88.90000000000001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Negative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Between 0.7 to 1.2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28</t>
        </is>
      </c>
      <c r="CG29" s="31">
        <f>IF(CF29&gt;20,10,IF(CF29&gt;=10,5,2))</f>
        <v/>
      </c>
    </row>
    <row r="30">
      <c r="A30" s="31">
        <f>IF(B30=0,"",RANK(B30,$B$2:$B$94,0))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GOLDIAM</t>
        </is>
      </c>
      <c r="D30" s="31" t="inlineStr">
        <is>
          <t>Goldiam International Ltd</t>
        </is>
      </c>
      <c r="E30" s="31" t="inlineStr">
        <is>
          <t>consumer discretionary</t>
        </is>
      </c>
      <c r="F30" s="31" t="inlineStr">
        <is>
          <t>Lab Grown Diamonds</t>
        </is>
      </c>
      <c r="G30" s="31" t="inlineStr">
        <is>
          <t>midcap</t>
        </is>
      </c>
      <c r="H30" s="32" t="n">
        <v>5483.86</v>
      </c>
      <c r="I30" s="32" t="n">
        <v>485.65</v>
      </c>
      <c r="J30" s="32" t="n">
        <v>3.55</v>
      </c>
      <c r="K30" s="32" t="n">
        <v>0</v>
      </c>
      <c r="L30" s="31" t="n">
        <v>77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65.67</v>
      </c>
      <c r="P30" s="32" t="n">
        <v>28.58</v>
      </c>
      <c r="Q30" s="32" t="n">
        <v>352.44</v>
      </c>
      <c r="R30" s="31" t="inlineStr">
        <is>
          <t>Near 52W High Breakout</t>
        </is>
      </c>
      <c r="S30" s="31" t="inlineStr">
        <is>
          <t>Nifty 50</t>
        </is>
      </c>
      <c r="T30" s="32" t="n">
        <v>-4.47</v>
      </c>
      <c r="U30" s="32" t="n">
        <v>41.38</v>
      </c>
      <c r="V30" s="32" t="n">
        <v>48</v>
      </c>
      <c r="W30" s="32" t="n">
        <v>23.32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Less than 50%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24</t>
        </is>
      </c>
      <c r="CG30" s="31">
        <f>IF(CF30&gt;20,10,IF(CF30&gt;=10,5,2))</f>
        <v/>
      </c>
    </row>
    <row r="31">
      <c r="A31" s="31">
        <f>IF(B31=0,"",RANK(B31,$B$2:$B$94,0))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SEKURITIND</t>
        </is>
      </c>
      <c r="D31" s="31" t="inlineStr">
        <is>
          <t>Saint-Gobain Sekurit India Ltd</t>
        </is>
      </c>
      <c r="E31" s="31" t="inlineStr">
        <is>
          <t>Consumer Cyclical</t>
        </is>
      </c>
      <c r="F31" s="31" t="inlineStr">
        <is>
          <t>Glass &amp; Glass Products</t>
        </is>
      </c>
      <c r="G31" s="31" t="inlineStr">
        <is>
          <t>smallcap</t>
        </is>
      </c>
      <c r="H31" s="32" t="n">
        <v>1149.75</v>
      </c>
      <c r="I31" s="32" t="n">
        <v>126.2</v>
      </c>
      <c r="J31" s="32" t="n">
        <v>-0.79</v>
      </c>
      <c r="K31" s="32" t="n">
        <v>0</v>
      </c>
      <c r="L31" s="31" t="n">
        <v>43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67.26000000000001</v>
      </c>
      <c r="P31" s="32" t="n">
        <v>31.48</v>
      </c>
      <c r="Q31" s="32" t="n">
        <v>106.99</v>
      </c>
      <c r="R31" s="31" t="inlineStr">
        <is>
          <t>Earnings / Momentum Support</t>
        </is>
      </c>
      <c r="S31" s="31" t="inlineStr">
        <is>
          <t>Nifty Auto</t>
        </is>
      </c>
      <c r="T31" s="32" t="n">
        <v>13.57</v>
      </c>
      <c r="U31" s="32" t="n">
        <v>19.49</v>
      </c>
      <c r="V31" s="32" t="n">
        <v>5.22</v>
      </c>
      <c r="W31" s="32" t="n">
        <v>12.09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B2C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Between 50% to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22</t>
        </is>
      </c>
      <c r="CG31" s="31">
        <f>IF(CF31&gt;20,10,IF(CF31&gt;=10,5,2))</f>
        <v/>
      </c>
    </row>
    <row r="32">
      <c r="A32" s="31">
        <f>IF(B32=0,"",RANK(B32,$B$2:$B$94,0))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CEIGALL</t>
        </is>
      </c>
      <c r="D32" s="31" t="inlineStr">
        <is>
          <t>Ceigall India Ltd</t>
        </is>
      </c>
      <c r="E32" s="31" t="inlineStr">
        <is>
          <t>realty</t>
        </is>
      </c>
      <c r="F32" s="31" t="inlineStr">
        <is>
          <t>Construction - Civil/Turnkey</t>
        </is>
      </c>
      <c r="G32" s="31" t="inlineStr">
        <is>
          <t>midcap</t>
        </is>
      </c>
      <c r="H32" s="32" t="n">
        <v>6451.68</v>
      </c>
      <c r="I32" s="32" t="n">
        <v>370.35</v>
      </c>
      <c r="J32" s="32" t="n">
        <v>-1.8</v>
      </c>
      <c r="K32" s="32" t="n">
        <v>0</v>
      </c>
      <c r="L32" s="31" t="n">
        <v>63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69.81999999999999</v>
      </c>
      <c r="P32" s="32" t="n">
        <v>45.92</v>
      </c>
      <c r="Q32" s="32" t="n">
        <v>296.76</v>
      </c>
      <c r="R32" s="31" t="inlineStr">
        <is>
          <t>Near 52W High Breakout</t>
        </is>
      </c>
      <c r="S32" s="31" t="inlineStr">
        <is>
          <t>Nifty Realty</t>
        </is>
      </c>
      <c r="T32" s="32" t="n">
        <v>-19.29</v>
      </c>
      <c r="U32" s="32" t="n">
        <v>51.87</v>
      </c>
      <c r="V32" s="32" t="n">
        <v>88.17</v>
      </c>
      <c r="W32" s="32" t="n">
        <v>17.26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Negative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22</t>
        </is>
      </c>
      <c r="CG32" s="31">
        <f>IF(CF32&gt;20,10,IF(CF32&gt;=10,5,2))</f>
        <v/>
      </c>
    </row>
    <row r="33">
      <c r="A33" s="31">
        <f>IF(B33=0,"",RANK(B33,$B$2:$B$94,0))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AVALON</t>
        </is>
      </c>
      <c r="D33" s="31" t="inlineStr">
        <is>
          <t>Avalon Technologies Ltd</t>
        </is>
      </c>
      <c r="E33" s="31" t="inlineStr">
        <is>
          <t>consumer discretionary</t>
        </is>
      </c>
      <c r="F33" s="31" t="inlineStr">
        <is>
          <t>Consumer Electronics - EMS</t>
        </is>
      </c>
      <c r="G33" s="31" t="inlineStr">
        <is>
          <t>midcap</t>
        </is>
      </c>
      <c r="H33" s="32" t="n">
        <v>11609.71</v>
      </c>
      <c r="I33" s="32" t="n">
        <v>1738.3</v>
      </c>
      <c r="J33" s="32" t="n">
        <v>-1.23</v>
      </c>
      <c r="K33" s="32" t="n">
        <v>0</v>
      </c>
      <c r="L33" s="31" t="n">
        <v>91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77.5</v>
      </c>
      <c r="P33" s="32" t="n">
        <v>37.54</v>
      </c>
      <c r="Q33" s="32" t="n">
        <v>1289.35</v>
      </c>
      <c r="R33" s="31" t="inlineStr">
        <is>
          <t>Near 52W High Breakout</t>
        </is>
      </c>
      <c r="S33" s="31" t="inlineStr">
        <is>
          <t>Nifty 50</t>
        </is>
      </c>
      <c r="T33" s="32" t="n">
        <v>-4.47</v>
      </c>
      <c r="U33" s="32" t="n">
        <v>108.04</v>
      </c>
      <c r="V33" s="32" t="n">
        <v>117.78</v>
      </c>
      <c r="W33" s="32" t="n">
        <v>36.08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Less than 50%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22</t>
        </is>
      </c>
      <c r="CG33" s="31">
        <f>IF(CF33&gt;20,10,IF(CF33&gt;=10,5,2))</f>
        <v/>
      </c>
    </row>
    <row r="34">
      <c r="A34" s="31">
        <f>IF(B34=0,"",RANK(B34,$B$2:$B$94,0))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SIS</t>
        </is>
      </c>
      <c r="D34" s="31" t="inlineStr">
        <is>
          <t>SIS Ltd</t>
        </is>
      </c>
      <c r="E34" s="31" t="inlineStr">
        <is>
          <t>miscellaneous</t>
        </is>
      </c>
      <c r="F34" s="31" t="inlineStr">
        <is>
          <t>Facility Management</t>
        </is>
      </c>
      <c r="G34" s="31" t="inlineStr">
        <is>
          <t>midcap</t>
        </is>
      </c>
      <c r="H34" s="32" t="n">
        <v>5982.44</v>
      </c>
      <c r="I34" s="32" t="n">
        <v>423.4</v>
      </c>
      <c r="J34" s="32" t="n">
        <v>-1.02</v>
      </c>
      <c r="K34" s="32" t="n">
        <v>0</v>
      </c>
      <c r="L34" s="31" t="n">
        <v>61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76.45</v>
      </c>
      <c r="P34" s="32" t="n">
        <v>41.22</v>
      </c>
      <c r="Q34" s="32" t="n">
        <v>337.97</v>
      </c>
      <c r="R34" s="31" t="inlineStr">
        <is>
          <t>Near 52W High Breakout</t>
        </is>
      </c>
      <c r="S34" s="31" t="inlineStr">
        <is>
          <t>Nifty 50</t>
        </is>
      </c>
      <c r="T34" s="32" t="n">
        <v>-4.47</v>
      </c>
      <c r="U34" s="32" t="n">
        <v>17.51</v>
      </c>
      <c r="V34" s="32" t="n">
        <v>23.01</v>
      </c>
      <c r="W34" s="32" t="n">
        <v>16.73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Between 0.7 to 1.2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22</t>
        </is>
      </c>
      <c r="CG34" s="31">
        <f>IF(CF34&gt;20,10,IF(CF34&gt;=10,5,2))</f>
        <v/>
      </c>
    </row>
    <row r="35">
      <c r="A35" s="31">
        <f>IF(B35=0,"",RANK(B35,$B$2:$B$94,0))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SYRMA</t>
        </is>
      </c>
      <c r="D35" s="31" t="inlineStr">
        <is>
          <t>Syrma SGS Technology Ltd</t>
        </is>
      </c>
      <c r="E35" s="31" t="inlineStr">
        <is>
          <t>consumer discretionary</t>
        </is>
      </c>
      <c r="F35" s="31" t="inlineStr">
        <is>
          <t>Consumer Electronics - EMS</t>
        </is>
      </c>
      <c r="G35" s="31" t="inlineStr">
        <is>
          <t>largecap</t>
        </is>
      </c>
      <c r="H35" s="32" t="n">
        <v>25054.46</v>
      </c>
      <c r="I35" s="32" t="n">
        <v>1299.3</v>
      </c>
      <c r="J35" s="32" t="n">
        <v>-0.14</v>
      </c>
      <c r="K35" s="32" t="n">
        <v>0</v>
      </c>
      <c r="L35" s="31" t="n">
        <v>92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75.59999999999999</v>
      </c>
      <c r="P35" s="32" t="n">
        <v>37.59</v>
      </c>
      <c r="Q35" s="32" t="n">
        <v>1017.5</v>
      </c>
      <c r="R35" s="31" t="inlineStr">
        <is>
          <t>Near 52W High Breakout</t>
        </is>
      </c>
      <c r="S35" s="31" t="inlineStr">
        <is>
          <t>Nifty 50</t>
        </is>
      </c>
      <c r="T35" s="32" t="n">
        <v>-4.47</v>
      </c>
      <c r="U35" s="32" t="n">
        <v>156.92</v>
      </c>
      <c r="V35" s="32" t="n">
        <v>168.95</v>
      </c>
      <c r="W35" s="32" t="n">
        <v>38.12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Between 1.5 to 2</t>
        </is>
      </c>
      <c r="BU35" s="31">
        <f>IF(BT35="Above 2",0,IF(BT35="Between 1.5 to 2",5,IF(BT35="Less than 1.5",10,0)))</f>
        <v/>
      </c>
      <c r="BV35" s="31" t="inlineStr">
        <is>
          <t>Between 50% to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21</t>
        </is>
      </c>
      <c r="CG35" s="31">
        <f>IF(CF35&gt;20,10,IF(CF35&gt;=10,5,2))</f>
        <v/>
      </c>
    </row>
    <row r="36">
      <c r="A36" s="31">
        <f>IF(B36=0,"",RANK(B36,$B$2:$B$94,0))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PRECWIRE</t>
        </is>
      </c>
      <c r="D36" s="31" t="inlineStr">
        <is>
          <t>Precision Wires India Ltd</t>
        </is>
      </c>
      <c r="E36" s="31" t="inlineStr">
        <is>
          <t>metals &amp; mining</t>
        </is>
      </c>
      <c r="F36" s="31" t="inlineStr">
        <is>
          <t>Copper Wires</t>
        </is>
      </c>
      <c r="G36" s="31" t="inlineStr">
        <is>
          <t>midcap</t>
        </is>
      </c>
      <c r="H36" s="32" t="n">
        <v>7737.35</v>
      </c>
      <c r="I36" s="32" t="n">
        <v>423.25</v>
      </c>
      <c r="J36" s="32" t="n">
        <v>4.82</v>
      </c>
      <c r="K36" s="32" t="n">
        <v>0</v>
      </c>
      <c r="L36" s="31" t="n">
        <v>83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66.91</v>
      </c>
      <c r="P36" s="32" t="n">
        <v>66.95</v>
      </c>
      <c r="Q36" s="32" t="n">
        <v>305.21</v>
      </c>
      <c r="R36" s="31" t="inlineStr">
        <is>
          <t>Near 52W High Breakout</t>
        </is>
      </c>
      <c r="S36" s="31" t="inlineStr">
        <is>
          <t>Nifty Metal</t>
        </is>
      </c>
      <c r="T36" s="32" t="n">
        <v>40.96</v>
      </c>
      <c r="U36" s="32" t="n">
        <v>140.61</v>
      </c>
      <c r="V36" s="32" t="n">
        <v>70.7</v>
      </c>
      <c r="W36" s="32" t="n">
        <v>28.25</v>
      </c>
      <c r="X36" s="31" t="inlineStr">
        <is>
          <t>Cyclical in an Upturn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Cyclical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Volatile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20</t>
        </is>
      </c>
      <c r="CG36" s="31">
        <f>IF(CF36&gt;20,10,IF(CF36&gt;=10,5,2))</f>
        <v/>
      </c>
    </row>
    <row r="37">
      <c r="A37" s="31">
        <f>IF(B37=0,"",RANK(B37,$B$2:$B$94,0))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GVT&amp;D</t>
        </is>
      </c>
      <c r="D37" s="31" t="inlineStr">
        <is>
          <t>GE Vernova T&amp;D India Ltd</t>
        </is>
      </c>
      <c r="E37" s="31" t="inlineStr">
        <is>
          <t>Industrials</t>
        </is>
      </c>
      <c r="F37" s="31" t="inlineStr">
        <is>
          <t>Electrical Equipments/HVDC</t>
        </is>
      </c>
      <c r="G37" s="31" t="inlineStr">
        <is>
          <t>largecap</t>
        </is>
      </c>
      <c r="H37" s="32" t="n">
        <v>124758.67</v>
      </c>
      <c r="I37" s="32" t="n">
        <v>4872.5</v>
      </c>
      <c r="J37" s="32" t="n">
        <v>1.39</v>
      </c>
      <c r="K37" s="32" t="n">
        <v>0</v>
      </c>
      <c r="L37" s="31" t="n">
        <v>77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67.43000000000001</v>
      </c>
      <c r="P37" s="32" t="n">
        <v>50.23</v>
      </c>
      <c r="Q37" s="32" t="n">
        <v>3940.67</v>
      </c>
      <c r="R37" s="31" t="inlineStr">
        <is>
          <t>Earnings / Momentum Support</t>
        </is>
      </c>
      <c r="S37" s="31" t="inlineStr">
        <is>
          <t>Nifty 500</t>
        </is>
      </c>
      <c r="T37" s="32" t="n">
        <v>-0.19</v>
      </c>
      <c r="U37" s="32" t="n">
        <v>107.16</v>
      </c>
      <c r="V37" s="32" t="n">
        <v>107.56</v>
      </c>
      <c r="W37" s="32" t="n">
        <v>23.29</v>
      </c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18</t>
        </is>
      </c>
      <c r="CG37" s="31">
        <f>IF(CF37&gt;20,10,IF(CF37&gt;=10,5,2))</f>
        <v/>
      </c>
    </row>
    <row r="38">
      <c r="A38" s="31">
        <f>IF(B38=0,"",RANK(B38,$B$2:$B$94,0))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KMCSHIL</t>
        </is>
      </c>
      <c r="D38" s="31" t="inlineStr">
        <is>
          <t>KMC Speciality Hospitals (India) Ltd</t>
        </is>
      </c>
      <c r="E38" s="31" t="inlineStr">
        <is>
          <t>Healthcare</t>
        </is>
      </c>
      <c r="F38" s="31" t="inlineStr">
        <is>
          <t>Hospitals</t>
        </is>
      </c>
      <c r="G38" s="31" t="inlineStr">
        <is>
          <t>smallcap</t>
        </is>
      </c>
      <c r="H38" s="32" t="n">
        <v>1915.43</v>
      </c>
      <c r="I38" s="32" t="n">
        <v>117.45</v>
      </c>
      <c r="J38" s="32" t="n">
        <v>-1.43</v>
      </c>
      <c r="K38" s="32" t="n">
        <v>0</v>
      </c>
      <c r="L38" s="31" t="n">
        <v>74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80.55</v>
      </c>
      <c r="P38" s="32" t="n">
        <v>54.88</v>
      </c>
      <c r="Q38" s="32" t="n">
        <v>93.89</v>
      </c>
      <c r="R38" s="31" t="inlineStr">
        <is>
          <t>Near 52W High Breakout</t>
        </is>
      </c>
      <c r="S38" s="31" t="inlineStr">
        <is>
          <t>Nifty Pharma</t>
        </is>
      </c>
      <c r="T38" s="32" t="n">
        <v>11.77</v>
      </c>
      <c r="U38" s="32" t="n">
        <v>77.66</v>
      </c>
      <c r="V38" s="32" t="n">
        <v>58.95</v>
      </c>
      <c r="W38" s="32" t="n">
        <v>22.06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26</t>
        </is>
      </c>
      <c r="CG38" s="31">
        <f>IF(CF38&gt;20,10,IF(CF38&gt;=10,5,2))</f>
        <v/>
      </c>
    </row>
    <row r="39">
      <c r="A39" s="31">
        <f>IF(B39=0,"",RANK(B39,$B$2:$B$94,0))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SPARC</t>
        </is>
      </c>
      <c r="D39" s="31" t="inlineStr">
        <is>
          <t>Sun Pharma Advanced Research Company Ltd</t>
        </is>
      </c>
      <c r="E39" s="31" t="inlineStr">
        <is>
          <t>healthcare</t>
        </is>
      </c>
      <c r="F39" s="31" t="inlineStr">
        <is>
          <t>Pharma - Others</t>
        </is>
      </c>
      <c r="G39" s="31" t="inlineStr">
        <is>
          <t>midcap</t>
        </is>
      </c>
      <c r="H39" s="32" t="n">
        <v>7736.92</v>
      </c>
      <c r="I39" s="32" t="n">
        <v>238.41</v>
      </c>
      <c r="J39" s="32" t="n">
        <v>4.1</v>
      </c>
      <c r="K39" s="32" t="n">
        <v>0</v>
      </c>
      <c r="L39" s="31" t="n">
        <v>92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78.84</v>
      </c>
      <c r="P39" s="32" t="n">
        <v>49.97</v>
      </c>
      <c r="Q39" s="32" t="n">
        <v>171.19</v>
      </c>
      <c r="R39" s="31" t="inlineStr">
        <is>
          <t>Near 52W High Breakout</t>
        </is>
      </c>
      <c r="S39" s="31" t="inlineStr">
        <is>
          <t>Nifty Pharma</t>
        </is>
      </c>
      <c r="T39" s="32" t="n">
        <v>11.77</v>
      </c>
      <c r="U39" s="32" t="n">
        <v>52.17</v>
      </c>
      <c r="V39" s="32" t="n">
        <v>36.14</v>
      </c>
      <c r="W39" s="32" t="n">
        <v>37.04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Negative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22</t>
        </is>
      </c>
      <c r="CG39" s="31">
        <f>IF(CF39&gt;20,10,IF(CF39&gt;=10,5,2))</f>
        <v/>
      </c>
    </row>
    <row r="40">
      <c r="A40" s="31">
        <f>IF(B40=0,"",RANK(B40,$B$2:$B$94,0))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CAPLIPOINT</t>
        </is>
      </c>
      <c r="D40" s="31" t="inlineStr">
        <is>
          <t>Caplin Point Laboratories Ltd</t>
        </is>
      </c>
      <c r="E40" s="31" t="inlineStr">
        <is>
          <t>healthcare</t>
        </is>
      </c>
      <c r="F40" s="31" t="inlineStr">
        <is>
          <t>Pharma - Formulators</t>
        </is>
      </c>
      <c r="G40" s="31" t="inlineStr">
        <is>
          <t>midcap</t>
        </is>
      </c>
      <c r="H40" s="32" t="n">
        <v>18074.06</v>
      </c>
      <c r="I40" s="32" t="n">
        <v>2377.8</v>
      </c>
      <c r="J40" s="32" t="n">
        <v>0.5600000000000001</v>
      </c>
      <c r="K40" s="32" t="n">
        <v>0</v>
      </c>
      <c r="L40" s="31" t="n">
        <v>57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74.26000000000001</v>
      </c>
      <c r="P40" s="32" t="n">
        <v>25.58</v>
      </c>
      <c r="Q40" s="32" t="n">
        <v>1984.47</v>
      </c>
      <c r="R40" s="31" t="inlineStr">
        <is>
          <t>Near 52W High Breakout</t>
        </is>
      </c>
      <c r="S40" s="31" t="inlineStr">
        <is>
          <t>Nifty Pharma</t>
        </is>
      </c>
      <c r="T40" s="32" t="n">
        <v>11.77</v>
      </c>
      <c r="U40" s="32" t="n">
        <v>16.63</v>
      </c>
      <c r="V40" s="32" t="n">
        <v>4.34</v>
      </c>
      <c r="W40" s="32" t="n">
        <v>15.45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Between 12 to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Between 50% to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20</t>
        </is>
      </c>
      <c r="CG40" s="31">
        <f>IF(CF40&gt;20,10,IF(CF40&gt;=10,5,2))</f>
        <v/>
      </c>
    </row>
    <row r="41">
      <c r="A41" s="31">
        <f>IF(B41=0,"",RANK(B41,$B$2:$B$94,0))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MMTC</t>
        </is>
      </c>
      <c r="D41" s="31" t="inlineStr">
        <is>
          <t>MMTC Ltd</t>
        </is>
      </c>
      <c r="E41" s="31" t="inlineStr">
        <is>
          <t>services</t>
        </is>
      </c>
      <c r="F41" s="31" t="inlineStr">
        <is>
          <t>Trading</t>
        </is>
      </c>
      <c r="G41" s="31" t="inlineStr">
        <is>
          <t>midcap</t>
        </is>
      </c>
      <c r="H41" s="32" t="n">
        <v>11361</v>
      </c>
      <c r="I41" s="32" t="n">
        <v>75.73999999999999</v>
      </c>
      <c r="J41" s="32" t="n">
        <v>7.91</v>
      </c>
      <c r="K41" s="32" t="n">
        <v>0</v>
      </c>
      <c r="L41" s="31" t="n">
        <v>32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63.72</v>
      </c>
      <c r="P41" s="32" t="n">
        <v>15.71</v>
      </c>
      <c r="Q41" s="32" t="n">
        <v>55.56</v>
      </c>
      <c r="R41" s="31" t="inlineStr">
        <is>
          <t>Volume Spike &amp; Near 52W High Breakout</t>
        </is>
      </c>
      <c r="S41" s="31" t="inlineStr">
        <is>
          <t>Nifty 50</t>
        </is>
      </c>
      <c r="T41" s="32" t="n">
        <v>-4.47</v>
      </c>
      <c r="U41" s="32" t="n">
        <v>12.41</v>
      </c>
      <c r="V41" s="32" t="n">
        <v>17.67</v>
      </c>
      <c r="W41" s="32" t="n">
        <v>8.59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0 to 20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25</t>
        </is>
      </c>
      <c r="CG41" s="31">
        <f>IF(CF41&gt;20,10,IF(CF41&gt;=10,5,2))</f>
        <v/>
      </c>
    </row>
    <row r="42">
      <c r="A42" s="31">
        <f>IF(B42=0,"",RANK(B42,$B$2:$B$94,0))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KERNEX</t>
        </is>
      </c>
      <c r="D42" s="31" t="inlineStr">
        <is>
          <t>Kernex Microsystems (India) Ltd</t>
        </is>
      </c>
      <c r="E42" s="31" t="inlineStr">
        <is>
          <t>consumer discretionary</t>
        </is>
      </c>
      <c r="F42" s="31" t="inlineStr">
        <is>
          <t>Railways - Kavach/Springs</t>
        </is>
      </c>
      <c r="G42" s="31" t="inlineStr">
        <is>
          <t>smallcap</t>
        </is>
      </c>
      <c r="H42" s="32" t="n">
        <v>3452.9</v>
      </c>
      <c r="I42" s="32" t="n">
        <v>2055</v>
      </c>
      <c r="J42" s="32" t="n">
        <v>0.87</v>
      </c>
      <c r="K42" s="32" t="n">
        <v>0</v>
      </c>
      <c r="L42" s="31" t="n">
        <v>93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74.38</v>
      </c>
      <c r="P42" s="32" t="n">
        <v>34.31</v>
      </c>
      <c r="Q42" s="32" t="n">
        <v>1542.16</v>
      </c>
      <c r="R42" s="31" t="inlineStr">
        <is>
          <t>Near 52W High Breakout</t>
        </is>
      </c>
      <c r="S42" s="31" t="inlineStr">
        <is>
          <t>Nifty 50</t>
        </is>
      </c>
      <c r="T42" s="32" t="n">
        <v>-4.47</v>
      </c>
      <c r="U42" s="32" t="n">
        <v>71.51000000000001</v>
      </c>
      <c r="V42" s="32" t="n">
        <v>79.54000000000001</v>
      </c>
      <c r="W42" s="32" t="n">
        <v>41.39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Negative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20</t>
        </is>
      </c>
      <c r="CG42" s="31">
        <f>IF(CF42&gt;20,10,IF(CF42&gt;=10,5,2))</f>
        <v/>
      </c>
    </row>
    <row r="43">
      <c r="A43" s="31">
        <f>IF(B43=0,"",RANK(B43,$B$2:$B$94,0))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SKIPPER</t>
        </is>
      </c>
      <c r="D43" s="31" t="inlineStr">
        <is>
          <t>Skipper Ltd</t>
        </is>
      </c>
      <c r="E43" s="31" t="inlineStr">
        <is>
          <t>industrials</t>
        </is>
      </c>
      <c r="F43" s="31" t="inlineStr">
        <is>
          <t>Electrical Equipments/HVDC</t>
        </is>
      </c>
      <c r="G43" s="31" t="inlineStr">
        <is>
          <t>midcap</t>
        </is>
      </c>
      <c r="H43" s="32" t="n">
        <v>6258.98</v>
      </c>
      <c r="I43" s="32" t="n">
        <v>554.2</v>
      </c>
      <c r="J43" s="32" t="n">
        <v>0.82</v>
      </c>
      <c r="K43" s="32" t="n">
        <v>0</v>
      </c>
      <c r="L43" s="31" t="n">
        <v>65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69.04000000000001</v>
      </c>
      <c r="P43" s="32" t="n">
        <v>33.1</v>
      </c>
      <c r="Q43" s="32" t="n">
        <v>422.35</v>
      </c>
      <c r="R43" s="31" t="inlineStr">
        <is>
          <t>Near 52W High Breakout</t>
        </is>
      </c>
      <c r="S43" s="31" t="inlineStr">
        <is>
          <t>Nifty 50</t>
        </is>
      </c>
      <c r="T43" s="32" t="n">
        <v>-4.47</v>
      </c>
      <c r="U43" s="32" t="n">
        <v>14.89</v>
      </c>
      <c r="V43" s="32" t="n">
        <v>20.27</v>
      </c>
      <c r="W43" s="32" t="n">
        <v>17.86</v>
      </c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Less than 50%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20</t>
        </is>
      </c>
      <c r="CG43" s="31">
        <f>IF(CF43&gt;20,10,IF(CF43&gt;=10,5,2))</f>
        <v/>
      </c>
    </row>
    <row r="44">
      <c r="A44" s="31">
        <f>IF(B44=0,"",RANK(B44,$B$2:$B$94,0))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NRBBEARING</t>
        </is>
      </c>
      <c r="D44" s="31" t="inlineStr">
        <is>
          <t>NRB Bearings Ltd</t>
        </is>
      </c>
      <c r="E44" s="31" t="inlineStr">
        <is>
          <t>industrials</t>
        </is>
      </c>
      <c r="F44" s="31" t="inlineStr">
        <is>
          <t>Bearings</t>
        </is>
      </c>
      <c r="G44" s="31" t="inlineStr">
        <is>
          <t>smallcap</t>
        </is>
      </c>
      <c r="H44" s="32" t="n">
        <v>4127.45</v>
      </c>
      <c r="I44" s="32" t="n">
        <v>425.85</v>
      </c>
      <c r="J44" s="32" t="n">
        <v>-0.98</v>
      </c>
      <c r="K44" s="32" t="n">
        <v>0</v>
      </c>
      <c r="L44" s="31" t="n">
        <v>83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78.98999999999999</v>
      </c>
      <c r="P44" s="32" t="n">
        <v>33.01</v>
      </c>
      <c r="Q44" s="32" t="n">
        <v>332.74</v>
      </c>
      <c r="R44" s="31" t="inlineStr">
        <is>
          <t>Near 52W High Breakout</t>
        </is>
      </c>
      <c r="S44" s="31" t="inlineStr">
        <is>
          <t>Nifty 50</t>
        </is>
      </c>
      <c r="T44" s="32" t="n">
        <v>-4.47</v>
      </c>
      <c r="U44" s="32" t="n">
        <v>53.03</v>
      </c>
      <c r="V44" s="32" t="n">
        <v>60.19</v>
      </c>
      <c r="W44" s="32" t="n">
        <v>27.98</v>
      </c>
      <c r="X44" s="31" t="inlineStr">
        <is>
          <t>Cyclical in an Upturn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20</t>
        </is>
      </c>
      <c r="CG44" s="31">
        <f>IF(CF44&gt;20,10,IF(CF44&gt;=10,5,2))</f>
        <v/>
      </c>
    </row>
    <row r="45">
      <c r="A45" s="31">
        <f>IF(B45=0,"",RANK(B45,$B$2:$B$94,0))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SANDHAR</t>
        </is>
      </c>
      <c r="D45" s="31" t="inlineStr">
        <is>
          <t>Sandhar Technologies Limited</t>
        </is>
      </c>
      <c r="E45" s="31" t="inlineStr">
        <is>
          <t>auto</t>
        </is>
      </c>
      <c r="F45" s="31" t="inlineStr">
        <is>
          <t>Auto Ancillaries - 2&amp;3 Wheelers</t>
        </is>
      </c>
      <c r="G45" s="31" t="inlineStr">
        <is>
          <t>smallcap</t>
        </is>
      </c>
      <c r="H45" s="32" t="n">
        <v>4146.84</v>
      </c>
      <c r="I45" s="32" t="n">
        <v>688.95</v>
      </c>
      <c r="J45" s="32" t="n">
        <v>-2.57</v>
      </c>
      <c r="K45" s="32" t="n">
        <v>0</v>
      </c>
      <c r="L45" s="31" t="n">
        <v>58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67.79000000000001</v>
      </c>
      <c r="P45" s="32" t="n">
        <v>23.42</v>
      </c>
      <c r="Q45" s="32" t="n">
        <v>530.6</v>
      </c>
      <c r="R45" s="31" t="inlineStr">
        <is>
          <t>Near 52W High Breakout</t>
        </is>
      </c>
      <c r="S45" s="31" t="inlineStr">
        <is>
          <t>Nifty Auto</t>
        </is>
      </c>
      <c r="T45" s="32" t="n">
        <v>13.57</v>
      </c>
      <c r="U45" s="32" t="n">
        <v>25.39</v>
      </c>
      <c r="V45" s="32" t="n">
        <v>10.41</v>
      </c>
      <c r="W45" s="32" t="n">
        <v>15.83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Less than 50%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Between 0.7 to 1.2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19</t>
        </is>
      </c>
      <c r="CG45" s="31">
        <f>IF(CF45&gt;20,10,IF(CF45&gt;=10,5,2))</f>
        <v/>
      </c>
    </row>
    <row r="46">
      <c r="A46" s="31">
        <f>IF(B46=0,"",RANK(B46,$B$2:$B$94,0))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4" t="inlineStr">
        <is>
          <t>STLTECH</t>
        </is>
      </c>
      <c r="D46" s="34" t="inlineStr">
        <is>
          <t>Sterlite Technologies Ltd</t>
        </is>
      </c>
      <c r="E46" s="31" t="inlineStr">
        <is>
          <t>industrials</t>
        </is>
      </c>
      <c r="F46" s="31" t="inlineStr">
        <is>
          <t>Cables - Telecom</t>
        </is>
      </c>
      <c r="G46" s="31" t="inlineStr">
        <is>
          <t>largecap</t>
        </is>
      </c>
      <c r="H46" s="32" t="n">
        <v>30495.83</v>
      </c>
      <c r="I46" s="32" t="n">
        <v>624.7</v>
      </c>
      <c r="J46" s="32" t="n">
        <v>2.61</v>
      </c>
      <c r="K46" s="32" t="n">
        <v>0</v>
      </c>
      <c r="L46" s="31" t="n">
        <v>99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89.01000000000001</v>
      </c>
      <c r="P46" s="32" t="n">
        <v>81.70999999999999</v>
      </c>
      <c r="Q46" s="32" t="n">
        <v>480.57</v>
      </c>
      <c r="R46" s="31" t="inlineStr">
        <is>
          <t>Near 52W High Breakout</t>
        </is>
      </c>
      <c r="S46" s="31" t="inlineStr">
        <is>
          <t>Nifty Infra</t>
        </is>
      </c>
      <c r="T46" s="32" t="n">
        <v>3.24</v>
      </c>
      <c r="U46" s="32" t="n">
        <v>489.62</v>
      </c>
      <c r="V46" s="32" t="n">
        <v>471.09</v>
      </c>
      <c r="W46" s="32" t="n">
        <v>109.82</v>
      </c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Oligopoly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Between 0.7 to 1.2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18</t>
        </is>
      </c>
      <c r="CG46" s="31">
        <f>IF(CF46&gt;20,10,IF(CF46&gt;=10,5,2))</f>
        <v/>
      </c>
    </row>
    <row r="47">
      <c r="A47" s="31">
        <f>IF(B47=0,"",RANK(B47,$B$2:$B$94,0))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4" t="inlineStr">
        <is>
          <t>DIVGIITTS</t>
        </is>
      </c>
      <c r="D47" s="34" t="inlineStr">
        <is>
          <t>Divgi Torqtransfer Systems Ltd</t>
        </is>
      </c>
      <c r="E47" s="31" t="inlineStr">
        <is>
          <t>auto</t>
        </is>
      </c>
      <c r="F47" s="31" t="inlineStr">
        <is>
          <t>Auto Ancillaries - Transmission</t>
        </is>
      </c>
      <c r="G47" s="31" t="inlineStr">
        <is>
          <t>smallcap</t>
        </is>
      </c>
      <c r="H47" s="32" t="n">
        <v>2636.4</v>
      </c>
      <c r="I47" s="32" t="n">
        <v>862.05</v>
      </c>
      <c r="J47" s="32" t="n">
        <v>-0.82</v>
      </c>
      <c r="K47" s="32" t="n">
        <v>0</v>
      </c>
      <c r="L47" s="31" t="n">
        <v>49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64.13</v>
      </c>
      <c r="P47" s="32" t="n">
        <v>28.55</v>
      </c>
      <c r="Q47" s="32" t="n">
        <v>636.04</v>
      </c>
      <c r="R47" s="31" t="inlineStr">
        <is>
          <t>Near 52W High Breakout</t>
        </is>
      </c>
      <c r="S47" s="31" t="inlineStr">
        <is>
          <t>Nifty Auto</t>
        </is>
      </c>
      <c r="T47" s="32" t="n">
        <v>13.57</v>
      </c>
      <c r="U47" s="32" t="n">
        <v>45.37</v>
      </c>
      <c r="V47" s="32" t="n">
        <v>28.01</v>
      </c>
      <c r="W47" s="32" t="n">
        <v>13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Between 50% to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18</t>
        </is>
      </c>
      <c r="CG47" s="31">
        <f>IF(CF47&gt;20,10,IF(CF47&gt;=10,5,2))</f>
        <v/>
      </c>
    </row>
    <row r="48">
      <c r="A48" s="31">
        <f>IF(B48=0,"",RANK(B48,$B$2:$B$94,0))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4" t="inlineStr">
        <is>
          <t>HARSHA</t>
        </is>
      </c>
      <c r="D48" s="34" t="inlineStr">
        <is>
          <t>Harsha Engineers International Ltd</t>
        </is>
      </c>
      <c r="E48" s="31" t="inlineStr">
        <is>
          <t>industrials</t>
        </is>
      </c>
      <c r="F48" s="31" t="inlineStr">
        <is>
          <t>Bearings</t>
        </is>
      </c>
      <c r="G48" s="31" t="inlineStr">
        <is>
          <t>smallcap</t>
        </is>
      </c>
      <c r="H48" s="32" t="n">
        <v>3975.9</v>
      </c>
      <c r="I48" s="32" t="n">
        <v>436.7</v>
      </c>
      <c r="J48" s="32" t="n">
        <v>4.03</v>
      </c>
      <c r="K48" s="32" t="n">
        <v>0</v>
      </c>
      <c r="L48" s="31" t="n">
        <v>35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62.48</v>
      </c>
      <c r="P48" s="32" t="n">
        <v>31.59</v>
      </c>
      <c r="Q48" s="32" t="n">
        <v>339.83</v>
      </c>
      <c r="R48" s="31" t="inlineStr">
        <is>
          <t>Near 52W High Breakout</t>
        </is>
      </c>
      <c r="S48" s="31" t="inlineStr">
        <is>
          <t>Nifty 50</t>
        </is>
      </c>
      <c r="T48" s="32" t="n">
        <v>-4.47</v>
      </c>
      <c r="U48" s="32" t="n">
        <v>13.76</v>
      </c>
      <c r="V48" s="32" t="n">
        <v>19.08</v>
      </c>
      <c r="W48" s="32" t="n">
        <v>9.23</v>
      </c>
      <c r="X48" s="31" t="inlineStr">
        <is>
          <t>Cyclical in an Upturn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Less than 50%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17</t>
        </is>
      </c>
      <c r="CG48" s="31">
        <f>IF(CF48&gt;20,10,IF(CF48&gt;=10,5,2))</f>
        <v/>
      </c>
    </row>
    <row r="49">
      <c r="A49" s="31">
        <f>IF(B49=0,"",RANK(B49,$B$2:$B$94,0))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HSCL</t>
        </is>
      </c>
      <c r="D49" s="31" t="inlineStr">
        <is>
          <t>Himadri Speciality Chemical Ltd</t>
        </is>
      </c>
      <c r="E49" s="31" t="inlineStr">
        <is>
          <t>chemicals</t>
        </is>
      </c>
      <c r="F49" s="31" t="inlineStr">
        <is>
          <t>Carbon Black</t>
        </is>
      </c>
      <c r="G49" s="31" t="inlineStr">
        <is>
          <t>largecap</t>
        </is>
      </c>
      <c r="H49" s="32" t="n">
        <v>34773.01</v>
      </c>
      <c r="I49" s="32" t="n">
        <v>689.2</v>
      </c>
      <c r="J49" s="32" t="n">
        <v>3.03</v>
      </c>
      <c r="K49" s="32" t="n">
        <v>0</v>
      </c>
      <c r="L49" s="31" t="n">
        <v>74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73.70999999999999</v>
      </c>
      <c r="P49" s="32" t="n">
        <v>32.44</v>
      </c>
      <c r="Q49" s="32" t="n">
        <v>530.5599999999999</v>
      </c>
      <c r="R49" s="31" t="inlineStr">
        <is>
          <t>Near 52W High Breakout</t>
        </is>
      </c>
      <c r="S49" s="31" t="inlineStr">
        <is>
          <t>Nifty 50</t>
        </is>
      </c>
      <c r="T49" s="32" t="n">
        <v>-4.47</v>
      </c>
      <c r="U49" s="32" t="n">
        <v>57.03</v>
      </c>
      <c r="V49" s="32" t="n">
        <v>64.38</v>
      </c>
      <c r="W49" s="32" t="n">
        <v>21.77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Between 1.5 to 2</t>
        </is>
      </c>
      <c r="BU49" s="31">
        <f>IF(BT49="Above 2",0,IF(BT49="Between 1.5 to 2",5,IF(BT49="Less than 1.5",10,0)))</f>
        <v/>
      </c>
      <c r="BV49" s="31" t="inlineStr">
        <is>
          <t>Less than 50%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17</t>
        </is>
      </c>
      <c r="CG49" s="31">
        <f>IF(CF49&gt;20,10,IF(CF49&gt;=10,5,2))</f>
        <v/>
      </c>
    </row>
    <row r="50">
      <c r="A50" s="31">
        <f>IF(B50=0,"",RANK(B50,$B$2:$B$94,0))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CEMPRO</t>
        </is>
      </c>
      <c r="D50" s="31" t="inlineStr">
        <is>
          <t>Cemindia Projects Ltd</t>
        </is>
      </c>
      <c r="E50" s="31" t="inlineStr">
        <is>
          <t>realty</t>
        </is>
      </c>
      <c r="F50" s="31" t="inlineStr">
        <is>
          <t>Infra - Construction &amp; Contracting</t>
        </is>
      </c>
      <c r="G50" s="31" t="inlineStr">
        <is>
          <t>midcap</t>
        </is>
      </c>
      <c r="H50" s="32" t="n">
        <v>19965.15</v>
      </c>
      <c r="I50" s="32" t="n">
        <v>1162.2</v>
      </c>
      <c r="J50" s="32" t="n">
        <v>-1.38</v>
      </c>
      <c r="K50" s="32" t="n">
        <v>0</v>
      </c>
      <c r="L50" s="31" t="n">
        <v>93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76.7</v>
      </c>
      <c r="P50" s="32" t="n">
        <v>39.36</v>
      </c>
      <c r="Q50" s="32" t="n">
        <v>874.02</v>
      </c>
      <c r="R50" s="31" t="inlineStr">
        <is>
          <t>Near 52W High Breakout</t>
        </is>
      </c>
      <c r="S50" s="31" t="inlineStr">
        <is>
          <t>Nifty Realty</t>
        </is>
      </c>
      <c r="T50" s="32" t="n">
        <v>-19.29</v>
      </c>
      <c r="U50" s="32" t="n">
        <v>44.94</v>
      </c>
      <c r="V50" s="32" t="n">
        <v>79.59</v>
      </c>
      <c r="W50" s="32" t="n">
        <v>39.8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Less than 50%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17</t>
        </is>
      </c>
      <c r="CG50" s="31">
        <f>IF(CF50&gt;20,10,IF(CF50&gt;=10,5,2))</f>
        <v/>
      </c>
    </row>
    <row r="51">
      <c r="A51" s="31">
        <f>IF(B51=0,"",RANK(B51,$B$2:$B$94,0))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APOLLO</t>
        </is>
      </c>
      <c r="D51" s="31" t="inlineStr">
        <is>
          <t>Apollo Micro Systems Ltd</t>
        </is>
      </c>
      <c r="E51" s="31" t="inlineStr">
        <is>
          <t>aerospace &amp; defence</t>
        </is>
      </c>
      <c r="F51" s="31" t="inlineStr">
        <is>
          <t>Aerospace &amp; Defence - Equipments</t>
        </is>
      </c>
      <c r="G51" s="31" t="inlineStr">
        <is>
          <t>midcap</t>
        </is>
      </c>
      <c r="H51" s="32" t="n">
        <v>15706.28</v>
      </c>
      <c r="I51" s="32" t="n">
        <v>435.45</v>
      </c>
      <c r="J51" s="32" t="n">
        <v>3.27</v>
      </c>
      <c r="K51" s="32" t="n">
        <v>0</v>
      </c>
      <c r="L51" s="31" t="n">
        <v>96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74.23</v>
      </c>
      <c r="P51" s="32" t="n">
        <v>37.21</v>
      </c>
      <c r="Q51" s="32" t="n">
        <v>314.81</v>
      </c>
      <c r="R51" s="31" t="inlineStr">
        <is>
          <t>Near 52W High Breakout</t>
        </is>
      </c>
      <c r="S51" s="31" t="inlineStr">
        <is>
          <t>Nifty 50</t>
        </is>
      </c>
      <c r="T51" s="32" t="n">
        <v>-4.47</v>
      </c>
      <c r="U51" s="32" t="n">
        <v>124.01</v>
      </c>
      <c r="V51" s="32" t="n">
        <v>134.5</v>
      </c>
      <c r="W51" s="32" t="n">
        <v>53.61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Oligopoly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Cyclical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B2C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Fully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Yes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Between 1.5 to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26</t>
        </is>
      </c>
      <c r="CG51" s="31">
        <f>IF(CF51&gt;20,10,IF(CF51&gt;=10,5,2))</f>
        <v/>
      </c>
    </row>
    <row r="52">
      <c r="A52" s="31">
        <f>IF(B52=0,"",RANK(B52,$B$2:$B$94,0))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4" t="inlineStr">
        <is>
          <t>ORCHPHARMA</t>
        </is>
      </c>
      <c r="D52" s="34" t="inlineStr">
        <is>
          <t>Orchid Pharma Ltd</t>
        </is>
      </c>
      <c r="E52" s="31" t="inlineStr">
        <is>
          <t>healthcare</t>
        </is>
      </c>
      <c r="F52" s="31" t="inlineStr">
        <is>
          <t>Pharma - API</t>
        </is>
      </c>
      <c r="G52" s="31" t="inlineStr">
        <is>
          <t>midcap</t>
        </is>
      </c>
      <c r="H52" s="32" t="n">
        <v>5316.12</v>
      </c>
      <c r="I52" s="32" t="n">
        <v>1048.15</v>
      </c>
      <c r="J52" s="32" t="n">
        <v>9.09</v>
      </c>
      <c r="K52" s="32" t="n">
        <v>0</v>
      </c>
      <c r="L52" s="31" t="n">
        <v>90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77.41</v>
      </c>
      <c r="P52" s="32" t="n">
        <v>36.27</v>
      </c>
      <c r="Q52" s="32" t="n">
        <v>805</v>
      </c>
      <c r="R52" s="31" t="inlineStr">
        <is>
          <t>Volume Spike &amp; Near 52W High Breakout</t>
        </is>
      </c>
      <c r="S52" s="31" t="inlineStr">
        <is>
          <t>Nifty Pharma</t>
        </is>
      </c>
      <c r="T52" s="32" t="n">
        <v>11.77</v>
      </c>
      <c r="U52" s="32" t="n">
        <v>51.95</v>
      </c>
      <c r="V52" s="32" t="n">
        <v>35.94</v>
      </c>
      <c r="W52" s="32" t="n">
        <v>35.08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18</t>
        </is>
      </c>
      <c r="CG52" s="31">
        <f>IF(CF52&gt;20,10,IF(CF52&gt;=10,5,2))</f>
        <v/>
      </c>
    </row>
    <row r="53">
      <c r="A53" s="31">
        <f>IF(B53=0,"",RANK(B53,$B$2:$B$94,0))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JAYBARMARU</t>
        </is>
      </c>
      <c r="D53" s="31" t="inlineStr">
        <is>
          <t>Jay Bharat Maruti Ltd</t>
        </is>
      </c>
      <c r="E53" s="31" t="inlineStr">
        <is>
          <t>auto</t>
        </is>
      </c>
      <c r="F53" s="31" t="inlineStr">
        <is>
          <t>Auto Ancillaries - Diversified</t>
        </is>
      </c>
      <c r="G53" s="31" t="inlineStr">
        <is>
          <t>smallcap</t>
        </is>
      </c>
      <c r="H53" s="32" t="n">
        <v>1815.14</v>
      </c>
      <c r="I53" s="32" t="n">
        <v>167.68</v>
      </c>
      <c r="J53" s="32" t="n">
        <v>5.38</v>
      </c>
      <c r="K53" s="32" t="n">
        <v>0</v>
      </c>
      <c r="L53" s="31" t="n">
        <v>93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75.43000000000001</v>
      </c>
      <c r="P53" s="32" t="n">
        <v>20.69</v>
      </c>
      <c r="Q53" s="32" t="n">
        <v>125.17</v>
      </c>
      <c r="R53" s="31" t="inlineStr">
        <is>
          <t>Near 52W High Breakout</t>
        </is>
      </c>
      <c r="S53" s="31" t="inlineStr">
        <is>
          <t>Nifty Auto</t>
        </is>
      </c>
      <c r="T53" s="32" t="n">
        <v>13.57</v>
      </c>
      <c r="U53" s="32" t="n">
        <v>119.59</v>
      </c>
      <c r="V53" s="32" t="n">
        <v>93.36</v>
      </c>
      <c r="W53" s="32" t="n">
        <v>41.4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Between 50% to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Between 0.7 to 1.2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25</t>
        </is>
      </c>
      <c r="CG53" s="31">
        <f>IF(CF53&gt;20,10,IF(CF53&gt;=10,5,2))</f>
        <v/>
      </c>
    </row>
    <row r="54">
      <c r="A54" s="31">
        <f>IF(B54=0,"",RANK(B54,$B$2:$B$94,0))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RPEL</t>
        </is>
      </c>
      <c r="D54" s="31" t="inlineStr">
        <is>
          <t>Raghav Productivity Enhancers Ltd</t>
        </is>
      </c>
      <c r="E54" s="31" t="inlineStr">
        <is>
          <t>building materials</t>
        </is>
      </c>
      <c r="F54" s="31" t="inlineStr">
        <is>
          <t>Steel Products</t>
        </is>
      </c>
      <c r="G54" s="31" t="inlineStr">
        <is>
          <t>midcap</t>
        </is>
      </c>
      <c r="H54" s="32" t="n">
        <v>5533.59</v>
      </c>
      <c r="I54" s="32" t="n">
        <v>1205</v>
      </c>
      <c r="J54" s="32" t="n">
        <v>0.45</v>
      </c>
      <c r="K54" s="32" t="n">
        <v>0</v>
      </c>
      <c r="L54" s="31" t="n">
        <v>90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77.54000000000001</v>
      </c>
      <c r="P54" s="32" t="n">
        <v>32.05</v>
      </c>
      <c r="Q54" s="32" t="n">
        <v>934.35</v>
      </c>
      <c r="R54" s="31" t="inlineStr">
        <is>
          <t>Near 52W High Breakout</t>
        </is>
      </c>
      <c r="S54" s="31" t="inlineStr">
        <is>
          <t>Nifty Infra</t>
        </is>
      </c>
      <c r="T54" s="32" t="n">
        <v>3.24</v>
      </c>
      <c r="U54" s="32" t="n">
        <v>71.43000000000001</v>
      </c>
      <c r="V54" s="32" t="n">
        <v>66.04000000000001</v>
      </c>
      <c r="W54" s="32" t="n">
        <v>35.34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Less than 50%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23</t>
        </is>
      </c>
      <c r="CG54" s="31">
        <f>IF(CF54&gt;20,10,IF(CF54&gt;=10,5,2))</f>
        <v/>
      </c>
    </row>
    <row r="55">
      <c r="A55" s="31">
        <f>IF(B55=0,"",RANK(B55,$B$2:$B$94,0))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HFCL</t>
        </is>
      </c>
      <c r="D55" s="31" t="inlineStr">
        <is>
          <t>HFCL Ltd</t>
        </is>
      </c>
      <c r="E55" s="31" t="inlineStr">
        <is>
          <t>telecom</t>
        </is>
      </c>
      <c r="F55" s="31" t="inlineStr">
        <is>
          <t>Telecom Services</t>
        </is>
      </c>
      <c r="G55" s="31" t="inlineStr">
        <is>
          <t>largecap</t>
        </is>
      </c>
      <c r="H55" s="32" t="n">
        <v>28925.33</v>
      </c>
      <c r="I55" s="32" t="n">
        <v>188.98</v>
      </c>
      <c r="J55" s="32" t="n">
        <v>4.73</v>
      </c>
      <c r="K55" s="32" t="n">
        <v>0</v>
      </c>
      <c r="L55" s="31" t="n">
        <v>97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82.19</v>
      </c>
      <c r="P55" s="32" t="n">
        <v>51.54</v>
      </c>
      <c r="Q55" s="32" t="n">
        <v>142.16</v>
      </c>
      <c r="R55" s="31" t="inlineStr">
        <is>
          <t>Near 52W High Breakout</t>
        </is>
      </c>
      <c r="S55" s="31" t="inlineStr">
        <is>
          <t>Nifty Infra</t>
        </is>
      </c>
      <c r="T55" s="32" t="n">
        <v>3.24</v>
      </c>
      <c r="U55" s="32" t="n">
        <v>131.58</v>
      </c>
      <c r="V55" s="32" t="n">
        <v>124.31</v>
      </c>
      <c r="W55" s="32" t="n">
        <v>63.93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Oligopoly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Negative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21</t>
        </is>
      </c>
      <c r="CG55" s="31">
        <f>IF(CF55&gt;20,10,IF(CF55&gt;=10,5,2))</f>
        <v/>
      </c>
    </row>
    <row r="56">
      <c r="A56" s="31">
        <f>IF(B56=0,"",RANK(B56,$B$2:$B$94,0))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3" t="inlineStr">
        <is>
          <t>SFL</t>
        </is>
      </c>
      <c r="D56" s="33" t="inlineStr">
        <is>
          <t>Sheela Foam Ltd</t>
        </is>
      </c>
      <c r="E56" s="31" t="inlineStr">
        <is>
          <t>consumer discretionary</t>
        </is>
      </c>
      <c r="F56" s="31" t="inlineStr">
        <is>
          <t>Mattress</t>
        </is>
      </c>
      <c r="G56" s="31" t="inlineStr">
        <is>
          <t>midcap</t>
        </is>
      </c>
      <c r="H56" s="32" t="n">
        <v>7681.6</v>
      </c>
      <c r="I56" s="32" t="n">
        <v>703.45</v>
      </c>
      <c r="J56" s="32" t="n">
        <v>-0.87</v>
      </c>
      <c r="K56" s="32" t="n">
        <v>0</v>
      </c>
      <c r="L56" s="31" t="n">
        <v>26</v>
      </c>
      <c r="M56" s="31" t="inlineStr">
        <is>
          <t>Underperforming</t>
        </is>
      </c>
      <c r="N56" s="32">
        <f>IF(M56="Underperforming",-5,IF(L56&gt;=95,15,IF(L56&gt;=90,10,IF(L56&gt;=80,5,0))))</f>
        <v/>
      </c>
      <c r="O56" s="32" t="n">
        <v>66</v>
      </c>
      <c r="P56" s="32" t="n">
        <v>21.06</v>
      </c>
      <c r="Q56" s="32" t="n">
        <v>542.21</v>
      </c>
      <c r="R56" s="31" t="inlineStr">
        <is>
          <t>Near 52W High Breakout</t>
        </is>
      </c>
      <c r="S56" s="31" t="inlineStr">
        <is>
          <t>Nifty 50</t>
        </is>
      </c>
      <c r="T56" s="32" t="n">
        <v>-4.47</v>
      </c>
      <c r="U56" s="32" t="n">
        <v>-5.2</v>
      </c>
      <c r="V56" s="32" t="n">
        <v>-0.76</v>
      </c>
      <c r="W56" s="32" t="n">
        <v>7.72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21</t>
        </is>
      </c>
      <c r="CG56" s="31">
        <f>IF(CF56&gt;20,10,IF(CF56&gt;=10,5,2))</f>
        <v/>
      </c>
    </row>
    <row r="57">
      <c r="A57" s="31">
        <f>IF(B57=0,"",RANK(B57,$B$2:$B$94,0))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FIEMIND</t>
        </is>
      </c>
      <c r="D57" s="31" t="inlineStr">
        <is>
          <t>Fiem Industries Ltd</t>
        </is>
      </c>
      <c r="E57" s="31" t="inlineStr">
        <is>
          <t>auto</t>
        </is>
      </c>
      <c r="F57" s="31" t="inlineStr">
        <is>
          <t>Auto Ancillaries - 2&amp;3 Wheelers</t>
        </is>
      </c>
      <c r="G57" s="31" t="inlineStr">
        <is>
          <t>midcap</t>
        </is>
      </c>
      <c r="H57" s="32" t="n">
        <v>6196.7</v>
      </c>
      <c r="I57" s="32" t="n">
        <v>2354.4</v>
      </c>
      <c r="J57" s="32" t="n">
        <v>-1.36</v>
      </c>
      <c r="K57" s="32" t="n">
        <v>0</v>
      </c>
      <c r="L57" s="31" t="n">
        <v>33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61.03</v>
      </c>
      <c r="P57" s="32" t="n">
        <v>17.2</v>
      </c>
      <c r="Q57" s="32" t="n">
        <v>1898.35</v>
      </c>
      <c r="R57" s="31" t="inlineStr">
        <is>
          <t>Near 52W High Breakout</t>
        </is>
      </c>
      <c r="S57" s="31" t="inlineStr">
        <is>
          <t>Nifty Auto</t>
        </is>
      </c>
      <c r="T57" s="32" t="n">
        <v>13.57</v>
      </c>
      <c r="U57" s="32" t="n">
        <v>26.54</v>
      </c>
      <c r="V57" s="32" t="n">
        <v>11.42</v>
      </c>
      <c r="W57" s="32" t="n">
        <v>8.84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0 to 20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Less than 50%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18</t>
        </is>
      </c>
      <c r="CG57" s="31">
        <f>IF(CF57&gt;20,10,IF(CF57&gt;=10,5,2))</f>
        <v/>
      </c>
    </row>
    <row r="58">
      <c r="A58" s="31">
        <f>IF(B58=0,"",RANK(B58,$B$2:$B$94,0))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4" t="inlineStr">
        <is>
          <t>NIBE</t>
        </is>
      </c>
      <c r="D58" s="34" t="inlineStr">
        <is>
          <t>NIBE Ltd</t>
        </is>
      </c>
      <c r="E58" s="31" t="inlineStr">
        <is>
          <t>aerospace &amp; defence</t>
        </is>
      </c>
      <c r="F58" s="31" t="inlineStr">
        <is>
          <t>Aerospace &amp; Defence - Equipments</t>
        </is>
      </c>
      <c r="G58" s="31" t="inlineStr">
        <is>
          <t>smallcap</t>
        </is>
      </c>
      <c r="H58" s="32" t="n">
        <v>2464.7</v>
      </c>
      <c r="I58" s="32" t="n">
        <v>1615</v>
      </c>
      <c r="J58" s="32" t="n">
        <v>-1.63</v>
      </c>
      <c r="K58" s="32" t="n">
        <v>0</v>
      </c>
      <c r="L58" s="31" t="n">
        <v>63</v>
      </c>
      <c r="M58" s="31" t="inlineStr">
        <is>
          <t>Underperforming</t>
        </is>
      </c>
      <c r="N58" s="32">
        <f>IF(M58="Underperforming",-5,IF(L58&gt;=95,15,IF(L58&gt;=90,10,IF(L58&gt;=80,5,0))))</f>
        <v/>
      </c>
      <c r="O58" s="32" t="n">
        <v>69.75</v>
      </c>
      <c r="P58" s="32" t="n">
        <v>21.6</v>
      </c>
      <c r="Q58" s="32" t="n">
        <v>1155.38</v>
      </c>
      <c r="R58" s="31" t="inlineStr">
        <is>
          <t>Near 52W High Breakout</t>
        </is>
      </c>
      <c r="S58" s="31" t="inlineStr">
        <is>
          <t>Nifty 50</t>
        </is>
      </c>
      <c r="T58" s="32" t="n">
        <v>-4.47</v>
      </c>
      <c r="U58" s="32" t="n">
        <v>-4.84</v>
      </c>
      <c r="V58" s="32" t="n">
        <v>-0.39</v>
      </c>
      <c r="W58" s="32" t="n">
        <v>17.26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18</t>
        </is>
      </c>
      <c r="CG58" s="31">
        <f>IF(CF58&gt;20,10,IF(CF58&gt;=10,5,2))</f>
        <v/>
      </c>
    </row>
    <row r="59">
      <c r="A59" s="31">
        <f>IF(B59=0,"",RANK(B59,$B$2:$B$94,0))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VADILALIND</t>
        </is>
      </c>
      <c r="D59" s="31" t="inlineStr">
        <is>
          <t>Vadilal Industries Ltd</t>
        </is>
      </c>
      <c r="E59" s="31" t="inlineStr">
        <is>
          <t>fmcg</t>
        </is>
      </c>
      <c r="F59" s="31" t="inlineStr">
        <is>
          <t>FMCG - Dairy Products</t>
        </is>
      </c>
      <c r="G59" s="31" t="inlineStr">
        <is>
          <t>smallcap</t>
        </is>
      </c>
      <c r="H59" s="32" t="n">
        <v>4440.64</v>
      </c>
      <c r="I59" s="32" t="n">
        <v>6178</v>
      </c>
      <c r="J59" s="32" t="n">
        <v>2.51</v>
      </c>
      <c r="K59" s="32" t="n">
        <v>0</v>
      </c>
      <c r="L59" s="31" t="n">
        <v>40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67.84999999999999</v>
      </c>
      <c r="P59" s="32" t="n">
        <v>15.18</v>
      </c>
      <c r="Q59" s="32" t="n">
        <v>4802.35</v>
      </c>
      <c r="R59" s="31" t="inlineStr">
        <is>
          <t>Near 52W High Breakout</t>
        </is>
      </c>
      <c r="S59" s="31" t="inlineStr">
        <is>
          <t>Nifty FMCG</t>
        </is>
      </c>
      <c r="T59" s="32" t="n">
        <v>-9.130000000000001</v>
      </c>
      <c r="U59" s="32" t="n">
        <v>12.02</v>
      </c>
      <c r="V59" s="32" t="n">
        <v>23.27</v>
      </c>
      <c r="W59" s="32" t="n">
        <v>10.83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B2C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0 to 20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Between 50% to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29</t>
        </is>
      </c>
      <c r="CG59" s="31">
        <f>IF(CF59&gt;20,10,IF(CF59&gt;=10,5,2))</f>
        <v/>
      </c>
    </row>
    <row r="60">
      <c r="A60" s="31">
        <f>IF(B60=0,"",RANK(B60,$B$2:$B$94,0))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JNKINDIA</t>
        </is>
      </c>
      <c r="D60" s="31" t="inlineStr">
        <is>
          <t>JNK India Ltd</t>
        </is>
      </c>
      <c r="E60" s="31" t="inlineStr">
        <is>
          <t>realty</t>
        </is>
      </c>
      <c r="F60" s="31" t="inlineStr">
        <is>
          <t>Capital Goods - Engineering Heavy</t>
        </is>
      </c>
      <c r="G60" s="31" t="inlineStr">
        <is>
          <t>smallcap</t>
        </is>
      </c>
      <c r="H60" s="32" t="n">
        <v>2754.89</v>
      </c>
      <c r="I60" s="32" t="n">
        <v>492.35</v>
      </c>
      <c r="J60" s="32" t="n">
        <v>-0.72</v>
      </c>
      <c r="K60" s="32" t="n">
        <v>0</v>
      </c>
      <c r="L60" s="31" t="n">
        <v>91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74.77</v>
      </c>
      <c r="P60" s="32" t="n">
        <v>32.47</v>
      </c>
      <c r="Q60" s="32" t="n">
        <v>359.81</v>
      </c>
      <c r="R60" s="31" t="inlineStr">
        <is>
          <t>Near 52W High Breakout</t>
        </is>
      </c>
      <c r="S60" s="31" t="inlineStr">
        <is>
          <t>Nifty Realty</t>
        </is>
      </c>
      <c r="T60" s="32" t="n">
        <v>-19.29</v>
      </c>
      <c r="U60" s="32" t="n">
        <v>36.8</v>
      </c>
      <c r="V60" s="32" t="n">
        <v>69.5</v>
      </c>
      <c r="W60" s="32" t="n">
        <v>35.83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Negative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31</t>
        </is>
      </c>
      <c r="CG60" s="31">
        <f>IF(CF60&gt;20,10,IF(CF60&gt;=10,5,2))</f>
        <v/>
      </c>
    </row>
    <row r="61">
      <c r="A61" s="31">
        <f>IF(B61=0,"",RANK(B61,$B$2:$B$94,0))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MINDACORP</t>
        </is>
      </c>
      <c r="D61" s="31" t="inlineStr">
        <is>
          <t>Minda Corporation Ltd</t>
        </is>
      </c>
      <c r="E61" s="31" t="inlineStr">
        <is>
          <t>auto</t>
        </is>
      </c>
      <c r="F61" s="31" t="inlineStr">
        <is>
          <t>Auto Ancillaries - Diversified</t>
        </is>
      </c>
      <c r="G61" s="31" t="inlineStr">
        <is>
          <t>midcap</t>
        </is>
      </c>
      <c r="H61" s="32" t="n">
        <v>15709.91</v>
      </c>
      <c r="I61" s="32" t="n">
        <v>657.1</v>
      </c>
      <c r="J61" s="32" t="n">
        <v>-0.82</v>
      </c>
      <c r="K61" s="32" t="n">
        <v>0</v>
      </c>
      <c r="L61" s="31" t="n">
        <v>47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66.64</v>
      </c>
      <c r="P61" s="32" t="n">
        <v>19.66</v>
      </c>
      <c r="Q61" s="32" t="n">
        <v>527.21</v>
      </c>
      <c r="R61" s="31" t="inlineStr">
        <is>
          <t>Near 52W High Breakout</t>
        </is>
      </c>
      <c r="S61" s="31" t="inlineStr">
        <is>
          <t>Nifty Auto</t>
        </is>
      </c>
      <c r="T61" s="32" t="n">
        <v>13.57</v>
      </c>
      <c r="U61" s="32" t="n">
        <v>30.46</v>
      </c>
      <c r="V61" s="32" t="n">
        <v>14.88</v>
      </c>
      <c r="W61" s="32" t="n">
        <v>12.68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0 to 20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23</t>
        </is>
      </c>
      <c r="CG61" s="31">
        <f>IF(CF61&gt;20,10,IF(CF61&gt;=10,5,2))</f>
        <v/>
      </c>
    </row>
    <row r="62">
      <c r="A62" s="31">
        <f>IF(B62=0,"",RANK(B62,$B$2:$B$94,0))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MTARTECH</t>
        </is>
      </c>
      <c r="D62" s="31" t="inlineStr">
        <is>
          <t>MTAR Technologies Ltd</t>
        </is>
      </c>
      <c r="E62" s="31" t="inlineStr">
        <is>
          <t>aerospace &amp; defence</t>
        </is>
      </c>
      <c r="F62" s="31" t="inlineStr">
        <is>
          <t>Aerospace &amp; Defence - Equipments</t>
        </is>
      </c>
      <c r="G62" s="31" t="inlineStr">
        <is>
          <t>largecap</t>
        </is>
      </c>
      <c r="H62" s="32" t="n">
        <v>23680.27</v>
      </c>
      <c r="I62" s="32" t="n">
        <v>7698.5</v>
      </c>
      <c r="J62" s="32" t="n">
        <v>4.83</v>
      </c>
      <c r="K62" s="32" t="n">
        <v>0</v>
      </c>
      <c r="L62" s="31" t="n">
        <v>98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78.08</v>
      </c>
      <c r="P62" s="32" t="n">
        <v>63.04</v>
      </c>
      <c r="Q62" s="32" t="n">
        <v>5791.48</v>
      </c>
      <c r="R62" s="31" t="inlineStr">
        <is>
          <t>Near 52W High Breakout</t>
        </is>
      </c>
      <c r="S62" s="31" t="inlineStr">
        <is>
          <t>Nifty 50</t>
        </is>
      </c>
      <c r="T62" s="32" t="n">
        <v>-4.47</v>
      </c>
      <c r="U62" s="32" t="n">
        <v>348.45</v>
      </c>
      <c r="V62" s="32" t="n">
        <v>369.45</v>
      </c>
      <c r="W62" s="32" t="n">
        <v>64.45999999999999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22</t>
        </is>
      </c>
      <c r="CG62" s="31">
        <f>IF(CF62&gt;20,10,IF(CF62&gt;=10,5,2))</f>
        <v/>
      </c>
    </row>
    <row r="63">
      <c r="A63" s="31">
        <f>IF(B63=0,"",RANK(B63,$B$2:$B$94,0))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FCL</t>
        </is>
      </c>
      <c r="D63" s="31" t="inlineStr">
        <is>
          <t>Fineotex Chemical Ltd</t>
        </is>
      </c>
      <c r="E63" s="31" t="inlineStr">
        <is>
          <t>chemicals</t>
        </is>
      </c>
      <c r="F63" s="31" t="inlineStr">
        <is>
          <t>Speciality Chemicals</t>
        </is>
      </c>
      <c r="G63" s="31" t="inlineStr">
        <is>
          <t>midcap</t>
        </is>
      </c>
      <c r="H63" s="32" t="n">
        <v>5042.29</v>
      </c>
      <c r="I63" s="32" t="n">
        <v>43.3</v>
      </c>
      <c r="J63" s="32" t="n">
        <v>4.34</v>
      </c>
      <c r="K63" s="32" t="n">
        <v>0</v>
      </c>
      <c r="L63" s="31" t="n">
        <v>90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76.18000000000001</v>
      </c>
      <c r="P63" s="32" t="n">
        <v>33.87</v>
      </c>
      <c r="Q63" s="32" t="n">
        <v>32.18</v>
      </c>
      <c r="R63" s="31" t="inlineStr">
        <is>
          <t>Near 52W High Breakout</t>
        </is>
      </c>
      <c r="S63" s="31" t="inlineStr">
        <is>
          <t>Nifty 50</t>
        </is>
      </c>
      <c r="T63" s="32" t="n">
        <v>-4.47</v>
      </c>
      <c r="U63" s="32" t="n">
        <v>56.68</v>
      </c>
      <c r="V63" s="32" t="n">
        <v>64.02</v>
      </c>
      <c r="W63" s="32" t="n">
        <v>35.14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Negative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21</t>
        </is>
      </c>
      <c r="CG63" s="31">
        <f>IF(CF63&gt;20,10,IF(CF63&gt;=10,5,2))</f>
        <v/>
      </c>
    </row>
    <row r="64">
      <c r="A64" s="31">
        <f>IF(B64=0,"",RANK(B64,$B$2:$B$94,0))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CRAFTSMAN</t>
        </is>
      </c>
      <c r="D64" s="31" t="inlineStr">
        <is>
          <t>Craftsman Automation Ltd</t>
        </is>
      </c>
      <c r="E64" s="31" t="inlineStr">
        <is>
          <t>auto</t>
        </is>
      </c>
      <c r="F64" s="31" t="inlineStr">
        <is>
          <t>Auto &amp; Auto Ancl - CV</t>
        </is>
      </c>
      <c r="G64" s="31" t="inlineStr">
        <is>
          <t>largecap</t>
        </is>
      </c>
      <c r="H64" s="32" t="n">
        <v>22247.72</v>
      </c>
      <c r="I64" s="32" t="n">
        <v>9326</v>
      </c>
      <c r="J64" s="32" t="n">
        <v>-0.12</v>
      </c>
      <c r="K64" s="32" t="n">
        <v>0</v>
      </c>
      <c r="L64" s="31" t="n">
        <v>72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67.59</v>
      </c>
      <c r="P64" s="32" t="n">
        <v>36.85</v>
      </c>
      <c r="Q64" s="32" t="n">
        <v>7330.34</v>
      </c>
      <c r="R64" s="31" t="inlineStr">
        <is>
          <t>Near 52W High Breakout</t>
        </is>
      </c>
      <c r="S64" s="31" t="inlineStr">
        <is>
          <t>Nifty Auto</t>
        </is>
      </c>
      <c r="T64" s="32" t="n">
        <v>13.57</v>
      </c>
      <c r="U64" s="32" t="n">
        <v>80.89</v>
      </c>
      <c r="V64" s="32" t="n">
        <v>59.28</v>
      </c>
      <c r="W64" s="32" t="n">
        <v>20.67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Less than 50% and Borrowings are increasing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Between 0.7 to 1.2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21</t>
        </is>
      </c>
      <c r="CG64" s="31">
        <f>IF(CF64&gt;20,10,IF(CF64&gt;=10,5,2))</f>
        <v/>
      </c>
    </row>
    <row r="65">
      <c r="A65" s="31">
        <f>IF(B65=0,"",RANK(B65,$B$2:$B$94,0))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PSPPROJECT</t>
        </is>
      </c>
      <c r="D65" s="31" t="inlineStr">
        <is>
          <t>PSP Projects Ltd</t>
        </is>
      </c>
      <c r="E65" s="31" t="inlineStr">
        <is>
          <t>realty</t>
        </is>
      </c>
      <c r="F65" s="31" t="inlineStr">
        <is>
          <t>Construction &amp; Contracting</t>
        </is>
      </c>
      <c r="G65" s="31" t="inlineStr">
        <is>
          <t>smallcap</t>
        </is>
      </c>
      <c r="H65" s="32" t="n">
        <v>3598.68</v>
      </c>
      <c r="I65" s="32" t="n">
        <v>907.8</v>
      </c>
      <c r="J65" s="32" t="n">
        <v>-1.47</v>
      </c>
      <c r="K65" s="32" t="n">
        <v>0</v>
      </c>
      <c r="L65" s="31" t="n">
        <v>54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62.42</v>
      </c>
      <c r="P65" s="32" t="n">
        <v>23.51</v>
      </c>
      <c r="Q65" s="32" t="n">
        <v>680.92</v>
      </c>
      <c r="R65" s="31" t="inlineStr">
        <is>
          <t>Earnings / Momentum Support</t>
        </is>
      </c>
      <c r="S65" s="31" t="inlineStr">
        <is>
          <t>Nifty Realty</t>
        </is>
      </c>
      <c r="T65" s="32" t="n">
        <v>-19.29</v>
      </c>
      <c r="U65" s="32" t="n">
        <v>23.64</v>
      </c>
      <c r="V65" s="32" t="n">
        <v>53.2</v>
      </c>
      <c r="W65" s="32" t="n">
        <v>14.21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20</t>
        </is>
      </c>
      <c r="CG65" s="31">
        <f>IF(CF65&gt;20,10,IF(CF65&gt;=10,5,2))</f>
        <v/>
      </c>
    </row>
    <row r="66">
      <c r="A66" s="31">
        <f>IF(B66=0,"",RANK(B66,$B$2:$B$94,0))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ADVAIT</t>
        </is>
      </c>
      <c r="D66" s="31" t="inlineStr">
        <is>
          <t>Advait Energy Transitions Limited</t>
        </is>
      </c>
      <c r="E66" s="31" t="inlineStr">
        <is>
          <t>Industrials</t>
        </is>
      </c>
      <c r="F66" s="31" t="inlineStr">
        <is>
          <t>EPC</t>
        </is>
      </c>
      <c r="G66" s="31" t="inlineStr">
        <is>
          <t>smallcap</t>
        </is>
      </c>
      <c r="H66" s="32" t="n">
        <v>2664.62</v>
      </c>
      <c r="I66" s="32" t="n">
        <v>2435</v>
      </c>
      <c r="J66" s="32" t="n">
        <v>4.26</v>
      </c>
      <c r="K66" s="32" t="n">
        <v>0</v>
      </c>
      <c r="L66" s="31" t="n">
        <v>62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72.84999999999999</v>
      </c>
      <c r="P66" s="32" t="n">
        <v>30.62</v>
      </c>
      <c r="Q66" s="32" t="n">
        <v>1780.23</v>
      </c>
      <c r="R66" s="31" t="inlineStr">
        <is>
          <t>Near 52W High Breakout</t>
        </is>
      </c>
      <c r="S66" s="31" t="inlineStr">
        <is>
          <t>Nifty 50</t>
        </is>
      </c>
      <c r="T66" s="32" t="n">
        <v>-4.47</v>
      </c>
      <c r="U66" s="32" t="n">
        <v>29.1</v>
      </c>
      <c r="V66" s="32" t="n">
        <v>35.14</v>
      </c>
      <c r="W66" s="32" t="n">
        <v>16.97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Negative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20</t>
        </is>
      </c>
      <c r="CG66" s="31">
        <f>IF(CF66&gt;20,10,IF(CF66&gt;=10,5,2))</f>
        <v/>
      </c>
    </row>
    <row r="67">
      <c r="A67" s="31">
        <f>IF(B67=0,"",RANK(B67,$B$2:$B$94,0))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AEROFLEX</t>
        </is>
      </c>
      <c r="D67" s="31" t="inlineStr">
        <is>
          <t>Aeroflex Industries Ltd</t>
        </is>
      </c>
      <c r="E67" s="31" t="inlineStr">
        <is>
          <t>metals &amp; mining</t>
        </is>
      </c>
      <c r="F67" s="31" t="inlineStr">
        <is>
          <t>Stainless Steel</t>
        </is>
      </c>
      <c r="G67" s="31" t="inlineStr">
        <is>
          <t>midcap</t>
        </is>
      </c>
      <c r="H67" s="32" t="n">
        <v>6242.04</v>
      </c>
      <c r="I67" s="32" t="n">
        <v>471.7</v>
      </c>
      <c r="J67" s="32" t="n">
        <v>-1.32</v>
      </c>
      <c r="K67" s="32" t="n">
        <v>0</v>
      </c>
      <c r="L67" s="31" t="n">
        <v>94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75.09999999999999</v>
      </c>
      <c r="P67" s="32" t="n">
        <v>60.98</v>
      </c>
      <c r="Q67" s="32" t="n">
        <v>334.93</v>
      </c>
      <c r="R67" s="31" t="inlineStr">
        <is>
          <t>Near 52W High Breakout</t>
        </is>
      </c>
      <c r="S67" s="31" t="inlineStr">
        <is>
          <t>Nifty Metal</t>
        </is>
      </c>
      <c r="T67" s="32" t="n">
        <v>40.96</v>
      </c>
      <c r="U67" s="32" t="n">
        <v>131.03</v>
      </c>
      <c r="V67" s="32" t="n">
        <v>63.9</v>
      </c>
      <c r="W67" s="32" t="n">
        <v>43.86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Cyclical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Volatile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Between 1.5 to 2</t>
        </is>
      </c>
      <c r="BU67" s="31">
        <f>IF(BT67="Above 2",0,IF(BT67="Between 1.5 to 2",5,IF(BT67="Less than 1.5",10,0)))</f>
        <v/>
      </c>
      <c r="BV67" s="31" t="inlineStr">
        <is>
          <t>Between 50% to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20</t>
        </is>
      </c>
      <c r="CG67" s="31">
        <f>IF(CF67&gt;20,10,IF(CF67&gt;=10,5,2))</f>
        <v/>
      </c>
    </row>
    <row r="68">
      <c r="A68" s="31">
        <f>IF(B68=0,"",RANK(B68,$B$2:$B$94,0))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4" t="inlineStr">
        <is>
          <t>WABAG</t>
        </is>
      </c>
      <c r="D68" s="34" t="inlineStr">
        <is>
          <t>Va Tech Wabag Ltd</t>
        </is>
      </c>
      <c r="E68" s="31" t="inlineStr">
        <is>
          <t>realty</t>
        </is>
      </c>
      <c r="F68" s="31" t="inlineStr">
        <is>
          <t>Water Treatment</t>
        </is>
      </c>
      <c r="G68" s="31" t="inlineStr">
        <is>
          <t>midcap</t>
        </is>
      </c>
      <c r="H68" s="32" t="n">
        <v>10932.04</v>
      </c>
      <c r="I68" s="32" t="n">
        <v>1754.3</v>
      </c>
      <c r="J68" s="32" t="n">
        <v>7.69</v>
      </c>
      <c r="K68" s="32" t="n">
        <v>0</v>
      </c>
      <c r="L68" s="31" t="n">
        <v>51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71.40000000000001</v>
      </c>
      <c r="P68" s="32" t="n">
        <v>15.24</v>
      </c>
      <c r="Q68" s="32" t="n">
        <v>1396.7</v>
      </c>
      <c r="R68" s="31" t="inlineStr">
        <is>
          <t>Volume Spike &amp; Near 52W High Breakout</t>
        </is>
      </c>
      <c r="S68" s="31" t="inlineStr">
        <is>
          <t>Nifty Realty</t>
        </is>
      </c>
      <c r="T68" s="32" t="n">
        <v>-19.29</v>
      </c>
      <c r="U68" s="32" t="n">
        <v>19.31</v>
      </c>
      <c r="V68" s="32" t="n">
        <v>47.83</v>
      </c>
      <c r="W68" s="32" t="n">
        <v>13.68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0 to 20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Less than 50%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19</t>
        </is>
      </c>
      <c r="CG68" s="31">
        <f>IF(CF68&gt;20,10,IF(CF68&gt;=10,5,2))</f>
        <v/>
      </c>
    </row>
    <row r="69">
      <c r="A69" s="31">
        <f>IF(B69=0,"",RANK(B69,$B$2:$B$94,0))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4" t="inlineStr">
        <is>
          <t>PREMEXPLN</t>
        </is>
      </c>
      <c r="D69" s="34" t="inlineStr">
        <is>
          <t>Premier Explosives Ltd</t>
        </is>
      </c>
      <c r="E69" s="31" t="inlineStr">
        <is>
          <t>aerospace &amp; defence</t>
        </is>
      </c>
      <c r="F69" s="31" t="inlineStr">
        <is>
          <t>Industrial Explosives</t>
        </is>
      </c>
      <c r="G69" s="31" t="inlineStr">
        <is>
          <t>smallcap</t>
        </is>
      </c>
      <c r="H69" s="32" t="n">
        <v>3966.5</v>
      </c>
      <c r="I69" s="32" t="n">
        <v>737.8</v>
      </c>
      <c r="J69" s="32" t="n">
        <v>7.98</v>
      </c>
      <c r="K69" s="32" t="n">
        <v>0</v>
      </c>
      <c r="L69" s="31" t="n">
        <v>74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70.97</v>
      </c>
      <c r="P69" s="32" t="n">
        <v>21.46</v>
      </c>
      <c r="Q69" s="32" t="n">
        <v>526.46</v>
      </c>
      <c r="R69" s="31" t="inlineStr">
        <is>
          <t>Near 52W High Breakout</t>
        </is>
      </c>
      <c r="S69" s="31" t="inlineStr">
        <is>
          <t>Nifty IT</t>
        </is>
      </c>
      <c r="T69" s="32" t="n">
        <v>-26.73</v>
      </c>
      <c r="U69" s="32" t="n">
        <v>24.56</v>
      </c>
      <c r="V69" s="32" t="n">
        <v>70.01000000000001</v>
      </c>
      <c r="W69" s="32" t="n">
        <v>22.01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Negative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18</t>
        </is>
      </c>
      <c r="CG69" s="31">
        <f>IF(CF69&gt;20,10,IF(CF69&gt;=10,5,2))</f>
        <v/>
      </c>
    </row>
    <row r="70">
      <c r="A70" s="31">
        <f>IF(B70=0,"",RANK(B70,$B$2:$B$94,0))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COCKERILL</t>
        </is>
      </c>
      <c r="D70" s="31" t="inlineStr">
        <is>
          <t>John Cockerill India Ltd</t>
        </is>
      </c>
      <c r="E70" s="31" t="inlineStr">
        <is>
          <t>Industrials</t>
        </is>
      </c>
      <c r="F70" s="31" t="inlineStr">
        <is>
          <t>Capital Goods - Engineering Heavy</t>
        </is>
      </c>
      <c r="G70" s="31" t="inlineStr">
        <is>
          <t>smallcap</t>
        </is>
      </c>
      <c r="H70" s="32" t="n">
        <v>4590.46</v>
      </c>
      <c r="I70" s="32" t="n">
        <v>9296.549999999999</v>
      </c>
      <c r="J70" s="32" t="n">
        <v>-0.4</v>
      </c>
      <c r="K70" s="32" t="n">
        <v>0</v>
      </c>
      <c r="L70" s="31" t="n">
        <v>95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75.01000000000001</v>
      </c>
      <c r="P70" s="32" t="n">
        <v>36.76</v>
      </c>
      <c r="Q70" s="32" t="n">
        <v>7456.37</v>
      </c>
      <c r="R70" s="31" t="inlineStr">
        <is>
          <t>Earnings / Momentum Support</t>
        </is>
      </c>
      <c r="S70" s="31" t="inlineStr">
        <is>
          <t>Nifty Metal</t>
        </is>
      </c>
      <c r="T70" s="32" t="n">
        <v>40.96</v>
      </c>
      <c r="U70" s="32" t="n">
        <v>182.71</v>
      </c>
      <c r="V70" s="32" t="n">
        <v>100.56</v>
      </c>
      <c r="W70" s="32" t="n">
        <v>49.29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18</t>
        </is>
      </c>
      <c r="CG70" s="31">
        <f>IF(CF70&gt;20,10,IF(CF70&gt;=10,5,2))</f>
        <v/>
      </c>
    </row>
    <row r="71">
      <c r="A71" s="31">
        <f>IF(B71=0,"",RANK(B71,$B$2:$B$94,0))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4" t="inlineStr">
        <is>
          <t>MOBAVENUE</t>
        </is>
      </c>
      <c r="D71" s="34" t="inlineStr">
        <is>
          <t>Mobavenue AI Tech Ltd</t>
        </is>
      </c>
      <c r="E71" s="31" t="inlineStr">
        <is>
          <t>Consumer Defensive</t>
        </is>
      </c>
      <c r="F71" s="31" t="inlineStr">
        <is>
          <t>Computer Education</t>
        </is>
      </c>
      <c r="G71" s="31" t="inlineStr">
        <is>
          <t>smallcap</t>
        </is>
      </c>
      <c r="H71" s="32" t="n">
        <v>2335.17</v>
      </c>
      <c r="I71" s="32" t="n">
        <v>302.1</v>
      </c>
      <c r="J71" s="32" t="n">
        <v>1.07</v>
      </c>
      <c r="K71" s="32" t="n">
        <v>0</v>
      </c>
      <c r="L71" s="31" t="n">
        <v>76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66.31</v>
      </c>
      <c r="P71" s="32" t="n">
        <v>18.01</v>
      </c>
      <c r="Q71" s="32" t="n">
        <v>231.63</v>
      </c>
      <c r="R71" s="31" t="inlineStr">
        <is>
          <t>Near 52W High Breakout</t>
        </is>
      </c>
      <c r="S71" s="31" t="inlineStr">
        <is>
          <t>Nifty 50</t>
        </is>
      </c>
      <c r="T71" s="32" t="n">
        <v>-4.47</v>
      </c>
      <c r="U71" s="32" t="n">
        <v>116.22</v>
      </c>
      <c r="V71" s="32" t="n">
        <v>126.35</v>
      </c>
      <c r="W71" s="32" t="n">
        <v>22.6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0 to 20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18</t>
        </is>
      </c>
      <c r="CG71" s="31">
        <f>IF(CF71&gt;20,10,IF(CF71&gt;=10,5,2))</f>
        <v/>
      </c>
    </row>
    <row r="72">
      <c r="A72" s="31">
        <f>IF(B72=0,"",RANK(B72,$B$2:$B$94,0))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4" t="inlineStr">
        <is>
          <t>ONEGLOBAL</t>
        </is>
      </c>
      <c r="D72" s="34" t="inlineStr">
        <is>
          <t>One Global Service Provider Ltd</t>
        </is>
      </c>
      <c r="E72" s="31" t="inlineStr">
        <is>
          <t>Healthcare</t>
        </is>
      </c>
      <c r="F72" s="31" t="inlineStr">
        <is>
          <t>Diagnostics</t>
        </is>
      </c>
      <c r="G72" s="31" t="inlineStr">
        <is>
          <t>smallcap</t>
        </is>
      </c>
      <c r="H72" s="32" t="n">
        <v>1359.51</v>
      </c>
      <c r="I72" s="32" t="n">
        <v>695.65</v>
      </c>
      <c r="J72" s="32" t="n">
        <v>4.55</v>
      </c>
      <c r="K72" s="32" t="n">
        <v>0</v>
      </c>
      <c r="L72" s="31" t="n">
        <v>92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61.79</v>
      </c>
      <c r="P72" s="32" t="n">
        <v>10.94</v>
      </c>
      <c r="Q72" s="32" t="n">
        <v>423.79</v>
      </c>
      <c r="R72" s="31" t="inlineStr">
        <is>
          <t>Earnings / Momentum Support</t>
        </is>
      </c>
      <c r="S72" s="31" t="inlineStr">
        <is>
          <t>Nifty Pharma</t>
        </is>
      </c>
      <c r="T72" s="32" t="n">
        <v>11.77</v>
      </c>
      <c r="U72" s="32" t="n">
        <v>195.77</v>
      </c>
      <c r="V72" s="32" t="n">
        <v>164.61</v>
      </c>
      <c r="W72" s="32" t="n">
        <v>37.48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Annuity, Lower One Time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0 to 20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Less than 50%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19</t>
        </is>
      </c>
      <c r="CG72" s="31">
        <f>IF(CF72&gt;20,10,IF(CF72&gt;=10,5,2))</f>
        <v/>
      </c>
    </row>
    <row r="73">
      <c r="A73" s="31">
        <f>IF(B73=0,"",RANK(B73,$B$2:$B$94,0))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WHEELS</t>
        </is>
      </c>
      <c r="D73" s="31" t="inlineStr">
        <is>
          <t>Wheels India Ltd</t>
        </is>
      </c>
      <c r="E73" s="31" t="inlineStr">
        <is>
          <t>auto</t>
        </is>
      </c>
      <c r="F73" s="31" t="inlineStr">
        <is>
          <t>Auto Ancillaries - Wheels</t>
        </is>
      </c>
      <c r="G73" s="31" t="inlineStr">
        <is>
          <t>smallcap</t>
        </is>
      </c>
      <c r="H73" s="32" t="n">
        <v>3903.66</v>
      </c>
      <c r="I73" s="32" t="n">
        <v>1597.7</v>
      </c>
      <c r="J73" s="32" t="n">
        <v>-0.65</v>
      </c>
      <c r="K73" s="32" t="n">
        <v>0</v>
      </c>
      <c r="L73" s="31" t="n">
        <v>84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70.89</v>
      </c>
      <c r="P73" s="32" t="n">
        <v>53.69</v>
      </c>
      <c r="Q73" s="32" t="n">
        <v>1281.07</v>
      </c>
      <c r="R73" s="31" t="inlineStr">
        <is>
          <t>Near 52W High Breakout</t>
        </is>
      </c>
      <c r="S73" s="31" t="inlineStr">
        <is>
          <t>Nifty Auto</t>
        </is>
      </c>
      <c r="T73" s="32" t="n">
        <v>13.57</v>
      </c>
      <c r="U73" s="32" t="n">
        <v>113.52</v>
      </c>
      <c r="V73" s="32" t="n">
        <v>88.01000000000001</v>
      </c>
      <c r="W73" s="32" t="n">
        <v>29.03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Less than 12%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23</t>
        </is>
      </c>
      <c r="CG73" s="31">
        <f>IF(CF73&gt;20,10,IF(CF73&gt;=10,5,2))</f>
        <v/>
      </c>
    </row>
    <row r="74">
      <c r="A74" s="31">
        <f>IF(B74=0,"",RANK(B74,$B$2:$B$94,0))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4" t="inlineStr">
        <is>
          <t>SPECTRUM</t>
        </is>
      </c>
      <c r="D74" s="34" t="inlineStr">
        <is>
          <t>Spectrum Electrical Industries Ltd</t>
        </is>
      </c>
      <c r="E74" s="31" t="inlineStr">
        <is>
          <t>industrials</t>
        </is>
      </c>
      <c r="F74" s="31" t="inlineStr">
        <is>
          <t>Capital Goods - Electric General</t>
        </is>
      </c>
      <c r="G74" s="31" t="inlineStr">
        <is>
          <t>smallcap</t>
        </is>
      </c>
      <c r="H74" s="32" t="n">
        <v>2457.96</v>
      </c>
      <c r="I74" s="32" t="n">
        <v>1564.2</v>
      </c>
      <c r="J74" s="32" t="n">
        <v>-2.14</v>
      </c>
      <c r="K74" s="32" t="n">
        <v>0</v>
      </c>
      <c r="L74" s="31" t="n">
        <v>8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56.77</v>
      </c>
      <c r="P74" s="32" t="n">
        <v>28.24</v>
      </c>
      <c r="Q74" s="32" t="n">
        <v>1226.06</v>
      </c>
      <c r="R74" s="31" t="inlineStr">
        <is>
          <t>Earnings / Momentum Support</t>
        </is>
      </c>
      <c r="S74" s="31" t="inlineStr">
        <is>
          <t>Nifty 50</t>
        </is>
      </c>
      <c r="T74" s="32" t="n">
        <v>-4.47</v>
      </c>
      <c r="U74" s="32" t="n">
        <v>7.19</v>
      </c>
      <c r="V74" s="32" t="n">
        <v>12.21</v>
      </c>
      <c r="W74" s="32" t="n">
        <v>3.72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Between 0.7 to 1.2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18</t>
        </is>
      </c>
      <c r="CG74" s="31">
        <f>IF(CF74&gt;20,10,IF(CF74&gt;=10,5,2))</f>
        <v/>
      </c>
    </row>
    <row r="75">
      <c r="A75" s="31">
        <f>IF(B75=0,"",RANK(B75,$B$2:$B$94,0))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SEAMECLTD</t>
        </is>
      </c>
      <c r="D75" s="31" t="inlineStr">
        <is>
          <t>SEAMEC Ltd</t>
        </is>
      </c>
      <c r="E75" s="31" t="inlineStr">
        <is>
          <t>Industrials</t>
        </is>
      </c>
      <c r="F75" s="31" t="inlineStr">
        <is>
          <t>Shipping</t>
        </is>
      </c>
      <c r="G75" s="31" t="inlineStr">
        <is>
          <t>smallcap</t>
        </is>
      </c>
      <c r="H75" s="32" t="n">
        <v>4004.44</v>
      </c>
      <c r="I75" s="32" t="n">
        <v>1575</v>
      </c>
      <c r="J75" s="32" t="n">
        <v>-2.09</v>
      </c>
      <c r="K75" s="32" t="n">
        <v>0</v>
      </c>
      <c r="L75" s="31" t="n">
        <v>62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68.3</v>
      </c>
      <c r="P75" s="32" t="n">
        <v>56.2</v>
      </c>
      <c r="Q75" s="32" t="n">
        <v>1259.84</v>
      </c>
      <c r="R75" s="31" t="inlineStr">
        <is>
          <t>Near 52W High Breakout</t>
        </is>
      </c>
      <c r="S75" s="31" t="inlineStr">
        <is>
          <t>Nifty 50</t>
        </is>
      </c>
      <c r="T75" s="32" t="n">
        <v>-4.47</v>
      </c>
      <c r="U75" s="32" t="n">
        <v>88.14</v>
      </c>
      <c r="V75" s="32" t="n">
        <v>96.95</v>
      </c>
      <c r="W75" s="32" t="n">
        <v>16.85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18</t>
        </is>
      </c>
      <c r="CG75" s="31">
        <f>IF(CF75&gt;20,10,IF(CF75&gt;=10,5,2))</f>
        <v/>
      </c>
    </row>
    <row r="76">
      <c r="A76" s="31">
        <f>IF(B76=0,"",RANK(B76,$B$2:$B$94,0))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SOTL</t>
        </is>
      </c>
      <c r="D76" s="31" t="inlineStr">
        <is>
          <t>Savita Oil Technologies Ltd</t>
        </is>
      </c>
      <c r="E76" s="31" t="inlineStr">
        <is>
          <t>energy</t>
        </is>
      </c>
      <c r="F76" s="31" t="inlineStr">
        <is>
          <t>Petrochem - Others</t>
        </is>
      </c>
      <c r="G76" s="31" t="inlineStr">
        <is>
          <t>smallcap</t>
        </is>
      </c>
      <c r="H76" s="32" t="n">
        <v>4153.05</v>
      </c>
      <c r="I76" s="32" t="n">
        <v>605.75</v>
      </c>
      <c r="J76" s="32" t="n">
        <v>4.88</v>
      </c>
      <c r="K76" s="32" t="n">
        <v>0</v>
      </c>
      <c r="L76" s="31" t="n">
        <v>83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77.72</v>
      </c>
      <c r="P76" s="32" t="n">
        <v>31.45</v>
      </c>
      <c r="Q76" s="32" t="n">
        <v>464.45</v>
      </c>
      <c r="R76" s="31" t="inlineStr">
        <is>
          <t>Near 52W High Breakout</t>
        </is>
      </c>
      <c r="S76" s="31" t="inlineStr">
        <is>
          <t>Nifty Energy</t>
        </is>
      </c>
      <c r="T76" s="32" t="n">
        <v>12.12</v>
      </c>
      <c r="U76" s="32" t="n">
        <v>47.63</v>
      </c>
      <c r="V76" s="32" t="n">
        <v>31.67</v>
      </c>
      <c r="W76" s="32" t="n">
        <v>27.26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Oligopoly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Cyclical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Volatile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Between 50% to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24</t>
        </is>
      </c>
      <c r="CG76" s="31">
        <f>IF(CF76&gt;20,10,IF(CF76&gt;=10,5,2))</f>
        <v/>
      </c>
    </row>
    <row r="77">
      <c r="A77" s="31">
        <f>IF(B77=0,"",RANK(B77,$B$2:$B$94,0))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GALAPREC</t>
        </is>
      </c>
      <c r="D77" s="31" t="inlineStr">
        <is>
          <t>Gala Precision Engineering Ltd</t>
        </is>
      </c>
      <c r="E77" s="31" t="inlineStr">
        <is>
          <t>industrials</t>
        </is>
      </c>
      <c r="F77" s="31" t="inlineStr">
        <is>
          <t>Castings, Forgings &amp; Fastners</t>
        </is>
      </c>
      <c r="G77" s="31" t="inlineStr">
        <is>
          <t>smallcap</t>
        </is>
      </c>
      <c r="H77" s="32" t="n">
        <v>1335.87</v>
      </c>
      <c r="I77" s="32" t="n">
        <v>1043.85</v>
      </c>
      <c r="J77" s="32" t="n">
        <v>0.95</v>
      </c>
      <c r="K77" s="32" t="n">
        <v>0</v>
      </c>
      <c r="L77" s="31" t="n">
        <v>48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73.48</v>
      </c>
      <c r="P77" s="32" t="n">
        <v>23.71</v>
      </c>
      <c r="Q77" s="32" t="n">
        <v>800.53</v>
      </c>
      <c r="R77" s="31" t="inlineStr">
        <is>
          <t>Volume Spike &amp; Near 52W High Breakout</t>
        </is>
      </c>
      <c r="S77" s="31" t="inlineStr">
        <is>
          <t>Nifty 50</t>
        </is>
      </c>
      <c r="T77" s="32" t="n">
        <v>-4.47</v>
      </c>
      <c r="U77" s="32" t="n">
        <v>20.03</v>
      </c>
      <c r="V77" s="32" t="n">
        <v>25.65</v>
      </c>
      <c r="W77" s="32" t="n">
        <v>12.8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Less than 12%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Less than 50%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22</t>
        </is>
      </c>
      <c r="CG77" s="31">
        <f>IF(CF77&gt;20,10,IF(CF77&gt;=10,5,2))</f>
        <v/>
      </c>
    </row>
    <row r="78">
      <c r="A78" s="31">
        <f>IF(B78=0,"",RANK(B78,$B$2:$B$94,0))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3" t="inlineStr">
        <is>
          <t>BMW</t>
        </is>
      </c>
      <c r="D78" s="33" t="inlineStr">
        <is>
          <t>BMW Industries Ltd</t>
        </is>
      </c>
      <c r="E78" s="31" t="inlineStr">
        <is>
          <t>Basic Materials</t>
        </is>
      </c>
      <c r="F78" s="31" t="inlineStr">
        <is>
          <t>Steel Products</t>
        </is>
      </c>
      <c r="G78" s="31" t="inlineStr">
        <is>
          <t>smallcap</t>
        </is>
      </c>
      <c r="H78" s="32" t="n">
        <v>1416.92</v>
      </c>
      <c r="I78" s="32" t="n">
        <v>62.95</v>
      </c>
      <c r="J78" s="32" t="n">
        <v>-0.16</v>
      </c>
      <c r="K78" s="32" t="n">
        <v>0</v>
      </c>
      <c r="L78" s="31" t="n">
        <v>85</v>
      </c>
      <c r="M78" s="31" t="inlineStr">
        <is>
          <t>Underperforming</t>
        </is>
      </c>
      <c r="N78" s="32">
        <f>IF(M78="Underperforming",-5,IF(L78&gt;=95,15,IF(L78&gt;=90,10,IF(L78&gt;=80,5,0))))</f>
        <v/>
      </c>
      <c r="O78" s="32" t="n">
        <v>74.63</v>
      </c>
      <c r="P78" s="32" t="n">
        <v>37.01</v>
      </c>
      <c r="Q78" s="32" t="n">
        <v>46.77</v>
      </c>
      <c r="R78" s="31" t="inlineStr">
        <is>
          <t>Near 52W High Breakout</t>
        </is>
      </c>
      <c r="S78" s="31" t="inlineStr">
        <is>
          <t>Nifty Metal</t>
        </is>
      </c>
      <c r="T78" s="32" t="n">
        <v>40.96</v>
      </c>
      <c r="U78" s="32" t="n">
        <v>23.32</v>
      </c>
      <c r="V78" s="32" t="n">
        <v>-12.51</v>
      </c>
      <c r="W78" s="32" t="n">
        <v>31.01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Cyclical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Volatile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Between 50% to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22</t>
        </is>
      </c>
      <c r="CG78" s="31">
        <f>IF(CF78&gt;20,10,IF(CF78&gt;=10,5,2))</f>
        <v/>
      </c>
    </row>
    <row r="79">
      <c r="A79" s="31">
        <f>IF(B79=0,"",RANK(B79,$B$2:$B$94,0))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SKYGOLD</t>
        </is>
      </c>
      <c r="D79" s="31" t="inlineStr">
        <is>
          <t>Sky Gold &amp; Diamonds Ltd</t>
        </is>
      </c>
      <c r="E79" s="31" t="inlineStr">
        <is>
          <t>consumer discretionary</t>
        </is>
      </c>
      <c r="F79" s="31" t="inlineStr">
        <is>
          <t>Diamond, Gems &amp; Jewellery</t>
        </is>
      </c>
      <c r="G79" s="31" t="inlineStr">
        <is>
          <t>midcap</t>
        </is>
      </c>
      <c r="H79" s="32" t="n">
        <v>8208.32</v>
      </c>
      <c r="I79" s="32" t="n">
        <v>530</v>
      </c>
      <c r="J79" s="32" t="n">
        <v>-0.68</v>
      </c>
      <c r="K79" s="32" t="n">
        <v>0</v>
      </c>
      <c r="L79" s="31" t="n">
        <v>77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65.7</v>
      </c>
      <c r="P79" s="32" t="n">
        <v>38.86</v>
      </c>
      <c r="Q79" s="32" t="n">
        <v>389.91</v>
      </c>
      <c r="R79" s="31" t="inlineStr">
        <is>
          <t>Near 52W High Breakout</t>
        </is>
      </c>
      <c r="S79" s="31" t="inlineStr">
        <is>
          <t>Nifty 50</t>
        </is>
      </c>
      <c r="T79" s="32" t="n">
        <v>-4.47</v>
      </c>
      <c r="U79" s="32" t="n">
        <v>66.64</v>
      </c>
      <c r="V79" s="32" t="n">
        <v>74.44</v>
      </c>
      <c r="W79" s="32" t="n">
        <v>23.09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Negative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20</t>
        </is>
      </c>
      <c r="CG79" s="31">
        <f>IF(CF79&gt;20,10,IF(CF79&gt;=10,5,2))</f>
        <v/>
      </c>
    </row>
    <row r="80">
      <c r="A80" s="31">
        <f>IF(B80=0,"",RANK(B80,$B$2:$B$94,0))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4" t="inlineStr">
        <is>
          <t>AFCOM</t>
        </is>
      </c>
      <c r="D80" s="34" t="inlineStr">
        <is>
          <t>Afcom Holdings Ltd</t>
        </is>
      </c>
      <c r="E80" s="31" t="inlineStr">
        <is>
          <t>Industrials</t>
        </is>
      </c>
      <c r="F80" s="31" t="inlineStr">
        <is>
          <t>Air Transport Service</t>
        </is>
      </c>
      <c r="G80" s="31" t="inlineStr">
        <is>
          <t>smallcap</t>
        </is>
      </c>
      <c r="H80" s="32" t="n">
        <v>3208.22</v>
      </c>
      <c r="I80" s="32" t="n">
        <v>1117.9</v>
      </c>
      <c r="J80" s="32" t="n">
        <v>12.56</v>
      </c>
      <c r="K80" s="32" t="n">
        <v>0</v>
      </c>
      <c r="L80" s="31" t="n">
        <v>66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65.92</v>
      </c>
      <c r="P80" s="32" t="n">
        <v>19.83</v>
      </c>
      <c r="Q80" s="32" t="n">
        <v>795.8099999999999</v>
      </c>
      <c r="R80" s="31" t="inlineStr">
        <is>
          <t>Near 52W High Breakout</t>
        </is>
      </c>
      <c r="S80" s="31" t="inlineStr">
        <is>
          <t>Nifty 50</t>
        </is>
      </c>
      <c r="T80" s="32" t="n">
        <v>-4.47</v>
      </c>
      <c r="U80" s="32" t="n">
        <v>32.82</v>
      </c>
      <c r="V80" s="32" t="n">
        <v>39.04</v>
      </c>
      <c r="W80" s="32" t="n">
        <v>18.19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0 to 20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Less than 50%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Between 0.7 to 1.2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18</t>
        </is>
      </c>
      <c r="CG80" s="31">
        <f>IF(CF80&gt;20,10,IF(CF80&gt;=10,5,2))</f>
        <v/>
      </c>
    </row>
    <row r="81">
      <c r="A81" s="31">
        <f>IF(B81=0,"",RANK(B81,$B$2:$B$94,0))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VINCOFE</t>
        </is>
      </c>
      <c r="D81" s="31" t="inlineStr">
        <is>
          <t>Vintage Coffee &amp; Beverages Ltd</t>
        </is>
      </c>
      <c r="E81" s="31" t="inlineStr">
        <is>
          <t>consumer discretionary</t>
        </is>
      </c>
      <c r="F81" s="31" t="inlineStr">
        <is>
          <t>FMCG - Coffee</t>
        </is>
      </c>
      <c r="G81" s="31" t="inlineStr">
        <is>
          <t>smallcap</t>
        </is>
      </c>
      <c r="H81" s="32" t="n">
        <v>2250.16</v>
      </c>
      <c r="I81" s="32" t="n">
        <v>154.45</v>
      </c>
      <c r="J81" s="32" t="n">
        <v>-0.61</v>
      </c>
      <c r="K81" s="32" t="n">
        <v>0</v>
      </c>
      <c r="L81" s="31" t="n">
        <v>37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57.44</v>
      </c>
      <c r="P81" s="32" t="n">
        <v>13.94</v>
      </c>
      <c r="Q81" s="32" t="n">
        <v>118.95</v>
      </c>
      <c r="R81" s="31" t="inlineStr">
        <is>
          <t>Earnings / Momentum Support</t>
        </is>
      </c>
      <c r="S81" s="31" t="inlineStr">
        <is>
          <t>Nifty 50</t>
        </is>
      </c>
      <c r="T81" s="32" t="n">
        <v>-4.47</v>
      </c>
      <c r="U81" s="32" t="n">
        <v>29.41</v>
      </c>
      <c r="V81" s="32" t="n">
        <v>35.47</v>
      </c>
      <c r="W81" s="32" t="n">
        <v>9.779999999999999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B2C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0 to 20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Between 12 to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Between 1.5 to 2</t>
        </is>
      </c>
      <c r="BU81" s="31">
        <f>IF(BT81="Above 2",0,IF(BT81="Between 1.5 to 2",5,IF(BT81="Less than 1.5",10,0)))</f>
        <v/>
      </c>
      <c r="BV81" s="31" t="inlineStr">
        <is>
          <t>Less than 50%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21</t>
        </is>
      </c>
      <c r="CG81" s="31">
        <f>IF(CF81&gt;20,10,IF(CF81&gt;=10,5,2))</f>
        <v/>
      </c>
    </row>
    <row r="82">
      <c r="A82" s="31">
        <f>IF(B82=0,"",RANK(B82,$B$2:$B$94,0))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ACUTAAS</t>
        </is>
      </c>
      <c r="D82" s="31" t="inlineStr">
        <is>
          <t>Acutaas Chemicals Ltd</t>
        </is>
      </c>
      <c r="E82" s="31" t="inlineStr">
        <is>
          <t>Basic Materials</t>
        </is>
      </c>
      <c r="F82" s="31" t="inlineStr">
        <is>
          <t>Pharma - API &amp; CRAMS</t>
        </is>
      </c>
      <c r="G82" s="31" t="inlineStr">
        <is>
          <t>largecap</t>
        </is>
      </c>
      <c r="H82" s="32" t="n">
        <v>24532.68</v>
      </c>
      <c r="I82" s="32" t="n">
        <v>2996.5</v>
      </c>
      <c r="J82" s="32" t="n">
        <v>-3.24</v>
      </c>
      <c r="K82" s="32" t="n">
        <v>0</v>
      </c>
      <c r="L82" s="31" t="n">
        <v>83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66.09999999999999</v>
      </c>
      <c r="P82" s="32" t="n">
        <v>65.34999999999999</v>
      </c>
      <c r="Q82" s="32" t="n">
        <v>2566.78</v>
      </c>
      <c r="R82" s="31" t="inlineStr">
        <is>
          <t>Earnings / Momentum Support</t>
        </is>
      </c>
      <c r="S82" s="31" t="inlineStr">
        <is>
          <t>Nifty 50</t>
        </is>
      </c>
      <c r="T82" s="32" t="n">
        <v>-4.47</v>
      </c>
      <c r="U82" s="32" t="n">
        <v>164.93</v>
      </c>
      <c r="V82" s="32" t="n">
        <v>177.34</v>
      </c>
      <c r="W82" s="32" t="n">
        <v>27.45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Cyclical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Volatile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Between 50% to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23</t>
        </is>
      </c>
      <c r="CG82" s="31">
        <f>IF(CF82&gt;20,10,IF(CF82&gt;=10,5,2))</f>
        <v/>
      </c>
    </row>
    <row r="83">
      <c r="A83" s="31">
        <f>IF(B83=0,"",RANK(B83,$B$2:$B$94,0))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SUNSHIEL</t>
        </is>
      </c>
      <c r="D83" s="31" t="inlineStr">
        <is>
          <t>Sunshield Chemicals Ltd</t>
        </is>
      </c>
      <c r="E83" s="31" t="inlineStr">
        <is>
          <t>Basic Materials</t>
        </is>
      </c>
      <c r="F83" s="31" t="inlineStr">
        <is>
          <t>Speciality Chemicals</t>
        </is>
      </c>
      <c r="G83" s="31" t="inlineStr">
        <is>
          <t>smallcap</t>
        </is>
      </c>
      <c r="H83" s="32" t="n">
        <v>1101.55</v>
      </c>
      <c r="I83" s="32" t="n">
        <v>1252.5</v>
      </c>
      <c r="J83" s="32" t="n">
        <v>-0.46</v>
      </c>
      <c r="K83" s="32" t="n">
        <v>0</v>
      </c>
      <c r="L83" s="31" t="n">
        <v>79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75.48</v>
      </c>
      <c r="P83" s="32" t="n">
        <v>26.73</v>
      </c>
      <c r="Q83" s="32" t="n">
        <v>909.01</v>
      </c>
      <c r="R83" s="31" t="inlineStr">
        <is>
          <t>Near 52W High Breakout</t>
        </is>
      </c>
      <c r="S83" s="31" t="inlineStr">
        <is>
          <t>Nifty 50</t>
        </is>
      </c>
      <c r="T83" s="32" t="n">
        <v>-4.47</v>
      </c>
      <c r="U83" s="32" t="n">
        <v>61.01</v>
      </c>
      <c r="V83" s="32" t="n">
        <v>68.55</v>
      </c>
      <c r="W83" s="32" t="n">
        <v>24.37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Cyclical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Volatile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Less than 50%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22</t>
        </is>
      </c>
      <c r="CG83" s="31">
        <f>IF(CF83&gt;20,10,IF(CF83&gt;=10,5,2))</f>
        <v/>
      </c>
    </row>
    <row r="84">
      <c r="A84" s="31">
        <f>IF(B84=0,"",RANK(B84,$B$2:$B$94,0))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TBZ</t>
        </is>
      </c>
      <c r="D84" s="31" t="inlineStr">
        <is>
          <t>Tribhovandas Bhimji Zaveri Ltd</t>
        </is>
      </c>
      <c r="E84" s="31" t="inlineStr">
        <is>
          <t>consumer discretionary</t>
        </is>
      </c>
      <c r="F84" s="31" t="inlineStr">
        <is>
          <t>Diamond, Gems &amp; Jewellery</t>
        </is>
      </c>
      <c r="G84" s="31" t="inlineStr">
        <is>
          <t>smallcap</t>
        </is>
      </c>
      <c r="H84" s="32" t="n">
        <v>1306.92</v>
      </c>
      <c r="I84" s="32" t="n">
        <v>195.85</v>
      </c>
      <c r="J84" s="32" t="n">
        <v>4.31</v>
      </c>
      <c r="K84" s="32" t="n">
        <v>0</v>
      </c>
      <c r="L84" s="31" t="n">
        <v>54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65.65000000000001</v>
      </c>
      <c r="P84" s="32" t="n">
        <v>15.39</v>
      </c>
      <c r="Q84" s="32" t="n">
        <v>145.44</v>
      </c>
      <c r="R84" s="31" t="inlineStr">
        <is>
          <t>Near 52W High Breakout</t>
        </is>
      </c>
      <c r="S84" s="31" t="inlineStr">
        <is>
          <t>Nifty 50</t>
        </is>
      </c>
      <c r="T84" s="32" t="n">
        <v>-4.47</v>
      </c>
      <c r="U84" s="32" t="n">
        <v>6.34</v>
      </c>
      <c r="V84" s="32" t="n">
        <v>11.32</v>
      </c>
      <c r="W84" s="32" t="n">
        <v>14.28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0 to 20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Less than 50% and Borrowings are increasing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Between 0.7 to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21</t>
        </is>
      </c>
      <c r="CG84" s="31">
        <f>IF(CF84&gt;20,10,IF(CF84&gt;=10,5,2))</f>
        <v/>
      </c>
    </row>
    <row r="85">
      <c r="A85" s="31">
        <f>IF(B85=0,"",RANK(B85,$B$2:$B$94,0))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DIACABS</t>
        </is>
      </c>
      <c r="D85" s="31" t="inlineStr">
        <is>
          <t>Diamond Power Infrastructure Ltd</t>
        </is>
      </c>
      <c r="E85" s="31" t="inlineStr">
        <is>
          <t>industrials</t>
        </is>
      </c>
      <c r="F85" s="31" t="inlineStr">
        <is>
          <t>Cables - Power</t>
        </is>
      </c>
      <c r="G85" s="31" t="inlineStr">
        <is>
          <t>midcap</t>
        </is>
      </c>
      <c r="H85" s="32" t="n">
        <v>10887.22</v>
      </c>
      <c r="I85" s="32" t="n">
        <v>206.6</v>
      </c>
      <c r="J85" s="32" t="n">
        <v>-4.06</v>
      </c>
      <c r="K85" s="32" t="n">
        <v>0</v>
      </c>
      <c r="L85" s="31" t="n">
        <v>87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76.42</v>
      </c>
      <c r="P85" s="32" t="n">
        <v>35.79</v>
      </c>
      <c r="Q85" s="32" t="n">
        <v>153.92</v>
      </c>
      <c r="R85" s="31" t="inlineStr">
        <is>
          <t>Near 52W High Breakout</t>
        </is>
      </c>
      <c r="S85" s="31" t="inlineStr">
        <is>
          <t>Nifty Energy</t>
        </is>
      </c>
      <c r="T85" s="32" t="n">
        <v>12.12</v>
      </c>
      <c r="U85" s="32" t="n">
        <v>99.15000000000001</v>
      </c>
      <c r="V85" s="32" t="n">
        <v>77.62</v>
      </c>
      <c r="W85" s="32" t="n">
        <v>31.67</v>
      </c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Negative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20</t>
        </is>
      </c>
      <c r="CG85" s="31">
        <f>IF(CF85&gt;20,10,IF(CF85&gt;=10,5,2))</f>
        <v/>
      </c>
    </row>
    <row r="86">
      <c r="A86" s="31">
        <f>IF(B86=0,"",RANK(B86,$B$2:$B$94,0))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DIFFNKG</t>
        </is>
      </c>
      <c r="D86" s="31" t="inlineStr">
        <is>
          <t>Diffusion Engineers Ltd</t>
        </is>
      </c>
      <c r="E86" s="31" t="inlineStr">
        <is>
          <t>industrials</t>
        </is>
      </c>
      <c r="F86" s="31" t="inlineStr">
        <is>
          <t>Welding Equipments</t>
        </is>
      </c>
      <c r="G86" s="31" t="inlineStr">
        <is>
          <t>smallcap</t>
        </is>
      </c>
      <c r="H86" s="32" t="n">
        <v>1394.5</v>
      </c>
      <c r="I86" s="32" t="n">
        <v>372.6</v>
      </c>
      <c r="J86" s="32" t="n">
        <v>2.4</v>
      </c>
      <c r="K86" s="32" t="n">
        <v>0</v>
      </c>
      <c r="L86" s="31" t="n">
        <v>61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67.01000000000001</v>
      </c>
      <c r="P86" s="32" t="n">
        <v>16.02</v>
      </c>
      <c r="Q86" s="32" t="n">
        <v>278.03</v>
      </c>
      <c r="R86" s="31" t="inlineStr">
        <is>
          <t>Earnings / Momentum Support</t>
        </is>
      </c>
      <c r="S86" s="31" t="inlineStr">
        <is>
          <t>Nifty 50</t>
        </is>
      </c>
      <c r="T86" s="32" t="n">
        <v>-4.47</v>
      </c>
      <c r="U86" s="32" t="n">
        <v>22.89</v>
      </c>
      <c r="V86" s="32" t="n">
        <v>28.65</v>
      </c>
      <c r="W86" s="32" t="n">
        <v>16.69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0 to 20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Less than 50%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19</t>
        </is>
      </c>
      <c r="CG86" s="31">
        <f>IF(CF86&gt;20,10,IF(CF86&gt;=10,5,2))</f>
        <v/>
      </c>
    </row>
    <row r="87">
      <c r="A87" s="31">
        <f>IF(B87=0,"",RANK(B87,$B$2:$B$94,0))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MSTCLTD</t>
        </is>
      </c>
      <c r="D87" s="31" t="inlineStr">
        <is>
          <t>MSTC Ltd</t>
        </is>
      </c>
      <c r="E87" s="31" t="inlineStr">
        <is>
          <t>i.t</t>
        </is>
      </c>
      <c r="F87" s="31" t="inlineStr">
        <is>
          <t>E-Commerce - Platform - Utility</t>
        </is>
      </c>
      <c r="G87" s="31" t="inlineStr">
        <is>
          <t>smallcap</t>
        </is>
      </c>
      <c r="H87" s="32" t="n">
        <v>4989.95</v>
      </c>
      <c r="I87" s="32" t="n">
        <v>708.8</v>
      </c>
      <c r="J87" s="32" t="n">
        <v>12.55</v>
      </c>
      <c r="K87" s="32" t="n">
        <v>0</v>
      </c>
      <c r="L87" s="31" t="n">
        <v>80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76.23</v>
      </c>
      <c r="P87" s="32" t="n">
        <v>20.4</v>
      </c>
      <c r="Q87" s="32" t="n">
        <v>551.91</v>
      </c>
      <c r="R87" s="31" t="inlineStr">
        <is>
          <t>Volume Spike &amp; Near 52W High Breakout</t>
        </is>
      </c>
      <c r="S87" s="31" t="inlineStr">
        <is>
          <t>Nifty IT</t>
        </is>
      </c>
      <c r="T87" s="32" t="n">
        <v>-26.73</v>
      </c>
      <c r="U87" s="32" t="n">
        <v>43.29</v>
      </c>
      <c r="V87" s="32" t="n">
        <v>95.56999999999999</v>
      </c>
      <c r="W87" s="32" t="n">
        <v>24.96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Oligopoly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Less than 12%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Negative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19</t>
        </is>
      </c>
      <c r="CG87" s="31">
        <f>IF(CF87&gt;20,10,IF(CF87&gt;=10,5,2))</f>
        <v/>
      </c>
    </row>
    <row r="88">
      <c r="A88" s="31">
        <f>IF(B88=0,"",RANK(B88,$B$2:$B$94,0))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3" t="inlineStr">
        <is>
          <t>PANAMAPET</t>
        </is>
      </c>
      <c r="D88" s="33" t="inlineStr">
        <is>
          <t>Panama Petrochem Ltd</t>
        </is>
      </c>
      <c r="E88" s="31" t="inlineStr">
        <is>
          <t>energy</t>
        </is>
      </c>
      <c r="F88" s="31" t="inlineStr">
        <is>
          <t>Speciality Chemicals</t>
        </is>
      </c>
      <c r="G88" s="31" t="inlineStr">
        <is>
          <t>smallcap</t>
        </is>
      </c>
      <c r="H88" s="32" t="n">
        <v>2326.58</v>
      </c>
      <c r="I88" s="32" t="n">
        <v>384.6</v>
      </c>
      <c r="J88" s="32" t="n">
        <v>0.8100000000000001</v>
      </c>
      <c r="K88" s="32" t="n">
        <v>0</v>
      </c>
      <c r="L88" s="31" t="n">
        <v>47</v>
      </c>
      <c r="M88" s="31" t="inlineStr">
        <is>
          <t>Underperforming</t>
        </is>
      </c>
      <c r="N88" s="32">
        <f>IF(M88="Underperforming",-5,IF(L88&gt;=95,15,IF(L88&gt;=90,10,IF(L88&gt;=80,5,0))))</f>
        <v/>
      </c>
      <c r="O88" s="32" t="n">
        <v>71.59999999999999</v>
      </c>
      <c r="P88" s="32" t="n">
        <v>22.79</v>
      </c>
      <c r="Q88" s="32" t="n">
        <v>290.12</v>
      </c>
      <c r="R88" s="31" t="inlineStr">
        <is>
          <t>Near 52W High Breakout</t>
        </is>
      </c>
      <c r="S88" s="31" t="inlineStr">
        <is>
          <t>Nifty Energy</t>
        </is>
      </c>
      <c r="T88" s="32" t="n">
        <v>12.12</v>
      </c>
      <c r="U88" s="32" t="n">
        <v>7.18</v>
      </c>
      <c r="V88" s="32" t="n">
        <v>-4.41</v>
      </c>
      <c r="W88" s="32" t="n">
        <v>12.76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Oligopoly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Negative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24</t>
        </is>
      </c>
      <c r="CG88" s="31">
        <f>IF(CF88&gt;20,10,IF(CF88&gt;=10,5,2))</f>
        <v/>
      </c>
    </row>
    <row r="89">
      <c r="A89" s="31">
        <f>IF(B89=0,"",RANK(B89,$B$2:$B$94,0))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3" t="inlineStr">
        <is>
          <t>LLOYDSME</t>
        </is>
      </c>
      <c r="D89" s="33" t="inlineStr">
        <is>
          <t>Lloyds Metals &amp; Energy Ltd</t>
        </is>
      </c>
      <c r="E89" s="31" t="inlineStr">
        <is>
          <t>Basic Materials</t>
        </is>
      </c>
      <c r="F89" s="31" t="inlineStr">
        <is>
          <t>Mining/Minerals - Iron Ore</t>
        </is>
      </c>
      <c r="G89" s="31" t="inlineStr">
        <is>
          <t>largecap</t>
        </is>
      </c>
      <c r="H89" s="32" t="n">
        <v>99331.57000000001</v>
      </c>
      <c r="I89" s="32" t="n">
        <v>1765</v>
      </c>
      <c r="J89" s="32" t="n">
        <v>-0.16</v>
      </c>
      <c r="K89" s="32" t="n">
        <v>0</v>
      </c>
      <c r="L89" s="31" t="n">
        <v>50</v>
      </c>
      <c r="M89" s="31" t="inlineStr">
        <is>
          <t>Underperforming</t>
        </is>
      </c>
      <c r="N89" s="32">
        <f>IF(M89="Underperforming",-5,IF(L89&gt;=95,15,IF(L89&gt;=90,10,IF(L89&gt;=80,5,0))))</f>
        <v/>
      </c>
      <c r="O89" s="32" t="n">
        <v>69.04000000000001</v>
      </c>
      <c r="P89" s="32" t="n">
        <v>40.59</v>
      </c>
      <c r="Q89" s="32" t="n">
        <v>1461.15</v>
      </c>
      <c r="R89" s="31" t="inlineStr">
        <is>
          <t>Near 52W High Breakout</t>
        </is>
      </c>
      <c r="S89" s="31" t="inlineStr">
        <is>
          <t>Nifty Metal</t>
        </is>
      </c>
      <c r="T89" s="32" t="n">
        <v>40.96</v>
      </c>
      <c r="U89" s="32" t="n">
        <v>20.31</v>
      </c>
      <c r="V89" s="32" t="n">
        <v>-14.65</v>
      </c>
      <c r="W89" s="32" t="n">
        <v>13.54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Cyclical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Volatile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Less than 50% and Borrowings are increasing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More than 1.2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20</t>
        </is>
      </c>
      <c r="CG89" s="31">
        <f>IF(CF89&gt;20,10,IF(CF89&gt;=10,5,2))</f>
        <v/>
      </c>
    </row>
    <row r="90">
      <c r="A90" s="31">
        <f>IF(B90=0,"",RANK(B90,$B$2:$B$94,0))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ROBU</t>
        </is>
      </c>
      <c r="D90" s="31" t="inlineStr">
        <is>
          <t>Macfos Ltd</t>
        </is>
      </c>
      <c r="E90" s="31" t="inlineStr">
        <is>
          <t>Technology</t>
        </is>
      </c>
      <c r="F90" s="31" t="inlineStr">
        <is>
          <t>E-Commerce - Platform - Utility</t>
        </is>
      </c>
      <c r="G90" s="31" t="inlineStr">
        <is>
          <t>smallcap</t>
        </is>
      </c>
      <c r="H90" s="32" t="n">
        <v>1176.73</v>
      </c>
      <c r="I90" s="32" t="n">
        <v>1136</v>
      </c>
      <c r="J90" s="32" t="n">
        <v>-1.13</v>
      </c>
      <c r="K90" s="32" t="n">
        <v>0</v>
      </c>
      <c r="L90" s="31" t="n">
        <v>67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67.92</v>
      </c>
      <c r="P90" s="32" t="n">
        <v>67.70999999999999</v>
      </c>
      <c r="Q90" s="32" t="n">
        <v>894.74</v>
      </c>
      <c r="R90" s="31" t="inlineStr">
        <is>
          <t>Earnings / Momentum Support</t>
        </is>
      </c>
      <c r="S90" s="31" t="inlineStr">
        <is>
          <t>Nifty 50</t>
        </is>
      </c>
      <c r="T90" s="32" t="n">
        <v>-4.47</v>
      </c>
      <c r="U90" s="32" t="n">
        <v>65.09999999999999</v>
      </c>
      <c r="V90" s="32" t="n">
        <v>72.83</v>
      </c>
      <c r="W90" s="32" t="n">
        <v>18.47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Oligopoly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Negative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19</t>
        </is>
      </c>
      <c r="CG90" s="31">
        <f>IF(CF90&gt;20,10,IF(CF90&gt;=10,5,2))</f>
        <v/>
      </c>
    </row>
    <row r="91">
      <c r="A91" s="31">
        <f>IF(B91=0,"",RANK(B91,$B$2:$B$94,0))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3" t="inlineStr">
        <is>
          <t>SILVERTUC</t>
        </is>
      </c>
      <c r="D91" s="33" t="inlineStr">
        <is>
          <t>Silver Touch Technologies Ltd</t>
        </is>
      </c>
      <c r="E91" s="31" t="inlineStr">
        <is>
          <t>i.t</t>
        </is>
      </c>
      <c r="F91" s="31" t="inlineStr">
        <is>
          <t>IT - Software</t>
        </is>
      </c>
      <c r="G91" s="31" t="inlineStr">
        <is>
          <t>smallcap</t>
        </is>
      </c>
      <c r="H91" s="32" t="n">
        <v>2511.85</v>
      </c>
      <c r="I91" s="32" t="n">
        <v>198.08</v>
      </c>
      <c r="J91" s="32" t="n">
        <v>-4.93</v>
      </c>
      <c r="K91" s="32" t="n">
        <v>0</v>
      </c>
      <c r="L91" s="31" t="n">
        <v>37</v>
      </c>
      <c r="M91" s="31" t="inlineStr">
        <is>
          <t>Underperforming</t>
        </is>
      </c>
      <c r="N91" s="32">
        <f>IF(M91="Underperforming",-5,IF(L91&gt;=95,15,IF(L91&gt;=90,10,IF(L91&gt;=80,5,0))))</f>
        <v/>
      </c>
      <c r="O91" s="32" t="n">
        <v>41.45</v>
      </c>
      <c r="P91" s="32" t="n">
        <v>39.89</v>
      </c>
      <c r="Q91" s="32" t="n">
        <v>83.52</v>
      </c>
      <c r="R91" s="31" t="inlineStr">
        <is>
          <t>Earnings / Momentum Support</t>
        </is>
      </c>
      <c r="S91" s="31" t="inlineStr">
        <is>
          <t>Nifty IT</t>
        </is>
      </c>
      <c r="T91" s="32" t="n">
        <v>-26.73</v>
      </c>
      <c r="U91" s="32" t="n">
        <v>-74.11</v>
      </c>
      <c r="V91" s="32" t="n">
        <v>-64.66</v>
      </c>
      <c r="W91" s="32" t="n">
        <v>9.699999999999999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Below 45</t>
        </is>
      </c>
      <c r="BA91" s="31">
        <f>IF(AZ91="Between 50 to 75",10,IF(AZ91="Above 75",0,0))</f>
        <v/>
      </c>
      <c r="BB91" s="31" t="inlineStr">
        <is>
          <t>Stage 4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Between 1.5 to 2</t>
        </is>
      </c>
      <c r="BU91" s="31">
        <f>IF(BT91="Above 2",0,IF(BT91="Between 1.5 to 2",5,IF(BT91="Less than 1.5",10,0)))</f>
        <v/>
      </c>
      <c r="BV91" s="31" t="inlineStr">
        <is>
          <t>Less than 50%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18</t>
        </is>
      </c>
      <c r="CG91" s="31">
        <f>IF(CF91&gt;20,10,IF(CF91&gt;=10,5,2))</f>
        <v/>
      </c>
    </row>
    <row r="92">
      <c r="A92" s="31">
        <f>IF(B92=0,"",RANK(B92,$B$2:$B$94,0))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4" t="inlineStr">
        <is>
          <t>V2RETAIL</t>
        </is>
      </c>
      <c r="D92" s="34" t="inlineStr">
        <is>
          <t>V2 Retail Ltd</t>
        </is>
      </c>
      <c r="E92" s="31" t="inlineStr">
        <is>
          <t>Consumer Cyclical</t>
        </is>
      </c>
      <c r="F92" s="31" t="inlineStr">
        <is>
          <t>Textiles - Readymade Apparel</t>
        </is>
      </c>
      <c r="G92" s="31" t="inlineStr">
        <is>
          <t>midcap</t>
        </is>
      </c>
      <c r="H92" s="32" t="n">
        <v>8375.719999999999</v>
      </c>
      <c r="I92" s="32" t="n">
        <v>229.7</v>
      </c>
      <c r="J92" s="32" t="n">
        <v>-0.85</v>
      </c>
      <c r="K92" s="32" t="n">
        <v>0</v>
      </c>
      <c r="L92" s="31" t="n">
        <v>36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56.65</v>
      </c>
      <c r="P92" s="32" t="n">
        <v>31.4</v>
      </c>
      <c r="Q92" s="32" t="n">
        <v>182.06</v>
      </c>
      <c r="R92" s="31" t="inlineStr">
        <is>
          <t>Earnings / Momentum Support</t>
        </is>
      </c>
      <c r="S92" s="31" t="inlineStr">
        <is>
          <t>Nifty 50</t>
        </is>
      </c>
      <c r="T92" s="32" t="n">
        <v>-4.47</v>
      </c>
      <c r="U92" s="32" t="n">
        <v>25.05</v>
      </c>
      <c r="V92" s="32" t="n">
        <v>30.9</v>
      </c>
      <c r="W92" s="32" t="n">
        <v>9.41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B2C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Negative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Between 0.7 to 1.2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19</t>
        </is>
      </c>
      <c r="CG92" s="31">
        <f>IF(CF92&gt;20,10,IF(CF92&gt;=10,5,2))</f>
        <v/>
      </c>
    </row>
    <row r="93">
      <c r="A93" s="31">
        <f>IF(B93=0,"",RANK(B93,$B$2:$B$94,0))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4" t="inlineStr">
        <is>
          <t>OBSCP</t>
        </is>
      </c>
      <c r="D93" s="34" t="inlineStr">
        <is>
          <t>OBSC Perfection Ltd</t>
        </is>
      </c>
      <c r="E93" s="31" t="inlineStr">
        <is>
          <t>unknown</t>
        </is>
      </c>
      <c r="F93" s="31" t="inlineStr">
        <is>
          <t>Auto Ancillaries - Diversified</t>
        </is>
      </c>
      <c r="G93" s="31" t="inlineStr">
        <is>
          <t>smallcap</t>
        </is>
      </c>
      <c r="H93" s="32" t="n">
        <v>1318.9</v>
      </c>
      <c r="I93" s="32" t="n">
        <v>510.3</v>
      </c>
      <c r="J93" s="32" t="n">
        <v>-4.32</v>
      </c>
      <c r="K93" s="32" t="n">
        <v>0</v>
      </c>
      <c r="L93" s="31" t="inlineStr"/>
      <c r="M93" s="31" t="inlineStr"/>
      <c r="N93" s="32">
        <f>IF(M93="Underperforming",-5,IF(L93&gt;=95,15,IF(L93&gt;=90,10,IF(L93&gt;=80,5,0))))</f>
        <v/>
      </c>
      <c r="O93" s="32" t="inlineStr"/>
      <c r="P93" s="32" t="inlineStr"/>
      <c r="Q93" s="32" t="inlineStr"/>
      <c r="R93" s="31" t="inlineStr"/>
      <c r="S93" s="31" t="inlineStr"/>
      <c r="T93" s="32" t="inlineStr"/>
      <c r="U93" s="32" t="inlineStr"/>
      <c r="V93" s="32" t="inlineStr"/>
      <c r="W93" s="32" t="inlineStr"/>
      <c r="X93" s="31" t="n"/>
      <c r="Y93" s="31">
        <f>IF(X93="Growing Industry",10,IF(X93="Cyclical in an Upturn",5,0))</f>
        <v/>
      </c>
      <c r="Z93" s="31" t="n"/>
      <c r="AA93" s="31">
        <f>IF(Z93="Monopoly",10,IF(Z93="Oligopoly",5,IF(Z93="Duopoly that cooperate",10,IF(Z93="Duopoly that compete",5,IF(Z93="Too many players with High ROCE",5,0)))))</f>
        <v/>
      </c>
      <c r="AB93" s="31" t="n"/>
      <c r="AC93" s="31">
        <f>IF(AB93="No",5,0)</f>
        <v/>
      </c>
      <c r="AD93" s="31" t="n"/>
      <c r="AE93" s="31">
        <f>IF(AD93="Tailwind",10,0)</f>
        <v/>
      </c>
      <c r="AF93" s="31" t="n"/>
      <c r="AG93" s="31">
        <f>IF(AF93="Structural (10 Years Consistency)",10,IF(AF93="Shallow Cyclical (2 to 3 years growth)",5,0))</f>
        <v/>
      </c>
      <c r="AH93" s="31" t="n"/>
      <c r="AI93" s="31">
        <f>IF(AH93="Yes due to Product Mix change or Operating Leverage",10,IF(AH93="Yes, these are peak margins",-5,IF(AH93="No",5,0)))</f>
        <v/>
      </c>
      <c r="AJ93" s="31" t="n"/>
      <c r="AK93" s="31">
        <f>IF(AJ93="Stable",10,0)</f>
        <v/>
      </c>
      <c r="AL93" s="31" t="n"/>
      <c r="AM93" s="31">
        <f>IF(AL93="Yes",10,0)</f>
        <v/>
      </c>
      <c r="AN93" s="31" t="n"/>
      <c r="AO93" s="31">
        <f>IF(AN93="B2C",10,IF(AN93="B2B",5,0))</f>
        <v/>
      </c>
      <c r="AP93" s="31" t="n"/>
      <c r="AQ93" s="31">
        <f>IF(AP93="Yes",10,0)</f>
        <v/>
      </c>
      <c r="AR93" s="31" t="n"/>
      <c r="AS93" s="31">
        <f>IF(AR93="Fully Annuity",10,IF(AR93="Higher Annuity, Lower One Time",5,IF(AR93="Higher One Time, Lower Annuity",3,0)))</f>
        <v/>
      </c>
      <c r="AT93" s="31" t="n"/>
      <c r="AU93" s="31">
        <f>IF(AT93="Good",10,0)</f>
        <v/>
      </c>
      <c r="AV93" s="31" t="n"/>
      <c r="AW93" s="31">
        <f>IF(AV93="Yes for more than 2 years",10,IF(AV93="Yes only for next 1 to 2 years",5,0))</f>
        <v/>
      </c>
      <c r="AX93" s="31" t="n"/>
      <c r="AY93" s="31">
        <f>IF(AX93="Above 40",20,IF(AX93="20 to 40",10,IF(AX93="0 to 20",-5,0)))</f>
        <v/>
      </c>
      <c r="AZ93" s="31" t="n"/>
      <c r="BA93" s="31">
        <f>IF(AZ93="Between 50 to 75",10,IF(AZ93="Above 75",0,0))</f>
        <v/>
      </c>
      <c r="BB93" s="31" t="n"/>
      <c r="BC93" s="31">
        <f>IF(BB93="Stage 2",20,IF(BB93="Stage 1",0,IF(BB93="Stage 3",5,IF(BB93="Stage 4",-5,0))))</f>
        <v/>
      </c>
      <c r="BD93" s="31" t="n"/>
      <c r="BE93" s="31">
        <f>IF(BD93="Positive Trend",20,IF(BD93="Negative Trend",-10,0))</f>
        <v/>
      </c>
      <c r="BF93" s="31" t="n"/>
      <c r="BG93" s="31">
        <f>IF(BF93="Uptrend",10,IF(BF93="Sideways",5,0))</f>
        <v/>
      </c>
      <c r="BH93" s="31" t="n"/>
      <c r="BI93" s="31">
        <f>IF(BH93="Uptrend",10,IF(BH93="Sideways",5,0))</f>
        <v/>
      </c>
      <c r="BJ93" s="31" t="n"/>
      <c r="BK93" s="31">
        <f>IF(BJ93="Overhead supply in last 2 years in last 2 years",-5,IF(BJ93="Close to 52 week high or retracement",5,IF(BJ93="Blue sky scenario",10,IF(BJ93="Long term Downtrend",-10,0))))</f>
        <v/>
      </c>
      <c r="BL93" s="31" t="n"/>
      <c r="BM93" s="31">
        <f>IF(BL93="Yes",10,0)</f>
        <v/>
      </c>
      <c r="BN93" s="31" t="n"/>
      <c r="BO93" s="31">
        <f>IF(BN93="More than 20%",10,IF(BN93="Between 12 to 20%",5,IF(BN93="Less than 12%",0,0)))</f>
        <v/>
      </c>
      <c r="BP93" s="31" t="n"/>
      <c r="BQ93" s="31">
        <f>IF(BP93="No",10,0)</f>
        <v/>
      </c>
      <c r="BR93" s="31" t="n"/>
      <c r="BS93" s="31">
        <f>IF(BR93="NO",5,0)</f>
        <v/>
      </c>
      <c r="BT93" s="31" t="n"/>
      <c r="BU93" s="31">
        <f>IF(BT93="Above 2",0,IF(BT93="Between 1.5 to 2",5,IF(BT93="Less than 1.5",10,0)))</f>
        <v/>
      </c>
      <c r="BV93" s="31" t="n"/>
      <c r="BW93" s="31">
        <f>IF(BV93="Above 70%",10,IF(BV93="Between 50% to 70%",5,IF(BV93="Less than 50%",0,IF(BV93="Negative",-10,IF(BV93="Less than 50% and Borrowings are increasing",-5,0)))))</f>
        <v/>
      </c>
      <c r="BX93" s="31" t="n"/>
      <c r="BY93" s="31">
        <f>IF(BX93="More than 1.2",-10,IF(BX93="Between 0.7 to 1.2",0,IF(BX93="Less than 0.7",10,0)))</f>
        <v/>
      </c>
      <c r="BZ93" s="31" t="n"/>
      <c r="CA93" s="31">
        <f>IF(BZ93="Yes",-10,0)</f>
        <v/>
      </c>
      <c r="CB93" s="31" t="n"/>
      <c r="CC93" s="31">
        <f>IF(CB93="More than 15%",-10,IF(CB93="Less than 15%",10,0))</f>
        <v/>
      </c>
      <c r="CD93" s="31" t="n"/>
      <c r="CE93" s="31">
        <f>IF(CD93="Yes, more than 10%",-10,IF(CD93="No",10,0))</f>
        <v/>
      </c>
      <c r="CF93" s="31" t="n"/>
      <c r="CG93" s="31">
        <f>IF(CF93&gt;20,10,IF(CF93&gt;=10,5,2))</f>
        <v/>
      </c>
    </row>
    <row r="94">
      <c r="A94" s="31">
        <f>IF(B94=0,"",RANK(B94,$B$2:$B$94,0))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1" t="inlineStr">
        <is>
          <t>VIYASH</t>
        </is>
      </c>
      <c r="D94" s="31" t="inlineStr">
        <is>
          <t>Viyash Scientific Ltd</t>
        </is>
      </c>
      <c r="E94" s="31" t="inlineStr">
        <is>
          <t>unknown</t>
        </is>
      </c>
      <c r="F94" s="31" t="inlineStr">
        <is>
          <t>Pharma - Animal</t>
        </is>
      </c>
      <c r="G94" s="31" t="inlineStr">
        <is>
          <t>midcap</t>
        </is>
      </c>
      <c r="H94" s="32" t="n">
        <v>10806.11</v>
      </c>
      <c r="I94" s="32" t="n">
        <v>247.35</v>
      </c>
      <c r="J94" s="32" t="n">
        <v>-1.04</v>
      </c>
      <c r="K94" s="32" t="n">
        <v>0</v>
      </c>
      <c r="L94" s="31" t="inlineStr"/>
      <c r="M94" s="31" t="inlineStr"/>
      <c r="N94" s="32">
        <f>IF(M94="Underperforming",-5,IF(L94&gt;=95,15,IF(L94&gt;=90,10,IF(L94&gt;=80,5,0))))</f>
        <v/>
      </c>
      <c r="O94" s="32" t="inlineStr"/>
      <c r="P94" s="32" t="inlineStr"/>
      <c r="Q94" s="32" t="inlineStr"/>
      <c r="R94" s="31" t="inlineStr"/>
      <c r="S94" s="31" t="inlineStr"/>
      <c r="T94" s="32" t="inlineStr"/>
      <c r="U94" s="32" t="inlineStr"/>
      <c r="V94" s="32" t="inlineStr"/>
      <c r="W94" s="32" t="inlineStr"/>
      <c r="X94" s="31" t="n"/>
      <c r="Y94" s="31">
        <f>IF(X94="Growing Industry",10,IF(X94="Cyclical in an Upturn",5,0))</f>
        <v/>
      </c>
      <c r="Z94" s="31" t="n"/>
      <c r="AA94" s="31">
        <f>IF(Z94="Monopoly",10,IF(Z94="Oligopoly",5,IF(Z94="Duopoly that cooperate",10,IF(Z94="Duopoly that compete",5,IF(Z94="Too many players with High ROCE",5,0)))))</f>
        <v/>
      </c>
      <c r="AB94" s="31" t="n"/>
      <c r="AC94" s="31">
        <f>IF(AB94="No",5,0)</f>
        <v/>
      </c>
      <c r="AD94" s="31" t="n"/>
      <c r="AE94" s="31">
        <f>IF(AD94="Tailwind",10,0)</f>
        <v/>
      </c>
      <c r="AF94" s="31" t="n"/>
      <c r="AG94" s="31">
        <f>IF(AF94="Structural (10 Years Consistency)",10,IF(AF94="Shallow Cyclical (2 to 3 years growth)",5,0))</f>
        <v/>
      </c>
      <c r="AH94" s="31" t="n"/>
      <c r="AI94" s="31">
        <f>IF(AH94="Yes due to Product Mix change or Operating Leverage",10,IF(AH94="Yes, these are peak margins",-5,IF(AH94="No",5,0)))</f>
        <v/>
      </c>
      <c r="AJ94" s="31" t="n"/>
      <c r="AK94" s="31">
        <f>IF(AJ94="Stable",10,0)</f>
        <v/>
      </c>
      <c r="AL94" s="31" t="n"/>
      <c r="AM94" s="31">
        <f>IF(AL94="Yes",10,0)</f>
        <v/>
      </c>
      <c r="AN94" s="31" t="n"/>
      <c r="AO94" s="31">
        <f>IF(AN94="B2C",10,IF(AN94="B2B",5,0))</f>
        <v/>
      </c>
      <c r="AP94" s="31" t="n"/>
      <c r="AQ94" s="31">
        <f>IF(AP94="Yes",10,0)</f>
        <v/>
      </c>
      <c r="AR94" s="31" t="n"/>
      <c r="AS94" s="31">
        <f>IF(AR94="Fully Annuity",10,IF(AR94="Higher Annuity, Lower One Time",5,IF(AR94="Higher One Time, Lower Annuity",3,0)))</f>
        <v/>
      </c>
      <c r="AT94" s="31" t="n"/>
      <c r="AU94" s="31">
        <f>IF(AT94="Good",10,0)</f>
        <v/>
      </c>
      <c r="AV94" s="31" t="n"/>
      <c r="AW94" s="31">
        <f>IF(AV94="Yes for more than 2 years",10,IF(AV94="Yes only for next 1 to 2 years",5,0))</f>
        <v/>
      </c>
      <c r="AX94" s="31" t="n"/>
      <c r="AY94" s="31">
        <f>IF(AX94="Above 40",20,IF(AX94="20 to 40",10,IF(AX94="0 to 20",-5,0)))</f>
        <v/>
      </c>
      <c r="AZ94" s="31" t="n"/>
      <c r="BA94" s="31">
        <f>IF(AZ94="Between 50 to 75",10,IF(AZ94="Above 75",0,0))</f>
        <v/>
      </c>
      <c r="BB94" s="31" t="n"/>
      <c r="BC94" s="31">
        <f>IF(BB94="Stage 2",20,IF(BB94="Stage 1",0,IF(BB94="Stage 3",5,IF(BB94="Stage 4",-5,0))))</f>
        <v/>
      </c>
      <c r="BD94" s="31" t="n"/>
      <c r="BE94" s="31">
        <f>IF(BD94="Positive Trend",20,IF(BD94="Negative Trend",-10,0))</f>
        <v/>
      </c>
      <c r="BF94" s="31" t="n"/>
      <c r="BG94" s="31">
        <f>IF(BF94="Uptrend",10,IF(BF94="Sideways",5,0))</f>
        <v/>
      </c>
      <c r="BH94" s="31" t="n"/>
      <c r="BI94" s="31">
        <f>IF(BH94="Uptrend",10,IF(BH94="Sideways",5,0))</f>
        <v/>
      </c>
      <c r="BJ94" s="31" t="n"/>
      <c r="BK94" s="31">
        <f>IF(BJ94="Overhead supply in last 2 years in last 2 years",-5,IF(BJ94="Close to 52 week high or retracement",5,IF(BJ94="Blue sky scenario",10,IF(BJ94="Long term Downtrend",-10,0))))</f>
        <v/>
      </c>
      <c r="BL94" s="31" t="n"/>
      <c r="BM94" s="31">
        <f>IF(BL94="Yes",10,0)</f>
        <v/>
      </c>
      <c r="BN94" s="31" t="n"/>
      <c r="BO94" s="31">
        <f>IF(BN94="More than 20%",10,IF(BN94="Between 12 to 20%",5,IF(BN94="Less than 12%",0,0)))</f>
        <v/>
      </c>
      <c r="BP94" s="31" t="n"/>
      <c r="BQ94" s="31">
        <f>IF(BP94="No",10,0)</f>
        <v/>
      </c>
      <c r="BR94" s="31" t="n"/>
      <c r="BS94" s="31">
        <f>IF(BR94="NO",5,0)</f>
        <v/>
      </c>
      <c r="BT94" s="31" t="n"/>
      <c r="BU94" s="31">
        <f>IF(BT94="Above 2",0,IF(BT94="Between 1.5 to 2",5,IF(BT94="Less than 1.5",10,0)))</f>
        <v/>
      </c>
      <c r="BV94" s="31" t="n"/>
      <c r="BW94" s="31">
        <f>IF(BV94="Above 70%",10,IF(BV94="Between 50% to 70%",5,IF(BV94="Less than 50%",0,IF(BV94="Negative",-10,IF(BV94="Less than 50% and Borrowings are increasing",-5,0)))))</f>
        <v/>
      </c>
      <c r="BX94" s="31" t="n"/>
      <c r="BY94" s="31">
        <f>IF(BX94="More than 1.2",-10,IF(BX94="Between 0.7 to 1.2",0,IF(BX94="Less than 0.7",10,0)))</f>
        <v/>
      </c>
      <c r="BZ94" s="31" t="n"/>
      <c r="CA94" s="31">
        <f>IF(BZ94="Yes",-10,0)</f>
        <v/>
      </c>
      <c r="CB94" s="31" t="n"/>
      <c r="CC94" s="31">
        <f>IF(CB94="More than 15%",-10,IF(CB94="Less than 15%",10,0))</f>
        <v/>
      </c>
      <c r="CD94" s="31" t="n"/>
      <c r="CE94" s="31">
        <f>IF(CD94="Yes, more than 10%",-10,IF(CD94="No",10,0))</f>
        <v/>
      </c>
      <c r="CF94" s="31" t="n"/>
      <c r="CG94" s="31">
        <f>IF(CF94&gt;20,10,IF(CF94&gt;=10,5,2))</f>
        <v/>
      </c>
    </row>
    <row r="98">
      <c r="A98" s="25" t="inlineStr">
        <is>
          <t>❌ REMOVED SCAN MATCH STOCKS (THIS WEEK)</t>
        </is>
      </c>
    </row>
    <row r="99">
      <c r="A99" s="35" t="inlineStr">
        <is>
          <t>Symbol</t>
        </is>
      </c>
      <c r="B99" s="35" t="inlineStr">
        <is>
          <t>Company Name</t>
        </is>
      </c>
      <c r="C99" s="35" t="inlineStr">
        <is>
          <t>Sector</t>
        </is>
      </c>
      <c r="D99" s="35" t="inlineStr">
        <is>
          <t>Date of Removal</t>
        </is>
      </c>
    </row>
    <row r="100">
      <c r="A100" s="36" t="inlineStr">
        <is>
          <t>AEROENTER</t>
        </is>
      </c>
      <c r="B100" s="37" t="inlineStr">
        <is>
          <t>Aeroflex Enterprises Limited</t>
        </is>
      </c>
      <c r="C100" s="37" t="inlineStr">
        <is>
          <t>Basic Materials</t>
        </is>
      </c>
      <c r="D100" s="38" t="inlineStr">
        <is>
          <t>2026-06-16</t>
        </is>
      </c>
    </row>
    <row r="101">
      <c r="A101" s="36" t="inlineStr">
        <is>
          <t>AKUMS</t>
        </is>
      </c>
      <c r="B101" s="37" t="inlineStr">
        <is>
          <t>AKUMS</t>
        </is>
      </c>
      <c r="C101" s="37" t="inlineStr">
        <is>
          <t>Healthcare</t>
        </is>
      </c>
      <c r="D101" s="38" t="inlineStr">
        <is>
          <t>2026-06-16</t>
        </is>
      </c>
    </row>
    <row r="102">
      <c r="A102" s="36" t="inlineStr">
        <is>
          <t>ATHERENERG</t>
        </is>
      </c>
      <c r="B102" s="37" t="inlineStr">
        <is>
          <t>Ather Energy Limited</t>
        </is>
      </c>
      <c r="C102" s="37" t="inlineStr">
        <is>
          <t>Consumer Cyclical</t>
        </is>
      </c>
      <c r="D102" s="38" t="inlineStr">
        <is>
          <t>2026-06-16</t>
        </is>
      </c>
    </row>
    <row r="103">
      <c r="A103" s="36" t="inlineStr">
        <is>
          <t>CEMPRO</t>
        </is>
      </c>
      <c r="B103" s="37" t="inlineStr">
        <is>
          <t>Cemindia Projects Limited</t>
        </is>
      </c>
      <c r="C103" s="37" t="inlineStr">
        <is>
          <t>Industrials</t>
        </is>
      </c>
      <c r="D103" s="38" t="inlineStr">
        <is>
          <t>2026-06-16</t>
        </is>
      </c>
    </row>
    <row r="104">
      <c r="A104" s="36" t="inlineStr">
        <is>
          <t>CHENNPETRO</t>
        </is>
      </c>
      <c r="B104" s="37" t="inlineStr">
        <is>
          <t>Chennai Petroleum Corporation Limited</t>
        </is>
      </c>
      <c r="C104" s="37" t="inlineStr">
        <is>
          <t>Energy</t>
        </is>
      </c>
      <c r="D104" s="38" t="inlineStr">
        <is>
          <t>2026-06-16</t>
        </is>
      </c>
    </row>
    <row r="105">
      <c r="A105" s="36" t="inlineStr">
        <is>
          <t>INDNIPPON</t>
        </is>
      </c>
      <c r="B105" s="37" t="inlineStr">
        <is>
          <t>India Nippon Electricals Limited</t>
        </is>
      </c>
      <c r="C105" s="37" t="inlineStr">
        <is>
          <t>Consumer Cyclical</t>
        </is>
      </c>
      <c r="D105" s="38" t="inlineStr">
        <is>
          <t>2026-06-16</t>
        </is>
      </c>
    </row>
    <row r="106">
      <c r="A106" s="36" t="inlineStr">
        <is>
          <t>IOLCP</t>
        </is>
      </c>
      <c r="B106" s="37" t="inlineStr">
        <is>
          <t>IOLCP</t>
        </is>
      </c>
      <c r="C106" s="37" t="inlineStr">
        <is>
          <t>unknown</t>
        </is>
      </c>
      <c r="D106" s="38" t="inlineStr">
        <is>
          <t>2026-06-16</t>
        </is>
      </c>
    </row>
    <row r="107">
      <c r="A107" s="36" t="inlineStr">
        <is>
          <t>POWERINDIA</t>
        </is>
      </c>
      <c r="B107" s="37" t="inlineStr">
        <is>
          <t>POWERINDIA</t>
        </is>
      </c>
      <c r="C107" s="37" t="inlineStr">
        <is>
          <t>unknown</t>
        </is>
      </c>
      <c r="D107" s="38" t="inlineStr">
        <is>
          <t>2026-06-16</t>
        </is>
      </c>
    </row>
    <row r="108">
      <c r="A108" s="36" t="inlineStr">
        <is>
          <t>PREMIERENE</t>
        </is>
      </c>
      <c r="B108" s="37" t="inlineStr">
        <is>
          <t>PREMIERENE</t>
        </is>
      </c>
      <c r="C108" s="37" t="inlineStr">
        <is>
          <t>Technology</t>
        </is>
      </c>
      <c r="D108" s="38" t="inlineStr">
        <is>
          <t>2026-06-16</t>
        </is>
      </c>
    </row>
    <row r="109">
      <c r="A109" s="36" t="inlineStr">
        <is>
          <t>PTCIL</t>
        </is>
      </c>
      <c r="B109" s="37" t="inlineStr">
        <is>
          <t>PTCIL</t>
        </is>
      </c>
      <c r="C109" s="37" t="inlineStr">
        <is>
          <t>unknown</t>
        </is>
      </c>
      <c r="D109" s="38" t="inlineStr">
        <is>
          <t>2026-06-16</t>
        </is>
      </c>
    </row>
    <row r="110">
      <c r="A110" s="36" t="inlineStr">
        <is>
          <t>RAIN</t>
        </is>
      </c>
      <c r="B110" s="37" t="inlineStr">
        <is>
          <t>Rain Industries Limited</t>
        </is>
      </c>
      <c r="C110" s="37" t="inlineStr">
        <is>
          <t>Basic Materials</t>
        </is>
      </c>
      <c r="D110" s="38" t="inlineStr">
        <is>
          <t>2026-06-16</t>
        </is>
      </c>
    </row>
    <row r="111">
      <c r="A111" s="36" t="inlineStr">
        <is>
          <t>RRKABEL</t>
        </is>
      </c>
      <c r="B111" s="37" t="inlineStr">
        <is>
          <t>R R Kabel Limited</t>
        </is>
      </c>
      <c r="C111" s="37" t="inlineStr">
        <is>
          <t>Industrials</t>
        </is>
      </c>
      <c r="D111" s="38" t="inlineStr">
        <is>
          <t>2026-06-16</t>
        </is>
      </c>
    </row>
    <row r="112">
      <c r="A112" s="36" t="inlineStr">
        <is>
          <t>SANSERA</t>
        </is>
      </c>
      <c r="B112" s="37" t="inlineStr">
        <is>
          <t>SANSERA</t>
        </is>
      </c>
      <c r="C112" s="37" t="inlineStr">
        <is>
          <t>unknown</t>
        </is>
      </c>
      <c r="D112" s="38" t="inlineStr">
        <is>
          <t>2026-06-16</t>
        </is>
      </c>
    </row>
    <row r="113">
      <c r="A113" s="36" t="inlineStr">
        <is>
          <t>SGFIN</t>
        </is>
      </c>
      <c r="B113" s="37" t="inlineStr">
        <is>
          <t>SGFIN</t>
        </is>
      </c>
      <c r="C113" s="37" t="inlineStr">
        <is>
          <t>unknown</t>
        </is>
      </c>
      <c r="D113" s="38" t="inlineStr">
        <is>
          <t>2026-06-16</t>
        </is>
      </c>
    </row>
    <row r="114">
      <c r="A114" s="36" t="inlineStr">
        <is>
          <t>SHILPAMED</t>
        </is>
      </c>
      <c r="B114" s="37" t="inlineStr">
        <is>
          <t>Shilpa Medicare Limited</t>
        </is>
      </c>
      <c r="C114" s="37" t="inlineStr">
        <is>
          <t>Healthcare</t>
        </is>
      </c>
      <c r="D114" s="38" t="inlineStr">
        <is>
          <t>2026-06-16</t>
        </is>
      </c>
    </row>
    <row r="115">
      <c r="A115" s="36" t="inlineStr">
        <is>
          <t>YASHO</t>
        </is>
      </c>
      <c r="B115" s="37" t="inlineStr">
        <is>
          <t>Yasho Industries Limited</t>
        </is>
      </c>
      <c r="C115" s="37" t="inlineStr">
        <is>
          <t>Basic Materials</t>
        </is>
      </c>
      <c r="D115" s="38" t="inlineStr">
        <is>
          <t>2026-06-16</t>
        </is>
      </c>
    </row>
  </sheetData>
  <autoFilter ref="A1:CG94"/>
  <conditionalFormatting sqref="B2:B9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4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4">
    <cfRule type="cellIs" priority="37" operator="equal" dxfId="3" stopIfTrue="1">
      <formula>"Underperforming"</formula>
    </cfRule>
  </conditionalFormatting>
  <conditionalFormatting sqref="N2:N94">
    <cfRule type="cellIs" priority="38" operator="equal" dxfId="3" stopIfTrue="1">
      <formula>-5</formula>
    </cfRule>
  </conditionalFormatting>
  <conditionalFormatting sqref="Q2:Q94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4" showDropDown="0" showInputMessage="0" showErrorMessage="0" allowBlank="1" type="list">
      <formula1>"Growing Industry,Stagnant Industry,Cyclical in an Upturn"</formula1>
    </dataValidation>
    <dataValidation sqref="Z2:Z9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4" showDropDown="0" showInputMessage="0" showErrorMessage="0" allowBlank="1" type="list">
      <formula1>"Yes,No"</formula1>
    </dataValidation>
    <dataValidation sqref="AD2:AD94" showDropDown="0" showInputMessage="0" showErrorMessage="0" allowBlank="1" type="list">
      <formula1>"Tailwind,Headwind"</formula1>
    </dataValidation>
    <dataValidation sqref="AF2:AF94" showDropDown="0" showInputMessage="0" showErrorMessage="0" allowBlank="1" type="list">
      <formula1>"Structural (10 Years Consistency),Shallow Cyclical (2 to 3 Years Growth),Cyclical"</formula1>
    </dataValidation>
    <dataValidation sqref="AH2:AH94" showDropDown="0" showInputMessage="0" showErrorMessage="0" allowBlank="1" type="list">
      <formula1>"Yes due to Product Mix change or Operating Leverage,Yes, these are peak margins,No"</formula1>
    </dataValidation>
    <dataValidation sqref="AJ2:AJ94" showDropDown="0" showInputMessage="0" showErrorMessage="0" allowBlank="1" type="list">
      <formula1>"Stable,Volatile"</formula1>
    </dataValidation>
    <dataValidation sqref="AL2:AL94" showDropDown="0" showInputMessage="0" showErrorMessage="0" allowBlank="1" type="list">
      <formula1>"Yes,No"</formula1>
    </dataValidation>
    <dataValidation sqref="AN2:AN94" showDropDown="0" showInputMessage="0" showErrorMessage="0" allowBlank="1" type="list">
      <formula1>"B2C,B2B,B2G"</formula1>
    </dataValidation>
    <dataValidation sqref="AP2:AP94" showDropDown="0" showInputMessage="0" showErrorMessage="0" allowBlank="1" type="list">
      <formula1>"Yes,No"</formula1>
    </dataValidation>
    <dataValidation sqref="AR2:AR94" showDropDown="0" showInputMessage="0" showErrorMessage="0" allowBlank="1" type="list">
      <formula1>"Fully Annuity,Higher Annuity, Lower One time,Higher One Time, Lower Annuity,Fully One Time"</formula1>
    </dataValidation>
    <dataValidation sqref="AT2:AT94" showDropDown="0" showInputMessage="0" showErrorMessage="0" allowBlank="1" type="list">
      <formula1>"Good,Allocated capital in Non-core Areas"</formula1>
    </dataValidation>
    <dataValidation sqref="AV2:AV94" showDropDown="0" showInputMessage="0" showErrorMessage="0" allowBlank="1" type="list">
      <formula1>"Yes for more than 2 years,Yes only for next 1 to 2 years,No"</formula1>
    </dataValidation>
    <dataValidation sqref="AX2:AX94" showDropDown="0" showInputMessage="0" showErrorMessage="0" allowBlank="1" type="list">
      <formula1>"Above 40,20 to 40,0 to 20"</formula1>
    </dataValidation>
    <dataValidation sqref="AZ2:AZ94" showDropDown="0" showInputMessage="0" showErrorMessage="0" allowBlank="1" type="list">
      <formula1>"Between 50 to 75,Above 75,Below 45"</formula1>
    </dataValidation>
    <dataValidation sqref="BB2:BB94" showDropDown="0" showInputMessage="0" showErrorMessage="0" allowBlank="1" type="list">
      <formula1>"Stage 1,Stage 2,Stage 3,Stage 4"</formula1>
    </dataValidation>
    <dataValidation sqref="BD2:BD94" showDropDown="0" showInputMessage="0" showErrorMessage="0" allowBlank="1" type="list">
      <formula1>"Positive Trend,Negative Trend"</formula1>
    </dataValidation>
    <dataValidation sqref="BF2:BF94" showDropDown="0" showInputMessage="0" showErrorMessage="0" allowBlank="1" type="list">
      <formula1>"Uptrend,Sideways,Downtrend"</formula1>
    </dataValidation>
    <dataValidation sqref="BH2:BH94" showDropDown="0" showInputMessage="0" showErrorMessage="0" allowBlank="1" type="list">
      <formula1>"Uptrend,Sideways,Downtrend"</formula1>
    </dataValidation>
    <dataValidation sqref="BJ2:BJ9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4" showDropDown="0" showInputMessage="0" showErrorMessage="0" allowBlank="1" type="list">
      <formula1>"Yes,No"</formula1>
    </dataValidation>
    <dataValidation sqref="BN2:BN94" showDropDown="0" showInputMessage="0" showErrorMessage="0" allowBlank="1" type="list">
      <formula1>"More than 20%,Between 12 to 20%,Less than 12%"</formula1>
    </dataValidation>
    <dataValidation sqref="BP2:BP94" showDropDown="0" showInputMessage="0" showErrorMessage="0" allowBlank="1" type="list">
      <formula1>"Yes,No"</formula1>
    </dataValidation>
    <dataValidation sqref="BR2:BR94" showDropDown="0" showInputMessage="0" showErrorMessage="0" allowBlank="1" type="list">
      <formula1>"Yes,No"</formula1>
    </dataValidation>
    <dataValidation sqref="BT2:BT94" showDropDown="0" showInputMessage="0" showErrorMessage="0" allowBlank="1" type="list">
      <formula1>"Above 2,Between 1.5 to 2,Less than 1.5"</formula1>
    </dataValidation>
    <dataValidation sqref="BV2:BV94" showDropDown="0" showInputMessage="0" showErrorMessage="0" allowBlank="1" type="list">
      <formula1>"Above 70%,Between 50% to 70%,Less than 50%,Less than 50% and Borrowings are increasing,Negative"</formula1>
    </dataValidation>
    <dataValidation sqref="BX2:BX94" showDropDown="0" showInputMessage="0" showErrorMessage="0" allowBlank="1" type="list">
      <formula1>"More than 1.2,Between 0.7 to 1.2,Less than 0.7"</formula1>
    </dataValidation>
    <dataValidation sqref="BZ2:BZ94" showDropDown="0" showInputMessage="0" showErrorMessage="0" allowBlank="1" type="list">
      <formula1>"Yes,No"</formula1>
    </dataValidation>
    <dataValidation sqref="CB2:CB94" showDropDown="0" showInputMessage="0" showErrorMessage="0" allowBlank="1" type="list">
      <formula1>"More than 15%,Less than 15%"</formula1>
    </dataValidation>
    <dataValidation sqref="CD2:CD9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IF(B2=0,"",RANK(B2,$B$2:$B$8,0))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SATIN</t>
        </is>
      </c>
      <c r="D2" s="31" t="inlineStr">
        <is>
          <t>Satin Creditcare Network Ltd</t>
        </is>
      </c>
      <c r="E2" s="31" t="inlineStr">
        <is>
          <t>financials</t>
        </is>
      </c>
      <c r="F2" s="31" t="inlineStr">
        <is>
          <t>Finance &amp; Investments - Microfinance</t>
        </is>
      </c>
      <c r="G2" s="31" t="inlineStr">
        <is>
          <t>smallcap</t>
        </is>
      </c>
      <c r="H2" s="32" t="n">
        <v>2556.08</v>
      </c>
      <c r="I2" s="32" t="n">
        <v>231.38</v>
      </c>
      <c r="J2" s="32" t="n">
        <v>-0.31</v>
      </c>
      <c r="K2" s="32" t="n">
        <v>0</v>
      </c>
      <c r="L2" s="31" t="n">
        <v>76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69.76000000000001</v>
      </c>
      <c r="P2" s="32" t="n">
        <v>45.82</v>
      </c>
      <c r="Q2" s="32" t="n">
        <v>187.8</v>
      </c>
      <c r="R2" s="31" t="inlineStr">
        <is>
          <t>Near 52W High Breakout</t>
        </is>
      </c>
      <c r="S2" s="31" t="inlineStr">
        <is>
          <t>Nifty Bank</t>
        </is>
      </c>
      <c r="T2" s="32" t="n">
        <v>1.86</v>
      </c>
      <c r="U2" s="32" t="n">
        <v>52.61</v>
      </c>
      <c r="V2" s="32" t="n">
        <v>49.82</v>
      </c>
      <c r="W2" s="32" t="n">
        <v>22.93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22</t>
        </is>
      </c>
      <c r="CC2" s="31">
        <f>IF(CB2&gt;20,10,IF(CB2&gt;=10,5,2))</f>
        <v/>
      </c>
    </row>
    <row r="3">
      <c r="A3" s="31">
        <f>IF(B3=0,"",RANK(B3,$B$2:$B$8,0))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MAHABANK</t>
        </is>
      </c>
      <c r="D3" s="31" t="inlineStr">
        <is>
          <t>Bank of Maharashtra</t>
        </is>
      </c>
      <c r="E3" s="31" t="inlineStr">
        <is>
          <t>bank</t>
        </is>
      </c>
      <c r="F3" s="31" t="inlineStr">
        <is>
          <t>Banks - PSU</t>
        </is>
      </c>
      <c r="G3" s="31" t="inlineStr">
        <is>
          <t>largecap</t>
        </is>
      </c>
      <c r="H3" s="32" t="n">
        <v>67831.82000000001</v>
      </c>
      <c r="I3" s="32" t="n">
        <v>88.19</v>
      </c>
      <c r="J3" s="32" t="n">
        <v>-1.04</v>
      </c>
      <c r="K3" s="32" t="n">
        <v>0</v>
      </c>
      <c r="L3" s="31" t="n">
        <v>69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71.95999999999999</v>
      </c>
      <c r="P3" s="32" t="n">
        <v>43.77</v>
      </c>
      <c r="Q3" s="32" t="n">
        <v>71.90000000000001</v>
      </c>
      <c r="R3" s="31" t="inlineStr">
        <is>
          <t>Near 52W High Breakout</t>
        </is>
      </c>
      <c r="S3" s="31" t="inlineStr">
        <is>
          <t>Nifty Bank</t>
        </is>
      </c>
      <c r="T3" s="32" t="n">
        <v>1.86</v>
      </c>
      <c r="U3" s="32" t="n">
        <v>68.73</v>
      </c>
      <c r="V3" s="32" t="n">
        <v>65.66</v>
      </c>
      <c r="W3" s="32" t="n">
        <v>19.17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20</t>
        </is>
      </c>
      <c r="CC3" s="31">
        <f>IF(CB3&gt;20,10,IF(CB3&gt;=10,5,2))</f>
        <v/>
      </c>
    </row>
    <row r="4">
      <c r="A4" s="31">
        <f>IF(B4=0,"",RANK(B4,$B$2:$B$8,0))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PAISALO</t>
        </is>
      </c>
      <c r="D4" s="31" t="inlineStr">
        <is>
          <t>Paisalo Digital Ltd</t>
        </is>
      </c>
      <c r="E4" s="31" t="inlineStr">
        <is>
          <t>financials</t>
        </is>
      </c>
      <c r="F4" s="31" t="inlineStr">
        <is>
          <t>Finance - Capital Markets - Brokers</t>
        </is>
      </c>
      <c r="G4" s="31" t="inlineStr">
        <is>
          <t>midcap</t>
        </is>
      </c>
      <c r="H4" s="32" t="n">
        <v>5403.47</v>
      </c>
      <c r="I4" s="32" t="n">
        <v>59.41</v>
      </c>
      <c r="J4" s="32" t="n">
        <v>2.15</v>
      </c>
      <c r="K4" s="32" t="n">
        <v>0</v>
      </c>
      <c r="L4" s="31" t="n">
        <v>87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77.44</v>
      </c>
      <c r="P4" s="32" t="n">
        <v>35.42</v>
      </c>
      <c r="Q4" s="32" t="n">
        <v>47</v>
      </c>
      <c r="R4" s="31" t="inlineStr">
        <is>
          <t>Near 52W High Breakout</t>
        </is>
      </c>
      <c r="S4" s="31" t="inlineStr">
        <is>
          <t>Nifty Bank</t>
        </is>
      </c>
      <c r="T4" s="32" t="n">
        <v>1.86</v>
      </c>
      <c r="U4" s="32" t="n">
        <v>97.81999999999999</v>
      </c>
      <c r="V4" s="32" t="n">
        <v>94.20999999999999</v>
      </c>
      <c r="W4" s="32" t="n">
        <v>31.68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20</t>
        </is>
      </c>
      <c r="CC4" s="31">
        <f>IF(CB4&gt;20,10,IF(CB4&gt;=10,5,2))</f>
        <v/>
      </c>
    </row>
    <row r="5">
      <c r="A5" s="31">
        <f>IF(B5=0,"",RANK(B5,$B$2:$B$8,0))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CGCL</t>
        </is>
      </c>
      <c r="D5" s="31" t="inlineStr">
        <is>
          <t>Capri Global Capital Ltd</t>
        </is>
      </c>
      <c r="E5" s="31" t="inlineStr">
        <is>
          <t>financials</t>
        </is>
      </c>
      <c r="F5" s="31" t="inlineStr">
        <is>
          <t>Finance &amp; Investments - Gold Loan</t>
        </is>
      </c>
      <c r="G5" s="31" t="inlineStr">
        <is>
          <t>largecap</t>
        </is>
      </c>
      <c r="H5" s="32" t="n">
        <v>20963.41</v>
      </c>
      <c r="I5" s="32" t="n">
        <v>217.88</v>
      </c>
      <c r="J5" s="32" t="n">
        <v>1.73</v>
      </c>
      <c r="K5" s="32" t="n">
        <v>0</v>
      </c>
      <c r="L5" s="31" t="n">
        <v>42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69.37</v>
      </c>
      <c r="P5" s="32" t="n">
        <v>19.33</v>
      </c>
      <c r="Q5" s="32" t="n">
        <v>177.32</v>
      </c>
      <c r="R5" s="31" t="inlineStr">
        <is>
          <t>Near 52W High Breakout</t>
        </is>
      </c>
      <c r="S5" s="31" t="inlineStr">
        <is>
          <t>Nifty Bank</t>
        </is>
      </c>
      <c r="T5" s="32" t="n">
        <v>1.86</v>
      </c>
      <c r="U5" s="32" t="n">
        <v>30.19</v>
      </c>
      <c r="V5" s="32" t="n">
        <v>27.81</v>
      </c>
      <c r="W5" s="32" t="n">
        <v>11.81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0 to 20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24</t>
        </is>
      </c>
      <c r="CC5" s="31">
        <f>IF(CB5&gt;20,10,IF(CB5&gt;=10,5,2))</f>
        <v/>
      </c>
    </row>
    <row r="6">
      <c r="A6" s="31">
        <f>IF(B6=0,"",RANK(B6,$B$2:$B$8,0))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ANGELONE</t>
        </is>
      </c>
      <c r="D6" s="31" t="inlineStr">
        <is>
          <t>Angel One Ltd</t>
        </is>
      </c>
      <c r="E6" s="31" t="inlineStr">
        <is>
          <t>financials</t>
        </is>
      </c>
      <c r="F6" s="31" t="inlineStr">
        <is>
          <t>Finance - Capital Markets - Brokers</t>
        </is>
      </c>
      <c r="G6" s="31" t="inlineStr">
        <is>
          <t>largecap</t>
        </is>
      </c>
      <c r="H6" s="32" t="n">
        <v>31807.39</v>
      </c>
      <c r="I6" s="32" t="n">
        <v>348.25</v>
      </c>
      <c r="J6" s="32" t="n">
        <v>-1.15</v>
      </c>
      <c r="K6" s="32" t="n">
        <v>0</v>
      </c>
      <c r="L6" s="31" t="n">
        <v>64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66.45</v>
      </c>
      <c r="P6" s="32" t="n">
        <v>25.64</v>
      </c>
      <c r="Q6" s="32" t="n">
        <v>270.7</v>
      </c>
      <c r="R6" s="31" t="inlineStr">
        <is>
          <t>Near 52W High Breakout</t>
        </is>
      </c>
      <c r="S6" s="31" t="inlineStr">
        <is>
          <t>Nifty Bank</t>
        </is>
      </c>
      <c r="T6" s="32" t="n">
        <v>1.86</v>
      </c>
      <c r="U6" s="32" t="n">
        <v>25.15</v>
      </c>
      <c r="V6" s="32" t="n">
        <v>22.87</v>
      </c>
      <c r="W6" s="32" t="n">
        <v>17.44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above 5x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19</t>
        </is>
      </c>
      <c r="CC6" s="31">
        <f>IF(CB6&gt;20,10,IF(CB6&gt;=10,5,2))</f>
        <v/>
      </c>
    </row>
    <row r="7">
      <c r="A7" s="31">
        <f>IF(B7=0,"",RANK(B7,$B$2:$B$8,0))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NAM-INDIA</t>
        </is>
      </c>
      <c r="D7" s="31" t="inlineStr">
        <is>
          <t>Nippon Life India Asset Management Ltd</t>
        </is>
      </c>
      <c r="E7" s="31" t="inlineStr">
        <is>
          <t>financials</t>
        </is>
      </c>
      <c r="F7" s="31" t="inlineStr">
        <is>
          <t>Finance - AMC</t>
        </is>
      </c>
      <c r="G7" s="31" t="inlineStr">
        <is>
          <t>largecap</t>
        </is>
      </c>
      <c r="H7" s="32" t="n">
        <v>72974.25</v>
      </c>
      <c r="I7" s="32" t="n">
        <v>1142.4</v>
      </c>
      <c r="J7" s="32" t="n">
        <v>0.2</v>
      </c>
      <c r="K7" s="32" t="n">
        <v>0</v>
      </c>
      <c r="L7" s="31" t="n">
        <v>62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68.55</v>
      </c>
      <c r="P7" s="32" t="n">
        <v>29.85</v>
      </c>
      <c r="Q7" s="32" t="n">
        <v>903.58</v>
      </c>
      <c r="R7" s="31" t="inlineStr">
        <is>
          <t>Near 52W High Breakout</t>
        </is>
      </c>
      <c r="S7" s="31" t="inlineStr">
        <is>
          <t>Nifty Bank</t>
        </is>
      </c>
      <c r="T7" s="32" t="n">
        <v>1.86</v>
      </c>
      <c r="U7" s="32" t="n">
        <v>53.89</v>
      </c>
      <c r="V7" s="32" t="n">
        <v>51.09</v>
      </c>
      <c r="W7" s="32" t="n">
        <v>17.12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above 5x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18</t>
        </is>
      </c>
      <c r="CC7" s="31">
        <f>IF(CB7&gt;20,10,IF(CB7&gt;=10,5,2))</f>
        <v/>
      </c>
    </row>
    <row r="8">
      <c r="A8" s="31">
        <f>IF(B8=0,"",RANK(B8,$B$2:$B$8,0))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BSE</t>
        </is>
      </c>
      <c r="D8" s="31" t="inlineStr">
        <is>
          <t>BSE Ltd</t>
        </is>
      </c>
      <c r="E8" s="31" t="inlineStr">
        <is>
          <t>financials</t>
        </is>
      </c>
      <c r="F8" s="31" t="inlineStr">
        <is>
          <t>Exchanges</t>
        </is>
      </c>
      <c r="G8" s="31" t="inlineStr">
        <is>
          <t>largecap</t>
        </is>
      </c>
      <c r="H8" s="32" t="n">
        <v>169534.17</v>
      </c>
      <c r="I8" s="32" t="n">
        <v>4162.4</v>
      </c>
      <c r="J8" s="32" t="n">
        <v>0.88</v>
      </c>
      <c r="K8" s="32" t="n">
        <v>0</v>
      </c>
      <c r="L8" s="31" t="n">
        <v>73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71.81999999999999</v>
      </c>
      <c r="P8" s="32" t="n">
        <v>33.38</v>
      </c>
      <c r="Q8" s="32" t="n">
        <v>3388.03</v>
      </c>
      <c r="R8" s="31" t="inlineStr">
        <is>
          <t>Near 52W High Breakout</t>
        </is>
      </c>
      <c r="S8" s="31" t="inlineStr">
        <is>
          <t>Nifty Bank</t>
        </is>
      </c>
      <c r="T8" s="32" t="n">
        <v>1.86</v>
      </c>
      <c r="U8" s="32" t="n">
        <v>54.85</v>
      </c>
      <c r="V8" s="32" t="n">
        <v>52.02</v>
      </c>
      <c r="W8" s="32" t="n">
        <v>21.08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above 5x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Negative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18</t>
        </is>
      </c>
      <c r="CC8" s="31">
        <f>IF(CB8&gt;20,10,IF(CB8&gt;=10,5,2))</f>
        <v/>
      </c>
    </row>
    <row r="12">
      <c r="A12" s="25" t="inlineStr">
        <is>
          <t>❌ REMOVED SCAN MATCH STOCKS (THIS WEEK)</t>
        </is>
      </c>
    </row>
    <row r="13">
      <c r="A13" s="35" t="inlineStr">
        <is>
          <t>Symbol</t>
        </is>
      </c>
      <c r="B13" s="35" t="inlineStr">
        <is>
          <t>Company Name</t>
        </is>
      </c>
      <c r="C13" s="35" t="inlineStr">
        <is>
          <t>Sector</t>
        </is>
      </c>
      <c r="D13" s="35" t="inlineStr">
        <is>
          <t>Date of Removal</t>
        </is>
      </c>
    </row>
  </sheetData>
  <autoFilter ref="A1:CC8"/>
  <conditionalFormatting sqref="B2:B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8">
    <cfRule type="cellIs" priority="35" operator="equal" dxfId="3" stopIfTrue="1">
      <formula>"Underperforming"</formula>
    </cfRule>
  </conditionalFormatting>
  <conditionalFormatting sqref="N2:N8">
    <cfRule type="cellIs" priority="36" operator="equal" dxfId="3" stopIfTrue="1">
      <formula>-5</formula>
    </cfRule>
  </conditionalFormatting>
  <conditionalFormatting sqref="Q2:Q8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8" showDropDown="0" showInputMessage="0" showErrorMessage="0" allowBlank="1" type="list">
      <formula1>"Growing Industry,Stagnant Industry,Cyclical in an Upturn"</formula1>
    </dataValidation>
    <dataValidation sqref="Z2:Z8" showDropDown="0" showInputMessage="0" showErrorMessage="0" allowBlank="1" type="list">
      <formula1>"Fragmented with Low ROE,Fragmented with High ROE,Highly Cyclical"</formula1>
    </dataValidation>
    <dataValidation sqref="AB2:AB8" showDropDown="0" showInputMessage="0" showErrorMessage="0" allowBlank="1" type="list">
      <formula1>"Yes,No"</formula1>
    </dataValidation>
    <dataValidation sqref="AD2:AD8" showDropDown="0" showInputMessage="0" showErrorMessage="0" allowBlank="1" type="list">
      <formula1>"Tailwind,Headwind"</formula1>
    </dataValidation>
    <dataValidation sqref="AF2:AF8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8" showDropDown="0" showInputMessage="0" showErrorMessage="0" allowBlank="1" type="list">
      <formula1>"Yes,No"</formula1>
    </dataValidation>
    <dataValidation sqref="AJ2:AJ8" showDropDown="0" showInputMessage="0" showErrorMessage="0" allowBlank="1" type="list">
      <formula1>"Yes,No,Not Applicable"</formula1>
    </dataValidation>
    <dataValidation sqref="AL2:AL8" showDropDown="0" showInputMessage="0" showErrorMessage="0" allowBlank="1" type="list">
      <formula1>"Yes,No"</formula1>
    </dataValidation>
    <dataValidation sqref="AN2:AN8" showDropDown="0" showInputMessage="0" showErrorMessage="0" allowBlank="1" type="list">
      <formula1>"Yes,No"</formula1>
    </dataValidation>
    <dataValidation sqref="AP2:AP8" showDropDown="0" showInputMessage="0" showErrorMessage="0" allowBlank="1" type="list">
      <formula1>"Yes,No"</formula1>
    </dataValidation>
    <dataValidation sqref="AR2:AR8" showDropDown="0" showInputMessage="0" showErrorMessage="0" allowBlank="1" type="list">
      <formula1>"Yes,No"</formula1>
    </dataValidation>
    <dataValidation sqref="AT2:AT8" showDropDown="0" showInputMessage="0" showErrorMessage="0" allowBlank="1" type="list">
      <formula1>"No,Yes"</formula1>
    </dataValidation>
    <dataValidation sqref="AV2:AV8" showDropDown="0" showInputMessage="0" showErrorMessage="0" allowBlank="1" type="list">
      <formula1>"No,Yes"</formula1>
    </dataValidation>
    <dataValidation sqref="AX2:AX8" showDropDown="0" showInputMessage="0" showErrorMessage="0" allowBlank="1" type="list">
      <formula1>"No,Yes CEO Resignation,Yes CEO Retirement"</formula1>
    </dataValidation>
    <dataValidation sqref="AZ2:AZ8" showDropDown="0" showInputMessage="0" showErrorMessage="0" allowBlank="1" type="list">
      <formula1>"No,Yes"</formula1>
    </dataValidation>
    <dataValidation sqref="BB2:BB8" showDropDown="0" showInputMessage="0" showErrorMessage="0" allowBlank="1" type="list">
      <formula1>"No,Yes"</formula1>
    </dataValidation>
    <dataValidation sqref="BD2:BD8" showDropDown="0" showInputMessage="0" showErrorMessage="0" allowBlank="1" type="list">
      <formula1>"Yes,No"</formula1>
    </dataValidation>
    <dataValidation sqref="BF2:BF8" showDropDown="0" showInputMessage="0" showErrorMessage="0" allowBlank="1" type="list">
      <formula1>"Yes,No"</formula1>
    </dataValidation>
    <dataValidation sqref="BH2:BH8" showDropDown="0" showInputMessage="0" showErrorMessage="0" allowBlank="1" type="list">
      <formula1>"Yes,No"</formula1>
    </dataValidation>
    <dataValidation sqref="BJ2:BJ8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8" showDropDown="0" showInputMessage="0" showErrorMessage="0" allowBlank="1" type="list">
      <formula1>"Above 40,20 to 40,0 to 20"</formula1>
    </dataValidation>
    <dataValidation sqref="BN2:BN8" showDropDown="0" showInputMessage="0" showErrorMessage="0" allowBlank="1" type="list">
      <formula1>"Between 50 to 75,Above 75,Below 45"</formula1>
    </dataValidation>
    <dataValidation sqref="BP2:BP8" showDropDown="0" showInputMessage="0" showErrorMessage="0" allowBlank="1" type="list">
      <formula1>"Stage 1,Stage 2,Stage 3,Stage 4"</formula1>
    </dataValidation>
    <dataValidation sqref="BR2:BR8" showDropDown="0" showInputMessage="0" showErrorMessage="0" allowBlank="1" type="list">
      <formula1>"Positive Trend,Negative Trend"</formula1>
    </dataValidation>
    <dataValidation sqref="BT2:BT8" showDropDown="0" showInputMessage="0" showErrorMessage="0" allowBlank="1" type="list">
      <formula1>"Uptrend,Sideways,Downtrend"</formula1>
    </dataValidation>
    <dataValidation sqref="BV2:BV8" showDropDown="0" showInputMessage="0" showErrorMessage="0" allowBlank="1" type="list">
      <formula1>"Uptrend,Sideways,Downtrend"</formula1>
    </dataValidation>
    <dataValidation sqref="BX2:BX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2026-06-16T15:25:16Z</dcterms:created>
  <dcterms:modified xmlns:dcterms="http://purl.org/dc/terms/" xmlns:xsi="http://www.w3.org/2001/XMLSchema-instance" xsi:type="dcterms:W3CDTF">2026-06-16T15:26:06Z</dcterms:modified>
</cp:coreProperties>
</file>