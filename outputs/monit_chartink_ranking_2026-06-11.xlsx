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Universe'!$A$1:$J$210</definedName>
    <definedName name="_xlnm._FilterDatabase" localSheetId="3" hidden="1">'Confluence Overlap'!$A$1:$K$81</definedName>
    <definedName name="_xlnm._FilterDatabase" localSheetId="4" hidden="1">'Monit Non Financial'!$A$1:$CE$193</definedName>
    <definedName name="_xlnm._FilterDatabase" localSheetId="5" hidden="1">'Monit Banks NBFC'!$A$1:$CA$18</definedName>
    <definedName name="_xlnm._FilterDatabase" localSheetId="6" hidden="1">'Scanner Non Financial'!$A$1:$CJ$17</definedName>
    <definedName name="_xlnm._FilterDatabase" localSheetId="7" hidden="1">'Scanner Banks NBFC'!$A$1:$CF$7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11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1" customWidth="1" min="4" max="4"/>
    <col width="22" customWidth="1" min="5" max="5"/>
    <col width="32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420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55</v>
      </c>
      <c r="G6" s="19" t="n">
        <v>13489.83</v>
      </c>
      <c r="H6" s="18" t="inlineStr">
        <is>
          <t>Potential Leader</t>
        </is>
      </c>
      <c r="J6" s="18" t="inlineStr">
        <is>
          <t>nan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408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53</v>
      </c>
      <c r="G7" s="19" t="n">
        <v>4492.33</v>
      </c>
      <c r="H7" s="18" t="inlineStr">
        <is>
          <t>Potential Leader</t>
        </is>
      </c>
      <c r="J7" s="18" t="inlineStr">
        <is>
          <t>chemicals</t>
        </is>
      </c>
      <c r="K7" s="16" t="n">
        <v>63</v>
      </c>
      <c r="L7" s="16" t="n">
        <v>59</v>
      </c>
      <c r="M7" s="20" t="inlineStr">
        <is>
          <t>6.8%</t>
        </is>
      </c>
    </row>
    <row r="8">
      <c r="A8" s="16" t="n">
        <v>3</v>
      </c>
      <c r="B8" s="17" t="n">
        <v>408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53</v>
      </c>
      <c r="G8" s="19" t="n">
        <v>4531.9</v>
      </c>
      <c r="H8" s="18" t="inlineStr">
        <is>
          <t>Potential Leader</t>
        </is>
      </c>
      <c r="J8" s="18" t="inlineStr">
        <is>
          <t>bank</t>
        </is>
      </c>
      <c r="K8" s="16" t="n">
        <v>56</v>
      </c>
      <c r="L8" s="16" t="n">
        <v>54</v>
      </c>
      <c r="M8" s="20" t="inlineStr">
        <is>
          <t>3.7%</t>
        </is>
      </c>
    </row>
    <row r="9">
      <c r="A9" s="16" t="n">
        <v>4</v>
      </c>
      <c r="B9" s="17" t="n">
        <v>402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52</v>
      </c>
      <c r="G9" s="19" t="n">
        <v>12932.74</v>
      </c>
      <c r="H9" s="18" t="inlineStr">
        <is>
          <t>Potential Leader</t>
        </is>
      </c>
      <c r="J9" s="18" t="inlineStr">
        <is>
          <t>telecom-service</t>
        </is>
      </c>
      <c r="K9" s="16" t="n">
        <v>10</v>
      </c>
      <c r="L9" s="16" t="n">
        <v>10</v>
      </c>
      <c r="M9" s="20" t="inlineStr">
        <is>
          <t>0.0%</t>
        </is>
      </c>
    </row>
    <row r="10">
      <c r="A10" s="16" t="n">
        <v>5</v>
      </c>
      <c r="B10" s="17" t="n">
        <v>402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52</v>
      </c>
      <c r="G10" s="19" t="n">
        <v>2946.49</v>
      </c>
      <c r="H10" s="18" t="inlineStr">
        <is>
          <t>Potential Leader</t>
        </is>
      </c>
      <c r="J10" s="18" t="inlineStr">
        <is>
          <t>fmcg</t>
        </is>
      </c>
      <c r="K10" s="16" t="n">
        <v>75</v>
      </c>
      <c r="L10" s="16" t="n">
        <v>76</v>
      </c>
      <c r="M10" s="21" t="inlineStr">
        <is>
          <t>-1.3%</t>
        </is>
      </c>
    </row>
    <row r="11">
      <c r="A11" s="16" t="n">
        <v>6</v>
      </c>
      <c r="B11" s="17" t="n">
        <v>402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52</v>
      </c>
      <c r="G11" s="19" t="n">
        <v>36149.87</v>
      </c>
      <c r="H11" s="18" t="inlineStr">
        <is>
          <t>Potential Leader</t>
        </is>
      </c>
      <c r="J11" s="18" t="inlineStr">
        <is>
          <t>healthcare</t>
        </is>
      </c>
      <c r="K11" s="16" t="n">
        <v>217</v>
      </c>
      <c r="L11" s="16" t="n">
        <v>223</v>
      </c>
      <c r="M11" s="21" t="inlineStr">
        <is>
          <t>-2.7%</t>
        </is>
      </c>
    </row>
    <row r="12">
      <c r="A12" s="16" t="n">
        <v>7</v>
      </c>
      <c r="B12" s="17" t="n">
        <v>396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51</v>
      </c>
      <c r="G12" s="19" t="n">
        <v>7351.2</v>
      </c>
      <c r="H12" s="18" t="inlineStr">
        <is>
          <t>Potential Leader</t>
        </is>
      </c>
      <c r="J12" s="18" t="inlineStr">
        <is>
          <t>miscellaneous</t>
        </is>
      </c>
      <c r="K12" s="16" t="n">
        <v>50</v>
      </c>
      <c r="L12" s="16" t="n">
        <v>52</v>
      </c>
      <c r="M12" s="21" t="inlineStr">
        <is>
          <t>-3.8%</t>
        </is>
      </c>
    </row>
    <row r="13">
      <c r="A13" s="16" t="n">
        <v>8</v>
      </c>
      <c r="B13" s="17" t="n">
        <v>396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51</v>
      </c>
      <c r="G13" s="19" t="n">
        <v>28426.4</v>
      </c>
      <c r="H13" s="18" t="inlineStr">
        <is>
          <t>Potential Leader</t>
        </is>
      </c>
      <c r="J13" s="18" t="inlineStr">
        <is>
          <t>transportation</t>
        </is>
      </c>
      <c r="K13" s="16" t="n">
        <v>17</v>
      </c>
      <c r="L13" s="16" t="n">
        <v>18</v>
      </c>
      <c r="M13" s="21" t="inlineStr">
        <is>
          <t>-5.6%</t>
        </is>
      </c>
    </row>
    <row r="14">
      <c r="A14" s="16" t="n">
        <v>9</v>
      </c>
      <c r="B14" s="17" t="n">
        <v>396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51</v>
      </c>
      <c r="G14" s="19" t="n">
        <v>5282.71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33</v>
      </c>
      <c r="L14" s="16" t="n">
        <v>35</v>
      </c>
      <c r="M14" s="21" t="inlineStr">
        <is>
          <t>-5.7%</t>
        </is>
      </c>
    </row>
    <row r="15">
      <c r="A15" s="16" t="n">
        <v>10</v>
      </c>
      <c r="B15" s="17" t="n">
        <v>384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49</v>
      </c>
      <c r="G15" s="19" t="n">
        <v>244276.22</v>
      </c>
      <c r="H15" s="18" t="inlineStr">
        <is>
          <t>Potential Leader</t>
        </is>
      </c>
      <c r="J15" s="18" t="inlineStr">
        <is>
          <t>energy</t>
        </is>
      </c>
      <c r="K15" s="16" t="n">
        <v>44</v>
      </c>
      <c r="L15" s="16" t="n">
        <v>49</v>
      </c>
      <c r="M15" s="21" t="inlineStr">
        <is>
          <t>-10.2%</t>
        </is>
      </c>
    </row>
    <row r="16">
      <c r="A16" s="16" t="n">
        <v>11</v>
      </c>
      <c r="B16" s="17" t="n">
        <v>384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49</v>
      </c>
      <c r="G16" s="19" t="n">
        <v>2772.93</v>
      </c>
      <c r="H16" s="18" t="inlineStr">
        <is>
          <t>Potential Leader</t>
        </is>
      </c>
      <c r="J16" s="18" t="inlineStr">
        <is>
          <t>realty</t>
        </is>
      </c>
      <c r="K16" s="16" t="n">
        <v>56</v>
      </c>
      <c r="L16" s="16" t="n">
        <v>63</v>
      </c>
      <c r="M16" s="21" t="inlineStr">
        <is>
          <t>-11.1%</t>
        </is>
      </c>
    </row>
    <row r="17">
      <c r="A17" s="16" t="n">
        <v>12</v>
      </c>
      <c r="B17" s="17" t="n">
        <v>384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49</v>
      </c>
      <c r="G17" s="19" t="n">
        <v>10929.11</v>
      </c>
      <c r="H17" s="18" t="inlineStr">
        <is>
          <t>Potential Leader</t>
        </is>
      </c>
      <c r="J17" s="18" t="inlineStr">
        <is>
          <t>services</t>
        </is>
      </c>
      <c r="K17" s="16" t="n">
        <v>42</v>
      </c>
      <c r="L17" s="16" t="n">
        <v>48</v>
      </c>
      <c r="M17" s="21" t="inlineStr">
        <is>
          <t>-12.5%</t>
        </is>
      </c>
    </row>
    <row r="18">
      <c r="A18" s="16" t="n">
        <v>13</v>
      </c>
      <c r="B18" s="17" t="n">
        <v>372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47</v>
      </c>
      <c r="G18" s="19" t="n">
        <v>17974.94</v>
      </c>
      <c r="H18" s="18" t="inlineStr">
        <is>
          <t>Potential Leader</t>
        </is>
      </c>
      <c r="J18" s="18" t="inlineStr">
        <is>
          <t>i.t</t>
        </is>
      </c>
      <c r="K18" s="16" t="n">
        <v>56</v>
      </c>
      <c r="L18" s="16" t="n">
        <v>66</v>
      </c>
      <c r="M18" s="21" t="inlineStr">
        <is>
          <t>-15.2%</t>
        </is>
      </c>
    </row>
    <row r="19">
      <c r="A19" s="16" t="n">
        <v>14</v>
      </c>
      <c r="B19" s="17" t="n">
        <v>372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47</v>
      </c>
      <c r="G19" s="19" t="n">
        <v>6115.01</v>
      </c>
      <c r="H19" s="18" t="inlineStr">
        <is>
          <t>Potential Leader</t>
        </is>
      </c>
      <c r="J19" s="18" t="inlineStr">
        <is>
          <t>auto</t>
        </is>
      </c>
      <c r="K19" s="16" t="n">
        <v>108</v>
      </c>
      <c r="L19" s="16" t="n">
        <v>128</v>
      </c>
      <c r="M19" s="21" t="inlineStr">
        <is>
          <t>-15.6%</t>
        </is>
      </c>
    </row>
    <row r="20">
      <c r="A20" s="16" t="n">
        <v>15</v>
      </c>
      <c r="B20" s="17" t="n">
        <v>360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45</v>
      </c>
      <c r="G20" s="19" t="n">
        <v>1317.87</v>
      </c>
      <c r="H20" s="18" t="inlineStr">
        <is>
          <t>Potential Leader</t>
        </is>
      </c>
      <c r="J20" s="18" t="inlineStr">
        <is>
          <t>aerospace &amp; defence</t>
        </is>
      </c>
      <c r="K20" s="16" t="n">
        <v>53</v>
      </c>
      <c r="L20" s="16" t="n">
        <v>64</v>
      </c>
      <c r="M20" s="21" t="inlineStr">
        <is>
          <t>-17.2%</t>
        </is>
      </c>
    </row>
    <row r="21">
      <c r="A21" s="16" t="n">
        <v>16</v>
      </c>
      <c r="B21" s="17" t="n">
        <v>360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45</v>
      </c>
      <c r="G21" s="19" t="n">
        <v>143376.78</v>
      </c>
      <c r="H21" s="18" t="inlineStr">
        <is>
          <t>Potential Leader</t>
        </is>
      </c>
    </row>
    <row r="22">
      <c r="A22" s="16" t="n">
        <v>17</v>
      </c>
      <c r="B22" s="17" t="n">
        <v>354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44</v>
      </c>
      <c r="G22" s="19" t="n">
        <v>4227.76</v>
      </c>
      <c r="H22" s="18" t="inlineStr">
        <is>
          <t>Potential Leader</t>
        </is>
      </c>
    </row>
    <row r="23">
      <c r="A23" s="16" t="n">
        <v>18</v>
      </c>
      <c r="B23" s="17" t="n">
        <v>354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44</v>
      </c>
      <c r="G23" s="19" t="n">
        <v>8094.69</v>
      </c>
      <c r="H23" s="18" t="inlineStr">
        <is>
          <t>Potential Leader</t>
        </is>
      </c>
    </row>
    <row r="24">
      <c r="A24" s="16" t="n">
        <v>19</v>
      </c>
      <c r="B24" s="17" t="n">
        <v>354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44</v>
      </c>
      <c r="G24" s="19" t="n">
        <v>2170.98</v>
      </c>
      <c r="H24" s="18" t="inlineStr">
        <is>
          <t>Potential Leader</t>
        </is>
      </c>
    </row>
    <row r="25">
      <c r="A25" s="16" t="n">
        <v>20</v>
      </c>
      <c r="B25" s="17" t="n">
        <v>336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41</v>
      </c>
      <c r="G25" s="19" t="n">
        <v>5869.15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VADILALIND</t>
        </is>
      </c>
      <c r="B30" s="18" t="inlineStr">
        <is>
          <t>Vadilal Industries Limited</t>
        </is>
      </c>
      <c r="C30" s="18" t="inlineStr">
        <is>
          <t>fmcg</t>
        </is>
      </c>
      <c r="D30" s="16" t="n">
        <v>10</v>
      </c>
      <c r="E30" s="16" t="n">
        <v>1</v>
      </c>
      <c r="F30" s="19" t="n">
        <v>4260.08</v>
      </c>
      <c r="J30" s="17" t="inlineStr">
        <is>
          <t>MBAPL</t>
        </is>
      </c>
      <c r="K30" s="18" t="inlineStr">
        <is>
          <t>chemicals</t>
        </is>
      </c>
      <c r="L30" s="19" t="n">
        <v>288</v>
      </c>
      <c r="M30" s="19" t="n">
        <v>4879.94</v>
      </c>
      <c r="N30" s="16" t="n">
        <v>10</v>
      </c>
    </row>
    <row r="31">
      <c r="A31" s="17" t="inlineStr">
        <is>
          <t>KOVAI</t>
        </is>
      </c>
      <c r="B31" s="18" t="inlineStr">
        <is>
          <t>Kovai Medical Center &amp; Hospital Ltd</t>
        </is>
      </c>
      <c r="C31" s="18" t="inlineStr">
        <is>
          <t>healthcare</t>
        </is>
      </c>
      <c r="D31" s="16" t="n">
        <v>10</v>
      </c>
      <c r="E31" s="16" t="n">
        <v>2</v>
      </c>
      <c r="F31" s="19" t="n">
        <v>6408.34</v>
      </c>
      <c r="J31" s="17" t="inlineStr">
        <is>
          <t>BAJAJCON</t>
        </is>
      </c>
      <c r="K31" s="18" t="inlineStr">
        <is>
          <t>fmcg</t>
        </is>
      </c>
      <c r="L31" s="19" t="n">
        <v>287</v>
      </c>
      <c r="M31" s="19" t="n">
        <v>7351.2</v>
      </c>
      <c r="N31" s="16" t="n">
        <v>30</v>
      </c>
    </row>
    <row r="32">
      <c r="A32" s="17" t="inlineStr">
        <is>
          <t>AEGISLOG</t>
        </is>
      </c>
      <c r="B32" s="18" t="inlineStr">
        <is>
          <t>Aegis Logistics Ltd</t>
        </is>
      </c>
      <c r="C32" s="18" t="inlineStr">
        <is>
          <t>services</t>
        </is>
      </c>
      <c r="D32" s="16" t="n">
        <v>9</v>
      </c>
      <c r="E32" s="16" t="n">
        <v>1</v>
      </c>
      <c r="F32" s="19" t="n">
        <v>28115.1</v>
      </c>
      <c r="J32" s="17" t="inlineStr">
        <is>
          <t>TMB</t>
        </is>
      </c>
      <c r="K32" s="18" t="inlineStr">
        <is>
          <t>bank</t>
        </is>
      </c>
      <c r="L32" s="19" t="n">
        <v>287</v>
      </c>
      <c r="M32" s="19" t="n">
        <v>12265.9</v>
      </c>
      <c r="N32" s="16" t="n">
        <v>13</v>
      </c>
    </row>
    <row r="33">
      <c r="A33" s="17" t="inlineStr">
        <is>
          <t>KPRMILL</t>
        </is>
      </c>
      <c r="B33" s="18" t="inlineStr">
        <is>
          <t>K.p.r. Mill Limited</t>
        </is>
      </c>
      <c r="C33" s="18" t="inlineStr">
        <is>
          <t>consumer discretionary</t>
        </is>
      </c>
      <c r="D33" s="16" t="n">
        <v>9</v>
      </c>
      <c r="E33" s="16" t="n">
        <v>0</v>
      </c>
      <c r="F33" s="19" t="n">
        <v>35738.36</v>
      </c>
      <c r="J33" s="17" t="inlineStr">
        <is>
          <t>IBULLSLTD</t>
        </is>
      </c>
      <c r="K33" s="18" t="inlineStr">
        <is>
          <t>miscellaneous</t>
        </is>
      </c>
      <c r="L33" s="19" t="n">
        <v>285</v>
      </c>
      <c r="M33" s="19" t="n">
        <v>5736.58</v>
      </c>
      <c r="N33" s="16" t="n">
        <v>26</v>
      </c>
    </row>
    <row r="34">
      <c r="A34" s="17" t="inlineStr">
        <is>
          <t>NOVARTIND</t>
        </is>
      </c>
      <c r="B34" s="18" t="inlineStr">
        <is>
          <t>Novartis India Ltd</t>
        </is>
      </c>
      <c r="C34" s="18" t="inlineStr">
        <is>
          <t>healthcare</t>
        </is>
      </c>
      <c r="D34" s="16" t="n">
        <v>9</v>
      </c>
      <c r="E34" s="16" t="n">
        <v>2</v>
      </c>
      <c r="F34" s="19" t="n">
        <v>3261.9</v>
      </c>
      <c r="J34" s="17" t="inlineStr">
        <is>
          <t>RBLBANK</t>
        </is>
      </c>
      <c r="K34" s="18" t="inlineStr">
        <is>
          <t>bank</t>
        </is>
      </c>
      <c r="L34" s="19" t="n">
        <v>285</v>
      </c>
      <c r="M34" s="19" t="n">
        <v>22063.49</v>
      </c>
      <c r="N34" s="16" t="n">
        <v>23</v>
      </c>
    </row>
    <row r="35">
      <c r="A35" s="17" t="inlineStr">
        <is>
          <t>MGEL</t>
        </is>
      </c>
      <c r="B35" s="18" t="inlineStr">
        <is>
          <t>Mangalam Global Enterprise Ltd</t>
        </is>
      </c>
      <c r="C35" s="18" t="inlineStr">
        <is>
          <t>services</t>
        </is>
      </c>
      <c r="D35" s="16" t="n">
        <v>9</v>
      </c>
      <c r="E35" s="16" t="n">
        <v>0</v>
      </c>
      <c r="F35" s="19" t="n">
        <v>544.1</v>
      </c>
      <c r="J35" s="17" t="inlineStr">
        <is>
          <t>GAYAPROJ</t>
        </is>
      </c>
      <c r="K35" s="18" t="inlineStr">
        <is>
          <t>realty</t>
        </is>
      </c>
      <c r="L35" s="19" t="n">
        <v>283</v>
      </c>
      <c r="M35" s="19" t="n">
        <v>644.23</v>
      </c>
      <c r="N35" s="16" t="n">
        <v>23</v>
      </c>
    </row>
    <row r="36">
      <c r="A36" s="17" t="inlineStr">
        <is>
          <t>GEECEE</t>
        </is>
      </c>
      <c r="B36" s="18" t="inlineStr">
        <is>
          <t>GEECEE</t>
        </is>
      </c>
      <c r="C36" s="18" t="inlineStr">
        <is>
          <t>unknown</t>
        </is>
      </c>
      <c r="D36" s="16" t="n">
        <v>9</v>
      </c>
      <c r="E36" s="16" t="n">
        <v>1</v>
      </c>
      <c r="F36" s="19" t="n">
        <v>0</v>
      </c>
      <c r="J36" s="17" t="inlineStr">
        <is>
          <t>BLISSGVS</t>
        </is>
      </c>
      <c r="K36" s="18" t="inlineStr">
        <is>
          <t>healthcare</t>
        </is>
      </c>
      <c r="L36" s="19" t="n">
        <v>282</v>
      </c>
      <c r="M36" s="19" t="n">
        <v>4492.33</v>
      </c>
      <c r="N36" s="16" t="n">
        <v>30</v>
      </c>
    </row>
    <row r="37">
      <c r="A37" s="17" t="inlineStr">
        <is>
          <t>MSTCLTD</t>
        </is>
      </c>
      <c r="B37" s="18" t="inlineStr">
        <is>
          <t>MSTC Ltd</t>
        </is>
      </c>
      <c r="C37" s="18" t="inlineStr">
        <is>
          <t>i.t</t>
        </is>
      </c>
      <c r="D37" s="16" t="n">
        <v>8</v>
      </c>
      <c r="E37" s="16" t="n">
        <v>0</v>
      </c>
      <c r="F37" s="19" t="n">
        <v>3912.48</v>
      </c>
      <c r="J37" s="17" t="inlineStr">
        <is>
          <t>VENUSREM</t>
        </is>
      </c>
      <c r="K37" s="18" t="inlineStr">
        <is>
          <t>healthcare</t>
        </is>
      </c>
      <c r="L37" s="19" t="n">
        <v>282</v>
      </c>
      <c r="M37" s="19" t="n">
        <v>2183.5</v>
      </c>
      <c r="N37" s="16" t="n">
        <v>23</v>
      </c>
    </row>
    <row r="38">
      <c r="A38" s="17" t="inlineStr">
        <is>
          <t>HITECHCORP</t>
        </is>
      </c>
      <c r="B38" s="18" t="inlineStr">
        <is>
          <t>Hitech Corporation</t>
        </is>
      </c>
      <c r="C38" s="18" t="inlineStr">
        <is>
          <t>industrials</t>
        </is>
      </c>
      <c r="D38" s="16" t="n">
        <v>8</v>
      </c>
      <c r="E38" s="16" t="n">
        <v>0</v>
      </c>
      <c r="F38" s="19" t="n">
        <v>540.4299999999999</v>
      </c>
      <c r="J38" s="17" t="inlineStr">
        <is>
          <t>RPTECH</t>
        </is>
      </c>
      <c r="K38" s="18" t="inlineStr">
        <is>
          <t>Technology</t>
        </is>
      </c>
      <c r="L38" s="19" t="n">
        <v>282</v>
      </c>
      <c r="M38" s="19" t="n">
        <v>3500.26</v>
      </c>
      <c r="N38" s="16" t="n">
        <v>28</v>
      </c>
    </row>
    <row r="39">
      <c r="A39" s="17" t="inlineStr">
        <is>
          <t>GANESHBE</t>
        </is>
      </c>
      <c r="B39" s="18" t="inlineStr">
        <is>
          <t>Ganesh Benzoplast Ltd</t>
        </is>
      </c>
      <c r="C39" s="18" t="inlineStr">
        <is>
          <t>miscellaneous</t>
        </is>
      </c>
      <c r="D39" s="16" t="n">
        <v>8</v>
      </c>
      <c r="E39" s="16" t="n">
        <v>2</v>
      </c>
      <c r="F39" s="19" t="n">
        <v>768.63</v>
      </c>
      <c r="J39" s="17" t="inlineStr">
        <is>
          <t>INDOBORAX</t>
        </is>
      </c>
      <c r="K39" s="18" t="inlineStr">
        <is>
          <t>chemicals</t>
        </is>
      </c>
      <c r="L39" s="19" t="n">
        <v>280</v>
      </c>
      <c r="M39" s="19" t="n">
        <v>1159.57</v>
      </c>
      <c r="N39" s="16" t="n">
        <v>30</v>
      </c>
    </row>
    <row r="40">
      <c r="A40" s="17" t="inlineStr">
        <is>
          <t>PANACEABIO</t>
        </is>
      </c>
      <c r="B40" s="18" t="inlineStr">
        <is>
          <t>Panacea Biotec Limited</t>
        </is>
      </c>
      <c r="C40" s="18" t="inlineStr">
        <is>
          <t>healthcare</t>
        </is>
      </c>
      <c r="D40" s="16" t="n">
        <v>8</v>
      </c>
      <c r="E40" s="16" t="n">
        <v>0</v>
      </c>
      <c r="F40" s="19" t="n">
        <v>3350.42</v>
      </c>
      <c r="J40" s="17" t="inlineStr">
        <is>
          <t>IOLCP</t>
        </is>
      </c>
      <c r="K40" s="18" t="inlineStr">
        <is>
          <t>healthcare</t>
        </is>
      </c>
      <c r="L40" s="19" t="n">
        <v>280</v>
      </c>
      <c r="M40" s="19" t="n">
        <v>3802.36</v>
      </c>
      <c r="N40" s="16" t="n">
        <v>28</v>
      </c>
    </row>
    <row r="41">
      <c r="A41" s="17" t="inlineStr">
        <is>
          <t>SVLL</t>
        </is>
      </c>
      <c r="B41" s="18" t="inlineStr">
        <is>
          <t>SVLL</t>
        </is>
      </c>
      <c r="C41" s="18" t="inlineStr">
        <is>
          <t>unknown</t>
        </is>
      </c>
      <c r="D41" s="16" t="n">
        <v>8</v>
      </c>
      <c r="E41" s="16" t="n">
        <v>0</v>
      </c>
      <c r="F41" s="19" t="n">
        <v>0</v>
      </c>
      <c r="J41" s="17" t="inlineStr">
        <is>
          <t>J&amp;KBANK</t>
        </is>
      </c>
      <c r="K41" s="18" t="inlineStr">
        <is>
          <t>bank</t>
        </is>
      </c>
      <c r="L41" s="19" t="n">
        <v>280</v>
      </c>
      <c r="M41" s="19" t="n">
        <v>16992.35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104.32</v>
      </c>
      <c r="D47" s="28" t="n">
        <v>248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28426.4</v>
      </c>
    </row>
    <row r="48">
      <c r="A48" s="16" t="n">
        <v>2</v>
      </c>
      <c r="B48" s="27" t="n">
        <v>99</v>
      </c>
      <c r="C48" s="28" t="n">
        <v>103.74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8094.69</v>
      </c>
    </row>
    <row r="49">
      <c r="A49" s="16" t="n">
        <v>3</v>
      </c>
      <c r="B49" s="27" t="n">
        <v>98</v>
      </c>
      <c r="C49" s="28" t="n">
        <v>81.5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20249.25</v>
      </c>
    </row>
    <row r="50">
      <c r="A50" s="16" t="n">
        <v>4</v>
      </c>
      <c r="B50" s="27" t="n">
        <v>98</v>
      </c>
      <c r="C50" s="28" t="n">
        <v>63.19</v>
      </c>
      <c r="D50" s="28" t="n">
        <v>255</v>
      </c>
      <c r="E50" s="17" t="inlineStr">
        <is>
          <t>MODISONLTD</t>
        </is>
      </c>
      <c r="F50" s="18" t="inlineStr">
        <is>
          <t>Modison Ltd</t>
        </is>
      </c>
      <c r="G50" s="18" t="inlineStr">
        <is>
          <t>industrials</t>
        </is>
      </c>
      <c r="H50" s="19" t="n">
        <v>1009.36</v>
      </c>
    </row>
    <row r="51">
      <c r="A51" s="16" t="n">
        <v>5</v>
      </c>
      <c r="B51" s="27" t="n">
        <v>97</v>
      </c>
      <c r="C51" s="28" t="n">
        <v>60.28</v>
      </c>
      <c r="D51" s="28" t="n">
        <v>280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7" t="n">
        <v>97</v>
      </c>
      <c r="C52" s="28" t="n">
        <v>58.71</v>
      </c>
      <c r="D52" s="28" t="n">
        <v>248</v>
      </c>
      <c r="E52" s="17" t="inlineStr">
        <is>
          <t>UFBL</t>
        </is>
      </c>
      <c r="F52" s="18" t="inlineStr">
        <is>
          <t>United Foodbrands Ltd</t>
        </is>
      </c>
      <c r="G52" s="18" t="inlineStr">
        <is>
          <t>consumer discretionary</t>
        </is>
      </c>
      <c r="H52" s="19" t="n">
        <v>2190.4</v>
      </c>
    </row>
    <row r="53">
      <c r="A53" s="16" t="n">
        <v>7</v>
      </c>
      <c r="B53" s="27" t="n">
        <v>97</v>
      </c>
      <c r="C53" s="28" t="n">
        <v>54.64</v>
      </c>
      <c r="D53" s="28" t="n">
        <v>282</v>
      </c>
      <c r="E53" s="17" t="inlineStr">
        <is>
          <t>VENUSREM</t>
        </is>
      </c>
      <c r="F53" s="18" t="inlineStr">
        <is>
          <t>Venus Remedies Limited</t>
        </is>
      </c>
      <c r="G53" s="18" t="inlineStr">
        <is>
          <t>healthcare</t>
        </is>
      </c>
      <c r="H53" s="19" t="n">
        <v>2183.5</v>
      </c>
    </row>
    <row r="54">
      <c r="A54" s="16" t="n">
        <v>8</v>
      </c>
      <c r="B54" s="27" t="n">
        <v>96</v>
      </c>
      <c r="C54" s="28" t="n">
        <v>53.53</v>
      </c>
      <c r="D54" s="28" t="n">
        <v>282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4492.33</v>
      </c>
    </row>
    <row r="55">
      <c r="A55" s="16" t="n">
        <v>9</v>
      </c>
      <c r="B55" s="27" t="n">
        <v>96</v>
      </c>
      <c r="C55" s="28" t="n">
        <v>48.67</v>
      </c>
      <c r="D55" s="28" t="n">
        <v>265</v>
      </c>
      <c r="E55" s="17" t="inlineStr">
        <is>
          <t>COCKERILL</t>
        </is>
      </c>
      <c r="F55" s="18" t="inlineStr">
        <is>
          <t>John Cockerill India Ltd</t>
        </is>
      </c>
      <c r="G55" s="18" t="inlineStr">
        <is>
          <t>Industrials</t>
        </is>
      </c>
      <c r="H55" s="19" t="n">
        <v>4769.88</v>
      </c>
    </row>
    <row r="56">
      <c r="A56" s="16" t="n">
        <v>10</v>
      </c>
      <c r="B56" s="27" t="n">
        <v>95</v>
      </c>
      <c r="C56" s="28" t="n">
        <v>48.55</v>
      </c>
      <c r="D56" s="28" t="n">
        <v>272</v>
      </c>
      <c r="E56" s="17" t="inlineStr">
        <is>
          <t>GVPIL</t>
        </is>
      </c>
      <c r="F56" s="18" t="inlineStr">
        <is>
          <t>GE Power India Ltd</t>
        </is>
      </c>
      <c r="G56" s="18" t="inlineStr">
        <is>
          <t>realty</t>
        </is>
      </c>
      <c r="H56" s="19" t="n">
        <v>6115.01</v>
      </c>
    </row>
    <row r="57">
      <c r="A57" s="16" t="n">
        <v>11</v>
      </c>
      <c r="B57" s="27" t="n">
        <v>95</v>
      </c>
      <c r="C57" s="28" t="n">
        <v>47.68</v>
      </c>
      <c r="D57" s="28" t="n">
        <v>252</v>
      </c>
      <c r="E57" s="17" t="inlineStr">
        <is>
          <t>HFCL</t>
        </is>
      </c>
      <c r="F57" s="18" t="inlineStr">
        <is>
          <t>HFCL Limited</t>
        </is>
      </c>
      <c r="G57" s="18" t="inlineStr">
        <is>
          <t>Technology</t>
        </is>
      </c>
      <c r="H57" s="19" t="n">
        <v>25047.35</v>
      </c>
    </row>
    <row r="58">
      <c r="A58" s="16" t="n">
        <v>12</v>
      </c>
      <c r="B58" s="29" t="n">
        <v>94</v>
      </c>
      <c r="C58" s="28" t="n">
        <v>47.36</v>
      </c>
      <c r="D58" s="28" t="n">
        <v>258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540.4299999999999</v>
      </c>
    </row>
    <row r="59">
      <c r="A59" s="16" t="n">
        <v>13</v>
      </c>
      <c r="B59" s="29" t="n">
        <v>94</v>
      </c>
      <c r="C59" s="28" t="n">
        <v>47.33</v>
      </c>
      <c r="D59" s="28" t="n">
        <v>285</v>
      </c>
      <c r="E59" s="17" t="inlineStr">
        <is>
          <t>IBULLSLTD</t>
        </is>
      </c>
      <c r="F59" s="18" t="inlineStr">
        <is>
          <t>Indiabulls Limited</t>
        </is>
      </c>
      <c r="G59" s="18" t="inlineStr">
        <is>
          <t>miscellaneous</t>
        </is>
      </c>
      <c r="H59" s="19" t="n">
        <v>5736.58</v>
      </c>
    </row>
    <row r="60">
      <c r="A60" s="16" t="n">
        <v>14</v>
      </c>
      <c r="B60" s="29" t="n">
        <v>94</v>
      </c>
      <c r="C60" s="28" t="n">
        <v>46.69</v>
      </c>
      <c r="D60" s="28" t="n">
        <v>203</v>
      </c>
      <c r="E60" s="17" t="inlineStr">
        <is>
          <t>DEEDEV</t>
        </is>
      </c>
      <c r="F60" s="18" t="inlineStr">
        <is>
          <t>DEE Development Engineers Ltd</t>
        </is>
      </c>
      <c r="G60" s="18" t="inlineStr">
        <is>
          <t>metals &amp; mining</t>
        </is>
      </c>
      <c r="H60" s="19" t="n">
        <v>4531.9</v>
      </c>
    </row>
    <row r="61">
      <c r="A61" s="16" t="n">
        <v>15</v>
      </c>
      <c r="B61" s="29" t="n">
        <v>93</v>
      </c>
      <c r="C61" s="28" t="n">
        <v>46.43</v>
      </c>
      <c r="D61" s="28" t="n">
        <v>265</v>
      </c>
      <c r="E61" s="17" t="inlineStr">
        <is>
          <t>NINSYS</t>
        </is>
      </c>
      <c r="F61" s="18" t="inlineStr">
        <is>
          <t>NINtec Systems Ltd</t>
        </is>
      </c>
      <c r="G61" s="18" t="inlineStr">
        <is>
          <t>i.t</t>
        </is>
      </c>
      <c r="H61" s="19" t="n">
        <v>1317.87</v>
      </c>
    </row>
    <row r="62">
      <c r="A62" s="16" t="n">
        <v>16</v>
      </c>
      <c r="B62" s="29" t="n">
        <v>93</v>
      </c>
      <c r="C62" s="28" t="n">
        <v>42.04</v>
      </c>
      <c r="D62" s="28" t="n">
        <v>287</v>
      </c>
      <c r="E62" s="17" t="inlineStr">
        <is>
          <t>BAJAJCON</t>
        </is>
      </c>
      <c r="F62" s="18" t="inlineStr">
        <is>
          <t>Bajaj Consumer Care Ltd</t>
        </is>
      </c>
      <c r="G62" s="18" t="inlineStr">
        <is>
          <t>fmcg</t>
        </is>
      </c>
      <c r="H62" s="19" t="n">
        <v>7351.2</v>
      </c>
    </row>
    <row r="63">
      <c r="A63" s="16" t="n">
        <v>17</v>
      </c>
      <c r="B63" s="29" t="n">
        <v>92</v>
      </c>
      <c r="C63" s="28" t="n">
        <v>41.71</v>
      </c>
      <c r="D63" s="28" t="n">
        <v>260</v>
      </c>
      <c r="E63" s="17" t="inlineStr">
        <is>
          <t>CEMPRO</t>
        </is>
      </c>
      <c r="F63" s="18" t="inlineStr">
        <is>
          <t>Cemindia Projects Ltd</t>
        </is>
      </c>
      <c r="G63" s="18" t="inlineStr">
        <is>
          <t>realty</t>
        </is>
      </c>
      <c r="H63" s="19" t="n">
        <v>21251.84</v>
      </c>
    </row>
    <row r="64">
      <c r="A64" s="16" t="n">
        <v>18</v>
      </c>
      <c r="B64" s="29" t="n">
        <v>92</v>
      </c>
      <c r="C64" s="28" t="n">
        <v>40.98</v>
      </c>
      <c r="D64" s="28" t="n">
        <v>252</v>
      </c>
      <c r="E64" s="17" t="inlineStr">
        <is>
          <t>APOLLO</t>
        </is>
      </c>
      <c r="F64" s="18" t="inlineStr">
        <is>
          <t>Apollo Micro Systems Limited</t>
        </is>
      </c>
      <c r="G64" s="18" t="inlineStr">
        <is>
          <t>Industrials</t>
        </is>
      </c>
      <c r="H64" s="19" t="n">
        <v>13769.37</v>
      </c>
    </row>
    <row r="65">
      <c r="A65" s="16" t="n">
        <v>19</v>
      </c>
      <c r="B65" s="29" t="n">
        <v>92</v>
      </c>
      <c r="C65" s="28" t="n">
        <v>39.07</v>
      </c>
      <c r="D65" s="28" t="n">
        <v>253</v>
      </c>
      <c r="E65" s="17" t="inlineStr">
        <is>
          <t>IDEAFORGE</t>
        </is>
      </c>
      <c r="F65" s="18" t="inlineStr">
        <is>
          <t>Ideaforge Technology Ltd</t>
        </is>
      </c>
      <c r="G65" s="18" t="inlineStr">
        <is>
          <t>aerospace &amp; defence</t>
        </is>
      </c>
      <c r="H65" s="19" t="n">
        <v>3967.1</v>
      </c>
    </row>
    <row r="66">
      <c r="A66" s="16" t="n">
        <v>20</v>
      </c>
      <c r="B66" s="29" t="n">
        <v>91</v>
      </c>
      <c r="C66" s="28" t="n">
        <v>38.96</v>
      </c>
      <c r="D66" s="28" t="n">
        <v>220</v>
      </c>
      <c r="E66" s="17" t="inlineStr">
        <is>
          <t>BBOX</t>
        </is>
      </c>
      <c r="F66" s="18" t="inlineStr">
        <is>
          <t>Black Box Ltd</t>
        </is>
      </c>
      <c r="G66" s="18" t="inlineStr">
        <is>
          <t>i.t</t>
        </is>
      </c>
      <c r="H66" s="19" t="n">
        <v>17974.94</v>
      </c>
    </row>
    <row r="67">
      <c r="A67" s="16" t="n">
        <v>21</v>
      </c>
      <c r="B67" s="29" t="n">
        <v>91</v>
      </c>
      <c r="C67" s="28" t="n">
        <v>38.49</v>
      </c>
      <c r="D67" s="28" t="n">
        <v>280</v>
      </c>
      <c r="E67" s="17" t="inlineStr">
        <is>
          <t>ATHERENERG</t>
        </is>
      </c>
      <c r="F67" s="18" t="inlineStr">
        <is>
          <t>Ather Energy Ltd</t>
        </is>
      </c>
      <c r="G67" s="18" t="inlineStr">
        <is>
          <t>auto</t>
        </is>
      </c>
      <c r="H67" s="19" t="n">
        <v>39874.54</v>
      </c>
    </row>
    <row r="68">
      <c r="A68" s="16" t="n">
        <v>22</v>
      </c>
      <c r="B68" s="29" t="n">
        <v>90</v>
      </c>
      <c r="C68" s="28" t="n">
        <v>37.34</v>
      </c>
      <c r="D68" s="28" t="n">
        <v>275</v>
      </c>
      <c r="E68" s="17" t="inlineStr">
        <is>
          <t>SYRMA</t>
        </is>
      </c>
      <c r="F68" s="18" t="inlineStr">
        <is>
          <t>Syrma SGS Technology Ltd</t>
        </is>
      </c>
      <c r="G68" s="18" t="inlineStr">
        <is>
          <t>consumer discretionary</t>
        </is>
      </c>
      <c r="H68" s="19" t="n">
        <v>23637.16</v>
      </c>
    </row>
    <row r="69">
      <c r="A69" s="16" t="n">
        <v>23</v>
      </c>
      <c r="B69" s="29" t="n">
        <v>90</v>
      </c>
      <c r="C69" s="28" t="n">
        <v>37</v>
      </c>
      <c r="D69" s="28" t="n">
        <v>243</v>
      </c>
      <c r="E69" s="17" t="inlineStr">
        <is>
          <t>AEROFLEX</t>
        </is>
      </c>
      <c r="F69" s="18" t="inlineStr">
        <is>
          <t>Aeroflex Industries Ltd</t>
        </is>
      </c>
      <c r="G69" s="18" t="inlineStr">
        <is>
          <t>metals &amp; mining</t>
        </is>
      </c>
      <c r="H69" s="19" t="n">
        <v>5479.82</v>
      </c>
    </row>
    <row r="70">
      <c r="A70" s="16" t="n">
        <v>24</v>
      </c>
      <c r="B70" s="29" t="n">
        <v>90</v>
      </c>
      <c r="C70" s="28" t="n">
        <v>36.75</v>
      </c>
      <c r="D70" s="28" t="n">
        <v>270</v>
      </c>
      <c r="E70" s="17" t="inlineStr">
        <is>
          <t>THANGAMAYL</t>
        </is>
      </c>
      <c r="F70" s="18" t="inlineStr">
        <is>
          <t>Thangamayil Jewellery Limited</t>
        </is>
      </c>
      <c r="G70" s="18" t="inlineStr">
        <is>
          <t>consumer discretionary</t>
        </is>
      </c>
      <c r="H70" s="19" t="n">
        <v>16921.36</v>
      </c>
    </row>
    <row r="7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AEGISLOG</t>
        </is>
      </c>
      <c r="B2" s="31" t="inlineStr">
        <is>
          <t>Aegis Logistics Ltd</t>
        </is>
      </c>
      <c r="C2" s="31" t="inlineStr">
        <is>
          <t>services</t>
        </is>
      </c>
      <c r="D2" s="31" t="inlineStr">
        <is>
          <t>trading</t>
        </is>
      </c>
      <c r="E2" s="31" t="inlineStr">
        <is>
          <t>largecap</t>
        </is>
      </c>
      <c r="F2" s="31" t="n">
        <v>28115.1</v>
      </c>
      <c r="G2" s="31" t="n">
        <v>925.9</v>
      </c>
      <c r="H2" s="31" t="n">
        <v>15.59</v>
      </c>
      <c r="I2" s="31" t="n">
        <v>40729363</v>
      </c>
      <c r="J2" s="31" t="inlineStr">
        <is>
          <t>500003</t>
        </is>
      </c>
    </row>
    <row r="3">
      <c r="A3" s="31" t="inlineStr">
        <is>
          <t>ABDL</t>
        </is>
      </c>
      <c r="B3" s="31" t="inlineStr">
        <is>
          <t>Allied Blenders &amp; Distillers Ltd</t>
        </is>
      </c>
      <c r="C3" s="31" t="inlineStr">
        <is>
          <t>fmcg</t>
        </is>
      </c>
      <c r="D3" s="31" t="inlineStr">
        <is>
          <t>breweries &amp; distilleries</t>
        </is>
      </c>
      <c r="E3" s="31" t="inlineStr">
        <is>
          <t>midcap</t>
        </is>
      </c>
      <c r="F3" s="31" t="n">
        <v>15991.03</v>
      </c>
      <c r="G3" s="31" t="n">
        <v>608.45</v>
      </c>
      <c r="H3" s="31" t="n">
        <v>6.43</v>
      </c>
      <c r="I3" s="31" t="n">
        <v>1306233</v>
      </c>
      <c r="J3" s="31" t="inlineStr">
        <is>
          <t>544203</t>
        </is>
      </c>
    </row>
    <row r="4">
      <c r="A4" s="31" t="inlineStr">
        <is>
          <t>HIRECT</t>
        </is>
      </c>
      <c r="B4" s="31" t="inlineStr">
        <is>
          <t>Hind Rectifiers Limited</t>
        </is>
      </c>
      <c r="C4" s="31" t="inlineStr">
        <is>
          <t>consumer discretionary</t>
        </is>
      </c>
      <c r="D4" s="31" t="inlineStr">
        <is>
          <t>electronics - components</t>
        </is>
      </c>
      <c r="E4" s="31" t="inlineStr">
        <is>
          <t>smallcap</t>
        </is>
      </c>
      <c r="F4" s="31" t="n">
        <v>3619.94</v>
      </c>
      <c r="G4" s="31" t="n">
        <v>1111.8</v>
      </c>
      <c r="H4" s="31" t="n">
        <v>5.55</v>
      </c>
      <c r="I4" s="31" t="n">
        <v>568515</v>
      </c>
      <c r="J4" s="31" t="inlineStr">
        <is>
          <t>504036</t>
        </is>
      </c>
    </row>
    <row r="5">
      <c r="A5" s="31" t="inlineStr">
        <is>
          <t>VENUSREM</t>
        </is>
      </c>
      <c r="B5" s="31" t="inlineStr">
        <is>
          <t>Venus Remedies Limited</t>
        </is>
      </c>
      <c r="C5" s="31" t="inlineStr">
        <is>
          <t>healthcare</t>
        </is>
      </c>
      <c r="D5" s="31" t="inlineStr">
        <is>
          <t>pharmaceuticals - indian - formulations</t>
        </is>
      </c>
      <c r="E5" s="31" t="inlineStr">
        <is>
          <t>smallcap</t>
        </is>
      </c>
      <c r="F5" s="31" t="n">
        <v>2183.5</v>
      </c>
      <c r="G5" s="31" t="n">
        <v>1715.1</v>
      </c>
      <c r="H5" s="31" t="n">
        <v>5</v>
      </c>
      <c r="I5" s="31" t="n">
        <v>176186</v>
      </c>
      <c r="J5" s="31" t="inlineStr">
        <is>
          <t>526953</t>
        </is>
      </c>
    </row>
    <row r="6">
      <c r="A6" s="31" t="inlineStr">
        <is>
          <t>SIGMAADV</t>
        </is>
      </c>
      <c r="B6" s="31" t="inlineStr">
        <is>
          <t>Sigma Advanced System Ltd</t>
        </is>
      </c>
      <c r="C6" s="31" t="inlineStr">
        <is>
          <t>aerospace &amp; defence</t>
        </is>
      </c>
      <c r="D6" s="31" t="inlineStr">
        <is>
          <t>electronics - components</t>
        </is>
      </c>
      <c r="E6" s="31" t="inlineStr">
        <is>
          <t>midcap</t>
        </is>
      </c>
      <c r="F6" s="31" t="n">
        <v>8094.69</v>
      </c>
      <c r="G6" s="31" t="n">
        <v>482.25</v>
      </c>
      <c r="H6" s="31" t="n">
        <v>5</v>
      </c>
      <c r="I6" s="31" t="n">
        <v>830361</v>
      </c>
      <c r="J6" s="31" t="inlineStr">
        <is>
          <t>532408</t>
        </is>
      </c>
    </row>
    <row r="7">
      <c r="A7" s="31" t="inlineStr">
        <is>
          <t>ANTELOPUS</t>
        </is>
      </c>
      <c r="B7" s="31" t="inlineStr">
        <is>
          <t>Antelopus Selan Energy Ltd</t>
        </is>
      </c>
      <c r="C7" s="31" t="inlineStr">
        <is>
          <t>energy</t>
        </is>
      </c>
      <c r="D7" s="31" t="inlineStr">
        <is>
          <t>oil drilling / allied services</t>
        </is>
      </c>
      <c r="E7" s="31" t="inlineStr">
        <is>
          <t>smallcap</t>
        </is>
      </c>
      <c r="F7" s="31" t="n">
        <v>2879.09</v>
      </c>
      <c r="G7" s="31" t="n">
        <v>859.65</v>
      </c>
      <c r="H7" s="31" t="n">
        <v>4.99</v>
      </c>
      <c r="I7" s="31" t="n">
        <v>145234</v>
      </c>
      <c r="J7" s="31" t="inlineStr">
        <is>
          <t>530075</t>
        </is>
      </c>
    </row>
    <row r="8">
      <c r="A8" s="31" t="inlineStr">
        <is>
          <t>DIFFNKG</t>
        </is>
      </c>
      <c r="B8" s="31" t="inlineStr">
        <is>
          <t>Diffusion Engineers Ltd</t>
        </is>
      </c>
      <c r="C8" s="31" t="inlineStr">
        <is>
          <t>industrials</t>
        </is>
      </c>
      <c r="D8" s="31" t="inlineStr">
        <is>
          <t>electrodes - welding equipment</t>
        </is>
      </c>
      <c r="E8" s="31" t="inlineStr">
        <is>
          <t>smallcap</t>
        </is>
      </c>
      <c r="F8" s="31" t="n">
        <v>1296.82</v>
      </c>
      <c r="G8" s="31" t="n">
        <v>362.4</v>
      </c>
      <c r="H8" s="31" t="n">
        <v>4.59</v>
      </c>
      <c r="I8" s="31" t="n">
        <v>346172</v>
      </c>
      <c r="J8" s="31" t="inlineStr">
        <is>
          <t>544264</t>
        </is>
      </c>
    </row>
    <row r="9">
      <c r="A9" s="31" t="inlineStr">
        <is>
          <t>INNOVACAP</t>
        </is>
      </c>
      <c r="B9" s="31" t="inlineStr">
        <is>
          <t>Innova Captab Ltd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midcap</t>
        </is>
      </c>
      <c r="F9" s="31" t="n">
        <v>5208.04</v>
      </c>
      <c r="G9" s="31" t="n">
        <v>950.75</v>
      </c>
      <c r="H9" s="31" t="n">
        <v>4.47</v>
      </c>
      <c r="I9" s="31" t="n">
        <v>396483</v>
      </c>
      <c r="J9" s="31" t="inlineStr">
        <is>
          <t>544067</t>
        </is>
      </c>
    </row>
    <row r="10">
      <c r="A10" s="31" t="inlineStr">
        <is>
          <t>SENORES</t>
        </is>
      </c>
      <c r="B10" s="31" t="inlineStr">
        <is>
          <t>Senores Pharmaceuticals Ltd</t>
        </is>
      </c>
      <c r="C10" s="31" t="inlineStr">
        <is>
          <t>healthcare</t>
        </is>
      </c>
      <c r="D10" s="31" t="inlineStr">
        <is>
          <t>pharmaceuticals - indian - formulations</t>
        </is>
      </c>
      <c r="E10" s="31" t="inlineStr">
        <is>
          <t>midcap</t>
        </is>
      </c>
      <c r="F10" s="31" t="n">
        <v>5123.92</v>
      </c>
      <c r="G10" s="31" t="n">
        <v>1160.7</v>
      </c>
      <c r="H10" s="31" t="n">
        <v>4.32</v>
      </c>
      <c r="I10" s="31" t="n">
        <v>780945</v>
      </c>
      <c r="J10" s="31" t="inlineStr">
        <is>
          <t>544319</t>
        </is>
      </c>
    </row>
    <row r="11">
      <c r="A11" s="31" t="inlineStr">
        <is>
          <t>GREENPLY</t>
        </is>
      </c>
      <c r="B11" s="31" t="inlineStr">
        <is>
          <t>Greenply Industries Limited</t>
        </is>
      </c>
      <c r="C11" s="31" t="inlineStr">
        <is>
          <t>building materials</t>
        </is>
      </c>
      <c r="D11" s="31" t="inlineStr">
        <is>
          <t>miscellaneous</t>
        </is>
      </c>
      <c r="E11" s="31" t="inlineStr">
        <is>
          <t>smallcap</t>
        </is>
      </c>
      <c r="F11" s="31" t="n">
        <v>3512.37</v>
      </c>
      <c r="G11" s="31" t="n">
        <v>292.5</v>
      </c>
      <c r="H11" s="31" t="n">
        <v>4.01</v>
      </c>
      <c r="I11" s="31" t="n">
        <v>731685</v>
      </c>
      <c r="J11" s="31" t="inlineStr">
        <is>
          <t>526797</t>
        </is>
      </c>
    </row>
    <row r="12">
      <c r="A12" s="31" t="inlineStr">
        <is>
          <t>PRUDENT</t>
        </is>
      </c>
      <c r="B12" s="31" t="inlineStr">
        <is>
          <t>Prudent Corporate Advisory Services Ltd</t>
        </is>
      </c>
      <c r="C12" s="31" t="inlineStr">
        <is>
          <t>financials</t>
        </is>
      </c>
      <c r="D12" s="31" t="inlineStr">
        <is>
          <t>finance &amp; investments</t>
        </is>
      </c>
      <c r="E12" s="31" t="inlineStr">
        <is>
          <t>midcap</t>
        </is>
      </c>
      <c r="F12" s="31" t="n">
        <v>11272.55</v>
      </c>
      <c r="G12" s="31" t="n">
        <v>2816.9</v>
      </c>
      <c r="H12" s="31" t="n">
        <v>3.47</v>
      </c>
      <c r="I12" s="31" t="n">
        <v>33494</v>
      </c>
      <c r="J12" s="31" t="inlineStr">
        <is>
          <t>543527</t>
        </is>
      </c>
    </row>
    <row r="13">
      <c r="A13" s="31" t="inlineStr">
        <is>
          <t>APARINDS</t>
        </is>
      </c>
      <c r="B13" s="31" t="inlineStr">
        <is>
          <t>Apar Industries Limited</t>
        </is>
      </c>
      <c r="C13" s="31" t="inlineStr">
        <is>
          <t>industrials</t>
        </is>
      </c>
      <c r="D13" s="31" t="inlineStr">
        <is>
          <t>electric equipment</t>
        </is>
      </c>
      <c r="E13" s="31" t="inlineStr">
        <is>
          <t>largecap</t>
        </is>
      </c>
      <c r="F13" s="31" t="n">
        <v>56577.07</v>
      </c>
      <c r="G13" s="31" t="n">
        <v>14551</v>
      </c>
      <c r="H13" s="31" t="n">
        <v>3.31</v>
      </c>
      <c r="I13" s="31" t="n">
        <v>424301</v>
      </c>
      <c r="J13" s="31" t="inlineStr">
        <is>
          <t>532259</t>
        </is>
      </c>
    </row>
    <row r="14">
      <c r="A14" s="31" t="inlineStr">
        <is>
          <t>SIS</t>
        </is>
      </c>
      <c r="B14" s="31" t="inlineStr">
        <is>
          <t>Security &amp; Intelligence Services India</t>
        </is>
      </c>
      <c r="C14" s="31" t="inlineStr">
        <is>
          <t>miscellaneous</t>
        </is>
      </c>
      <c r="D14" s="31" t="inlineStr">
        <is>
          <t>miscellaneous</t>
        </is>
      </c>
      <c r="E14" s="31" t="inlineStr">
        <is>
          <t>midcap</t>
        </is>
      </c>
      <c r="F14" s="31" t="n">
        <v>5869.15</v>
      </c>
      <c r="G14" s="31" t="n">
        <v>428.65</v>
      </c>
      <c r="H14" s="31" t="n">
        <v>3.18</v>
      </c>
      <c r="I14" s="31" t="n">
        <v>376563</v>
      </c>
      <c r="J14" s="31" t="inlineStr">
        <is>
          <t>540673</t>
        </is>
      </c>
    </row>
    <row r="15">
      <c r="A15" s="31" t="inlineStr">
        <is>
          <t>MODISONLTD</t>
        </is>
      </c>
      <c r="B15" s="31" t="inlineStr">
        <is>
          <t>Modison Ltd</t>
        </is>
      </c>
      <c r="C15" s="31" t="inlineStr">
        <is>
          <t>industrials</t>
        </is>
      </c>
      <c r="D15" s="31" t="inlineStr">
        <is>
          <t>electric equipment</t>
        </is>
      </c>
      <c r="E15" s="31" t="inlineStr">
        <is>
          <t>smallcap</t>
        </is>
      </c>
      <c r="F15" s="31" t="n">
        <v>1009.36</v>
      </c>
      <c r="G15" s="31" t="n">
        <v>320.95</v>
      </c>
      <c r="H15" s="31" t="n">
        <v>3.18</v>
      </c>
      <c r="I15" s="31" t="n">
        <v>559387</v>
      </c>
      <c r="J15" s="31" t="inlineStr">
        <is>
          <t>506261</t>
        </is>
      </c>
    </row>
    <row r="16">
      <c r="A16" s="31" t="inlineStr">
        <is>
          <t>YASHO</t>
        </is>
      </c>
      <c r="B16" s="31" t="inlineStr">
        <is>
          <t>Yasho Industries Ltd</t>
        </is>
      </c>
      <c r="C16" s="31" t="inlineStr">
        <is>
          <t>chemicals</t>
        </is>
      </c>
      <c r="D16" s="31" t="inlineStr">
        <is>
          <t>chemicals</t>
        </is>
      </c>
      <c r="E16" s="31" t="inlineStr">
        <is>
          <t>smallcap</t>
        </is>
      </c>
      <c r="F16" s="31" t="n">
        <v>2984.25</v>
      </c>
      <c r="G16" s="31" t="n">
        <v>2553.2</v>
      </c>
      <c r="H16" s="31" t="n">
        <v>3.16</v>
      </c>
      <c r="I16" s="31" t="n">
        <v>23524</v>
      </c>
      <c r="J16" s="31" t="inlineStr">
        <is>
          <t>541167</t>
        </is>
      </c>
    </row>
    <row r="17">
      <c r="A17" s="31" t="inlineStr">
        <is>
          <t>ELECTHERM</t>
        </is>
      </c>
      <c r="B17" s="31" t="inlineStr">
        <is>
          <t>Electrotherm (india) Limited</t>
        </is>
      </c>
      <c r="C17" s="31" t="inlineStr">
        <is>
          <t>metals &amp; mining</t>
        </is>
      </c>
      <c r="D17" s="31" t="inlineStr">
        <is>
          <t>steel - medium / small</t>
        </is>
      </c>
      <c r="E17" s="31" t="inlineStr">
        <is>
          <t>smallcap</t>
        </is>
      </c>
      <c r="F17" s="31" t="n">
        <v>1461.35</v>
      </c>
      <c r="G17" s="31" t="n">
        <v>1182.65</v>
      </c>
      <c r="H17" s="31" t="n">
        <v>3.13</v>
      </c>
      <c r="I17" s="31" t="n">
        <v>533410</v>
      </c>
      <c r="J17" s="31" t="inlineStr">
        <is>
          <t>526608</t>
        </is>
      </c>
    </row>
    <row r="18">
      <c r="A18" s="31" t="inlineStr">
        <is>
          <t>CUPID</t>
        </is>
      </c>
      <c r="B18" s="31" t="inlineStr">
        <is>
          <t>Cupid Limited</t>
        </is>
      </c>
      <c r="C18" s="31" t="inlineStr">
        <is>
          <t>fmcg</t>
        </is>
      </c>
      <c r="D18" s="31" t="inlineStr">
        <is>
          <t>personal care - indian</t>
        </is>
      </c>
      <c r="E18" s="31" t="inlineStr">
        <is>
          <t>largecap</t>
        </is>
      </c>
      <c r="F18" s="31" t="n">
        <v>20249.25</v>
      </c>
      <c r="G18" s="31" t="n">
        <v>155.18</v>
      </c>
      <c r="H18" s="31" t="n">
        <v>3.05</v>
      </c>
      <c r="I18" s="31" t="n">
        <v>46400839</v>
      </c>
      <c r="J18" s="31" t="inlineStr">
        <is>
          <t>530843</t>
        </is>
      </c>
    </row>
    <row r="19">
      <c r="A19" s="31" t="inlineStr">
        <is>
          <t>DIVGIITTS</t>
        </is>
      </c>
      <c r="B19" s="31" t="inlineStr">
        <is>
          <t>Divgi Torqtransfer Systems Ltd</t>
        </is>
      </c>
      <c r="C19" s="31" t="inlineStr">
        <is>
          <t>auto</t>
        </is>
      </c>
      <c r="D19" s="31" t="inlineStr">
        <is>
          <t>auto ancillaries</t>
        </is>
      </c>
      <c r="E19" s="31" t="inlineStr">
        <is>
          <t>smallcap</t>
        </is>
      </c>
      <c r="F19" s="31" t="n">
        <v>2381.03</v>
      </c>
      <c r="G19" s="31" t="n">
        <v>801.7</v>
      </c>
      <c r="H19" s="31" t="n">
        <v>2.97</v>
      </c>
      <c r="I19" s="31" t="n">
        <v>41279</v>
      </c>
      <c r="J19" s="31" t="inlineStr">
        <is>
          <t>543812</t>
        </is>
      </c>
    </row>
    <row r="20">
      <c r="A20" s="31" t="inlineStr">
        <is>
          <t>GALAPREC</t>
        </is>
      </c>
      <c r="B20" s="31" t="inlineStr">
        <is>
          <t>Gala Precision Engineering Ltd</t>
        </is>
      </c>
      <c r="C20" s="31" t="inlineStr">
        <is>
          <t>industrials</t>
        </is>
      </c>
      <c r="D20" s="31" t="inlineStr">
        <is>
          <t>fasteners</t>
        </is>
      </c>
      <c r="E20" s="31" t="inlineStr">
        <is>
          <t>smallcap</t>
        </is>
      </c>
      <c r="F20" s="31" t="n">
        <v>1140.64</v>
      </c>
      <c r="G20" s="31" t="n">
        <v>920.8</v>
      </c>
      <c r="H20" s="31" t="n">
        <v>2.93</v>
      </c>
      <c r="I20" s="31" t="n">
        <v>26140</v>
      </c>
      <c r="J20" s="31" t="inlineStr">
        <is>
          <t>544244</t>
        </is>
      </c>
    </row>
    <row r="21">
      <c r="A21" s="31" t="inlineStr">
        <is>
          <t>AKUMS</t>
        </is>
      </c>
      <c r="B21" s="31" t="inlineStr">
        <is>
          <t>Akums Drugs &amp; Pharmaceuticals Ltd</t>
        </is>
      </c>
      <c r="C21" s="31" t="inlineStr">
        <is>
          <t>healthcare</t>
        </is>
      </c>
      <c r="D21" s="31" t="inlineStr">
        <is>
          <t>pharmaceuticals - indian - bulk drugs &amp; formln</t>
        </is>
      </c>
      <c r="E21" s="31" t="inlineStr">
        <is>
          <t>midcap</t>
        </is>
      </c>
      <c r="F21" s="31" t="n">
        <v>9319.299999999999</v>
      </c>
      <c r="G21" s="31" t="n">
        <v>609.1</v>
      </c>
      <c r="H21" s="31" t="n">
        <v>2.87</v>
      </c>
      <c r="I21" s="31" t="n">
        <v>1988455</v>
      </c>
      <c r="J21" s="31" t="inlineStr">
        <is>
          <t>544222</t>
        </is>
      </c>
    </row>
    <row r="22">
      <c r="A22" s="31" t="inlineStr">
        <is>
          <t>BLISSGVS</t>
        </is>
      </c>
      <c r="B22" s="31" t="inlineStr">
        <is>
          <t>Bliss Gvs Pharma Limited</t>
        </is>
      </c>
      <c r="C22" s="31" t="inlineStr">
        <is>
          <t>healthcare</t>
        </is>
      </c>
      <c r="D22" s="31" t="inlineStr">
        <is>
          <t>pharmaceuticals - indian - formulations</t>
        </is>
      </c>
      <c r="E22" s="31" t="inlineStr">
        <is>
          <t>smallcap</t>
        </is>
      </c>
      <c r="F22" s="31" t="n">
        <v>4492.33</v>
      </c>
      <c r="G22" s="31" t="n">
        <v>436.55</v>
      </c>
      <c r="H22" s="31" t="n">
        <v>2.8</v>
      </c>
      <c r="I22" s="31" t="n">
        <v>1122515</v>
      </c>
      <c r="J22" s="31" t="inlineStr">
        <is>
          <t>506197</t>
        </is>
      </c>
    </row>
    <row r="23">
      <c r="A23" s="31" t="inlineStr">
        <is>
          <t>CENTUM</t>
        </is>
      </c>
      <c r="B23" s="31" t="inlineStr">
        <is>
          <t>Centum Electronics Limited</t>
        </is>
      </c>
      <c r="C23" s="31" t="inlineStr">
        <is>
          <t>consumer discretionary</t>
        </is>
      </c>
      <c r="D23" s="31" t="inlineStr">
        <is>
          <t>electronics - components</t>
        </is>
      </c>
      <c r="E23" s="31" t="inlineStr">
        <is>
          <t>smallcap</t>
        </is>
      </c>
      <c r="F23" s="31" t="n">
        <v>4870.42</v>
      </c>
      <c r="G23" s="31" t="n">
        <v>3389.8</v>
      </c>
      <c r="H23" s="31" t="n">
        <v>2.6</v>
      </c>
      <c r="I23" s="31" t="n">
        <v>87006</v>
      </c>
      <c r="J23" s="31" t="inlineStr">
        <is>
          <t>517544</t>
        </is>
      </c>
    </row>
    <row r="24">
      <c r="A24" s="31" t="inlineStr">
        <is>
          <t>CEIGALL</t>
        </is>
      </c>
      <c r="B24" s="31" t="inlineStr">
        <is>
          <t>Ceigall India Ltd</t>
        </is>
      </c>
      <c r="C24" s="31" t="inlineStr">
        <is>
          <t>realty</t>
        </is>
      </c>
      <c r="D24" s="31" t="inlineStr">
        <is>
          <t>construction</t>
        </is>
      </c>
      <c r="E24" s="31" t="inlineStr">
        <is>
          <t>midcap</t>
        </is>
      </c>
      <c r="F24" s="31" t="n">
        <v>6286.18</v>
      </c>
      <c r="G24" s="31" t="n">
        <v>369.95</v>
      </c>
      <c r="H24" s="31" t="n">
        <v>2.52</v>
      </c>
      <c r="I24" s="31" t="n">
        <v>1201400</v>
      </c>
      <c r="J24" s="31" t="inlineStr">
        <is>
          <t>544223</t>
        </is>
      </c>
    </row>
    <row r="25">
      <c r="A25" s="31" t="inlineStr">
        <is>
          <t>WHEELS</t>
        </is>
      </c>
      <c r="B25" s="31" t="inlineStr">
        <is>
          <t>Wheels India Limited</t>
        </is>
      </c>
      <c r="C25" s="31" t="inlineStr">
        <is>
          <t>auto</t>
        </is>
      </c>
      <c r="D25" s="31" t="inlineStr">
        <is>
          <t>auto ancillaries</t>
        </is>
      </c>
      <c r="E25" s="31" t="inlineStr">
        <is>
          <t>smallcap</t>
        </is>
      </c>
      <c r="F25" s="31" t="n">
        <v>3869.21</v>
      </c>
      <c r="G25" s="31" t="n">
        <v>1622.2</v>
      </c>
      <c r="H25" s="31" t="n">
        <v>2.44</v>
      </c>
      <c r="I25" s="31" t="n">
        <v>224905</v>
      </c>
      <c r="J25" s="31" t="inlineStr">
        <is>
          <t>590073</t>
        </is>
      </c>
    </row>
    <row r="26">
      <c r="A26" s="31" t="inlineStr">
        <is>
          <t>TORNTPHARM</t>
        </is>
      </c>
      <c r="B26" s="31" t="inlineStr">
        <is>
          <t>Torrent Pharmaceuticals Limited</t>
        </is>
      </c>
      <c r="C26" s="31" t="inlineStr">
        <is>
          <t>healthcare</t>
        </is>
      </c>
      <c r="D26" s="31" t="inlineStr">
        <is>
          <t>pharmaceuticals - indian - formulations</t>
        </is>
      </c>
      <c r="E26" s="31" t="inlineStr">
        <is>
          <t>largecap</t>
        </is>
      </c>
      <c r="F26" s="31" t="n">
        <v>151071.89</v>
      </c>
      <c r="G26" s="31" t="n">
        <v>4572.2</v>
      </c>
      <c r="H26" s="31" t="n">
        <v>2.43</v>
      </c>
      <c r="I26" s="31" t="n">
        <v>830928</v>
      </c>
      <c r="J26" s="31" t="inlineStr">
        <is>
          <t>500420</t>
        </is>
      </c>
    </row>
    <row r="27">
      <c r="A27" s="31" t="inlineStr">
        <is>
          <t>SILVERTUC</t>
        </is>
      </c>
      <c r="B27" s="31" t="inlineStr">
        <is>
          <t>Silver Touch Technologies Ltd</t>
        </is>
      </c>
      <c r="C27" s="31" t="inlineStr">
        <is>
          <t>i.t</t>
        </is>
      </c>
      <c r="D27" s="31" t="inlineStr">
        <is>
          <t>computers - software - medium / small</t>
        </is>
      </c>
      <c r="E27" s="31" t="inlineStr">
        <is>
          <t>smallcap</t>
        </is>
      </c>
      <c r="F27" s="31" t="n">
        <v>2345.1</v>
      </c>
      <c r="G27" s="31" t="n">
        <v>189.37</v>
      </c>
      <c r="H27" s="31" t="n">
        <v>2.4</v>
      </c>
      <c r="I27" s="31" t="n">
        <v>591438</v>
      </c>
      <c r="J27" s="31" t="inlineStr">
        <is>
          <t>535031</t>
        </is>
      </c>
    </row>
    <row r="28">
      <c r="A28" s="31" t="inlineStr">
        <is>
          <t>AVALON</t>
        </is>
      </c>
      <c r="B28" s="31" t="inlineStr">
        <is>
          <t>Avalon Technologies Ltd</t>
        </is>
      </c>
      <c r="C28" s="31" t="inlineStr">
        <is>
          <t>consumer discretionary</t>
        </is>
      </c>
      <c r="D28" s="31" t="inlineStr">
        <is>
          <t>electronics - components</t>
        </is>
      </c>
      <c r="E28" s="31" t="inlineStr">
        <is>
          <t>midcap</t>
        </is>
      </c>
      <c r="F28" s="31" t="n">
        <v>10231.91</v>
      </c>
      <c r="G28" s="31" t="n">
        <v>1568.2</v>
      </c>
      <c r="H28" s="31" t="n">
        <v>2.33</v>
      </c>
      <c r="I28" s="31" t="n">
        <v>523120</v>
      </c>
      <c r="J28" s="31" t="inlineStr">
        <is>
          <t>543896</t>
        </is>
      </c>
    </row>
    <row r="29">
      <c r="A29" s="31" t="inlineStr">
        <is>
          <t>JBCHEPHARM</t>
        </is>
      </c>
      <c r="B29" s="31" t="inlineStr">
        <is>
          <t>Jb Chemicals &amp; Pharmaceuticals Limited</t>
        </is>
      </c>
      <c r="C29" s="31" t="inlineStr">
        <is>
          <t>healthcare</t>
        </is>
      </c>
      <c r="D29" s="31" t="inlineStr">
        <is>
          <t>pharmaceuticals - indian - bulk drugs &amp; formln</t>
        </is>
      </c>
      <c r="E29" s="31" t="inlineStr">
        <is>
          <t>largecap</t>
        </is>
      </c>
      <c r="F29" s="31" t="n">
        <v>35347</v>
      </c>
      <c r="G29" s="31" t="n">
        <v>2252.7</v>
      </c>
      <c r="H29" s="31" t="n">
        <v>2.33</v>
      </c>
      <c r="I29" s="31" t="n">
        <v>395798</v>
      </c>
      <c r="J29" s="31" t="inlineStr">
        <is>
          <t>506943</t>
        </is>
      </c>
    </row>
    <row r="30">
      <c r="A30" s="31" t="inlineStr">
        <is>
          <t>SANDHAR</t>
        </is>
      </c>
      <c r="B30" s="31" t="inlineStr">
        <is>
          <t>Sandhar Technologies Limited</t>
        </is>
      </c>
      <c r="C30" s="31" t="inlineStr">
        <is>
          <t>auto</t>
        </is>
      </c>
      <c r="D30" s="31" t="inlineStr">
        <is>
          <t>auto ancillaries</t>
        </is>
      </c>
      <c r="E30" s="31" t="inlineStr">
        <is>
          <t>smallcap</t>
        </is>
      </c>
      <c r="F30" s="31" t="n">
        <v>4324.4</v>
      </c>
      <c r="G30" s="31" t="n">
        <v>734.65</v>
      </c>
      <c r="H30" s="31" t="n">
        <v>2.25</v>
      </c>
      <c r="I30" s="31" t="n">
        <v>787513</v>
      </c>
      <c r="J30" s="31" t="inlineStr">
        <is>
          <t>541163</t>
        </is>
      </c>
    </row>
    <row r="31">
      <c r="A31" s="31" t="inlineStr">
        <is>
          <t>BALRAMCHIN</t>
        </is>
      </c>
      <c r="B31" s="31" t="inlineStr">
        <is>
          <t>Balrampur Chini Mills Limited</t>
        </is>
      </c>
      <c r="C31" s="31" t="inlineStr">
        <is>
          <t>fmcg</t>
        </is>
      </c>
      <c r="D31" s="31" t="inlineStr">
        <is>
          <t>sugar</t>
        </is>
      </c>
      <c r="E31" s="31" t="inlineStr">
        <is>
          <t>midcap</t>
        </is>
      </c>
      <c r="F31" s="31" t="n">
        <v>10835.65</v>
      </c>
      <c r="G31" s="31" t="n">
        <v>548.55</v>
      </c>
      <c r="H31" s="31" t="n">
        <v>2.24</v>
      </c>
      <c r="I31" s="31" t="n">
        <v>1060977</v>
      </c>
      <c r="J31" s="31" t="inlineStr">
        <is>
          <t>500038</t>
        </is>
      </c>
    </row>
    <row r="32">
      <c r="A32" s="31" t="inlineStr">
        <is>
          <t>SHRIPISTON</t>
        </is>
      </c>
      <c r="B32" s="31" t="inlineStr">
        <is>
          <t>Shriram Pistons &amp; Rings Limited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midcap</t>
        </is>
      </c>
      <c r="F32" s="31" t="n">
        <v>15086.18</v>
      </c>
      <c r="G32" s="31" t="n">
        <v>3501.2</v>
      </c>
      <c r="H32" s="31" t="n">
        <v>2.23</v>
      </c>
      <c r="I32" s="31" t="n">
        <v>84713</v>
      </c>
      <c r="J32" s="31" t="n"/>
    </row>
    <row r="33">
      <c r="A33" s="31" t="inlineStr">
        <is>
          <t>AJANTPHARM</t>
        </is>
      </c>
      <c r="B33" s="31" t="inlineStr">
        <is>
          <t>Ajanta Pharma Limited</t>
        </is>
      </c>
      <c r="C33" s="31" t="inlineStr">
        <is>
          <t>healthcare</t>
        </is>
      </c>
      <c r="D33" s="31" t="inlineStr">
        <is>
          <t>pharmaceuticals - indian - formulations</t>
        </is>
      </c>
      <c r="E33" s="31" t="inlineStr">
        <is>
          <t>largecap</t>
        </is>
      </c>
      <c r="F33" s="31" t="n">
        <v>38416.46</v>
      </c>
      <c r="G33" s="31" t="n">
        <v>3143.4</v>
      </c>
      <c r="H33" s="31" t="n">
        <v>2.23</v>
      </c>
      <c r="I33" s="31" t="n">
        <v>192433</v>
      </c>
      <c r="J33" s="31" t="inlineStr">
        <is>
          <t>532331</t>
        </is>
      </c>
    </row>
    <row r="34">
      <c r="A34" s="31" t="inlineStr">
        <is>
          <t>SPORTKING</t>
        </is>
      </c>
      <c r="B34" s="31" t="inlineStr">
        <is>
          <t>Sportking India Ltd</t>
        </is>
      </c>
      <c r="C34" s="31" t="inlineStr">
        <is>
          <t>textiles</t>
        </is>
      </c>
      <c r="D34" s="31" t="inlineStr">
        <is>
          <t>textiles - spinning - synthetic / blended</t>
        </is>
      </c>
      <c r="E34" s="31" t="inlineStr">
        <is>
          <t>smallcap</t>
        </is>
      </c>
      <c r="F34" s="31" t="n">
        <v>2160.61</v>
      </c>
      <c r="G34" s="31" t="n">
        <v>173.61</v>
      </c>
      <c r="H34" s="31" t="n">
        <v>2.11</v>
      </c>
      <c r="I34" s="31" t="n">
        <v>234255</v>
      </c>
      <c r="J34" s="31" t="inlineStr">
        <is>
          <t>539221</t>
        </is>
      </c>
    </row>
    <row r="35">
      <c r="A35" s="31" t="inlineStr">
        <is>
          <t>IDEA</t>
        </is>
      </c>
      <c r="B35" s="31" t="inlineStr">
        <is>
          <t>Vodafone Idea Ltd</t>
        </is>
      </c>
      <c r="C35" s="31" t="inlineStr">
        <is>
          <t>telecom-service</t>
        </is>
      </c>
      <c r="D35" s="31" t="inlineStr">
        <is>
          <t>telecommunications - service provider</t>
        </is>
      </c>
      <c r="E35" s="31" t="inlineStr">
        <is>
          <t>largecap</t>
        </is>
      </c>
      <c r="F35" s="31" t="n">
        <v>150380.13</v>
      </c>
      <c r="G35" s="31" t="n">
        <v>14.17</v>
      </c>
      <c r="H35" s="31" t="n">
        <v>2.09</v>
      </c>
      <c r="I35" s="31" t="n">
        <v>802424304</v>
      </c>
      <c r="J35" s="31" t="inlineStr">
        <is>
          <t>532822</t>
        </is>
      </c>
    </row>
    <row r="36">
      <c r="A36" s="31" t="inlineStr">
        <is>
          <t>STEL</t>
        </is>
      </c>
      <c r="B36" s="31" t="inlineStr">
        <is>
          <t>Stel Holdings Limited</t>
        </is>
      </c>
      <c r="C36" s="31" t="inlineStr">
        <is>
          <t>financials</t>
        </is>
      </c>
      <c r="D36" s="31" t="inlineStr">
        <is>
          <t>finance &amp; investments</t>
        </is>
      </c>
      <c r="E36" s="31" t="inlineStr">
        <is>
          <t>smallcap</t>
        </is>
      </c>
      <c r="F36" s="31" t="n">
        <v>985.0599999999999</v>
      </c>
      <c r="G36" s="31" t="n">
        <v>543.8</v>
      </c>
      <c r="H36" s="31" t="n">
        <v>1.88</v>
      </c>
      <c r="I36" s="31" t="n">
        <v>17400</v>
      </c>
      <c r="J36" s="31" t="n"/>
    </row>
    <row r="37">
      <c r="A37" s="31" t="inlineStr">
        <is>
          <t>MENONBE</t>
        </is>
      </c>
      <c r="B37" s="31" t="inlineStr">
        <is>
          <t>Menon Bearings Limited</t>
        </is>
      </c>
      <c r="C37" s="31" t="inlineStr">
        <is>
          <t>auto</t>
        </is>
      </c>
      <c r="D37" s="31" t="inlineStr">
        <is>
          <t>auto ancillaries</t>
        </is>
      </c>
      <c r="E37" s="31" t="inlineStr">
        <is>
          <t>smallcap</t>
        </is>
      </c>
      <c r="F37" s="31" t="n">
        <v>914.5700000000001</v>
      </c>
      <c r="G37" s="31" t="n">
        <v>166.26</v>
      </c>
      <c r="H37" s="31" t="n">
        <v>1.88</v>
      </c>
      <c r="I37" s="31" t="n">
        <v>328024</v>
      </c>
      <c r="J37" s="31" t="inlineStr">
        <is>
          <t>523828</t>
        </is>
      </c>
    </row>
    <row r="38">
      <c r="A38" s="31" t="inlineStr">
        <is>
          <t>NITINSPIN</t>
        </is>
      </c>
      <c r="B38" s="31" t="inlineStr">
        <is>
          <t>Nitin Spinners Limited</t>
        </is>
      </c>
      <c r="C38" s="31" t="inlineStr">
        <is>
          <t>textiles</t>
        </is>
      </c>
      <c r="D38" s="31" t="inlineStr">
        <is>
          <t>textiles - cotton/blended</t>
        </is>
      </c>
      <c r="E38" s="31" t="inlineStr">
        <is>
          <t>smallcap</t>
        </is>
      </c>
      <c r="F38" s="31" t="n">
        <v>2946.49</v>
      </c>
      <c r="G38" s="31" t="n">
        <v>533.75</v>
      </c>
      <c r="H38" s="31" t="n">
        <v>1.84</v>
      </c>
      <c r="I38" s="31" t="n">
        <v>276328</v>
      </c>
      <c r="J38" s="31" t="inlineStr">
        <is>
          <t>532698</t>
        </is>
      </c>
    </row>
    <row r="39">
      <c r="A39" s="31" t="inlineStr">
        <is>
          <t>GLAND</t>
        </is>
      </c>
      <c r="B39" s="31" t="inlineStr">
        <is>
          <t>Gland Pharma Ltd</t>
        </is>
      </c>
      <c r="C39" s="31" t="inlineStr">
        <is>
          <t>healthcare</t>
        </is>
      </c>
      <c r="D39" s="31" t="inlineStr">
        <is>
          <t>pharmaceuticals - indian - formulations</t>
        </is>
      </c>
      <c r="E39" s="31" t="inlineStr">
        <is>
          <t>largecap</t>
        </is>
      </c>
      <c r="F39" s="31" t="n">
        <v>37363.46</v>
      </c>
      <c r="G39" s="31" t="n">
        <v>2306.5</v>
      </c>
      <c r="H39" s="31" t="n">
        <v>1.71</v>
      </c>
      <c r="I39" s="31" t="n">
        <v>2420500</v>
      </c>
      <c r="J39" s="31" t="inlineStr">
        <is>
          <t>543245</t>
        </is>
      </c>
    </row>
    <row r="40">
      <c r="A40" s="31" t="inlineStr">
        <is>
          <t>VINCOFE</t>
        </is>
      </c>
      <c r="B40" s="31" t="inlineStr">
        <is>
          <t>Vintage Coffee &amp; Beverages Ltd</t>
        </is>
      </c>
      <c r="C40" s="31" t="inlineStr">
        <is>
          <t>consumer discretionary</t>
        </is>
      </c>
      <c r="D40" s="31" t="inlineStr">
        <is>
          <t>trading</t>
        </is>
      </c>
      <c r="E40" s="31" t="inlineStr">
        <is>
          <t>smallcap</t>
        </is>
      </c>
      <c r="F40" s="31" t="n">
        <v>2275.94</v>
      </c>
      <c r="G40" s="31" t="n">
        <v>158.85</v>
      </c>
      <c r="H40" s="31" t="n">
        <v>1.68</v>
      </c>
      <c r="I40" s="31" t="n">
        <v>22143969</v>
      </c>
      <c r="J40" s="31" t="inlineStr">
        <is>
          <t>538920</t>
        </is>
      </c>
    </row>
    <row r="41">
      <c r="A41" s="31" t="inlineStr">
        <is>
          <t>NEOGEN</t>
        </is>
      </c>
      <c r="B41" s="31" t="inlineStr">
        <is>
          <t>Neogen Chemicals Ltd</t>
        </is>
      </c>
      <c r="C41" s="31" t="inlineStr">
        <is>
          <t>chemicals</t>
        </is>
      </c>
      <c r="D41" s="31" t="inlineStr">
        <is>
          <t>chemicals</t>
        </is>
      </c>
      <c r="E41" s="31" t="inlineStr">
        <is>
          <t>midcap</t>
        </is>
      </c>
      <c r="F41" s="31" t="n">
        <v>5463.47</v>
      </c>
      <c r="G41" s="31" t="n">
        <v>2028.7</v>
      </c>
      <c r="H41" s="31" t="n">
        <v>1.67</v>
      </c>
      <c r="I41" s="31" t="n">
        <v>173367</v>
      </c>
      <c r="J41" s="31" t="inlineStr">
        <is>
          <t>542665</t>
        </is>
      </c>
    </row>
    <row r="42">
      <c r="A42" s="31" t="inlineStr">
        <is>
          <t>NAVINFLUOR</t>
        </is>
      </c>
      <c r="B42" s="31" t="inlineStr">
        <is>
          <t>Navin Fluorine International Limited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largecap</t>
        </is>
      </c>
      <c r="F42" s="31" t="n">
        <v>36112.31</v>
      </c>
      <c r="G42" s="31" t="n">
        <v>7157</v>
      </c>
      <c r="H42" s="31" t="n">
        <v>1.57</v>
      </c>
      <c r="I42" s="31" t="n">
        <v>149175</v>
      </c>
      <c r="J42" s="31" t="inlineStr">
        <is>
          <t>532504</t>
        </is>
      </c>
    </row>
    <row r="43">
      <c r="A43" s="31" t="inlineStr">
        <is>
          <t>TALBROAUTO</t>
        </is>
      </c>
      <c r="B43" s="31" t="inlineStr">
        <is>
          <t>Talbros Automotive Components Limited</t>
        </is>
      </c>
      <c r="C43" s="31" t="inlineStr">
        <is>
          <t>auto</t>
        </is>
      </c>
      <c r="D43" s="31" t="inlineStr">
        <is>
          <t>auto ancillaries</t>
        </is>
      </c>
      <c r="E43" s="31" t="inlineStr">
        <is>
          <t>smallcap</t>
        </is>
      </c>
      <c r="F43" s="31" t="n">
        <v>2170.98</v>
      </c>
      <c r="G43" s="31" t="n">
        <v>356.85</v>
      </c>
      <c r="H43" s="31" t="n">
        <v>1.46</v>
      </c>
      <c r="I43" s="31" t="n">
        <v>179471</v>
      </c>
      <c r="J43" s="31" t="inlineStr">
        <is>
          <t>505160</t>
        </is>
      </c>
    </row>
    <row r="44">
      <c r="A44" s="31" t="inlineStr">
        <is>
          <t>WELCORP</t>
        </is>
      </c>
      <c r="B44" s="31" t="inlineStr">
        <is>
          <t>Welspun Corp Limited</t>
        </is>
      </c>
      <c r="C44" s="31" t="inlineStr">
        <is>
          <t>industrials</t>
        </is>
      </c>
      <c r="D44" s="31" t="inlineStr">
        <is>
          <t>steel - large</t>
        </is>
      </c>
      <c r="E44" s="31" t="inlineStr">
        <is>
          <t>largecap</t>
        </is>
      </c>
      <c r="F44" s="31" t="n">
        <v>36149.87</v>
      </c>
      <c r="G44" s="31" t="n">
        <v>1389.4</v>
      </c>
      <c r="H44" s="31" t="n">
        <v>1.39</v>
      </c>
      <c r="I44" s="31" t="n">
        <v>469127</v>
      </c>
      <c r="J44" s="31" t="inlineStr">
        <is>
          <t>532144</t>
        </is>
      </c>
    </row>
    <row r="45">
      <c r="A45" s="31" t="inlineStr">
        <is>
          <t>GANESHBE</t>
        </is>
      </c>
      <c r="B45" s="31" t="inlineStr">
        <is>
          <t>Ganesh Benzoplast Ltd</t>
        </is>
      </c>
      <c r="C45" s="31" t="inlineStr">
        <is>
          <t>miscellaneous</t>
        </is>
      </c>
      <c r="D45" s="31" t="inlineStr">
        <is>
          <t>miscellaneous</t>
        </is>
      </c>
      <c r="E45" s="31" t="inlineStr">
        <is>
          <t>smallcap</t>
        </is>
      </c>
      <c r="F45" s="31" t="n">
        <v>768.63</v>
      </c>
      <c r="G45" s="31" t="n">
        <v>108.23</v>
      </c>
      <c r="H45" s="31" t="n">
        <v>1.37</v>
      </c>
      <c r="I45" s="31" t="n">
        <v>620999</v>
      </c>
      <c r="J45" s="31" t="inlineStr">
        <is>
          <t>500153</t>
        </is>
      </c>
    </row>
    <row r="46">
      <c r="A46" s="31" t="inlineStr">
        <is>
          <t>QPOWER</t>
        </is>
      </c>
      <c r="B46" s="31" t="inlineStr">
        <is>
          <t>Quality Power Electrical Equipments Ltd</t>
        </is>
      </c>
      <c r="C46" s="31" t="inlineStr">
        <is>
          <t>industrials</t>
        </is>
      </c>
      <c r="D46" s="31" t="inlineStr">
        <is>
          <t>electric equipment</t>
        </is>
      </c>
      <c r="E46" s="31" t="inlineStr">
        <is>
          <t>midcap</t>
        </is>
      </c>
      <c r="F46" s="31" t="n">
        <v>8889.809999999999</v>
      </c>
      <c r="G46" s="31" t="n">
        <v>1163</v>
      </c>
      <c r="H46" s="31" t="n">
        <v>1.32</v>
      </c>
      <c r="I46" s="31" t="n">
        <v>204615</v>
      </c>
      <c r="J46" s="31" t="inlineStr">
        <is>
          <t>544367</t>
        </is>
      </c>
    </row>
    <row r="47">
      <c r="A47" s="31" t="inlineStr">
        <is>
          <t>RAMCOSYS</t>
        </is>
      </c>
      <c r="B47" s="31" t="inlineStr">
        <is>
          <t>Ramco Systems Limited</t>
        </is>
      </c>
      <c r="C47" s="31" t="inlineStr">
        <is>
          <t>i.t</t>
        </is>
      </c>
      <c r="D47" s="31" t="inlineStr">
        <is>
          <t>computers - software - medium / small</t>
        </is>
      </c>
      <c r="E47" s="31" t="inlineStr">
        <is>
          <t>smallcap</t>
        </is>
      </c>
      <c r="F47" s="31" t="n">
        <v>2030.72</v>
      </c>
      <c r="G47" s="31" t="n">
        <v>549.8</v>
      </c>
      <c r="H47" s="31" t="n">
        <v>1.29</v>
      </c>
      <c r="I47" s="31" t="n">
        <v>398158</v>
      </c>
      <c r="J47" s="31" t="inlineStr">
        <is>
          <t>532370</t>
        </is>
      </c>
    </row>
    <row r="48">
      <c r="A48" s="31" t="inlineStr">
        <is>
          <t>DEEPINDS</t>
        </is>
      </c>
      <c r="B48" s="31" t="inlineStr">
        <is>
          <t>Deep Industries Ltd</t>
        </is>
      </c>
      <c r="C48" s="31" t="inlineStr">
        <is>
          <t>energy</t>
        </is>
      </c>
      <c r="D48" s="31" t="inlineStr">
        <is>
          <t>oil drilling / allied services</t>
        </is>
      </c>
      <c r="E48" s="31" t="inlineStr">
        <is>
          <t>smallcap</t>
        </is>
      </c>
      <c r="F48" s="31" t="n">
        <v>3184.32</v>
      </c>
      <c r="G48" s="31" t="n">
        <v>503.6</v>
      </c>
      <c r="H48" s="31" t="n">
        <v>1.22</v>
      </c>
      <c r="I48" s="31" t="n">
        <v>165896</v>
      </c>
      <c r="J48" s="31" t="inlineStr">
        <is>
          <t>543288</t>
        </is>
      </c>
    </row>
    <row r="49">
      <c r="A49" s="31" t="inlineStr">
        <is>
          <t>MARKSANS</t>
        </is>
      </c>
      <c r="B49" s="31" t="inlineStr">
        <is>
          <t>Marksans Pharma Limited</t>
        </is>
      </c>
      <c r="C49" s="31" t="inlineStr">
        <is>
          <t>healthcare</t>
        </is>
      </c>
      <c r="D49" s="31" t="inlineStr">
        <is>
          <t>pharmaceuticals - indian - formulations</t>
        </is>
      </c>
      <c r="E49" s="31" t="inlineStr">
        <is>
          <t>midcap</t>
        </is>
      </c>
      <c r="F49" s="31" t="n">
        <v>11189.52</v>
      </c>
      <c r="G49" s="31" t="n">
        <v>249.83</v>
      </c>
      <c r="H49" s="31" t="n">
        <v>1.18</v>
      </c>
      <c r="I49" s="31" t="n">
        <v>3679249</v>
      </c>
      <c r="J49" s="31" t="inlineStr">
        <is>
          <t>524404</t>
        </is>
      </c>
    </row>
    <row r="50">
      <c r="A50" s="31" t="inlineStr">
        <is>
          <t>HESTERBIO</t>
        </is>
      </c>
      <c r="B50" s="31" t="inlineStr">
        <is>
          <t>Hester Biosciences Limited</t>
        </is>
      </c>
      <c r="C50" s="31" t="inlineStr">
        <is>
          <t>healthcare</t>
        </is>
      </c>
      <c r="D50" s="31" t="inlineStr">
        <is>
          <t>pharmaceuticals - indian - formulations</t>
        </is>
      </c>
      <c r="E50" s="31" t="inlineStr">
        <is>
          <t>smallcap</t>
        </is>
      </c>
      <c r="F50" s="31" t="n">
        <v>1649.65</v>
      </c>
      <c r="G50" s="31" t="n">
        <v>1959.9</v>
      </c>
      <c r="H50" s="31" t="n">
        <v>1.07</v>
      </c>
      <c r="I50" s="31" t="n">
        <v>6207</v>
      </c>
      <c r="J50" s="31" t="inlineStr">
        <is>
          <t>524669</t>
        </is>
      </c>
    </row>
    <row r="51">
      <c r="A51" s="31" t="inlineStr">
        <is>
          <t>CAPITALSFB</t>
        </is>
      </c>
      <c r="B51" s="31" t="inlineStr">
        <is>
          <t>Capital Small Finance Bank Ltd</t>
        </is>
      </c>
      <c r="C51" s="31" t="inlineStr">
        <is>
          <t>bank</t>
        </is>
      </c>
      <c r="D51" s="31" t="inlineStr">
        <is>
          <t>banks - private sector</t>
        </is>
      </c>
      <c r="E51" s="31" t="inlineStr">
        <is>
          <t>smallcap</t>
        </is>
      </c>
      <c r="F51" s="31" t="n">
        <v>1249.92</v>
      </c>
      <c r="G51" s="31" t="n">
        <v>277.95</v>
      </c>
      <c r="H51" s="31" t="n">
        <v>1</v>
      </c>
      <c r="I51" s="31" t="n">
        <v>12751</v>
      </c>
      <c r="J51" s="31" t="n"/>
    </row>
    <row r="52">
      <c r="A52" s="31" t="inlineStr">
        <is>
          <t>CAPLIPOINT</t>
        </is>
      </c>
      <c r="B52" s="31" t="inlineStr">
        <is>
          <t>Caplin Point Laboratories Limited</t>
        </is>
      </c>
      <c r="C52" s="31" t="inlineStr">
        <is>
          <t>healthcare</t>
        </is>
      </c>
      <c r="D52" s="31" t="inlineStr">
        <is>
          <t>pharmaceuticals - indian - formulations</t>
        </is>
      </c>
      <c r="E52" s="31" t="inlineStr">
        <is>
          <t>midcap</t>
        </is>
      </c>
      <c r="F52" s="31" t="n">
        <v>17554.14</v>
      </c>
      <c r="G52" s="31" t="n">
        <v>2331</v>
      </c>
      <c r="H52" s="31" t="n">
        <v>0.9399999999999999</v>
      </c>
      <c r="I52" s="31" t="n">
        <v>286180</v>
      </c>
      <c r="J52" s="31" t="inlineStr">
        <is>
          <t>524742</t>
        </is>
      </c>
    </row>
    <row r="53">
      <c r="A53" s="31" t="inlineStr">
        <is>
          <t>MSTCLTD</t>
        </is>
      </c>
      <c r="B53" s="31" t="inlineStr">
        <is>
          <t>MSTC Ltd</t>
        </is>
      </c>
      <c r="C53" s="31" t="inlineStr">
        <is>
          <t>i.t</t>
        </is>
      </c>
      <c r="D53" s="31" t="inlineStr">
        <is>
          <t>trading</t>
        </is>
      </c>
      <c r="E53" s="31" t="inlineStr">
        <is>
          <t>smallcap</t>
        </is>
      </c>
      <c r="F53" s="31" t="n">
        <v>3912.48</v>
      </c>
      <c r="G53" s="31" t="n">
        <v>560.75</v>
      </c>
      <c r="H53" s="31" t="n">
        <v>0.9</v>
      </c>
      <c r="I53" s="31" t="n">
        <v>2177930</v>
      </c>
      <c r="J53" s="31" t="inlineStr">
        <is>
          <t>542597</t>
        </is>
      </c>
    </row>
    <row r="54">
      <c r="A54" s="31" t="inlineStr">
        <is>
          <t>KPRMILL</t>
        </is>
      </c>
      <c r="B54" s="31" t="inlineStr">
        <is>
          <t>K.p.r. Mill Limited</t>
        </is>
      </c>
      <c r="C54" s="31" t="inlineStr">
        <is>
          <t>consumer discretionary</t>
        </is>
      </c>
      <c r="D54" s="31" t="inlineStr">
        <is>
          <t>textiles - products</t>
        </is>
      </c>
      <c r="E54" s="31" t="inlineStr">
        <is>
          <t>largecap</t>
        </is>
      </c>
      <c r="F54" s="31" t="n">
        <v>35738.36</v>
      </c>
      <c r="G54" s="31" t="n">
        <v>1054.7</v>
      </c>
      <c r="H54" s="31" t="n">
        <v>0.88</v>
      </c>
      <c r="I54" s="31" t="n">
        <v>211716</v>
      </c>
      <c r="J54" s="31" t="inlineStr">
        <is>
          <t>532889</t>
        </is>
      </c>
    </row>
    <row r="55">
      <c r="A55" s="31" t="inlineStr">
        <is>
          <t>SYRMA</t>
        </is>
      </c>
      <c r="B55" s="31" t="inlineStr">
        <is>
          <t>Syrma SGS Technology Ltd</t>
        </is>
      </c>
      <c r="C55" s="31" t="inlineStr">
        <is>
          <t>consumer discretionary</t>
        </is>
      </c>
      <c r="D55" s="31" t="inlineStr">
        <is>
          <t>electronics - components</t>
        </is>
      </c>
      <c r="E55" s="31" t="inlineStr">
        <is>
          <t>largecap</t>
        </is>
      </c>
      <c r="F55" s="31" t="n">
        <v>23637.16</v>
      </c>
      <c r="G55" s="31" t="n">
        <v>1235.6</v>
      </c>
      <c r="H55" s="31" t="n">
        <v>0.8</v>
      </c>
      <c r="I55" s="31" t="n">
        <v>1660600</v>
      </c>
      <c r="J55" s="31" t="inlineStr">
        <is>
          <t>543573</t>
        </is>
      </c>
    </row>
    <row r="56">
      <c r="A56" s="31" t="inlineStr">
        <is>
          <t>SJS</t>
        </is>
      </c>
      <c r="B56" s="31" t="inlineStr">
        <is>
          <t>S J S Enterprises Ltd</t>
        </is>
      </c>
      <c r="C56" s="31" t="inlineStr">
        <is>
          <t>auto</t>
        </is>
      </c>
      <c r="D56" s="31" t="inlineStr">
        <is>
          <t>plastics products</t>
        </is>
      </c>
      <c r="E56" s="31" t="inlineStr">
        <is>
          <t>midcap</t>
        </is>
      </c>
      <c r="F56" s="31" t="n">
        <v>6648.29</v>
      </c>
      <c r="G56" s="31" t="n">
        <v>2094.1</v>
      </c>
      <c r="H56" s="31" t="n">
        <v>0.78</v>
      </c>
      <c r="I56" s="31" t="n">
        <v>60528</v>
      </c>
      <c r="J56" s="31" t="inlineStr">
        <is>
          <t>543387</t>
        </is>
      </c>
    </row>
    <row r="57">
      <c r="A57" s="31" t="inlineStr">
        <is>
          <t>GREENLAM</t>
        </is>
      </c>
      <c r="B57" s="31" t="inlineStr">
        <is>
          <t>Greenlam Industries Limited</t>
        </is>
      </c>
      <c r="C57" s="31" t="inlineStr">
        <is>
          <t>building materials</t>
        </is>
      </c>
      <c r="D57" s="31" t="inlineStr">
        <is>
          <t>miscellaneous</t>
        </is>
      </c>
      <c r="E57" s="31" t="inlineStr">
        <is>
          <t>midcap</t>
        </is>
      </c>
      <c r="F57" s="31" t="n">
        <v>6115.38</v>
      </c>
      <c r="G57" s="31" t="n">
        <v>241.52</v>
      </c>
      <c r="H57" s="31" t="n">
        <v>0.77</v>
      </c>
      <c r="I57" s="31" t="n">
        <v>358665</v>
      </c>
      <c r="J57" s="31" t="inlineStr">
        <is>
          <t>538979</t>
        </is>
      </c>
    </row>
    <row r="58">
      <c r="A58" s="31" t="inlineStr">
        <is>
          <t>HONASA</t>
        </is>
      </c>
      <c r="B58" s="31" t="inlineStr">
        <is>
          <t>Honasa Consumer Ltd</t>
        </is>
      </c>
      <c r="C58" s="31" t="inlineStr">
        <is>
          <t>services</t>
        </is>
      </c>
      <c r="D58" s="31" t="inlineStr">
        <is>
          <t>trading</t>
        </is>
      </c>
      <c r="E58" s="31" t="inlineStr">
        <is>
          <t>midcap</t>
        </is>
      </c>
      <c r="F58" s="31" t="n">
        <v>13489.83</v>
      </c>
      <c r="G58" s="31" t="n">
        <v>417.65</v>
      </c>
      <c r="H58" s="31" t="n">
        <v>0.74</v>
      </c>
      <c r="I58" s="31" t="n">
        <v>11807055</v>
      </c>
      <c r="J58" s="31" t="inlineStr">
        <is>
          <t>544014</t>
        </is>
      </c>
    </row>
    <row r="59">
      <c r="A59" s="31" t="inlineStr">
        <is>
          <t>ZYDUSLIFE</t>
        </is>
      </c>
      <c r="B59" s="31" t="inlineStr">
        <is>
          <t>Zydus Lifesciences Ltd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largecap</t>
        </is>
      </c>
      <c r="F59" s="31" t="n">
        <v>110514.68</v>
      </c>
      <c r="G59" s="31" t="n">
        <v>1105.9</v>
      </c>
      <c r="H59" s="31" t="n">
        <v>0.6899999999999999</v>
      </c>
      <c r="I59" s="31" t="n">
        <v>728343</v>
      </c>
      <c r="J59" s="31" t="inlineStr">
        <is>
          <t>532321</t>
        </is>
      </c>
    </row>
    <row r="60">
      <c r="A60" s="31" t="inlineStr">
        <is>
          <t>NOVARTIND</t>
        </is>
      </c>
      <c r="B60" s="31" t="inlineStr">
        <is>
          <t>Novartis India Ltd</t>
        </is>
      </c>
      <c r="C60" s="31" t="inlineStr">
        <is>
          <t>healthcare</t>
        </is>
      </c>
      <c r="D60" s="31" t="inlineStr">
        <is>
          <t>pharmaceuticals - multinational</t>
        </is>
      </c>
      <c r="E60" s="31" t="inlineStr">
        <is>
          <t>smallcap</t>
        </is>
      </c>
      <c r="F60" s="31" t="n">
        <v>3261.9</v>
      </c>
      <c r="G60" s="31" t="n">
        <v>1329.7</v>
      </c>
      <c r="H60" s="31" t="n">
        <v>0.65</v>
      </c>
      <c r="I60" s="31" t="n">
        <v>11516</v>
      </c>
      <c r="J60" s="31" t="inlineStr">
        <is>
          <t>500672</t>
        </is>
      </c>
    </row>
    <row r="61">
      <c r="A61" s="31" t="inlineStr">
        <is>
          <t>XPROINDIA</t>
        </is>
      </c>
      <c r="B61" s="31" t="inlineStr">
        <is>
          <t>Xpro India Limited</t>
        </is>
      </c>
      <c r="C61" s="31" t="inlineStr">
        <is>
          <t>industrials</t>
        </is>
      </c>
      <c r="D61" s="31" t="inlineStr">
        <is>
          <t>packaging</t>
        </is>
      </c>
      <c r="E61" s="31" t="inlineStr">
        <is>
          <t>smallcap</t>
        </is>
      </c>
      <c r="F61" s="31" t="n">
        <v>2737.12</v>
      </c>
      <c r="G61" s="31" t="n">
        <v>1173.6</v>
      </c>
      <c r="H61" s="31" t="n">
        <v>0.63</v>
      </c>
      <c r="I61" s="31" t="n">
        <v>53196</v>
      </c>
      <c r="J61" s="31" t="inlineStr">
        <is>
          <t>590013</t>
        </is>
      </c>
    </row>
    <row r="62">
      <c r="A62" s="31" t="inlineStr">
        <is>
          <t>BAJAJCON</t>
        </is>
      </c>
      <c r="B62" s="31" t="inlineStr">
        <is>
          <t>Bajaj Consumer Care Ltd</t>
        </is>
      </c>
      <c r="C62" s="31" t="inlineStr">
        <is>
          <t>fmcg</t>
        </is>
      </c>
      <c r="D62" s="31" t="inlineStr">
        <is>
          <t>personal care - indian</t>
        </is>
      </c>
      <c r="E62" s="31" t="inlineStr">
        <is>
          <t>midcap</t>
        </is>
      </c>
      <c r="F62" s="31" t="n">
        <v>7351.2</v>
      </c>
      <c r="G62" s="31" t="n">
        <v>566.25</v>
      </c>
      <c r="H62" s="31" t="n">
        <v>0.61</v>
      </c>
      <c r="I62" s="31" t="n">
        <v>1031076</v>
      </c>
      <c r="J62" s="31" t="inlineStr">
        <is>
          <t>533229</t>
        </is>
      </c>
    </row>
    <row r="63">
      <c r="A63" s="31" t="inlineStr">
        <is>
          <t>GRASIM</t>
        </is>
      </c>
      <c r="B63" s="31" t="inlineStr">
        <is>
          <t>Grasim Industries Limited</t>
        </is>
      </c>
      <c r="C63" s="31" t="inlineStr">
        <is>
          <t>textiles</t>
        </is>
      </c>
      <c r="D63" s="31" t="inlineStr">
        <is>
          <t>textiles - manmade</t>
        </is>
      </c>
      <c r="E63" s="31" t="inlineStr">
        <is>
          <t>largecap</t>
        </is>
      </c>
      <c r="F63" s="31" t="n">
        <v>209019.91</v>
      </c>
      <c r="G63" s="31" t="n">
        <v>3089.5</v>
      </c>
      <c r="H63" s="31" t="n">
        <v>0.6</v>
      </c>
      <c r="I63" s="31" t="n">
        <v>613443</v>
      </c>
      <c r="J63" s="31" t="inlineStr">
        <is>
          <t>500300</t>
        </is>
      </c>
    </row>
    <row r="64">
      <c r="A64" s="31" t="inlineStr">
        <is>
          <t>RBLBANK</t>
        </is>
      </c>
      <c r="B64" s="31" t="inlineStr">
        <is>
          <t>Rbl Bank Limited</t>
        </is>
      </c>
      <c r="C64" s="31" t="inlineStr">
        <is>
          <t>bank</t>
        </is>
      </c>
      <c r="D64" s="31" t="inlineStr">
        <is>
          <t>banks - private sector</t>
        </is>
      </c>
      <c r="E64" s="31" t="inlineStr">
        <is>
          <t>largecap</t>
        </is>
      </c>
      <c r="F64" s="31" t="n">
        <v>22063.49</v>
      </c>
      <c r="G64" s="31" t="n">
        <v>359.1</v>
      </c>
      <c r="H64" s="31" t="n">
        <v>0.6</v>
      </c>
      <c r="I64" s="31" t="n">
        <v>6472883</v>
      </c>
      <c r="J64" s="31" t="inlineStr">
        <is>
          <t>540065</t>
        </is>
      </c>
    </row>
    <row r="65">
      <c r="A65" s="31" t="inlineStr">
        <is>
          <t>GRWRHITECH</t>
        </is>
      </c>
      <c r="B65" s="31" t="inlineStr">
        <is>
          <t>Garware Hi Tech Films Ltd</t>
        </is>
      </c>
      <c r="C65" s="31" t="inlineStr">
        <is>
          <t>industrials</t>
        </is>
      </c>
      <c r="D65" s="31" t="inlineStr">
        <is>
          <t>packaging</t>
        </is>
      </c>
      <c r="E65" s="31" t="inlineStr">
        <is>
          <t>midcap</t>
        </is>
      </c>
      <c r="F65" s="31" t="n">
        <v>14422.67</v>
      </c>
      <c r="G65" s="31" t="n">
        <v>6241</v>
      </c>
      <c r="H65" s="31" t="n">
        <v>0.53</v>
      </c>
      <c r="I65" s="31" t="n">
        <v>78032</v>
      </c>
      <c r="J65" s="31" t="inlineStr">
        <is>
          <t>500655</t>
        </is>
      </c>
    </row>
    <row r="66">
      <c r="A66" s="31" t="inlineStr">
        <is>
          <t>RISHABH</t>
        </is>
      </c>
      <c r="B66" s="31" t="inlineStr">
        <is>
          <t>Rishabh Instruments Ltd</t>
        </is>
      </c>
      <c r="C66" s="31" t="inlineStr">
        <is>
          <t>industrials</t>
        </is>
      </c>
      <c r="D66" s="31" t="inlineStr">
        <is>
          <t>electric equipment</t>
        </is>
      </c>
      <c r="E66" s="31" t="inlineStr">
        <is>
          <t>smallcap</t>
        </is>
      </c>
      <c r="F66" s="31" t="n">
        <v>2057.59</v>
      </c>
      <c r="G66" s="31" t="n">
        <v>536.4</v>
      </c>
      <c r="H66" s="31" t="n">
        <v>0.49</v>
      </c>
      <c r="I66" s="31" t="n">
        <v>102424</v>
      </c>
      <c r="J66" s="31" t="inlineStr">
        <is>
          <t>543977</t>
        </is>
      </c>
    </row>
    <row r="67">
      <c r="A67" s="31" t="inlineStr">
        <is>
          <t>MBAPL</t>
        </is>
      </c>
      <c r="B67" s="31" t="inlineStr">
        <is>
          <t>Madhya Bharat Agro Products Ltd</t>
        </is>
      </c>
      <c r="C67" s="31" t="inlineStr">
        <is>
          <t>chemicals</t>
        </is>
      </c>
      <c r="D67" s="31" t="inlineStr">
        <is>
          <t>fertilizers</t>
        </is>
      </c>
      <c r="E67" s="31" t="inlineStr">
        <is>
          <t>smallcap</t>
        </is>
      </c>
      <c r="F67" s="31" t="n">
        <v>4879.94</v>
      </c>
      <c r="G67" s="31" t="n">
        <v>559.5</v>
      </c>
      <c r="H67" s="31" t="n">
        <v>0.47</v>
      </c>
      <c r="I67" s="31" t="n">
        <v>164237</v>
      </c>
      <c r="J67" s="31" t="inlineStr">
        <is>
          <t>538370</t>
        </is>
      </c>
    </row>
    <row r="68">
      <c r="A68" s="31" t="inlineStr">
        <is>
          <t>DEEPAKFERT</t>
        </is>
      </c>
      <c r="B68" s="31" t="inlineStr">
        <is>
          <t>Deepak Fertilizers And Petrochemicals Corporation Limited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midcap</t>
        </is>
      </c>
      <c r="F68" s="31" t="n">
        <v>18871.29</v>
      </c>
      <c r="G68" s="31" t="n">
        <v>1501.6</v>
      </c>
      <c r="H68" s="31" t="n">
        <v>0.45</v>
      </c>
      <c r="I68" s="31" t="n">
        <v>394869</v>
      </c>
      <c r="J68" s="31" t="inlineStr">
        <is>
          <t>500645</t>
        </is>
      </c>
    </row>
    <row r="69">
      <c r="A69" s="31" t="inlineStr">
        <is>
          <t>RPEL</t>
        </is>
      </c>
      <c r="B69" s="31" t="inlineStr">
        <is>
          <t>Raghav Productivity Enhancers Ltd</t>
        </is>
      </c>
      <c r="C69" s="31" t="inlineStr">
        <is>
          <t>building materials</t>
        </is>
      </c>
      <c r="D69" s="31" t="inlineStr">
        <is>
          <t>refractories / intermediates</t>
        </is>
      </c>
      <c r="E69" s="31" t="inlineStr">
        <is>
          <t>midcap</t>
        </is>
      </c>
      <c r="F69" s="31" t="n">
        <v>5282.63</v>
      </c>
      <c r="G69" s="31" t="n">
        <v>1155.6</v>
      </c>
      <c r="H69" s="31" t="n">
        <v>0.43</v>
      </c>
      <c r="I69" s="31" t="n">
        <v>254165</v>
      </c>
      <c r="J69" s="31" t="inlineStr">
        <is>
          <t>539837</t>
        </is>
      </c>
    </row>
    <row r="70">
      <c r="A70" s="31" t="inlineStr">
        <is>
          <t>SOUTHBANK</t>
        </is>
      </c>
      <c r="B70" s="31" t="inlineStr">
        <is>
          <t>The South Indian Bank Limited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midcap</t>
        </is>
      </c>
      <c r="F70" s="31" t="n">
        <v>11813.08</v>
      </c>
      <c r="G70" s="31" t="n">
        <v>45.32</v>
      </c>
      <c r="H70" s="31" t="n">
        <v>0.42</v>
      </c>
      <c r="I70" s="31" t="n">
        <v>13705352</v>
      </c>
      <c r="J70" s="31" t="inlineStr">
        <is>
          <t>532218</t>
        </is>
      </c>
    </row>
    <row r="71">
      <c r="A71" s="31" t="inlineStr">
        <is>
          <t>JSWDULUX</t>
        </is>
      </c>
      <c r="B71" s="31" t="inlineStr">
        <is>
          <t>JSW Dulux Ltd</t>
        </is>
      </c>
      <c r="C71" s="31" t="inlineStr">
        <is>
          <t>building materials</t>
        </is>
      </c>
      <c r="D71" s="31" t="inlineStr">
        <is>
          <t>paints / varnishes</t>
        </is>
      </c>
      <c r="E71" s="31" t="inlineStr">
        <is>
          <t>midcap</t>
        </is>
      </c>
      <c r="F71" s="31" t="n">
        <v>14461.78</v>
      </c>
      <c r="G71" s="31" t="n">
        <v>3187.8</v>
      </c>
      <c r="H71" s="31" t="n">
        <v>0.38</v>
      </c>
      <c r="I71" s="31" t="n">
        <v>35237</v>
      </c>
      <c r="J71" s="31" t="inlineStr">
        <is>
          <t>500710</t>
        </is>
      </c>
    </row>
    <row r="72">
      <c r="A72" s="31" t="inlineStr">
        <is>
          <t>SBC</t>
        </is>
      </c>
      <c r="B72" s="31" t="inlineStr">
        <is>
          <t>SBC Exports Ltd</t>
        </is>
      </c>
      <c r="C72" s="31" t="inlineStr">
        <is>
          <t>textiles</t>
        </is>
      </c>
      <c r="D72" s="31" t="inlineStr">
        <is>
          <t>textiles - products</t>
        </is>
      </c>
      <c r="E72" s="31" t="inlineStr">
        <is>
          <t>smallcap</t>
        </is>
      </c>
      <c r="F72" s="31" t="n">
        <v>1753.81</v>
      </c>
      <c r="G72" s="31" t="n">
        <v>36.97</v>
      </c>
      <c r="H72" s="31" t="n">
        <v>0.38</v>
      </c>
      <c r="I72" s="31" t="n">
        <v>11013329</v>
      </c>
      <c r="J72" s="31" t="inlineStr">
        <is>
          <t>542725</t>
        </is>
      </c>
    </row>
    <row r="73">
      <c r="A73" s="31" t="inlineStr">
        <is>
          <t>LAURUSLABS</t>
        </is>
      </c>
      <c r="B73" s="31" t="inlineStr">
        <is>
          <t>Laurus Labs Limited</t>
        </is>
      </c>
      <c r="C73" s="31" t="inlineStr">
        <is>
          <t>healthcare</t>
        </is>
      </c>
      <c r="D73" s="31" t="inlineStr">
        <is>
          <t>pharmaceuticals - indian - bulk drugs &amp; formln</t>
        </is>
      </c>
      <c r="E73" s="31" t="inlineStr">
        <is>
          <t>largecap</t>
        </is>
      </c>
      <c r="F73" s="31" t="n">
        <v>74807.92999999999</v>
      </c>
      <c r="G73" s="31" t="n">
        <v>1390.8</v>
      </c>
      <c r="H73" s="31" t="n">
        <v>0.37</v>
      </c>
      <c r="I73" s="31" t="n">
        <v>1505571</v>
      </c>
      <c r="J73" s="31" t="inlineStr">
        <is>
          <t>540222</t>
        </is>
      </c>
    </row>
    <row r="74">
      <c r="A74" s="31" t="inlineStr">
        <is>
          <t>BIOCON</t>
        </is>
      </c>
      <c r="B74" s="31" t="inlineStr">
        <is>
          <t>Biocon Limited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largecap</t>
        </is>
      </c>
      <c r="F74" s="31" t="n">
        <v>67202.84</v>
      </c>
      <c r="G74" s="31" t="n">
        <v>415.95</v>
      </c>
      <c r="H74" s="31" t="n">
        <v>0.33</v>
      </c>
      <c r="I74" s="31" t="n">
        <v>1772908</v>
      </c>
      <c r="J74" s="31" t="inlineStr">
        <is>
          <t>532523</t>
        </is>
      </c>
    </row>
    <row r="75">
      <c r="A75" s="31" t="inlineStr">
        <is>
          <t>GRANULES</t>
        </is>
      </c>
      <c r="B75" s="31" t="inlineStr">
        <is>
          <t>Granules India Limited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midcap</t>
        </is>
      </c>
      <c r="F75" s="31" t="n">
        <v>18852.39</v>
      </c>
      <c r="G75" s="31" t="n">
        <v>763.15</v>
      </c>
      <c r="H75" s="31" t="n">
        <v>0.31</v>
      </c>
      <c r="I75" s="31" t="n">
        <v>877372</v>
      </c>
      <c r="J75" s="31" t="inlineStr">
        <is>
          <t>532482</t>
        </is>
      </c>
    </row>
    <row r="76">
      <c r="A76" s="31" t="inlineStr">
        <is>
          <t>ZIMLAB</t>
        </is>
      </c>
      <c r="B76" s="31" t="inlineStr">
        <is>
          <t>Zim Laboratories Ltd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smallcap</t>
        </is>
      </c>
      <c r="F76" s="31" t="n">
        <v>597.38</v>
      </c>
      <c r="G76" s="31" t="n">
        <v>112</v>
      </c>
      <c r="H76" s="31" t="n">
        <v>0.3</v>
      </c>
      <c r="I76" s="31" t="n">
        <v>41191</v>
      </c>
      <c r="J76" s="31" t="inlineStr">
        <is>
          <t>541400</t>
        </is>
      </c>
    </row>
    <row r="77">
      <c r="A77" s="31" t="inlineStr">
        <is>
          <t>MEDANTA</t>
        </is>
      </c>
      <c r="B77" s="31" t="inlineStr">
        <is>
          <t>Global Health Ltd</t>
        </is>
      </c>
      <c r="C77" s="31" t="inlineStr">
        <is>
          <t>healthcare</t>
        </is>
      </c>
      <c r="D77" s="31" t="inlineStr">
        <is>
          <t>healthcare</t>
        </is>
      </c>
      <c r="E77" s="31" t="inlineStr">
        <is>
          <t>largecap</t>
        </is>
      </c>
      <c r="F77" s="31" t="n">
        <v>32940.26</v>
      </c>
      <c r="G77" s="31" t="n">
        <v>1229.1</v>
      </c>
      <c r="H77" s="31" t="n">
        <v>0.29</v>
      </c>
      <c r="I77" s="31" t="n">
        <v>124511</v>
      </c>
      <c r="J77" s="31" t="inlineStr">
        <is>
          <t>543654</t>
        </is>
      </c>
    </row>
    <row r="78">
      <c r="A78" s="31" t="inlineStr">
        <is>
          <t>VADILALIND</t>
        </is>
      </c>
      <c r="B78" s="31" t="inlineStr">
        <is>
          <t>Vadilal Industries Limited</t>
        </is>
      </c>
      <c r="C78" s="31" t="inlineStr">
        <is>
          <t>fmcg</t>
        </is>
      </c>
      <c r="D78" s="31" t="inlineStr">
        <is>
          <t>food - processing - indian</t>
        </is>
      </c>
      <c r="E78" s="31" t="inlineStr">
        <is>
          <t>smallcap</t>
        </is>
      </c>
      <c r="F78" s="31" t="n">
        <v>4260.08</v>
      </c>
      <c r="G78" s="31" t="n">
        <v>5940.9</v>
      </c>
      <c r="H78" s="31" t="n">
        <v>0.24</v>
      </c>
      <c r="I78" s="31" t="n">
        <v>36437</v>
      </c>
      <c r="J78" s="31" t="inlineStr">
        <is>
          <t>519156</t>
        </is>
      </c>
    </row>
    <row r="79">
      <c r="A79" s="31" t="inlineStr">
        <is>
          <t>SANGAMIND</t>
        </is>
      </c>
      <c r="B79" s="31" t="inlineStr">
        <is>
          <t>Sangam (india) Limited</t>
        </is>
      </c>
      <c r="C79" s="31" t="inlineStr">
        <is>
          <t>textiles</t>
        </is>
      </c>
      <c r="D79" s="31" t="inlineStr">
        <is>
          <t>textiles - spinning - synthetic / blended</t>
        </is>
      </c>
      <c r="E79" s="31" t="inlineStr">
        <is>
          <t>smallcap</t>
        </is>
      </c>
      <c r="F79" s="31" t="n">
        <v>2653.77</v>
      </c>
      <c r="G79" s="31" t="n">
        <v>529.35</v>
      </c>
      <c r="H79" s="31" t="n">
        <v>0.23</v>
      </c>
      <c r="I79" s="31" t="n">
        <v>19046</v>
      </c>
      <c r="J79" s="31" t="inlineStr">
        <is>
          <t>514234</t>
        </is>
      </c>
    </row>
    <row r="80">
      <c r="A80" s="31" t="inlineStr">
        <is>
          <t>AXISBANK</t>
        </is>
      </c>
      <c r="B80" s="31" t="inlineStr">
        <is>
          <t>Axis Bank Limited</t>
        </is>
      </c>
      <c r="C80" s="31" t="inlineStr">
        <is>
          <t>bank</t>
        </is>
      </c>
      <c r="D80" s="31" t="inlineStr">
        <is>
          <t>banks - private sector</t>
        </is>
      </c>
      <c r="E80" s="31" t="inlineStr">
        <is>
          <t>largecap</t>
        </is>
      </c>
      <c r="F80" s="31" t="n">
        <v>408569.29</v>
      </c>
      <c r="G80" s="31" t="n">
        <v>1317.3</v>
      </c>
      <c r="H80" s="31" t="n">
        <v>0.21</v>
      </c>
      <c r="I80" s="31" t="n">
        <v>8196686</v>
      </c>
      <c r="J80" s="31" t="inlineStr">
        <is>
          <t>532215</t>
        </is>
      </c>
    </row>
    <row r="81">
      <c r="A81" s="31" t="inlineStr">
        <is>
          <t>COMSYN</t>
        </is>
      </c>
      <c r="B81" s="31" t="inlineStr">
        <is>
          <t>Commercial Syn Bags Ltd</t>
        </is>
      </c>
      <c r="C81" s="31" t="inlineStr">
        <is>
          <t>industrials</t>
        </is>
      </c>
      <c r="D81" s="31" t="inlineStr">
        <is>
          <t>packaging</t>
        </is>
      </c>
      <c r="E81" s="31" t="inlineStr">
        <is>
          <t>smallcap</t>
        </is>
      </c>
      <c r="F81" s="31" t="n">
        <v>681.9299999999999</v>
      </c>
      <c r="G81" s="31" t="n">
        <v>169.38</v>
      </c>
      <c r="H81" s="31" t="n">
        <v>0.2</v>
      </c>
      <c r="I81" s="31" t="n">
        <v>47511</v>
      </c>
      <c r="J81" s="31" t="inlineStr">
        <is>
          <t>539986</t>
        </is>
      </c>
    </row>
    <row r="82">
      <c r="A82" s="31" t="inlineStr">
        <is>
          <t>PIXTRANS</t>
        </is>
      </c>
      <c r="B82" s="31" t="inlineStr">
        <is>
          <t>Pix Transmission Ltd</t>
        </is>
      </c>
      <c r="C82" s="31" t="inlineStr">
        <is>
          <t>fmcg</t>
        </is>
      </c>
      <c r="D82" s="31" t="inlineStr">
        <is>
          <t>miscellaneous</t>
        </is>
      </c>
      <c r="E82" s="31" t="inlineStr">
        <is>
          <t>smallcap</t>
        </is>
      </c>
      <c r="F82" s="31" t="n">
        <v>2169</v>
      </c>
      <c r="G82" s="31" t="n">
        <v>1594.6</v>
      </c>
      <c r="H82" s="31" t="n">
        <v>0.17</v>
      </c>
      <c r="I82" s="31" t="n">
        <v>10695</v>
      </c>
      <c r="J82" s="31" t="inlineStr">
        <is>
          <t>500333</t>
        </is>
      </c>
    </row>
    <row r="83">
      <c r="A83" s="31" t="inlineStr">
        <is>
          <t>NEULANDLAB</t>
        </is>
      </c>
      <c r="B83" s="31" t="inlineStr">
        <is>
          <t>Neuland Laboratories Limited</t>
        </is>
      </c>
      <c r="C83" s="31" t="inlineStr">
        <is>
          <t>healthcare</t>
        </is>
      </c>
      <c r="D83" s="31" t="inlineStr">
        <is>
          <t>pharmaceuticals - indian - bulk drugs</t>
        </is>
      </c>
      <c r="E83" s="31" t="inlineStr">
        <is>
          <t>largecap</t>
        </is>
      </c>
      <c r="F83" s="31" t="n">
        <v>21741.53</v>
      </c>
      <c r="G83" s="31" t="n">
        <v>16973</v>
      </c>
      <c r="H83" s="31" t="n">
        <v>0.16</v>
      </c>
      <c r="I83" s="31" t="n">
        <v>50931</v>
      </c>
      <c r="J83" s="31" t="inlineStr">
        <is>
          <t>524558</t>
        </is>
      </c>
    </row>
    <row r="84">
      <c r="A84" s="31" t="inlineStr">
        <is>
          <t>LMW</t>
        </is>
      </c>
      <c r="B84" s="31" t="inlineStr">
        <is>
          <t>LMW Ltd</t>
        </is>
      </c>
      <c r="C84" s="31" t="inlineStr">
        <is>
          <t>industrials</t>
        </is>
      </c>
      <c r="D84" s="31" t="inlineStr">
        <is>
          <t>textile machinery</t>
        </is>
      </c>
      <c r="E84" s="31" t="inlineStr">
        <is>
          <t>midcap</t>
        </is>
      </c>
      <c r="F84" s="31" t="n">
        <v>16624.88</v>
      </c>
      <c r="G84" s="31" t="n">
        <v>15582</v>
      </c>
      <c r="H84" s="31" t="n">
        <v>0.13</v>
      </c>
      <c r="I84" s="31" t="n">
        <v>757</v>
      </c>
      <c r="J84" s="31" t="inlineStr">
        <is>
          <t>500252</t>
        </is>
      </c>
    </row>
    <row r="85">
      <c r="A85" s="31" t="inlineStr">
        <is>
          <t>ASTERDM</t>
        </is>
      </c>
      <c r="B85" s="31" t="inlineStr">
        <is>
          <t>Aster DM Healthcare Ltd</t>
        </is>
      </c>
      <c r="C85" s="31" t="inlineStr">
        <is>
          <t>healthcare</t>
        </is>
      </c>
      <c r="D85" s="31" t="inlineStr">
        <is>
          <t>healthcare</t>
        </is>
      </c>
      <c r="E85" s="31" t="inlineStr">
        <is>
          <t>largecap</t>
        </is>
      </c>
      <c r="F85" s="31" t="n">
        <v>42118.06</v>
      </c>
      <c r="G85" s="31" t="n">
        <v>813.75</v>
      </c>
      <c r="H85" s="31" t="n">
        <v>0.1</v>
      </c>
      <c r="I85" s="31" t="n">
        <v>967137</v>
      </c>
      <c r="J85" s="31" t="inlineStr">
        <is>
          <t>540975</t>
        </is>
      </c>
    </row>
    <row r="86">
      <c r="A86" s="31" t="inlineStr">
        <is>
          <t>TINNARUBR</t>
        </is>
      </c>
      <c r="B86" s="31" t="inlineStr">
        <is>
          <t>Tinna Rubber &amp; Infrastructure Ltd</t>
        </is>
      </c>
      <c r="C86" s="31" t="inlineStr">
        <is>
          <t>fmcg</t>
        </is>
      </c>
      <c r="D86" s="31" t="inlineStr">
        <is>
          <t>miscellaneous</t>
        </is>
      </c>
      <c r="E86" s="31" t="inlineStr">
        <is>
          <t>smallcap</t>
        </is>
      </c>
      <c r="F86" s="31" t="n">
        <v>1563.59</v>
      </c>
      <c r="G86" s="31" t="n">
        <v>868.65</v>
      </c>
      <c r="H86" s="31" t="n">
        <v>0.09</v>
      </c>
      <c r="I86" s="31" t="n">
        <v>38342</v>
      </c>
      <c r="J86" s="31" t="inlineStr">
        <is>
          <t>530475</t>
        </is>
      </c>
    </row>
    <row r="87">
      <c r="A87" s="31" t="inlineStr">
        <is>
          <t>SHYAMMETL</t>
        </is>
      </c>
      <c r="B87" s="31" t="inlineStr">
        <is>
          <t>Shyam Metalics &amp; Energy Ltd</t>
        </is>
      </c>
      <c r="C87" s="31" t="inlineStr">
        <is>
          <t>metals &amp; mining</t>
        </is>
      </c>
      <c r="D87" s="31" t="inlineStr">
        <is>
          <t>steel - large</t>
        </is>
      </c>
      <c r="E87" s="31" t="inlineStr">
        <is>
          <t>largecap</t>
        </is>
      </c>
      <c r="F87" s="31" t="n">
        <v>27043.69</v>
      </c>
      <c r="G87" s="31" t="n">
        <v>969.45</v>
      </c>
      <c r="H87" s="31" t="n">
        <v>0.06</v>
      </c>
      <c r="I87" s="31" t="n">
        <v>121712</v>
      </c>
      <c r="J87" s="31" t="inlineStr">
        <is>
          <t>543299</t>
        </is>
      </c>
    </row>
    <row r="88">
      <c r="A88" s="31" t="inlineStr">
        <is>
          <t>APOLLOHOSP</t>
        </is>
      </c>
      <c r="B88" s="31" t="inlineStr">
        <is>
          <t>Apollo Hospitals Enterprise Limited</t>
        </is>
      </c>
      <c r="C88" s="31" t="inlineStr">
        <is>
          <t>healthcare</t>
        </is>
      </c>
      <c r="D88" s="31" t="inlineStr">
        <is>
          <t>healthcare</t>
        </is>
      </c>
      <c r="E88" s="31" t="inlineStr">
        <is>
          <t>largecap</t>
        </is>
      </c>
      <c r="F88" s="31" t="n">
        <v>122051.61</v>
      </c>
      <c r="G88" s="31" t="n">
        <v>8493</v>
      </c>
      <c r="H88" s="31" t="n">
        <v>0.05</v>
      </c>
      <c r="I88" s="31" t="n">
        <v>314597</v>
      </c>
      <c r="J88" s="31" t="inlineStr">
        <is>
          <t>508869</t>
        </is>
      </c>
    </row>
    <row r="89">
      <c r="A89" s="31" t="inlineStr">
        <is>
          <t>FORTIS</t>
        </is>
      </c>
      <c r="B89" s="31" t="inlineStr">
        <is>
          <t>Fortis Healthcare Limited</t>
        </is>
      </c>
      <c r="C89" s="31" t="inlineStr">
        <is>
          <t>healthcare</t>
        </is>
      </c>
      <c r="D89" s="31" t="inlineStr">
        <is>
          <t>healthcare</t>
        </is>
      </c>
      <c r="E89" s="31" t="inlineStr">
        <is>
          <t>largecap</t>
        </is>
      </c>
      <c r="F89" s="31" t="n">
        <v>74665.36</v>
      </c>
      <c r="G89" s="31" t="n">
        <v>989</v>
      </c>
      <c r="H89" s="31" t="n">
        <v>0</v>
      </c>
      <c r="I89" s="31" t="n">
        <v>784738</v>
      </c>
      <c r="J89" s="31" t="inlineStr">
        <is>
          <t>532843</t>
        </is>
      </c>
    </row>
    <row r="90">
      <c r="A90" s="31" t="inlineStr">
        <is>
          <t>ARVIND</t>
        </is>
      </c>
      <c r="B90" s="31" t="inlineStr">
        <is>
          <t>Arvind Limited</t>
        </is>
      </c>
      <c r="C90" s="31" t="inlineStr">
        <is>
          <t>textiles</t>
        </is>
      </c>
      <c r="D90" s="31" t="inlineStr">
        <is>
          <t>textiles - cotton/blended</t>
        </is>
      </c>
      <c r="E90" s="31" t="inlineStr">
        <is>
          <t>midcap</t>
        </is>
      </c>
      <c r="F90" s="31" t="n">
        <v>12932.74</v>
      </c>
      <c r="G90" s="31" t="n">
        <v>493.25</v>
      </c>
      <c r="H90" s="31" t="n">
        <v>-0.03</v>
      </c>
      <c r="I90" s="31" t="n">
        <v>582651</v>
      </c>
      <c r="J90" s="31" t="inlineStr">
        <is>
          <t>500101</t>
        </is>
      </c>
    </row>
    <row r="91">
      <c r="A91" s="31" t="inlineStr">
        <is>
          <t>IDFCFIRSTB</t>
        </is>
      </c>
      <c r="B91" s="31" t="inlineStr">
        <is>
          <t>IDFC First Bank Ltd</t>
        </is>
      </c>
      <c r="C91" s="31" t="inlineStr">
        <is>
          <t>bank</t>
        </is>
      </c>
      <c r="D91" s="31" t="inlineStr">
        <is>
          <t>banks - private sector</t>
        </is>
      </c>
      <c r="E91" s="31" t="inlineStr">
        <is>
          <t>largecap</t>
        </is>
      </c>
      <c r="F91" s="31" t="n">
        <v>62783.8</v>
      </c>
      <c r="G91" s="31" t="n">
        <v>72.95</v>
      </c>
      <c r="H91" s="31" t="n">
        <v>-0.05</v>
      </c>
      <c r="I91" s="31" t="n">
        <v>22321129</v>
      </c>
      <c r="J91" s="31" t="inlineStr">
        <is>
          <t>539437</t>
        </is>
      </c>
    </row>
    <row r="92">
      <c r="A92" s="31" t="inlineStr">
        <is>
          <t>STOVEKRAFT</t>
        </is>
      </c>
      <c r="B92" s="31" t="inlineStr">
        <is>
          <t>Stove Kraft Ltd</t>
        </is>
      </c>
      <c r="C92" s="31" t="inlineStr">
        <is>
          <t>consumer discretionary</t>
        </is>
      </c>
      <c r="D92" s="31" t="inlineStr">
        <is>
          <t>domestic appliances</t>
        </is>
      </c>
      <c r="E92" s="31" t="inlineStr">
        <is>
          <t>smallcap</t>
        </is>
      </c>
      <c r="F92" s="31" t="n">
        <v>2158.76</v>
      </c>
      <c r="G92" s="31" t="n">
        <v>651.6</v>
      </c>
      <c r="H92" s="31" t="n">
        <v>-0.07000000000000001</v>
      </c>
      <c r="I92" s="31" t="n">
        <v>182351</v>
      </c>
      <c r="J92" s="31" t="inlineStr">
        <is>
          <t>543260</t>
        </is>
      </c>
    </row>
    <row r="93">
      <c r="A93" s="31" t="inlineStr">
        <is>
          <t>NRBBEARING</t>
        </is>
      </c>
      <c r="B93" s="31" t="inlineStr">
        <is>
          <t>Nrb Bearing Limited</t>
        </is>
      </c>
      <c r="C93" s="31" t="inlineStr">
        <is>
          <t>industrials</t>
        </is>
      </c>
      <c r="D93" s="31" t="inlineStr">
        <is>
          <t>bearings</t>
        </is>
      </c>
      <c r="E93" s="31" t="inlineStr">
        <is>
          <t>smallcap</t>
        </is>
      </c>
      <c r="F93" s="31" t="n">
        <v>4227.76</v>
      </c>
      <c r="G93" s="31" t="n">
        <v>435.7</v>
      </c>
      <c r="H93" s="31" t="n">
        <v>-0.11</v>
      </c>
      <c r="I93" s="31" t="n">
        <v>874828</v>
      </c>
      <c r="J93" s="31" t="inlineStr">
        <is>
          <t>530367</t>
        </is>
      </c>
    </row>
    <row r="94">
      <c r="A94" s="31" t="inlineStr">
        <is>
          <t>EXIDEIND</t>
        </is>
      </c>
      <c r="B94" s="31" t="inlineStr">
        <is>
          <t>Exide Industries Limited</t>
        </is>
      </c>
      <c r="C94" s="31" t="inlineStr">
        <is>
          <t>auto</t>
        </is>
      </c>
      <c r="D94" s="31" t="inlineStr">
        <is>
          <t>auto ancillaries</t>
        </is>
      </c>
      <c r="E94" s="31" t="inlineStr">
        <is>
          <t>largecap</t>
        </is>
      </c>
      <c r="F94" s="31" t="n">
        <v>32839.75</v>
      </c>
      <c r="G94" s="31" t="n">
        <v>385.65</v>
      </c>
      <c r="H94" s="31" t="n">
        <v>-0.18</v>
      </c>
      <c r="I94" s="31" t="n">
        <v>1023382</v>
      </c>
      <c r="J94" s="31" t="inlineStr">
        <is>
          <t>500086</t>
        </is>
      </c>
    </row>
    <row r="95">
      <c r="A95" s="31" t="inlineStr">
        <is>
          <t>NRL</t>
        </is>
      </c>
      <c r="B95" s="31" t="inlineStr">
        <is>
          <t>Nupur Recyclers Ltd</t>
        </is>
      </c>
      <c r="C95" s="31" t="inlineStr">
        <is>
          <t>services</t>
        </is>
      </c>
      <c r="D95" s="31" t="inlineStr">
        <is>
          <t>trading</t>
        </is>
      </c>
      <c r="E95" s="31" t="inlineStr">
        <is>
          <t>smallcap</t>
        </is>
      </c>
      <c r="F95" s="31" t="n">
        <v>519.88</v>
      </c>
      <c r="G95" s="31" t="n">
        <v>75.12</v>
      </c>
      <c r="H95" s="31" t="n">
        <v>-0.2</v>
      </c>
      <c r="I95" s="31" t="n">
        <v>127776</v>
      </c>
      <c r="J95" s="31" t="inlineStr">
        <is>
          <t>535413</t>
        </is>
      </c>
    </row>
    <row r="96">
      <c r="A96" s="31" t="inlineStr">
        <is>
          <t>CERA</t>
        </is>
      </c>
      <c r="B96" s="31" t="inlineStr">
        <is>
          <t>Cera Sanitaryware Limited</t>
        </is>
      </c>
      <c r="C96" s="31" t="inlineStr">
        <is>
          <t>building materials</t>
        </is>
      </c>
      <c r="D96" s="31" t="inlineStr">
        <is>
          <t>ceramics - tiles / sanitaryware</t>
        </is>
      </c>
      <c r="E96" s="31" t="inlineStr">
        <is>
          <t>midcap</t>
        </is>
      </c>
      <c r="F96" s="31" t="n">
        <v>7570.21</v>
      </c>
      <c r="G96" s="31" t="n">
        <v>5854.5</v>
      </c>
      <c r="H96" s="31" t="n">
        <v>-0.26</v>
      </c>
      <c r="I96" s="31" t="n">
        <v>6739</v>
      </c>
      <c r="J96" s="31" t="inlineStr">
        <is>
          <t>532443</t>
        </is>
      </c>
    </row>
    <row r="97">
      <c r="A97" s="31" t="inlineStr">
        <is>
          <t>BLSE</t>
        </is>
      </c>
      <c r="B97" s="31" t="inlineStr">
        <is>
          <t>BLS E-Services Ltd</t>
        </is>
      </c>
      <c r="C97" s="31" t="inlineStr">
        <is>
          <t>i.t</t>
        </is>
      </c>
      <c r="D97" s="31" t="inlineStr">
        <is>
          <t>computers - software - medium / small</t>
        </is>
      </c>
      <c r="E97" s="31" t="inlineStr">
        <is>
          <t>smallcap</t>
        </is>
      </c>
      <c r="F97" s="31" t="n">
        <v>2052.45</v>
      </c>
      <c r="G97" s="31" t="n">
        <v>225.19</v>
      </c>
      <c r="H97" s="31" t="n">
        <v>-0.31</v>
      </c>
      <c r="I97" s="31" t="n">
        <v>145133</v>
      </c>
      <c r="J97" s="31" t="inlineStr">
        <is>
          <t>544107</t>
        </is>
      </c>
    </row>
    <row r="98">
      <c r="A98" s="31" t="inlineStr">
        <is>
          <t>BHARATFORG</t>
        </is>
      </c>
      <c r="B98" s="31" t="inlineStr">
        <is>
          <t>Bharat Forge Limited</t>
        </is>
      </c>
      <c r="C98" s="31" t="inlineStr">
        <is>
          <t>industrials</t>
        </is>
      </c>
      <c r="D98" s="31" t="inlineStr">
        <is>
          <t>castings &amp; forgings</t>
        </is>
      </c>
      <c r="E98" s="31" t="inlineStr">
        <is>
          <t>largecap</t>
        </is>
      </c>
      <c r="F98" s="31" t="n">
        <v>93189.03999999999</v>
      </c>
      <c r="G98" s="31" t="n">
        <v>1942.9</v>
      </c>
      <c r="H98" s="31" t="n">
        <v>-0.32</v>
      </c>
      <c r="I98" s="31" t="n">
        <v>801831</v>
      </c>
      <c r="J98" s="31" t="inlineStr">
        <is>
          <t>500493</t>
        </is>
      </c>
    </row>
    <row r="99">
      <c r="A99" s="31" t="inlineStr">
        <is>
          <t>IIFLCAPS</t>
        </is>
      </c>
      <c r="B99" s="31" t="inlineStr">
        <is>
          <t>IIFL Capital Services Ltd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midcap</t>
        </is>
      </c>
      <c r="F99" s="31" t="n">
        <v>10697.78</v>
      </c>
      <c r="G99" s="31" t="n">
        <v>342.3</v>
      </c>
      <c r="H99" s="31" t="n">
        <v>-0.35</v>
      </c>
      <c r="I99" s="31" t="n">
        <v>307477</v>
      </c>
      <c r="J99" s="31" t="inlineStr">
        <is>
          <t>542773</t>
        </is>
      </c>
    </row>
    <row r="100">
      <c r="A100" s="31" t="inlineStr">
        <is>
          <t>RSWM</t>
        </is>
      </c>
      <c r="B100" s="31" t="inlineStr">
        <is>
          <t>Rswm Limited</t>
        </is>
      </c>
      <c r="C100" s="31" t="inlineStr">
        <is>
          <t>textiles</t>
        </is>
      </c>
      <c r="D100" s="31" t="inlineStr">
        <is>
          <t>textiles - cotton/blended</t>
        </is>
      </c>
      <c r="E100" s="31" t="inlineStr">
        <is>
          <t>smallcap</t>
        </is>
      </c>
      <c r="F100" s="31" t="n">
        <v>969.59</v>
      </c>
      <c r="G100" s="31" t="n">
        <v>205.03</v>
      </c>
      <c r="H100" s="31" t="n">
        <v>-0.4</v>
      </c>
      <c r="I100" s="31" t="n">
        <v>308929</v>
      </c>
      <c r="J100" s="31" t="inlineStr">
        <is>
          <t>500350</t>
        </is>
      </c>
    </row>
    <row r="101">
      <c r="A101" s="31" t="inlineStr">
        <is>
          <t>MANORAMA</t>
        </is>
      </c>
      <c r="B101" s="31" t="inlineStr">
        <is>
          <t>Manorama Industries Ltd</t>
        </is>
      </c>
      <c r="C101" s="31" t="inlineStr">
        <is>
          <t>fmcg</t>
        </is>
      </c>
      <c r="D101" s="31" t="inlineStr">
        <is>
          <t>food - processing - indian</t>
        </is>
      </c>
      <c r="E101" s="31" t="inlineStr">
        <is>
          <t>midcap</t>
        </is>
      </c>
      <c r="F101" s="31" t="n">
        <v>9199.290000000001</v>
      </c>
      <c r="G101" s="31" t="n">
        <v>1534.2</v>
      </c>
      <c r="H101" s="31" t="n">
        <v>-0.42</v>
      </c>
      <c r="I101" s="31" t="n">
        <v>186926</v>
      </c>
      <c r="J101" s="31" t="inlineStr">
        <is>
          <t>541974</t>
        </is>
      </c>
    </row>
    <row r="102">
      <c r="A102" s="31" t="inlineStr">
        <is>
          <t>FEDERALBNK</t>
        </is>
      </c>
      <c r="B102" s="31" t="inlineStr">
        <is>
          <t>The Federal Bank  Limited</t>
        </is>
      </c>
      <c r="C102" s="31" t="inlineStr">
        <is>
          <t>bank</t>
        </is>
      </c>
      <c r="D102" s="31" t="inlineStr">
        <is>
          <t>banks - private sector</t>
        </is>
      </c>
      <c r="E102" s="31" t="inlineStr">
        <is>
          <t>largecap</t>
        </is>
      </c>
      <c r="F102" s="31" t="n">
        <v>76663.82000000001</v>
      </c>
      <c r="G102" s="31" t="n">
        <v>309.75</v>
      </c>
      <c r="H102" s="31" t="n">
        <v>-0.43</v>
      </c>
      <c r="I102" s="31" t="n">
        <v>7619065</v>
      </c>
      <c r="J102" s="31" t="inlineStr">
        <is>
          <t>500469</t>
        </is>
      </c>
    </row>
    <row r="103">
      <c r="A103" s="31" t="inlineStr">
        <is>
          <t>DIAMONDYD</t>
        </is>
      </c>
      <c r="B103" s="31" t="inlineStr">
        <is>
          <t>Prataap Snacks Ltd</t>
        </is>
      </c>
      <c r="C103" s="31" t="inlineStr">
        <is>
          <t>fmcg</t>
        </is>
      </c>
      <c r="D103" s="31" t="inlineStr">
        <is>
          <t>food - processing - indian</t>
        </is>
      </c>
      <c r="E103" s="31" t="inlineStr">
        <is>
          <t>smallcap</t>
        </is>
      </c>
      <c r="F103" s="31" t="n">
        <v>2692.26</v>
      </c>
      <c r="G103" s="31" t="n">
        <v>1121.3</v>
      </c>
      <c r="H103" s="31" t="n">
        <v>-0.44</v>
      </c>
      <c r="I103" s="31" t="n">
        <v>32836</v>
      </c>
      <c r="J103" s="31" t="inlineStr">
        <is>
          <t>540724</t>
        </is>
      </c>
    </row>
    <row r="104">
      <c r="A104" s="31" t="inlineStr">
        <is>
          <t>PGHL</t>
        </is>
      </c>
      <c r="B104" s="31" t="inlineStr">
        <is>
          <t>Procter &amp; Gamble Health Ltd</t>
        </is>
      </c>
      <c r="C104" s="31" t="inlineStr">
        <is>
          <t>healthcare</t>
        </is>
      </c>
      <c r="D104" s="31" t="inlineStr">
        <is>
          <t>pharmaceuticals - multinational</t>
        </is>
      </c>
      <c r="E104" s="31" t="inlineStr">
        <is>
          <t>midcap</t>
        </is>
      </c>
      <c r="F104" s="31" t="n">
        <v>10349.71</v>
      </c>
      <c r="G104" s="31" t="n">
        <v>6207</v>
      </c>
      <c r="H104" s="31" t="n">
        <v>-0.45</v>
      </c>
      <c r="I104" s="31" t="n">
        <v>19120</v>
      </c>
      <c r="J104" s="31" t="inlineStr">
        <is>
          <t>500126</t>
        </is>
      </c>
    </row>
    <row r="105">
      <c r="A105" s="31" t="inlineStr">
        <is>
          <t>CONFIPET</t>
        </is>
      </c>
      <c r="B105" s="31" t="inlineStr">
        <is>
          <t>Confidence Petroleum India Ltd</t>
        </is>
      </c>
      <c r="C105" s="31" t="inlineStr">
        <is>
          <t>miscellaneous</t>
        </is>
      </c>
      <c r="D105" s="31" t="inlineStr">
        <is>
          <t>miscellaneous</t>
        </is>
      </c>
      <c r="E105" s="31" t="inlineStr">
        <is>
          <t>smallcap</t>
        </is>
      </c>
      <c r="F105" s="31" t="n">
        <v>2422.7</v>
      </c>
      <c r="G105" s="31" t="n">
        <v>72.56</v>
      </c>
      <c r="H105" s="31" t="n">
        <v>-0.49</v>
      </c>
      <c r="I105" s="31" t="n">
        <v>1851024</v>
      </c>
      <c r="J105" s="31" t="inlineStr">
        <is>
          <t>526829</t>
        </is>
      </c>
    </row>
    <row r="106">
      <c r="A106" s="31" t="inlineStr">
        <is>
          <t>PIDILITIND</t>
        </is>
      </c>
      <c r="B106" s="31" t="inlineStr">
        <is>
          <t>Pidilite Industries Limited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largecap</t>
        </is>
      </c>
      <c r="F106" s="31" t="n">
        <v>153326.49</v>
      </c>
      <c r="G106" s="31" t="n">
        <v>1498.8</v>
      </c>
      <c r="H106" s="31" t="n">
        <v>-0.51</v>
      </c>
      <c r="I106" s="31" t="n">
        <v>613282</v>
      </c>
      <c r="J106" s="31" t="inlineStr">
        <is>
          <t>500331</t>
        </is>
      </c>
    </row>
    <row r="107">
      <c r="A107" s="31" t="inlineStr">
        <is>
          <t>BERGEPAINT</t>
        </is>
      </c>
      <c r="B107" s="31" t="inlineStr">
        <is>
          <t>Berger Paints (i) Limited</t>
        </is>
      </c>
      <c r="C107" s="31" t="inlineStr">
        <is>
          <t>building materials</t>
        </is>
      </c>
      <c r="D107" s="31" t="inlineStr">
        <is>
          <t>paints / varnishes</t>
        </is>
      </c>
      <c r="E107" s="31" t="inlineStr">
        <is>
          <t>largecap</t>
        </is>
      </c>
      <c r="F107" s="31" t="n">
        <v>60247.37</v>
      </c>
      <c r="G107" s="31" t="n">
        <v>513.95</v>
      </c>
      <c r="H107" s="31" t="n">
        <v>-0.53</v>
      </c>
      <c r="I107" s="31" t="n">
        <v>344492</v>
      </c>
      <c r="J107" s="31" t="inlineStr">
        <is>
          <t>509480</t>
        </is>
      </c>
    </row>
    <row r="108">
      <c r="A108" s="31" t="inlineStr">
        <is>
          <t>THANGAMAYL</t>
        </is>
      </c>
      <c r="B108" s="31" t="inlineStr">
        <is>
          <t>Thangamayil Jewellery Limited</t>
        </is>
      </c>
      <c r="C108" s="31" t="inlineStr">
        <is>
          <t>consumer discretionary</t>
        </is>
      </c>
      <c r="D108" s="31" t="inlineStr">
        <is>
          <t>diamond cutting / jewellery</t>
        </is>
      </c>
      <c r="E108" s="31" t="inlineStr">
        <is>
          <t>midcap</t>
        </is>
      </c>
      <c r="F108" s="31" t="n">
        <v>16921.36</v>
      </c>
      <c r="G108" s="31" t="n">
        <v>5415.4</v>
      </c>
      <c r="H108" s="31" t="n">
        <v>-0.53</v>
      </c>
      <c r="I108" s="31" t="n">
        <v>130587</v>
      </c>
      <c r="J108" s="31" t="inlineStr">
        <is>
          <t>533158</t>
        </is>
      </c>
    </row>
    <row r="109">
      <c r="A109" s="31" t="inlineStr">
        <is>
          <t>ICIL</t>
        </is>
      </c>
      <c r="B109" s="31" t="inlineStr">
        <is>
          <t>Indo Count Industries Limited</t>
        </is>
      </c>
      <c r="C109" s="31" t="inlineStr">
        <is>
          <t>textiles</t>
        </is>
      </c>
      <c r="D109" s="31" t="inlineStr">
        <is>
          <t>textiles - cotton/blended</t>
        </is>
      </c>
      <c r="E109" s="31" t="inlineStr">
        <is>
          <t>midcap</t>
        </is>
      </c>
      <c r="F109" s="31" t="n">
        <v>6453.6</v>
      </c>
      <c r="G109" s="31" t="n">
        <v>324.1</v>
      </c>
      <c r="H109" s="31" t="n">
        <v>-0.54</v>
      </c>
      <c r="I109" s="31" t="n">
        <v>242954</v>
      </c>
      <c r="J109" s="31" t="inlineStr">
        <is>
          <t>521016</t>
        </is>
      </c>
    </row>
    <row r="110">
      <c r="A110" s="31" t="inlineStr">
        <is>
          <t>PTL</t>
        </is>
      </c>
      <c r="B110" s="31" t="inlineStr">
        <is>
          <t>Ptl Enterprises Limited</t>
        </is>
      </c>
      <c r="C110" s="31" t="inlineStr">
        <is>
          <t>miscellaneous</t>
        </is>
      </c>
      <c r="D110" s="31" t="inlineStr">
        <is>
          <t>miscellaneous</t>
        </is>
      </c>
      <c r="E110" s="31" t="inlineStr">
        <is>
          <t>smallcap</t>
        </is>
      </c>
      <c r="F110" s="31" t="n">
        <v>532.6900000000001</v>
      </c>
      <c r="G110" s="31" t="n">
        <v>40.02</v>
      </c>
      <c r="H110" s="31" t="n">
        <v>-0.55</v>
      </c>
      <c r="I110" s="31" t="n">
        <v>19112</v>
      </c>
      <c r="J110" s="31" t="inlineStr">
        <is>
          <t>509220</t>
        </is>
      </c>
    </row>
    <row r="111">
      <c r="A111" s="31" t="inlineStr">
        <is>
          <t>SSWL</t>
        </is>
      </c>
      <c r="B111" s="31" t="inlineStr">
        <is>
          <t>Steel Strips Wheels Limited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smallcap</t>
        </is>
      </c>
      <c r="F111" s="31" t="n">
        <v>3569.41</v>
      </c>
      <c r="G111" s="31" t="n">
        <v>225.83</v>
      </c>
      <c r="H111" s="31" t="n">
        <v>-0.55</v>
      </c>
      <c r="I111" s="31" t="n">
        <v>674970</v>
      </c>
      <c r="J111" s="31" t="inlineStr">
        <is>
          <t>513262</t>
        </is>
      </c>
    </row>
    <row r="112">
      <c r="A112" s="31" t="inlineStr">
        <is>
          <t>SAILIFE</t>
        </is>
      </c>
      <c r="B112" s="31" t="inlineStr">
        <is>
          <t>Sai Life Sciences Ltd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largecap</t>
        </is>
      </c>
      <c r="F112" s="31" t="n">
        <v>25161.49</v>
      </c>
      <c r="G112" s="31" t="n">
        <v>1181.2</v>
      </c>
      <c r="H112" s="31" t="n">
        <v>-0.58</v>
      </c>
      <c r="I112" s="31" t="n">
        <v>222202</v>
      </c>
      <c r="J112" s="31" t="inlineStr">
        <is>
          <t>544306</t>
        </is>
      </c>
    </row>
    <row r="113">
      <c r="A113" s="31" t="inlineStr">
        <is>
          <t>ORCHPHARMA</t>
        </is>
      </c>
      <c r="B113" s="31" t="inlineStr">
        <is>
          <t>Orchid Pharma Ltd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4315.94</v>
      </c>
      <c r="G113" s="31" t="n">
        <v>845.95</v>
      </c>
      <c r="H113" s="31" t="n">
        <v>-0.59</v>
      </c>
      <c r="I113" s="31" t="n">
        <v>166387</v>
      </c>
      <c r="J113" s="31" t="inlineStr">
        <is>
          <t>524372</t>
        </is>
      </c>
    </row>
    <row r="114">
      <c r="A114" s="31" t="inlineStr">
        <is>
          <t>BOSCHLTD</t>
        </is>
      </c>
      <c r="B114" s="31" t="inlineStr">
        <is>
          <t>Bosch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largecap</t>
        </is>
      </c>
      <c r="F114" s="31" t="n">
        <v>111456.47</v>
      </c>
      <c r="G114" s="31" t="n">
        <v>37565</v>
      </c>
      <c r="H114" s="31" t="n">
        <v>-0.6</v>
      </c>
      <c r="I114" s="31" t="n">
        <v>34810</v>
      </c>
      <c r="J114" s="31" t="inlineStr">
        <is>
          <t>500530</t>
        </is>
      </c>
    </row>
    <row r="115">
      <c r="A115" s="31" t="inlineStr">
        <is>
          <t>TATACOMM</t>
        </is>
      </c>
      <c r="B115" s="31" t="inlineStr">
        <is>
          <t>Tata Communications Limited</t>
        </is>
      </c>
      <c r="C115" s="31" t="inlineStr">
        <is>
          <t>telecom-service</t>
        </is>
      </c>
      <c r="D115" s="31" t="inlineStr">
        <is>
          <t>telecommunications - service provider</t>
        </is>
      </c>
      <c r="E115" s="31" t="inlineStr">
        <is>
          <t>largecap</t>
        </is>
      </c>
      <c r="F115" s="31" t="n">
        <v>56390.1</v>
      </c>
      <c r="G115" s="31" t="n">
        <v>1966</v>
      </c>
      <c r="H115" s="31" t="n">
        <v>-0.64</v>
      </c>
      <c r="I115" s="31" t="n">
        <v>445629</v>
      </c>
      <c r="J115" s="31" t="inlineStr">
        <is>
          <t>500483</t>
        </is>
      </c>
    </row>
    <row r="116">
      <c r="A116" s="31" t="inlineStr">
        <is>
          <t>INDOBORAX</t>
        </is>
      </c>
      <c r="B116" s="31" t="inlineStr">
        <is>
          <t>Indo Borax &amp; Chemicals Ltd</t>
        </is>
      </c>
      <c r="C116" s="31" t="inlineStr">
        <is>
          <t>chemicals</t>
        </is>
      </c>
      <c r="D116" s="31" t="inlineStr">
        <is>
          <t>chemicals</t>
        </is>
      </c>
      <c r="E116" s="31" t="inlineStr">
        <is>
          <t>smallcap</t>
        </is>
      </c>
      <c r="F116" s="31" t="n">
        <v>1159.57</v>
      </c>
      <c r="G116" s="31" t="n">
        <v>358.95</v>
      </c>
      <c r="H116" s="31" t="n">
        <v>-0.66</v>
      </c>
      <c r="I116" s="31" t="n">
        <v>28417</v>
      </c>
      <c r="J116" s="31" t="inlineStr">
        <is>
          <t>524342</t>
        </is>
      </c>
    </row>
    <row r="117">
      <c r="A117" s="31" t="inlineStr">
        <is>
          <t>UFBL</t>
        </is>
      </c>
      <c r="B117" s="31" t="inlineStr">
        <is>
          <t>United Foodbrands Ltd</t>
        </is>
      </c>
      <c r="C117" s="31" t="inlineStr">
        <is>
          <t>consumer discretionary</t>
        </is>
      </c>
      <c r="D117" s="31" t="inlineStr">
        <is>
          <t>hotels</t>
        </is>
      </c>
      <c r="E117" s="31" t="inlineStr">
        <is>
          <t>smallcap</t>
        </is>
      </c>
      <c r="F117" s="31" t="n">
        <v>2190.4</v>
      </c>
      <c r="G117" s="31" t="n">
        <v>556.55</v>
      </c>
      <c r="H117" s="31" t="n">
        <v>-0.6899999999999999</v>
      </c>
      <c r="I117" s="31" t="n">
        <v>120256</v>
      </c>
      <c r="J117" s="31" t="inlineStr">
        <is>
          <t>543283</t>
        </is>
      </c>
    </row>
    <row r="118">
      <c r="A118" s="31" t="inlineStr">
        <is>
          <t>SANSERA</t>
        </is>
      </c>
      <c r="B118" s="31" t="inlineStr">
        <is>
          <t>Sansera Engineering Ltd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midcap</t>
        </is>
      </c>
      <c r="F118" s="31" t="n">
        <v>17959.73</v>
      </c>
      <c r="G118" s="31" t="n">
        <v>2861.5</v>
      </c>
      <c r="H118" s="31" t="n">
        <v>-0.6899999999999999</v>
      </c>
      <c r="I118" s="31" t="n">
        <v>155158</v>
      </c>
      <c r="J118" s="31" t="inlineStr">
        <is>
          <t>543358</t>
        </is>
      </c>
    </row>
    <row r="119">
      <c r="A119" s="31" t="inlineStr">
        <is>
          <t>ACMESOLAR</t>
        </is>
      </c>
      <c r="B119" s="31" t="inlineStr">
        <is>
          <t>ACME Solar Holdings Ltd</t>
        </is>
      </c>
      <c r="C119" s="31" t="inlineStr">
        <is>
          <t>realty</t>
        </is>
      </c>
      <c r="D119" s="31" t="inlineStr">
        <is>
          <t>engineering - turnkey services</t>
        </is>
      </c>
      <c r="E119" s="31" t="inlineStr">
        <is>
          <t>largecap</t>
        </is>
      </c>
      <c r="F119" s="31" t="n">
        <v>20415.19</v>
      </c>
      <c r="G119" s="31" t="n">
        <v>334.45</v>
      </c>
      <c r="H119" s="31" t="n">
        <v>-0.73</v>
      </c>
      <c r="I119" s="31" t="n">
        <v>1977508</v>
      </c>
      <c r="J119" s="31" t="inlineStr">
        <is>
          <t>544283</t>
        </is>
      </c>
    </row>
    <row r="120">
      <c r="A120" s="31" t="inlineStr">
        <is>
          <t>PREMIERENE</t>
        </is>
      </c>
      <c r="B120" s="31" t="inlineStr">
        <is>
          <t>Premier Energies Ltd</t>
        </is>
      </c>
      <c r="C120" s="31" t="inlineStr">
        <is>
          <t>services</t>
        </is>
      </c>
      <c r="D120" s="31" t="inlineStr">
        <is>
          <t>trading</t>
        </is>
      </c>
      <c r="E120" s="31" t="inlineStr">
        <is>
          <t>largecap</t>
        </is>
      </c>
      <c r="F120" s="31" t="n">
        <v>48284.67</v>
      </c>
      <c r="G120" s="31" t="n">
        <v>1058</v>
      </c>
      <c r="H120" s="31" t="n">
        <v>-0.74</v>
      </c>
      <c r="I120" s="31" t="n">
        <v>854495</v>
      </c>
      <c r="J120" s="31" t="n"/>
    </row>
    <row r="121">
      <c r="A121" s="31" t="inlineStr">
        <is>
          <t>CGPOWER</t>
        </is>
      </c>
      <c r="B121" s="31" t="inlineStr">
        <is>
          <t>CG Power and Industrial Solutions Ltd</t>
        </is>
      </c>
      <c r="C121" s="31" t="inlineStr">
        <is>
          <t>industrials</t>
        </is>
      </c>
      <c r="D121" s="31" t="inlineStr">
        <is>
          <t>electric equipment</t>
        </is>
      </c>
      <c r="E121" s="31" t="inlineStr">
        <is>
          <t>largecap</t>
        </is>
      </c>
      <c r="F121" s="31" t="n">
        <v>143018.6</v>
      </c>
      <c r="G121" s="31" t="n">
        <v>901.35</v>
      </c>
      <c r="H121" s="31" t="n">
        <v>-0.74</v>
      </c>
      <c r="I121" s="31" t="n">
        <v>2755854</v>
      </c>
      <c r="J121" s="31" t="inlineStr">
        <is>
          <t>500093</t>
        </is>
      </c>
    </row>
    <row r="122">
      <c r="A122" s="31" t="inlineStr">
        <is>
          <t>UNIPARTS</t>
        </is>
      </c>
      <c r="B122" s="31" t="inlineStr">
        <is>
          <t>Uniparts India Ltd</t>
        </is>
      </c>
      <c r="C122" s="31" t="inlineStr">
        <is>
          <t>industrials</t>
        </is>
      </c>
      <c r="D122" s="31" t="inlineStr">
        <is>
          <t>engineering</t>
        </is>
      </c>
      <c r="E122" s="31" t="inlineStr">
        <is>
          <t>smallcap</t>
        </is>
      </c>
      <c r="F122" s="31" t="n">
        <v>2897.96</v>
      </c>
      <c r="G122" s="31" t="n">
        <v>637.15</v>
      </c>
      <c r="H122" s="31" t="n">
        <v>-0.75</v>
      </c>
      <c r="I122" s="31" t="n">
        <v>142990</v>
      </c>
      <c r="J122" s="31" t="inlineStr">
        <is>
          <t>543689</t>
        </is>
      </c>
    </row>
    <row r="123">
      <c r="A123" s="31" t="inlineStr">
        <is>
          <t>ADANIENT</t>
        </is>
      </c>
      <c r="B123" s="31" t="inlineStr">
        <is>
          <t>Adani Enterprises Limited</t>
        </is>
      </c>
      <c r="C123" s="31" t="inlineStr">
        <is>
          <t>services</t>
        </is>
      </c>
      <c r="D123" s="31" t="inlineStr">
        <is>
          <t>trading</t>
        </is>
      </c>
      <c r="E123" s="31" t="inlineStr">
        <is>
          <t>largecap</t>
        </is>
      </c>
      <c r="F123" s="31" t="n">
        <v>378898.14</v>
      </c>
      <c r="G123" s="31" t="n">
        <v>2908.8</v>
      </c>
      <c r="H123" s="31" t="n">
        <v>-0.76</v>
      </c>
      <c r="I123" s="31" t="n">
        <v>1204115</v>
      </c>
      <c r="J123" s="31" t="inlineStr">
        <is>
          <t>512599</t>
        </is>
      </c>
    </row>
    <row r="124">
      <c r="A124" s="31" t="inlineStr">
        <is>
          <t>J&amp;KBANK</t>
        </is>
      </c>
      <c r="B124" s="31" t="inlineStr">
        <is>
          <t>The Jammu &amp; Kashmir Bank Limited</t>
        </is>
      </c>
      <c r="C124" s="31" t="inlineStr">
        <is>
          <t>bank</t>
        </is>
      </c>
      <c r="D124" s="31" t="inlineStr">
        <is>
          <t>banks - private sector</t>
        </is>
      </c>
      <c r="E124" s="31" t="inlineStr">
        <is>
          <t>midcap</t>
        </is>
      </c>
      <c r="F124" s="31" t="n">
        <v>16992.35</v>
      </c>
      <c r="G124" s="31" t="n">
        <v>153.07</v>
      </c>
      <c r="H124" s="31" t="n">
        <v>-0.8</v>
      </c>
      <c r="I124" s="31" t="n">
        <v>2502629</v>
      </c>
      <c r="J124" s="31" t="inlineStr">
        <is>
          <t>532209</t>
        </is>
      </c>
    </row>
    <row r="125">
      <c r="A125" s="31" t="inlineStr">
        <is>
          <t>SPARC</t>
        </is>
      </c>
      <c r="B125" s="31" t="inlineStr">
        <is>
          <t>Sun Pharma Advanced Research Company Limited</t>
        </is>
      </c>
      <c r="C125" s="31" t="inlineStr">
        <is>
          <t>healthcare</t>
        </is>
      </c>
      <c r="D125" s="31" t="inlineStr">
        <is>
          <t>miscellaneous</t>
        </is>
      </c>
      <c r="E125" s="31" t="inlineStr">
        <is>
          <t>midcap</t>
        </is>
      </c>
      <c r="F125" s="31" t="n">
        <v>6682.55</v>
      </c>
      <c r="G125" s="31" t="n">
        <v>204.11</v>
      </c>
      <c r="H125" s="31" t="n">
        <v>-0.88</v>
      </c>
      <c r="I125" s="31" t="n">
        <v>2262997</v>
      </c>
      <c r="J125" s="31" t="inlineStr">
        <is>
          <t>532872</t>
        </is>
      </c>
    </row>
    <row r="126">
      <c r="A126" s="31" t="inlineStr">
        <is>
          <t>ASIANPAINT</t>
        </is>
      </c>
      <c r="B126" s="31" t="inlineStr">
        <is>
          <t>Asian Paints Limited</t>
        </is>
      </c>
      <c r="C126" s="31" t="inlineStr">
        <is>
          <t>building materials</t>
        </is>
      </c>
      <c r="D126" s="31" t="inlineStr">
        <is>
          <t>paints / varnishes</t>
        </is>
      </c>
      <c r="E126" s="31" t="inlineStr">
        <is>
          <t>largecap</t>
        </is>
      </c>
      <c r="F126" s="31" t="n">
        <v>260431.79</v>
      </c>
      <c r="G126" s="31" t="n">
        <v>2690.9</v>
      </c>
      <c r="H126" s="31" t="n">
        <v>-0.89</v>
      </c>
      <c r="I126" s="31" t="n">
        <v>771558</v>
      </c>
      <c r="J126" s="31" t="inlineStr">
        <is>
          <t>500820</t>
        </is>
      </c>
    </row>
    <row r="127">
      <c r="A127" s="31" t="inlineStr">
        <is>
          <t>RAJRATAN</t>
        </is>
      </c>
      <c r="B127" s="31" t="inlineStr">
        <is>
          <t>Rajratan Global Wire Ltd</t>
        </is>
      </c>
      <c r="C127" s="31" t="inlineStr">
        <is>
          <t>metals &amp; mining</t>
        </is>
      </c>
      <c r="D127" s="31" t="inlineStr">
        <is>
          <t>steel - medium / small</t>
        </is>
      </c>
      <c r="E127" s="31" t="inlineStr">
        <is>
          <t>smallcap</t>
        </is>
      </c>
      <c r="F127" s="31" t="n">
        <v>2241.29</v>
      </c>
      <c r="G127" s="31" t="n">
        <v>437.5</v>
      </c>
      <c r="H127" s="31" t="n">
        <v>-0.89</v>
      </c>
      <c r="I127" s="31" t="n">
        <v>64454</v>
      </c>
      <c r="J127" s="31" t="inlineStr">
        <is>
          <t>517522</t>
        </is>
      </c>
    </row>
    <row r="128">
      <c r="A128" s="31" t="inlineStr">
        <is>
          <t>TMB</t>
        </is>
      </c>
      <c r="B128" s="31" t="inlineStr">
        <is>
          <t>Tamilnad Mercantile Bank Ltd</t>
        </is>
      </c>
      <c r="C128" s="31" t="inlineStr">
        <is>
          <t>bank</t>
        </is>
      </c>
      <c r="D128" s="31" t="inlineStr">
        <is>
          <t>banks - private sector</t>
        </is>
      </c>
      <c r="E128" s="31" t="inlineStr">
        <is>
          <t>midcap</t>
        </is>
      </c>
      <c r="F128" s="31" t="n">
        <v>12265.9</v>
      </c>
      <c r="G128" s="31" t="n">
        <v>767.4</v>
      </c>
      <c r="H128" s="31" t="n">
        <v>-0.93</v>
      </c>
      <c r="I128" s="31" t="n">
        <v>159786</v>
      </c>
      <c r="J128" s="31" t="inlineStr">
        <is>
          <t>543596</t>
        </is>
      </c>
    </row>
    <row r="129">
      <c r="A129" s="31" t="inlineStr">
        <is>
          <t>GRINDWELL</t>
        </is>
      </c>
      <c r="B129" s="31" t="inlineStr">
        <is>
          <t>Grindwell Norton Limited</t>
        </is>
      </c>
      <c r="C129" s="31" t="inlineStr">
        <is>
          <t>industrials</t>
        </is>
      </c>
      <c r="D129" s="31" t="inlineStr">
        <is>
          <t>abrasives and grinding wheels</t>
        </is>
      </c>
      <c r="E129" s="31" t="inlineStr">
        <is>
          <t>largecap</t>
        </is>
      </c>
      <c r="F129" s="31" t="n">
        <v>21200.67</v>
      </c>
      <c r="G129" s="31" t="n">
        <v>1895.2</v>
      </c>
      <c r="H129" s="31" t="n">
        <v>-1.02</v>
      </c>
      <c r="I129" s="31" t="n">
        <v>65353</v>
      </c>
      <c r="J129" s="31" t="inlineStr">
        <is>
          <t>506076</t>
        </is>
      </c>
    </row>
    <row r="130">
      <c r="A130" s="31" t="inlineStr">
        <is>
          <t>IPCALAB</t>
        </is>
      </c>
      <c r="B130" s="31" t="inlineStr">
        <is>
          <t>Ipca Laboratories Limited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41358.86</v>
      </c>
      <c r="G130" s="31" t="n">
        <v>1613.6</v>
      </c>
      <c r="H130" s="31" t="n">
        <v>-1.02</v>
      </c>
      <c r="I130" s="31" t="n">
        <v>86082</v>
      </c>
      <c r="J130" s="31" t="inlineStr">
        <is>
          <t>524494</t>
        </is>
      </c>
    </row>
    <row r="131">
      <c r="A131" s="31" t="inlineStr">
        <is>
          <t>WELENT</t>
        </is>
      </c>
      <c r="B131" s="31" t="inlineStr">
        <is>
          <t>Welspun Enterprises Limited</t>
        </is>
      </c>
      <c r="C131" s="31" t="inlineStr">
        <is>
          <t>realty</t>
        </is>
      </c>
      <c r="D131" s="31" t="inlineStr">
        <is>
          <t>construction</t>
        </is>
      </c>
      <c r="E131" s="31" t="inlineStr">
        <is>
          <t>midcap</t>
        </is>
      </c>
      <c r="F131" s="31" t="n">
        <v>7697.19</v>
      </c>
      <c r="G131" s="31" t="n">
        <v>550.4</v>
      </c>
      <c r="H131" s="31" t="n">
        <v>-1.03</v>
      </c>
      <c r="I131" s="31" t="n">
        <v>260053</v>
      </c>
      <c r="J131" s="31" t="inlineStr">
        <is>
          <t>532553</t>
        </is>
      </c>
    </row>
    <row r="132">
      <c r="A132" s="31" t="inlineStr">
        <is>
          <t>MOTHERSON</t>
        </is>
      </c>
      <c r="B132" s="31" t="inlineStr">
        <is>
          <t>Samvardhana Motherson International Ltd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largecap</t>
        </is>
      </c>
      <c r="F132" s="31" t="n">
        <v>150094.73</v>
      </c>
      <c r="G132" s="31" t="n">
        <v>140.74</v>
      </c>
      <c r="H132" s="31" t="n">
        <v>-1.03</v>
      </c>
      <c r="I132" s="31" t="n">
        <v>15466606</v>
      </c>
      <c r="J132" s="31" t="inlineStr">
        <is>
          <t>517334</t>
        </is>
      </c>
    </row>
    <row r="133">
      <c r="A133" s="31" t="inlineStr">
        <is>
          <t>KOVAI</t>
        </is>
      </c>
      <c r="B133" s="31" t="inlineStr">
        <is>
          <t>Kovai Medical Center &amp; Hospital Ltd</t>
        </is>
      </c>
      <c r="C133" s="31" t="inlineStr">
        <is>
          <t>healthcare</t>
        </is>
      </c>
      <c r="D133" s="31" t="inlineStr">
        <is>
          <t>healthcare</t>
        </is>
      </c>
      <c r="E133" s="31" t="inlineStr">
        <is>
          <t>midcap</t>
        </is>
      </c>
      <c r="F133" s="31" t="n">
        <v>6408.34</v>
      </c>
      <c r="G133" s="31" t="n">
        <v>5794.5</v>
      </c>
      <c r="H133" s="31" t="n">
        <v>-1.06</v>
      </c>
      <c r="I133" s="31" t="n">
        <v>5630</v>
      </c>
      <c r="J133" s="31" t="inlineStr">
        <is>
          <t>523323</t>
        </is>
      </c>
    </row>
    <row r="134">
      <c r="A134" s="31" t="inlineStr">
        <is>
          <t>GOCLCORP</t>
        </is>
      </c>
      <c r="B134" s="31" t="inlineStr">
        <is>
          <t>Gocl Corporation Limited</t>
        </is>
      </c>
      <c r="C134" s="31" t="inlineStr">
        <is>
          <t>miscellaneous</t>
        </is>
      </c>
      <c r="D134" s="31" t="inlineStr">
        <is>
          <t>diversified - medium / small</t>
        </is>
      </c>
      <c r="E134" s="31" t="inlineStr">
        <is>
          <t>smallcap</t>
        </is>
      </c>
      <c r="F134" s="31" t="n">
        <v>1914.74</v>
      </c>
      <c r="G134" s="31" t="n">
        <v>381.95</v>
      </c>
      <c r="H134" s="31" t="n">
        <v>-1.11</v>
      </c>
      <c r="I134" s="31" t="n">
        <v>37419</v>
      </c>
      <c r="J134" s="31" t="inlineStr">
        <is>
          <t>506480</t>
        </is>
      </c>
    </row>
    <row r="135">
      <c r="A135" s="31" t="inlineStr">
        <is>
          <t>PSPPROJECT</t>
        </is>
      </c>
      <c r="B135" s="31" t="inlineStr">
        <is>
          <t>PSP Projects Ltd</t>
        </is>
      </c>
      <c r="C135" s="31" t="inlineStr">
        <is>
          <t>realty</t>
        </is>
      </c>
      <c r="D135" s="31" t="inlineStr">
        <is>
          <t>construction</t>
        </is>
      </c>
      <c r="E135" s="31" t="inlineStr">
        <is>
          <t>smallcap</t>
        </is>
      </c>
      <c r="F135" s="31" t="n">
        <v>3520.59</v>
      </c>
      <c r="G135" s="31" t="n">
        <v>877.9</v>
      </c>
      <c r="H135" s="31" t="n">
        <v>-1.15</v>
      </c>
      <c r="I135" s="31" t="n">
        <v>118280</v>
      </c>
      <c r="J135" s="31" t="inlineStr">
        <is>
          <t>540544</t>
        </is>
      </c>
    </row>
    <row r="136">
      <c r="A136" s="31" t="inlineStr">
        <is>
          <t>BHAGERIA</t>
        </is>
      </c>
      <c r="B136" s="31" t="inlineStr">
        <is>
          <t>Bhageria Industries Limited</t>
        </is>
      </c>
      <c r="C136" s="31" t="inlineStr">
        <is>
          <t>chemicals</t>
        </is>
      </c>
      <c r="D136" s="31" t="inlineStr">
        <is>
          <t>dyes and pigments</t>
        </is>
      </c>
      <c r="E136" s="31" t="inlineStr">
        <is>
          <t>smallcap</t>
        </is>
      </c>
      <c r="F136" s="31" t="n">
        <v>907.14</v>
      </c>
      <c r="G136" s="31" t="n">
        <v>205.37</v>
      </c>
      <c r="H136" s="31" t="n">
        <v>-1.19</v>
      </c>
      <c r="I136" s="31" t="n">
        <v>72518</v>
      </c>
      <c r="J136" s="31" t="inlineStr">
        <is>
          <t>530803</t>
        </is>
      </c>
    </row>
    <row r="137">
      <c r="A137" s="31" t="inlineStr">
        <is>
          <t>CGCL</t>
        </is>
      </c>
      <c r="B137" s="31" t="inlineStr">
        <is>
          <t>Capri Global Capital Limited</t>
        </is>
      </c>
      <c r="C137" s="31" t="inlineStr">
        <is>
          <t>financials</t>
        </is>
      </c>
      <c r="D137" s="31" t="inlineStr">
        <is>
          <t>finance &amp; investments</t>
        </is>
      </c>
      <c r="E137" s="31" t="inlineStr">
        <is>
          <t>midcap</t>
        </is>
      </c>
      <c r="F137" s="31" t="n">
        <v>19408.57</v>
      </c>
      <c r="G137" s="31" t="n">
        <v>199.29</v>
      </c>
      <c r="H137" s="31" t="n">
        <v>-1.2</v>
      </c>
      <c r="I137" s="31" t="n">
        <v>1883079</v>
      </c>
      <c r="J137" s="31" t="inlineStr">
        <is>
          <t>531595</t>
        </is>
      </c>
    </row>
    <row r="138">
      <c r="A138" s="31" t="inlineStr">
        <is>
          <t>VIYASH</t>
        </is>
      </c>
      <c r="B138" s="31" t="inlineStr">
        <is>
          <t>Viyash Scientific Ltd</t>
        </is>
      </c>
      <c r="C138" s="31" t="inlineStr">
        <is>
          <t>healthcare</t>
        </is>
      </c>
      <c r="D138" s="31" t="inlineStr">
        <is>
          <t>pharmaceuticals - indian - bulk drugs &amp; formln</t>
        </is>
      </c>
      <c r="E138" s="31" t="inlineStr">
        <is>
          <t>midcap</t>
        </is>
      </c>
      <c r="F138" s="31" t="n">
        <v>11021.75</v>
      </c>
      <c r="G138" s="31" t="n">
        <v>249.2</v>
      </c>
      <c r="H138" s="31" t="n">
        <v>-1.23</v>
      </c>
      <c r="I138" s="31" t="n">
        <v>1477178</v>
      </c>
      <c r="J138" s="31" t="inlineStr">
        <is>
          <t>512529</t>
        </is>
      </c>
    </row>
    <row r="139">
      <c r="A139" s="31" t="inlineStr">
        <is>
          <t>HITECHCORP</t>
        </is>
      </c>
      <c r="B139" s="31" t="inlineStr">
        <is>
          <t>Hitech Corporation</t>
        </is>
      </c>
      <c r="C139" s="31" t="inlineStr">
        <is>
          <t>industrials</t>
        </is>
      </c>
      <c r="D139" s="31" t="inlineStr">
        <is>
          <t>packaging</t>
        </is>
      </c>
      <c r="E139" s="31" t="inlineStr">
        <is>
          <t>smallcap</t>
        </is>
      </c>
      <c r="F139" s="31" t="n">
        <v>540.4299999999999</v>
      </c>
      <c r="G139" s="31" t="n">
        <v>310.74</v>
      </c>
      <c r="H139" s="31" t="n">
        <v>-1.24</v>
      </c>
      <c r="I139" s="31" t="n">
        <v>21169</v>
      </c>
      <c r="J139" s="31" t="inlineStr">
        <is>
          <t>526217</t>
        </is>
      </c>
    </row>
    <row r="140">
      <c r="A140" s="31" t="inlineStr">
        <is>
          <t>JAYBARMARU</t>
        </is>
      </c>
      <c r="B140" s="31" t="inlineStr">
        <is>
          <t>Jay Bharat Maruti Limited</t>
        </is>
      </c>
      <c r="C140" s="31" t="inlineStr">
        <is>
          <t>auto</t>
        </is>
      </c>
      <c r="D140" s="31" t="inlineStr">
        <is>
          <t>auto ancillaries</t>
        </is>
      </c>
      <c r="E140" s="31" t="inlineStr">
        <is>
          <t>smallcap</t>
        </is>
      </c>
      <c r="F140" s="31" t="n">
        <v>1441.57</v>
      </c>
      <c r="G140" s="31" t="n">
        <v>131.51</v>
      </c>
      <c r="H140" s="31" t="n">
        <v>-1.25</v>
      </c>
      <c r="I140" s="31" t="n">
        <v>1029571</v>
      </c>
      <c r="J140" s="31" t="inlineStr">
        <is>
          <t>520066</t>
        </is>
      </c>
    </row>
    <row r="141">
      <c r="A141" s="31" t="inlineStr">
        <is>
          <t>SOTL</t>
        </is>
      </c>
      <c r="B141" s="31" t="inlineStr">
        <is>
          <t>Savita Oil Technologies Limited</t>
        </is>
      </c>
      <c r="C141" s="31" t="inlineStr">
        <is>
          <t>energy</t>
        </is>
      </c>
      <c r="D141" s="31" t="inlineStr">
        <is>
          <t>petrochemicals</t>
        </is>
      </c>
      <c r="E141" s="31" t="inlineStr">
        <is>
          <t>smallcap</t>
        </is>
      </c>
      <c r="F141" s="31" t="n">
        <v>3774.59</v>
      </c>
      <c r="G141" s="31" t="n">
        <v>543.6</v>
      </c>
      <c r="H141" s="31" t="n">
        <v>-1.26</v>
      </c>
      <c r="I141" s="31" t="n">
        <v>157606</v>
      </c>
      <c r="J141" s="31" t="inlineStr">
        <is>
          <t>524667</t>
        </is>
      </c>
    </row>
    <row r="142">
      <c r="A142" s="31" t="inlineStr">
        <is>
          <t>MAHABANK</t>
        </is>
      </c>
      <c r="B142" s="31" t="inlineStr">
        <is>
          <t>Bank Of Maharashtra Ltd</t>
        </is>
      </c>
      <c r="C142" s="31" t="inlineStr">
        <is>
          <t>bank</t>
        </is>
      </c>
      <c r="D142" s="31" t="inlineStr">
        <is>
          <t>banks - public sector</t>
        </is>
      </c>
      <c r="E142" s="31" t="inlineStr">
        <is>
          <t>largecap</t>
        </is>
      </c>
      <c r="F142" s="31" t="n">
        <v>64747.51</v>
      </c>
      <c r="G142" s="31" t="n">
        <v>83.08</v>
      </c>
      <c r="H142" s="31" t="n">
        <v>-1.31</v>
      </c>
      <c r="I142" s="31" t="n">
        <v>13551944</v>
      </c>
      <c r="J142" s="31" t="inlineStr">
        <is>
          <t>532525</t>
        </is>
      </c>
    </row>
    <row r="143">
      <c r="A143" s="31" t="inlineStr">
        <is>
          <t>IOLCP</t>
        </is>
      </c>
      <c r="B143" s="31" t="inlineStr">
        <is>
          <t>Iol Chemicals And Pharmaceuticals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smallcap</t>
        </is>
      </c>
      <c r="F143" s="31" t="n">
        <v>3802.36</v>
      </c>
      <c r="G143" s="31" t="n">
        <v>127.84</v>
      </c>
      <c r="H143" s="31" t="n">
        <v>-1.31</v>
      </c>
      <c r="I143" s="31" t="n">
        <v>2336730</v>
      </c>
      <c r="J143" s="31" t="inlineStr">
        <is>
          <t>524164</t>
        </is>
      </c>
    </row>
    <row r="144">
      <c r="A144" s="31" t="inlineStr">
        <is>
          <t>SANGHVIMOV</t>
        </is>
      </c>
      <c r="B144" s="31" t="inlineStr">
        <is>
          <t>Sanghvi Movers Limited</t>
        </is>
      </c>
      <c r="C144" s="31" t="inlineStr">
        <is>
          <t>miscellaneous</t>
        </is>
      </c>
      <c r="D144" s="31" t="inlineStr">
        <is>
          <t>miscellaneous</t>
        </is>
      </c>
      <c r="E144" s="31" t="inlineStr">
        <is>
          <t>smallcap</t>
        </is>
      </c>
      <c r="F144" s="31" t="n">
        <v>3258.29</v>
      </c>
      <c r="G144" s="31" t="n">
        <v>371.3</v>
      </c>
      <c r="H144" s="31" t="n">
        <v>-1.34</v>
      </c>
      <c r="I144" s="31" t="n">
        <v>152270</v>
      </c>
      <c r="J144" s="31" t="inlineStr">
        <is>
          <t>530073</t>
        </is>
      </c>
    </row>
    <row r="145">
      <c r="A145" s="31" t="inlineStr">
        <is>
          <t>AEROFLEX</t>
        </is>
      </c>
      <c r="B145" s="31" t="inlineStr">
        <is>
          <t>Aeroflex Industries Ltd</t>
        </is>
      </c>
      <c r="C145" s="31" t="inlineStr">
        <is>
          <t>metals &amp; mining</t>
        </is>
      </c>
      <c r="D145" s="31" t="inlineStr">
        <is>
          <t>steel - medium / small</t>
        </is>
      </c>
      <c r="E145" s="31" t="inlineStr">
        <is>
          <t>midcap</t>
        </is>
      </c>
      <c r="F145" s="31" t="n">
        <v>5479.82</v>
      </c>
      <c r="G145" s="31" t="n">
        <v>408.55</v>
      </c>
      <c r="H145" s="31" t="n">
        <v>-1.34</v>
      </c>
      <c r="I145" s="31" t="n">
        <v>1552333</v>
      </c>
      <c r="J145" s="31" t="inlineStr">
        <is>
          <t>543972</t>
        </is>
      </c>
    </row>
    <row r="146">
      <c r="A146" s="31" t="inlineStr">
        <is>
          <t>RATEGAIN</t>
        </is>
      </c>
      <c r="B146" s="31" t="inlineStr">
        <is>
          <t>Rategain Travel Technologies Ltd</t>
        </is>
      </c>
      <c r="C146" s="31" t="inlineStr">
        <is>
          <t>i.t</t>
        </is>
      </c>
      <c r="D146" s="31" t="inlineStr">
        <is>
          <t>computers - software - medium / small</t>
        </is>
      </c>
      <c r="E146" s="31" t="inlineStr">
        <is>
          <t>midcap</t>
        </is>
      </c>
      <c r="F146" s="31" t="n">
        <v>9259.440000000001</v>
      </c>
      <c r="G146" s="31" t="n">
        <v>772.75</v>
      </c>
      <c r="H146" s="31" t="n">
        <v>-1.38</v>
      </c>
      <c r="I146" s="31" t="n">
        <v>612451</v>
      </c>
      <c r="J146" s="31" t="inlineStr">
        <is>
          <t>543417</t>
        </is>
      </c>
    </row>
    <row r="147">
      <c r="A147" s="31" t="inlineStr">
        <is>
          <t>ATHERENERG</t>
        </is>
      </c>
      <c r="B147" s="31" t="inlineStr">
        <is>
          <t>Ather Energy Ltd</t>
        </is>
      </c>
      <c r="C147" s="31" t="inlineStr">
        <is>
          <t>auto</t>
        </is>
      </c>
      <c r="D147" s="31" t="inlineStr">
        <is>
          <t>automobiles - scooters and 3 - wheelers</t>
        </is>
      </c>
      <c r="E147" s="31" t="inlineStr">
        <is>
          <t>largecap</t>
        </is>
      </c>
      <c r="F147" s="31" t="n">
        <v>39874.54</v>
      </c>
      <c r="G147" s="31" t="n">
        <v>1027.4</v>
      </c>
      <c r="H147" s="31" t="n">
        <v>-1.4</v>
      </c>
      <c r="I147" s="31" t="n">
        <v>2576978</v>
      </c>
      <c r="J147" s="31" t="inlineStr">
        <is>
          <t>544397</t>
        </is>
      </c>
    </row>
    <row r="148">
      <c r="A148" s="31" t="inlineStr">
        <is>
          <t>PANAMAPET</t>
        </is>
      </c>
      <c r="B148" s="31" t="inlineStr">
        <is>
          <t>Panama Petrochem Limited</t>
        </is>
      </c>
      <c r="C148" s="31" t="inlineStr">
        <is>
          <t>energy</t>
        </is>
      </c>
      <c r="D148" s="31" t="inlineStr">
        <is>
          <t>petrochemicals</t>
        </is>
      </c>
      <c r="E148" s="31" t="inlineStr">
        <is>
          <t>smallcap</t>
        </is>
      </c>
      <c r="F148" s="31" t="n">
        <v>2308.13</v>
      </c>
      <c r="G148" s="31" t="n">
        <v>375.85</v>
      </c>
      <c r="H148" s="31" t="n">
        <v>-1.49</v>
      </c>
      <c r="I148" s="31" t="n">
        <v>1050304</v>
      </c>
      <c r="J148" s="31" t="inlineStr">
        <is>
          <t>524820</t>
        </is>
      </c>
    </row>
    <row r="149">
      <c r="A149" s="31" t="inlineStr">
        <is>
          <t>ELGIEQUIP</t>
        </is>
      </c>
      <c r="B149" s="31" t="inlineStr">
        <is>
          <t>Elgi Equipments Limited</t>
        </is>
      </c>
      <c r="C149" s="31" t="inlineStr">
        <is>
          <t>industrials</t>
        </is>
      </c>
      <c r="D149" s="31" t="inlineStr">
        <is>
          <t>compressors / drilling equipment</t>
        </is>
      </c>
      <c r="E149" s="31" t="inlineStr">
        <is>
          <t>midcap</t>
        </is>
      </c>
      <c r="F149" s="31" t="n">
        <v>19104.86</v>
      </c>
      <c r="G149" s="31" t="n">
        <v>593.45</v>
      </c>
      <c r="H149" s="31" t="n">
        <v>-1.56</v>
      </c>
      <c r="I149" s="31" t="n">
        <v>245973</v>
      </c>
      <c r="J149" s="31" t="inlineStr">
        <is>
          <t>522074</t>
        </is>
      </c>
    </row>
    <row r="150">
      <c r="A150" s="31" t="inlineStr">
        <is>
          <t>POLYCAB</t>
        </is>
      </c>
      <c r="B150" s="31" t="inlineStr">
        <is>
          <t>Polycab India Ltd</t>
        </is>
      </c>
      <c r="C150" s="31" t="inlineStr">
        <is>
          <t>industrials</t>
        </is>
      </c>
      <c r="D150" s="31" t="inlineStr">
        <is>
          <t>cables - power</t>
        </is>
      </c>
      <c r="E150" s="31" t="inlineStr">
        <is>
          <t>largecap</t>
        </is>
      </c>
      <c r="F150" s="31" t="n">
        <v>143376.78</v>
      </c>
      <c r="G150" s="31" t="n">
        <v>9372</v>
      </c>
      <c r="H150" s="31" t="n">
        <v>-1.59</v>
      </c>
      <c r="I150" s="31" t="n">
        <v>187312</v>
      </c>
      <c r="J150" s="31" t="inlineStr">
        <is>
          <t>542652</t>
        </is>
      </c>
    </row>
    <row r="151">
      <c r="A151" s="31" t="inlineStr">
        <is>
          <t>KERNEX</t>
        </is>
      </c>
      <c r="B151" s="31" t="inlineStr">
        <is>
          <t>Kernex Microsystems (india) Limited</t>
        </is>
      </c>
      <c r="C151" s="31" t="inlineStr">
        <is>
          <t>consumer discretionary</t>
        </is>
      </c>
      <c r="D151" s="31" t="inlineStr">
        <is>
          <t>electronics - components</t>
        </is>
      </c>
      <c r="E151" s="31" t="inlineStr">
        <is>
          <t>smallcap</t>
        </is>
      </c>
      <c r="F151" s="31" t="n">
        <v>3234.3</v>
      </c>
      <c r="G151" s="31" t="n">
        <v>1893.7</v>
      </c>
      <c r="H151" s="31" t="n">
        <v>-1.62</v>
      </c>
      <c r="I151" s="31" t="n">
        <v>337363</v>
      </c>
      <c r="J151" s="31" t="inlineStr">
        <is>
          <t>532686</t>
        </is>
      </c>
    </row>
    <row r="152">
      <c r="A152" s="31" t="inlineStr">
        <is>
          <t>SUPRIYA</t>
        </is>
      </c>
      <c r="B152" s="31" t="inlineStr">
        <is>
          <t>Supriya Lifescience Ltd</t>
        </is>
      </c>
      <c r="C152" s="31" t="inlineStr">
        <is>
          <t>healthcare</t>
        </is>
      </c>
      <c r="D152" s="31" t="inlineStr">
        <is>
          <t>pharmaceuticals - indian - bulk drugs &amp; formln</t>
        </is>
      </c>
      <c r="E152" s="31" t="inlineStr">
        <is>
          <t>midcap</t>
        </is>
      </c>
      <c r="F152" s="31" t="n">
        <v>7665.18</v>
      </c>
      <c r="G152" s="31" t="n">
        <v>937</v>
      </c>
      <c r="H152" s="31" t="n">
        <v>-1.62</v>
      </c>
      <c r="I152" s="31" t="n">
        <v>357173</v>
      </c>
      <c r="J152" s="31" t="inlineStr">
        <is>
          <t>543434</t>
        </is>
      </c>
    </row>
    <row r="153">
      <c r="A153" s="31" t="inlineStr">
        <is>
          <t>ASIANENE</t>
        </is>
      </c>
      <c r="B153" s="31" t="inlineStr">
        <is>
          <t>Asian Energy Services Ltd</t>
        </is>
      </c>
      <c r="C153" s="31" t="inlineStr">
        <is>
          <t>energy</t>
        </is>
      </c>
      <c r="D153" s="31" t="inlineStr">
        <is>
          <t>oil drilling / allied services</t>
        </is>
      </c>
      <c r="E153" s="31" t="inlineStr">
        <is>
          <t>smallcap</t>
        </is>
      </c>
      <c r="F153" s="31" t="n">
        <v>1788.88</v>
      </c>
      <c r="G153" s="31" t="n">
        <v>362</v>
      </c>
      <c r="H153" s="31" t="n">
        <v>-1.63</v>
      </c>
      <c r="I153" s="31" t="n">
        <v>295926</v>
      </c>
      <c r="J153" s="31" t="inlineStr">
        <is>
          <t>530355</t>
        </is>
      </c>
    </row>
    <row r="154">
      <c r="A154" s="31" t="inlineStr">
        <is>
          <t>MONARCH</t>
        </is>
      </c>
      <c r="B154" s="31" t="inlineStr">
        <is>
          <t>Monarch Networth Capital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smallcap</t>
        </is>
      </c>
      <c r="F154" s="31" t="n">
        <v>2661.04</v>
      </c>
      <c r="G154" s="31" t="n">
        <v>330.05</v>
      </c>
      <c r="H154" s="31" t="n">
        <v>-1.68</v>
      </c>
      <c r="I154" s="31" t="n">
        <v>62685</v>
      </c>
      <c r="J154" s="31" t="inlineStr">
        <is>
          <t>511551</t>
        </is>
      </c>
    </row>
    <row r="155">
      <c r="A155" s="31" t="inlineStr">
        <is>
          <t>PAISALO</t>
        </is>
      </c>
      <c r="B155" s="31" t="inlineStr">
        <is>
          <t>Paisalo Digital Ltd</t>
        </is>
      </c>
      <c r="C155" s="31" t="inlineStr">
        <is>
          <t>financials</t>
        </is>
      </c>
      <c r="D155" s="31" t="inlineStr">
        <is>
          <t>finance &amp; investments</t>
        </is>
      </c>
      <c r="E155" s="31" t="inlineStr">
        <is>
          <t>midcap</t>
        </is>
      </c>
      <c r="F155" s="31" t="n">
        <v>5412.56</v>
      </c>
      <c r="G155" s="31" t="n">
        <v>58.51</v>
      </c>
      <c r="H155" s="31" t="n">
        <v>-1.68</v>
      </c>
      <c r="I155" s="31" t="n">
        <v>8560549</v>
      </c>
      <c r="J155" s="31" t="inlineStr">
        <is>
          <t>532900</t>
        </is>
      </c>
    </row>
    <row r="156">
      <c r="A156" s="31" t="inlineStr">
        <is>
          <t>GOLDIAM</t>
        </is>
      </c>
      <c r="B156" s="31" t="inlineStr">
        <is>
          <t>Goldiam International Limited</t>
        </is>
      </c>
      <c r="C156" s="31" t="inlineStr">
        <is>
          <t>consumer discretionary</t>
        </is>
      </c>
      <c r="D156" s="31" t="inlineStr">
        <is>
          <t>diamond cutting / jewellery</t>
        </is>
      </c>
      <c r="E156" s="31" t="inlineStr">
        <is>
          <t>smallcap</t>
        </is>
      </c>
      <c r="F156" s="31" t="n">
        <v>4873.53</v>
      </c>
      <c r="G156" s="31" t="n">
        <v>423.8</v>
      </c>
      <c r="H156" s="31" t="n">
        <v>-1.81</v>
      </c>
      <c r="I156" s="31" t="n">
        <v>596911</v>
      </c>
      <c r="J156" s="31" t="inlineStr">
        <is>
          <t>526729</t>
        </is>
      </c>
    </row>
    <row r="157">
      <c r="A157" s="31" t="inlineStr">
        <is>
          <t>RRKABEL</t>
        </is>
      </c>
      <c r="B157" s="31" t="inlineStr">
        <is>
          <t>R R Kabel Ltd</t>
        </is>
      </c>
      <c r="C157" s="31" t="inlineStr">
        <is>
          <t>industrials</t>
        </is>
      </c>
      <c r="D157" s="31" t="inlineStr">
        <is>
          <t>cables - power</t>
        </is>
      </c>
      <c r="E157" s="31" t="inlineStr">
        <is>
          <t>largecap</t>
        </is>
      </c>
      <c r="F157" s="31" t="n">
        <v>24515.62</v>
      </c>
      <c r="G157" s="31" t="n">
        <v>2128.1</v>
      </c>
      <c r="H157" s="31" t="n">
        <v>-1.82</v>
      </c>
      <c r="I157" s="31" t="n">
        <v>591539</v>
      </c>
      <c r="J157" s="31" t="inlineStr">
        <is>
          <t>543981</t>
        </is>
      </c>
    </row>
    <row r="158">
      <c r="A158" s="31" t="inlineStr">
        <is>
          <t>RAIN</t>
        </is>
      </c>
      <c r="B158" s="31" t="inlineStr">
        <is>
          <t>Rain Industries Limited</t>
        </is>
      </c>
      <c r="C158" s="31" t="inlineStr">
        <is>
          <t>miscellaneous</t>
        </is>
      </c>
      <c r="D158" s="31" t="inlineStr">
        <is>
          <t>miscellaneous</t>
        </is>
      </c>
      <c r="E158" s="31" t="inlineStr">
        <is>
          <t>midcap</t>
        </is>
      </c>
      <c r="F158" s="31" t="n">
        <v>6670.74</v>
      </c>
      <c r="G158" s="31" t="n">
        <v>194.69</v>
      </c>
      <c r="H158" s="31" t="n">
        <v>-1.84</v>
      </c>
      <c r="I158" s="31" t="n">
        <v>3095546</v>
      </c>
      <c r="J158" s="31" t="inlineStr">
        <is>
          <t>500339</t>
        </is>
      </c>
    </row>
    <row r="159">
      <c r="A159" s="31" t="inlineStr">
        <is>
          <t>HSCL</t>
        </is>
      </c>
      <c r="B159" s="31" t="inlineStr">
        <is>
          <t>Himadri Speciality Chemical Limited</t>
        </is>
      </c>
      <c r="C159" s="31" t="inlineStr">
        <is>
          <t>chemicals</t>
        </is>
      </c>
      <c r="D159" s="31" t="inlineStr">
        <is>
          <t>chemicals</t>
        </is>
      </c>
      <c r="E159" s="31" t="inlineStr">
        <is>
          <t>largecap</t>
        </is>
      </c>
      <c r="F159" s="31" t="n">
        <v>34964.73</v>
      </c>
      <c r="G159" s="31" t="n">
        <v>680.05</v>
      </c>
      <c r="H159" s="31" t="n">
        <v>-1.87</v>
      </c>
      <c r="I159" s="31" t="n">
        <v>12918718</v>
      </c>
      <c r="J159" s="31" t="inlineStr">
        <is>
          <t>500184</t>
        </is>
      </c>
    </row>
    <row r="160">
      <c r="A160" s="31" t="inlineStr">
        <is>
          <t>ADANIGREEN</t>
        </is>
      </c>
      <c r="B160" s="31" t="inlineStr">
        <is>
          <t>Adani Green Energy Ltd</t>
        </is>
      </c>
      <c r="C160" s="31" t="inlineStr">
        <is>
          <t>power &amp; utilities</t>
        </is>
      </c>
      <c r="D160" s="31" t="inlineStr">
        <is>
          <t>power generation and supply</t>
        </is>
      </c>
      <c r="E160" s="31" t="inlineStr">
        <is>
          <t>largecap</t>
        </is>
      </c>
      <c r="F160" s="31" t="n">
        <v>244276.22</v>
      </c>
      <c r="G160" s="31" t="n">
        <v>1454.5</v>
      </c>
      <c r="H160" s="31" t="n">
        <v>-1.92</v>
      </c>
      <c r="I160" s="31" t="n">
        <v>2371420</v>
      </c>
      <c r="J160" s="31" t="inlineStr">
        <is>
          <t>541450</t>
        </is>
      </c>
    </row>
    <row r="161">
      <c r="A161" s="31" t="inlineStr">
        <is>
          <t>STYLAMIND</t>
        </is>
      </c>
      <c r="B161" s="31" t="inlineStr">
        <is>
          <t>Stylam Industries Ltd</t>
        </is>
      </c>
      <c r="C161" s="31" t="inlineStr">
        <is>
          <t>building materials</t>
        </is>
      </c>
      <c r="D161" s="31" t="inlineStr">
        <is>
          <t>miscellaneous</t>
        </is>
      </c>
      <c r="E161" s="31" t="inlineStr">
        <is>
          <t>midcap</t>
        </is>
      </c>
      <c r="F161" s="31" t="n">
        <v>5282.71</v>
      </c>
      <c r="G161" s="31" t="n">
        <v>3056.6</v>
      </c>
      <c r="H161" s="31" t="n">
        <v>-1.94</v>
      </c>
      <c r="I161" s="31" t="n">
        <v>36666</v>
      </c>
      <c r="J161" s="31" t="inlineStr">
        <is>
          <t>526951</t>
        </is>
      </c>
    </row>
    <row r="162">
      <c r="A162" s="31" t="inlineStr">
        <is>
          <t>ASTRAMICRO</t>
        </is>
      </c>
      <c r="B162" s="31" t="inlineStr">
        <is>
          <t>Astra Microwave Products Limited</t>
        </is>
      </c>
      <c r="C162" s="31" t="inlineStr">
        <is>
          <t>aerospace &amp; defence</t>
        </is>
      </c>
      <c r="D162" s="31" t="inlineStr">
        <is>
          <t>telecommunications - equipment</t>
        </is>
      </c>
      <c r="E162" s="31" t="inlineStr">
        <is>
          <t>midcap</t>
        </is>
      </c>
      <c r="F162" s="31" t="n">
        <v>13523.97</v>
      </c>
      <c r="G162" s="31" t="n">
        <v>1396.3</v>
      </c>
      <c r="H162" s="31" t="n">
        <v>-1.97</v>
      </c>
      <c r="I162" s="31" t="n">
        <v>711713</v>
      </c>
      <c r="J162" s="31" t="inlineStr">
        <is>
          <t>532493</t>
        </is>
      </c>
    </row>
    <row r="163">
      <c r="A163" s="31" t="inlineStr">
        <is>
          <t>KDDL</t>
        </is>
      </c>
      <c r="B163" s="31" t="inlineStr">
        <is>
          <t>Kddl Limited</t>
        </is>
      </c>
      <c r="C163" s="31" t="inlineStr">
        <is>
          <t>consumer discretionary</t>
        </is>
      </c>
      <c r="D163" s="31" t="inlineStr">
        <is>
          <t>miscellaneous</t>
        </is>
      </c>
      <c r="E163" s="31" t="inlineStr">
        <is>
          <t>smallcap</t>
        </is>
      </c>
      <c r="F163" s="31" t="n">
        <v>3528.42</v>
      </c>
      <c r="G163" s="31" t="n">
        <v>2811.9</v>
      </c>
      <c r="H163" s="31" t="n">
        <v>-1.98</v>
      </c>
      <c r="I163" s="31" t="n">
        <v>13096</v>
      </c>
      <c r="J163" s="31" t="inlineStr">
        <is>
          <t>532054</t>
        </is>
      </c>
    </row>
    <row r="164">
      <c r="A164" s="31" t="inlineStr">
        <is>
          <t>SPECTRUM</t>
        </is>
      </c>
      <c r="B164" s="31" t="inlineStr">
        <is>
          <t>Spectrum Electrical Industries Ltd</t>
        </is>
      </c>
      <c r="C164" s="31" t="inlineStr">
        <is>
          <t>industrials</t>
        </is>
      </c>
      <c r="D164" s="31" t="inlineStr">
        <is>
          <t>electric equipment</t>
        </is>
      </c>
      <c r="E164" s="31" t="inlineStr">
        <is>
          <t>smallcap</t>
        </is>
      </c>
      <c r="F164" s="31" t="n">
        <v>2547.21</v>
      </c>
      <c r="G164" s="31" t="n">
        <v>1588.4</v>
      </c>
      <c r="H164" s="31" t="n">
        <v>-2.01</v>
      </c>
      <c r="I164" s="31" t="n">
        <v>17460</v>
      </c>
      <c r="J164" s="31" t="inlineStr">
        <is>
          <t>535112</t>
        </is>
      </c>
    </row>
    <row r="165">
      <c r="A165" s="31" t="inlineStr">
        <is>
          <t>SUVEN</t>
        </is>
      </c>
      <c r="B165" s="31" t="inlineStr">
        <is>
          <t>Suven Life Sciences Limited</t>
        </is>
      </c>
      <c r="C165" s="31" t="inlineStr">
        <is>
          <t>healthcare</t>
        </is>
      </c>
      <c r="D165" s="31" t="inlineStr">
        <is>
          <t>miscellaneous</t>
        </is>
      </c>
      <c r="E165" s="31" t="inlineStr">
        <is>
          <t>midcap</t>
        </is>
      </c>
      <c r="F165" s="31" t="n">
        <v>7088.81</v>
      </c>
      <c r="G165" s="31" t="n">
        <v>263.15</v>
      </c>
      <c r="H165" s="31" t="n">
        <v>-2.1</v>
      </c>
      <c r="I165" s="31" t="n">
        <v>825579</v>
      </c>
      <c r="J165" s="31" t="inlineStr">
        <is>
          <t>530239</t>
        </is>
      </c>
    </row>
    <row r="166">
      <c r="A166" s="31" t="inlineStr">
        <is>
          <t>DLINKINDIA</t>
        </is>
      </c>
      <c r="B166" s="31" t="inlineStr">
        <is>
          <t>D-link (india) Limited</t>
        </is>
      </c>
      <c r="C166" s="31" t="inlineStr">
        <is>
          <t>services</t>
        </is>
      </c>
      <c r="D166" s="31" t="inlineStr">
        <is>
          <t>trading</t>
        </is>
      </c>
      <c r="E166" s="31" t="inlineStr">
        <is>
          <t>smallcap</t>
        </is>
      </c>
      <c r="F166" s="31" t="n">
        <v>1780.39</v>
      </c>
      <c r="G166" s="31" t="n">
        <v>490.9</v>
      </c>
      <c r="H166" s="31" t="n">
        <v>-2.1</v>
      </c>
      <c r="I166" s="31" t="n">
        <v>172574</v>
      </c>
      <c r="J166" s="31" t="inlineStr">
        <is>
          <t>533146</t>
        </is>
      </c>
    </row>
    <row r="167">
      <c r="A167" s="31" t="inlineStr">
        <is>
          <t>PTCIL</t>
        </is>
      </c>
      <c r="B167" s="31" t="inlineStr">
        <is>
          <t>PTC Industries Ltd</t>
        </is>
      </c>
      <c r="C167" s="31" t="inlineStr">
        <is>
          <t>industrials</t>
        </is>
      </c>
      <c r="D167" s="31" t="inlineStr">
        <is>
          <t>castings &amp; forgings</t>
        </is>
      </c>
      <c r="E167" s="31" t="inlineStr">
        <is>
          <t>largecap</t>
        </is>
      </c>
      <c r="F167" s="31" t="n">
        <v>27842.66</v>
      </c>
      <c r="G167" s="31" t="n">
        <v>18180</v>
      </c>
      <c r="H167" s="31" t="n">
        <v>-2.11</v>
      </c>
      <c r="I167" s="31" t="n">
        <v>9468</v>
      </c>
      <c r="J167" s="31" t="inlineStr">
        <is>
          <t>539006</t>
        </is>
      </c>
    </row>
    <row r="168">
      <c r="A168" s="31" t="inlineStr">
        <is>
          <t>MAYURUNIQ</t>
        </is>
      </c>
      <c r="B168" s="31" t="inlineStr">
        <is>
          <t>Mayur Uniquoters Ltd</t>
        </is>
      </c>
      <c r="C168" s="31" t="inlineStr">
        <is>
          <t>consumer discretionary</t>
        </is>
      </c>
      <c r="D168" s="31" t="inlineStr">
        <is>
          <t>leather / leather products</t>
        </is>
      </c>
      <c r="E168" s="31" t="inlineStr">
        <is>
          <t>smallcap</t>
        </is>
      </c>
      <c r="F168" s="31" t="n">
        <v>3525.09</v>
      </c>
      <c r="G168" s="31" t="n">
        <v>793.1</v>
      </c>
      <c r="H168" s="31" t="n">
        <v>-2.24</v>
      </c>
      <c r="I168" s="31" t="n">
        <v>269721</v>
      </c>
      <c r="J168" s="31" t="inlineStr">
        <is>
          <t>522249</t>
        </is>
      </c>
    </row>
    <row r="169">
      <c r="A169" s="31" t="inlineStr">
        <is>
          <t>INOXINDIA</t>
        </is>
      </c>
      <c r="B169" s="31" t="inlineStr">
        <is>
          <t>Inox India Ltd</t>
        </is>
      </c>
      <c r="C169" s="31" t="inlineStr">
        <is>
          <t>industrials</t>
        </is>
      </c>
      <c r="D169" s="31" t="inlineStr">
        <is>
          <t>packaging</t>
        </is>
      </c>
      <c r="E169" s="31" t="inlineStr">
        <is>
          <t>midcap</t>
        </is>
      </c>
      <c r="F169" s="31" t="n">
        <v>17168.82</v>
      </c>
      <c r="G169" s="31" t="n">
        <v>1848.8</v>
      </c>
      <c r="H169" s="31" t="n">
        <v>-2.26</v>
      </c>
      <c r="I169" s="31" t="n">
        <v>914863</v>
      </c>
      <c r="J169" s="31" t="inlineStr">
        <is>
          <t>544046</t>
        </is>
      </c>
    </row>
    <row r="170">
      <c r="A170" s="31" t="inlineStr">
        <is>
          <t>AEROENTER</t>
        </is>
      </c>
      <c r="B170" s="31" t="inlineStr">
        <is>
          <t>Aeroflex Enterprises Ltd</t>
        </is>
      </c>
      <c r="C170" s="31" t="inlineStr">
        <is>
          <t>metals &amp; mining</t>
        </is>
      </c>
      <c r="D170" s="31" t="inlineStr">
        <is>
          <t>steel - medium / small</t>
        </is>
      </c>
      <c r="E170" s="31" t="inlineStr">
        <is>
          <t>smallcap</t>
        </is>
      </c>
      <c r="F170" s="31" t="n">
        <v>1190.22</v>
      </c>
      <c r="G170" s="31" t="n">
        <v>102.84</v>
      </c>
      <c r="H170" s="31" t="n">
        <v>-2.29</v>
      </c>
      <c r="I170" s="31" t="n">
        <v>497519</v>
      </c>
      <c r="J170" s="31" t="inlineStr">
        <is>
          <t>511076</t>
        </is>
      </c>
    </row>
    <row r="171">
      <c r="A171" s="31" t="inlineStr">
        <is>
          <t>SFL</t>
        </is>
      </c>
      <c r="B171" s="31" t="inlineStr">
        <is>
          <t>Sheela Foam Limited</t>
        </is>
      </c>
      <c r="C171" s="31" t="inlineStr">
        <is>
          <t>consumer discretionary</t>
        </is>
      </c>
      <c r="D171" s="31" t="inlineStr">
        <is>
          <t>miscellaneous</t>
        </is>
      </c>
      <c r="E171" s="31" t="inlineStr">
        <is>
          <t>midcap</t>
        </is>
      </c>
      <c r="F171" s="31" t="n">
        <v>7572.25</v>
      </c>
      <c r="G171" s="31" t="n">
        <v>680.35</v>
      </c>
      <c r="H171" s="31" t="n">
        <v>-2.33</v>
      </c>
      <c r="I171" s="31" t="n">
        <v>636248</v>
      </c>
      <c r="J171" s="31" t="inlineStr">
        <is>
          <t>540203</t>
        </is>
      </c>
    </row>
    <row r="172">
      <c r="A172" s="31" t="inlineStr">
        <is>
          <t>MINDACORP</t>
        </is>
      </c>
      <c r="B172" s="31" t="inlineStr">
        <is>
          <t>Minda Corporation Limited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midcap</t>
        </is>
      </c>
      <c r="F172" s="31" t="n">
        <v>15494.74</v>
      </c>
      <c r="G172" s="31" t="n">
        <v>632.9</v>
      </c>
      <c r="H172" s="31" t="n">
        <v>-2.35</v>
      </c>
      <c r="I172" s="31" t="n">
        <v>287265</v>
      </c>
      <c r="J172" s="31" t="inlineStr">
        <is>
          <t>538962</t>
        </is>
      </c>
    </row>
    <row r="173">
      <c r="A173" s="31" t="inlineStr">
        <is>
          <t>CARYSIL</t>
        </is>
      </c>
      <c r="B173" s="31" t="inlineStr">
        <is>
          <t>Carysil Ltd</t>
        </is>
      </c>
      <c r="C173" s="31" t="inlineStr">
        <is>
          <t>consumer discretionary</t>
        </is>
      </c>
      <c r="D173" s="31" t="inlineStr">
        <is>
          <t>domestic appliances</t>
        </is>
      </c>
      <c r="E173" s="31" t="inlineStr">
        <is>
          <t>smallcap</t>
        </is>
      </c>
      <c r="F173" s="31" t="n">
        <v>3390.07</v>
      </c>
      <c r="G173" s="31" t="n">
        <v>1163.8</v>
      </c>
      <c r="H173" s="31" t="n">
        <v>-2.36</v>
      </c>
      <c r="I173" s="31" t="n">
        <v>440529</v>
      </c>
      <c r="J173" s="31" t="inlineStr">
        <is>
          <t>524091</t>
        </is>
      </c>
    </row>
    <row r="174">
      <c r="A174" s="31" t="inlineStr">
        <is>
          <t>BBOX</t>
        </is>
      </c>
      <c r="B174" s="31" t="inlineStr">
        <is>
          <t>Black Box Ltd</t>
        </is>
      </c>
      <c r="C174" s="31" t="inlineStr">
        <is>
          <t>i.t</t>
        </is>
      </c>
      <c r="D174" s="31" t="inlineStr">
        <is>
          <t>computers - software - medium / small</t>
        </is>
      </c>
      <c r="E174" s="31" t="inlineStr">
        <is>
          <t>midcap</t>
        </is>
      </c>
      <c r="F174" s="31" t="n">
        <v>17974.94</v>
      </c>
      <c r="G174" s="31" t="n">
        <v>988.5</v>
      </c>
      <c r="H174" s="31" t="n">
        <v>-2.39</v>
      </c>
      <c r="I174" s="31" t="n">
        <v>469954</v>
      </c>
      <c r="J174" s="31" t="inlineStr">
        <is>
          <t>500463</t>
        </is>
      </c>
    </row>
    <row r="175">
      <c r="A175" s="31" t="inlineStr">
        <is>
          <t>STLTECH</t>
        </is>
      </c>
      <c r="B175" s="31" t="inlineStr">
        <is>
          <t>Sterlite Technologies Limited</t>
        </is>
      </c>
      <c r="C175" s="31" t="inlineStr">
        <is>
          <t>industrials</t>
        </is>
      </c>
      <c r="D175" s="31" t="inlineStr">
        <is>
          <t>cables - telephone</t>
        </is>
      </c>
      <c r="E175" s="31" t="inlineStr">
        <is>
          <t>largecap</t>
        </is>
      </c>
      <c r="F175" s="31" t="n">
        <v>28426.4</v>
      </c>
      <c r="G175" s="31" t="n">
        <v>568.4</v>
      </c>
      <c r="H175" s="31" t="n">
        <v>-2.4</v>
      </c>
      <c r="I175" s="31" t="n">
        <v>4451301</v>
      </c>
      <c r="J175" s="31" t="inlineStr">
        <is>
          <t>532374</t>
        </is>
      </c>
    </row>
    <row r="176">
      <c r="A176" s="31" t="inlineStr">
        <is>
          <t>APCOTEXIND</t>
        </is>
      </c>
      <c r="B176" s="31" t="inlineStr">
        <is>
          <t>Apcotex Industries Limited</t>
        </is>
      </c>
      <c r="C176" s="31" t="inlineStr">
        <is>
          <t>chemicals</t>
        </is>
      </c>
      <c r="D176" s="31" t="inlineStr">
        <is>
          <t>miscellaneous</t>
        </is>
      </c>
      <c r="E176" s="31" t="inlineStr">
        <is>
          <t>smallcap</t>
        </is>
      </c>
      <c r="F176" s="31" t="n">
        <v>2772.93</v>
      </c>
      <c r="G176" s="31" t="n">
        <v>521.75</v>
      </c>
      <c r="H176" s="31" t="n">
        <v>-2.45</v>
      </c>
      <c r="I176" s="31" t="n">
        <v>88913</v>
      </c>
      <c r="J176" s="31" t="inlineStr">
        <is>
          <t>523694</t>
        </is>
      </c>
    </row>
    <row r="177">
      <c r="A177" s="31" t="inlineStr">
        <is>
          <t>ACUTAAS</t>
        </is>
      </c>
      <c r="B177" s="31" t="inlineStr">
        <is>
          <t>Acutaas Chemicals Ltd</t>
        </is>
      </c>
      <c r="C177" s="31" t="inlineStr">
        <is>
          <t>healthcare</t>
        </is>
      </c>
      <c r="D177" s="31" t="inlineStr">
        <is>
          <t>pharmaceuticals - indian - bulk drugs</t>
        </is>
      </c>
      <c r="E177" s="31" t="inlineStr">
        <is>
          <t>largecap</t>
        </is>
      </c>
      <c r="F177" s="31" t="n">
        <v>26256.07</v>
      </c>
      <c r="G177" s="31" t="n">
        <v>3128.1</v>
      </c>
      <c r="H177" s="31" t="n">
        <v>-2.46</v>
      </c>
      <c r="I177" s="31" t="n">
        <v>427084</v>
      </c>
      <c r="J177" s="31" t="inlineStr">
        <is>
          <t>543349</t>
        </is>
      </c>
    </row>
    <row r="178">
      <c r="A178" s="31" t="inlineStr">
        <is>
          <t>HONAUT</t>
        </is>
      </c>
      <c r="B178" s="31" t="inlineStr">
        <is>
          <t>Honeywell Automation India Limited</t>
        </is>
      </c>
      <c r="C178" s="31" t="inlineStr">
        <is>
          <t>consumer discretionary</t>
        </is>
      </c>
      <c r="D178" s="31" t="inlineStr">
        <is>
          <t>electronics - components</t>
        </is>
      </c>
      <c r="E178" s="31" t="inlineStr">
        <is>
          <t>largecap</t>
        </is>
      </c>
      <c r="F178" s="31" t="n">
        <v>31944.42</v>
      </c>
      <c r="G178" s="31" t="n">
        <v>35230</v>
      </c>
      <c r="H178" s="31" t="n">
        <v>-2.49</v>
      </c>
      <c r="I178" s="31" t="n">
        <v>5455</v>
      </c>
      <c r="J178" s="31" t="inlineStr">
        <is>
          <t>517174</t>
        </is>
      </c>
    </row>
    <row r="179">
      <c r="A179" s="31" t="inlineStr">
        <is>
          <t>THYROCARE</t>
        </is>
      </c>
      <c r="B179" s="31" t="inlineStr">
        <is>
          <t>Thyrocare Technologies Limited</t>
        </is>
      </c>
      <c r="C179" s="31" t="inlineStr">
        <is>
          <t>healthcare</t>
        </is>
      </c>
      <c r="D179" s="31" t="inlineStr">
        <is>
          <t>healthcare</t>
        </is>
      </c>
      <c r="E179" s="31" t="inlineStr">
        <is>
          <t>midcap</t>
        </is>
      </c>
      <c r="F179" s="31" t="n">
        <v>8480.33</v>
      </c>
      <c r="G179" s="31" t="n">
        <v>519.4</v>
      </c>
      <c r="H179" s="31" t="n">
        <v>-2.52</v>
      </c>
      <c r="I179" s="31" t="n">
        <v>259715</v>
      </c>
      <c r="J179" s="31" t="inlineStr">
        <is>
          <t>539871</t>
        </is>
      </c>
    </row>
    <row r="180">
      <c r="A180" s="31" t="inlineStr">
        <is>
          <t>INDSWFTLAB</t>
        </is>
      </c>
      <c r="B180" s="31" t="inlineStr">
        <is>
          <t>Ind-swift Laboratories Limited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smallcap</t>
        </is>
      </c>
      <c r="F180" s="31" t="n">
        <v>1414.22</v>
      </c>
      <c r="G180" s="31" t="n">
        <v>158.63</v>
      </c>
      <c r="H180" s="31" t="n">
        <v>-2.6</v>
      </c>
      <c r="I180" s="31" t="n">
        <v>566933</v>
      </c>
      <c r="J180" s="31" t="inlineStr">
        <is>
          <t>532305</t>
        </is>
      </c>
    </row>
    <row r="181">
      <c r="A181" s="31" t="inlineStr">
        <is>
          <t>SHAILY</t>
        </is>
      </c>
      <c r="B181" s="31" t="inlineStr">
        <is>
          <t>Shaily Engineering Plastics Ltd</t>
        </is>
      </c>
      <c r="C181" s="31" t="inlineStr">
        <is>
          <t>plastic products</t>
        </is>
      </c>
      <c r="D181" s="31" t="inlineStr">
        <is>
          <t>plastics products</t>
        </is>
      </c>
      <c r="E181" s="31" t="inlineStr">
        <is>
          <t>midcap</t>
        </is>
      </c>
      <c r="F181" s="31" t="n">
        <v>13870.17</v>
      </c>
      <c r="G181" s="31" t="n">
        <v>2939.3</v>
      </c>
      <c r="H181" s="31" t="n">
        <v>-2.61</v>
      </c>
      <c r="I181" s="31" t="n">
        <v>239997</v>
      </c>
      <c r="J181" s="31" t="inlineStr">
        <is>
          <t>501423</t>
        </is>
      </c>
    </row>
    <row r="182">
      <c r="A182" s="31" t="inlineStr">
        <is>
          <t>GVPIL</t>
        </is>
      </c>
      <c r="B182" s="31" t="inlineStr">
        <is>
          <t>GE Power India Ltd</t>
        </is>
      </c>
      <c r="C182" s="31" t="inlineStr">
        <is>
          <t>realty</t>
        </is>
      </c>
      <c r="D182" s="31" t="inlineStr">
        <is>
          <t>engineering - turnkey services</t>
        </is>
      </c>
      <c r="E182" s="31" t="inlineStr">
        <is>
          <t>midcap</t>
        </is>
      </c>
      <c r="F182" s="31" t="n">
        <v>6115.01</v>
      </c>
      <c r="G182" s="31" t="n">
        <v>885.3</v>
      </c>
      <c r="H182" s="31" t="n">
        <v>-2.67</v>
      </c>
      <c r="I182" s="31" t="n">
        <v>367120</v>
      </c>
      <c r="J182" s="31" t="inlineStr">
        <is>
          <t>532309</t>
        </is>
      </c>
    </row>
    <row r="183">
      <c r="A183" s="31" t="inlineStr">
        <is>
          <t>NINSYS</t>
        </is>
      </c>
      <c r="B183" s="31" t="inlineStr">
        <is>
          <t>NINtec Systems Ltd</t>
        </is>
      </c>
      <c r="C183" s="31" t="inlineStr">
        <is>
          <t>i.t</t>
        </is>
      </c>
      <c r="D183" s="31" t="inlineStr">
        <is>
          <t>computers - software - medium / small</t>
        </is>
      </c>
      <c r="E183" s="31" t="inlineStr">
        <is>
          <t>smallcap</t>
        </is>
      </c>
      <c r="F183" s="31" t="n">
        <v>1317.87</v>
      </c>
      <c r="G183" s="31" t="n">
        <v>689.9</v>
      </c>
      <c r="H183" s="31" t="n">
        <v>-2.76</v>
      </c>
      <c r="I183" s="31" t="n">
        <v>2211</v>
      </c>
      <c r="J183" s="31" t="inlineStr">
        <is>
          <t>539843</t>
        </is>
      </c>
    </row>
    <row r="184">
      <c r="A184" s="31" t="inlineStr">
        <is>
          <t>FCL</t>
        </is>
      </c>
      <c r="B184" s="31" t="inlineStr">
        <is>
          <t>Fineotex Chemical Limited</t>
        </is>
      </c>
      <c r="C184" s="31" t="inlineStr">
        <is>
          <t>chemicals</t>
        </is>
      </c>
      <c r="D184" s="31" t="inlineStr">
        <is>
          <t>chemicals</t>
        </is>
      </c>
      <c r="E184" s="31" t="inlineStr">
        <is>
          <t>smallcap</t>
        </is>
      </c>
      <c r="F184" s="31" t="n">
        <v>4436.75</v>
      </c>
      <c r="G184" s="31" t="n">
        <v>37.03</v>
      </c>
      <c r="H184" s="31" t="n">
        <v>-2.81</v>
      </c>
      <c r="I184" s="31" t="n">
        <v>11671065</v>
      </c>
      <c r="J184" s="31" t="inlineStr">
        <is>
          <t>533333</t>
        </is>
      </c>
    </row>
    <row r="185">
      <c r="A185" s="31" t="inlineStr">
        <is>
          <t>CREST</t>
        </is>
      </c>
      <c r="B185" s="31" t="inlineStr">
        <is>
          <t>Crest Ventures Limited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smallcap</t>
        </is>
      </c>
      <c r="F185" s="31" t="n">
        <v>1080.24</v>
      </c>
      <c r="G185" s="31" t="n">
        <v>368.95</v>
      </c>
      <c r="H185" s="31" t="n">
        <v>-2.83</v>
      </c>
      <c r="I185" s="31" t="n">
        <v>17163</v>
      </c>
      <c r="J185" s="31" t="inlineStr">
        <is>
          <t>511413</t>
        </is>
      </c>
    </row>
    <row r="186">
      <c r="A186" s="31" t="inlineStr">
        <is>
          <t>RUBYMILLS</t>
        </is>
      </c>
      <c r="B186" s="31" t="inlineStr">
        <is>
          <t>The Ruby Mills Limited</t>
        </is>
      </c>
      <c r="C186" s="31" t="inlineStr">
        <is>
          <t>textiles</t>
        </is>
      </c>
      <c r="D186" s="31" t="inlineStr">
        <is>
          <t>textiles - composite</t>
        </is>
      </c>
      <c r="E186" s="31" t="inlineStr">
        <is>
          <t>smallcap</t>
        </is>
      </c>
      <c r="F186" s="31" t="n">
        <v>1181.27</v>
      </c>
      <c r="G186" s="31" t="n">
        <v>342.9</v>
      </c>
      <c r="H186" s="31" t="n">
        <v>-2.93</v>
      </c>
      <c r="I186" s="31" t="n">
        <v>33903</v>
      </c>
      <c r="J186" s="31" t="inlineStr">
        <is>
          <t>503169</t>
        </is>
      </c>
    </row>
    <row r="187">
      <c r="A187" s="31" t="inlineStr">
        <is>
          <t>MGEL</t>
        </is>
      </c>
      <c r="B187" s="31" t="inlineStr">
        <is>
          <t>Mangalam Global Enterprise Ltd</t>
        </is>
      </c>
      <c r="C187" s="31" t="inlineStr">
        <is>
          <t>services</t>
        </is>
      </c>
      <c r="D187" s="31" t="inlineStr">
        <is>
          <t>trading</t>
        </is>
      </c>
      <c r="E187" s="31" t="inlineStr">
        <is>
          <t>smallcap</t>
        </is>
      </c>
      <c r="F187" s="31" t="n">
        <v>544.1</v>
      </c>
      <c r="G187" s="31" t="n">
        <v>16.02</v>
      </c>
      <c r="H187" s="31" t="n">
        <v>-2.97</v>
      </c>
      <c r="I187" s="31" t="n">
        <v>182282</v>
      </c>
      <c r="J187" s="31" t="inlineStr">
        <is>
          <t>535349</t>
        </is>
      </c>
    </row>
    <row r="188">
      <c r="A188" s="31" t="inlineStr">
        <is>
          <t>GUFICBIO</t>
        </is>
      </c>
      <c r="B188" s="31" t="inlineStr">
        <is>
          <t>Gufic Biosciences Limited</t>
        </is>
      </c>
      <c r="C188" s="31" t="inlineStr">
        <is>
          <t>healthcare</t>
        </is>
      </c>
      <c r="D188" s="31" t="inlineStr">
        <is>
          <t>pharmaceuticals - indian - bulk drugs &amp; formln</t>
        </is>
      </c>
      <c r="E188" s="31" t="inlineStr">
        <is>
          <t>smallcap</t>
        </is>
      </c>
      <c r="F188" s="31" t="n">
        <v>3650.78</v>
      </c>
      <c r="G188" s="31" t="n">
        <v>353.2</v>
      </c>
      <c r="H188" s="31" t="n">
        <v>-2.98</v>
      </c>
      <c r="I188" s="31" t="n">
        <v>121559</v>
      </c>
      <c r="J188" s="31" t="inlineStr">
        <is>
          <t>509079</t>
        </is>
      </c>
    </row>
    <row r="189">
      <c r="A189" s="31" t="inlineStr">
        <is>
          <t>MUNJALAU</t>
        </is>
      </c>
      <c r="B189" s="31" t="inlineStr">
        <is>
          <t>Munjal Auto Industries Limited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smallcap</t>
        </is>
      </c>
      <c r="F189" s="31" t="n">
        <v>984.6</v>
      </c>
      <c r="G189" s="31" t="n">
        <v>95.51000000000001</v>
      </c>
      <c r="H189" s="31" t="n">
        <v>-3</v>
      </c>
      <c r="I189" s="31" t="n">
        <v>496415</v>
      </c>
      <c r="J189" s="31" t="inlineStr">
        <is>
          <t>520059</t>
        </is>
      </c>
    </row>
    <row r="190">
      <c r="A190" s="31" t="inlineStr">
        <is>
          <t>NGLFINE</t>
        </is>
      </c>
      <c r="B190" s="31" t="inlineStr">
        <is>
          <t>NGL Fine Chem Ltd</t>
        </is>
      </c>
      <c r="C190" s="31" t="inlineStr">
        <is>
          <t>healthcare</t>
        </is>
      </c>
      <c r="D190" s="31" t="inlineStr">
        <is>
          <t>pharmaceuticals - indian - bulk drugs</t>
        </is>
      </c>
      <c r="E190" s="31" t="inlineStr">
        <is>
          <t>smallcap</t>
        </is>
      </c>
      <c r="F190" s="31" t="n">
        <v>1737.14</v>
      </c>
      <c r="G190" s="31" t="n">
        <v>2716.5</v>
      </c>
      <c r="H190" s="31" t="n">
        <v>-3.39</v>
      </c>
      <c r="I190" s="31" t="n">
        <v>10705</v>
      </c>
      <c r="J190" s="31" t="inlineStr">
        <is>
          <t>524774</t>
        </is>
      </c>
    </row>
    <row r="191">
      <c r="A191" s="31" t="inlineStr">
        <is>
          <t>TATATECH</t>
        </is>
      </c>
      <c r="B191" s="31" t="inlineStr">
        <is>
          <t>Tata Technologies Ltd</t>
        </is>
      </c>
      <c r="C191" s="31" t="inlineStr">
        <is>
          <t>i.t</t>
        </is>
      </c>
      <c r="D191" s="31" t="inlineStr">
        <is>
          <t>computers - software - medium / small</t>
        </is>
      </c>
      <c r="E191" s="31" t="inlineStr">
        <is>
          <t>largecap</t>
        </is>
      </c>
      <c r="F191" s="31" t="n">
        <v>30781.35</v>
      </c>
      <c r="G191" s="31" t="n">
        <v>731.45</v>
      </c>
      <c r="H191" s="31" t="n">
        <v>-3.53</v>
      </c>
      <c r="I191" s="31" t="n">
        <v>1022033</v>
      </c>
      <c r="J191" s="31" t="inlineStr">
        <is>
          <t>544028</t>
        </is>
      </c>
    </row>
    <row r="192">
      <c r="A192" s="31" t="inlineStr">
        <is>
          <t>GAYAPROJ</t>
        </is>
      </c>
      <c r="B192" s="31" t="inlineStr">
        <is>
          <t>Gayatri Projects Limited</t>
        </is>
      </c>
      <c r="C192" s="31" t="inlineStr">
        <is>
          <t>realty</t>
        </is>
      </c>
      <c r="D192" s="31" t="inlineStr">
        <is>
          <t>construction</t>
        </is>
      </c>
      <c r="E192" s="31" t="inlineStr">
        <is>
          <t>smallcap</t>
        </is>
      </c>
      <c r="F192" s="31" t="n">
        <v>644.23</v>
      </c>
      <c r="G192" s="31" t="n">
        <v>20.98</v>
      </c>
      <c r="H192" s="31" t="n">
        <v>-3.54</v>
      </c>
      <c r="I192" s="31" t="n">
        <v>545030</v>
      </c>
      <c r="J192" s="31" t="inlineStr">
        <is>
          <t>532767</t>
        </is>
      </c>
    </row>
    <row r="193">
      <c r="A193" s="31" t="inlineStr">
        <is>
          <t>SHILPAMED</t>
        </is>
      </c>
      <c r="B193" s="31" t="inlineStr">
        <is>
          <t>Shilpa Medicare Limited</t>
        </is>
      </c>
      <c r="C193" s="31" t="inlineStr">
        <is>
          <t>healthcare</t>
        </is>
      </c>
      <c r="D193" s="31" t="inlineStr">
        <is>
          <t>pharmaceuticals - indian - formulations</t>
        </is>
      </c>
      <c r="E193" s="31" t="inlineStr">
        <is>
          <t>midcap</t>
        </is>
      </c>
      <c r="F193" s="31" t="n">
        <v>10929.11</v>
      </c>
      <c r="G193" s="31" t="n">
        <v>538.85</v>
      </c>
      <c r="H193" s="31" t="n">
        <v>-3.57</v>
      </c>
      <c r="I193" s="31" t="n">
        <v>695284</v>
      </c>
      <c r="J193" s="31" t="inlineStr">
        <is>
          <t>530549</t>
        </is>
      </c>
    </row>
    <row r="194">
      <c r="A194" s="31" t="inlineStr">
        <is>
          <t>BALAMINES</t>
        </is>
      </c>
      <c r="B194" s="31" t="inlineStr">
        <is>
          <t>Balaji Amines Limited</t>
        </is>
      </c>
      <c r="C194" s="31" t="inlineStr">
        <is>
          <t>chemicals</t>
        </is>
      </c>
      <c r="D194" s="31" t="inlineStr">
        <is>
          <t>chemicals</t>
        </is>
      </c>
      <c r="E194" s="31" t="inlineStr">
        <is>
          <t>midcap</t>
        </is>
      </c>
      <c r="F194" s="31" t="n">
        <v>6904.98</v>
      </c>
      <c r="G194" s="31" t="n">
        <v>2054</v>
      </c>
      <c r="H194" s="31" t="n">
        <v>-3.62</v>
      </c>
      <c r="I194" s="31" t="n">
        <v>319584</v>
      </c>
      <c r="J194" s="31" t="inlineStr">
        <is>
          <t>530999</t>
        </is>
      </c>
    </row>
    <row r="195">
      <c r="A195" s="31" t="inlineStr">
        <is>
          <t>CHENNPETRO</t>
        </is>
      </c>
      <c r="B195" s="31" t="inlineStr">
        <is>
          <t>Chennai Petroleum Corporation Limited</t>
        </is>
      </c>
      <c r="C195" s="31" t="inlineStr">
        <is>
          <t>energy</t>
        </is>
      </c>
      <c r="D195" s="31" t="inlineStr">
        <is>
          <t>refineries</t>
        </is>
      </c>
      <c r="E195" s="31" t="inlineStr">
        <is>
          <t>midcap</t>
        </is>
      </c>
      <c r="F195" s="31" t="n">
        <v>17635.58</v>
      </c>
      <c r="G195" s="31" t="n">
        <v>1140.1</v>
      </c>
      <c r="H195" s="31" t="n">
        <v>-3.73</v>
      </c>
      <c r="I195" s="31" t="n">
        <v>835535</v>
      </c>
      <c r="J195" s="31" t="inlineStr">
        <is>
          <t>500110</t>
        </is>
      </c>
    </row>
    <row r="196">
      <c r="A196" s="31" t="inlineStr">
        <is>
          <t>ABSLAMC</t>
        </is>
      </c>
      <c r="B196" s="31" t="inlineStr">
        <is>
          <t>Aditya Birla Sun Life AMC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32066.15</v>
      </c>
      <c r="G196" s="31" t="n">
        <v>1068.6</v>
      </c>
      <c r="H196" s="31" t="n">
        <v>-3.76</v>
      </c>
      <c r="I196" s="31" t="n">
        <v>425095</v>
      </c>
      <c r="J196" s="31" t="inlineStr">
        <is>
          <t>543374</t>
        </is>
      </c>
    </row>
    <row r="197">
      <c r="A197" s="31" t="inlineStr">
        <is>
          <t>VINDHYATEL</t>
        </is>
      </c>
      <c r="B197" s="31" t="inlineStr">
        <is>
          <t>Vindhya Telelinks Limited</t>
        </is>
      </c>
      <c r="C197" s="31" t="inlineStr">
        <is>
          <t>realty</t>
        </is>
      </c>
      <c r="D197" s="31" t="inlineStr">
        <is>
          <t>construction</t>
        </is>
      </c>
      <c r="E197" s="31" t="inlineStr">
        <is>
          <t>smallcap</t>
        </is>
      </c>
      <c r="F197" s="31" t="n">
        <v>2442.58</v>
      </c>
      <c r="G197" s="31" t="n">
        <v>1979.6</v>
      </c>
      <c r="H197" s="31" t="n">
        <v>-3.95</v>
      </c>
      <c r="I197" s="31" t="n">
        <v>55409</v>
      </c>
      <c r="J197" s="31" t="inlineStr">
        <is>
          <t>517015</t>
        </is>
      </c>
    </row>
    <row r="198">
      <c r="A198" s="31" t="inlineStr">
        <is>
          <t>SAKAR</t>
        </is>
      </c>
      <c r="B198" s="31" t="inlineStr">
        <is>
          <t>Sakar Healthcare Ltd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smallcap</t>
        </is>
      </c>
      <c r="F198" s="31" t="n">
        <v>1866.77</v>
      </c>
      <c r="G198" s="31" t="n">
        <v>803.05</v>
      </c>
      <c r="H198" s="31" t="n">
        <v>-4.28</v>
      </c>
      <c r="I198" s="31" t="n">
        <v>200688</v>
      </c>
      <c r="J198" s="31" t="inlineStr">
        <is>
          <t>538377</t>
        </is>
      </c>
    </row>
    <row r="199">
      <c r="A199" s="31" t="inlineStr">
        <is>
          <t>DEEDEV</t>
        </is>
      </c>
      <c r="B199" s="31" t="inlineStr">
        <is>
          <t>DEE Development Engineers Ltd</t>
        </is>
      </c>
      <c r="C199" s="31" t="inlineStr">
        <is>
          <t>metals &amp; mining</t>
        </is>
      </c>
      <c r="D199" s="31" t="inlineStr">
        <is>
          <t>steel - medium / small</t>
        </is>
      </c>
      <c r="E199" s="31" t="inlineStr">
        <is>
          <t>smallcap</t>
        </is>
      </c>
      <c r="F199" s="31" t="n">
        <v>4531.9</v>
      </c>
      <c r="G199" s="31" t="n">
        <v>625.45</v>
      </c>
      <c r="H199" s="31" t="n">
        <v>-4.41</v>
      </c>
      <c r="I199" s="31" t="n">
        <v>361464</v>
      </c>
      <c r="J199" s="31" t="n"/>
    </row>
    <row r="200">
      <c r="A200" s="31" t="inlineStr">
        <is>
          <t>PREMEXPLN</t>
        </is>
      </c>
      <c r="B200" s="31" t="inlineStr">
        <is>
          <t>Premier Explosives Limited</t>
        </is>
      </c>
      <c r="C200" s="31" t="inlineStr">
        <is>
          <t>aerospace &amp; defence</t>
        </is>
      </c>
      <c r="D200" s="31" t="inlineStr">
        <is>
          <t>chemicals</t>
        </is>
      </c>
      <c r="E200" s="31" t="inlineStr">
        <is>
          <t>smallcap</t>
        </is>
      </c>
      <c r="F200" s="31" t="n">
        <v>3685.33</v>
      </c>
      <c r="G200" s="31" t="n">
        <v>654.85</v>
      </c>
      <c r="H200" s="31" t="n">
        <v>-4.47</v>
      </c>
      <c r="I200" s="31" t="n">
        <v>801624</v>
      </c>
      <c r="J200" s="31" t="inlineStr">
        <is>
          <t>526247</t>
        </is>
      </c>
    </row>
    <row r="201">
      <c r="A201" s="31" t="inlineStr">
        <is>
          <t>PANACEABIO</t>
        </is>
      </c>
      <c r="B201" s="31" t="inlineStr">
        <is>
          <t>Panacea Biotec Limited</t>
        </is>
      </c>
      <c r="C201" s="31" t="inlineStr">
        <is>
          <t>healthcare</t>
        </is>
      </c>
      <c r="D201" s="31" t="inlineStr">
        <is>
          <t>pharmaceuticals - indian - bulk drugs &amp; formln</t>
        </is>
      </c>
      <c r="E201" s="31" t="inlineStr">
        <is>
          <t>smallcap</t>
        </is>
      </c>
      <c r="F201" s="31" t="n">
        <v>3350.42</v>
      </c>
      <c r="G201" s="31" t="n">
        <v>522.3</v>
      </c>
      <c r="H201" s="31" t="n">
        <v>-4.52</v>
      </c>
      <c r="I201" s="31" t="n">
        <v>1294388</v>
      </c>
      <c r="J201" s="31" t="inlineStr">
        <is>
          <t>531349</t>
        </is>
      </c>
    </row>
    <row r="202">
      <c r="A202" s="31" t="inlineStr">
        <is>
          <t>IBULLSLTD</t>
        </is>
      </c>
      <c r="B202" s="31" t="inlineStr">
        <is>
          <t>Indiabulls Limited</t>
        </is>
      </c>
      <c r="C202" s="31" t="inlineStr">
        <is>
          <t>miscellaneous</t>
        </is>
      </c>
      <c r="D202" s="31" t="inlineStr">
        <is>
          <t>diversified - medium / small</t>
        </is>
      </c>
      <c r="E202" s="31" t="inlineStr">
        <is>
          <t>midcap</t>
        </is>
      </c>
      <c r="F202" s="31" t="n">
        <v>5736.58</v>
      </c>
      <c r="G202" s="31" t="n">
        <v>23.48</v>
      </c>
      <c r="H202" s="31" t="n">
        <v>-4.86</v>
      </c>
      <c r="I202" s="31" t="n">
        <v>3967095</v>
      </c>
      <c r="J202" s="31" t="inlineStr">
        <is>
          <t>533520</t>
        </is>
      </c>
    </row>
    <row r="203">
      <c r="A203" s="31" t="inlineStr">
        <is>
          <t>PARAS</t>
        </is>
      </c>
      <c r="B203" s="31" t="inlineStr">
        <is>
          <t>Paras Defence and Space Technologies Ltd</t>
        </is>
      </c>
      <c r="C203" s="31" t="inlineStr">
        <is>
          <t>aerospace &amp; defence</t>
        </is>
      </c>
      <c r="D203" s="31" t="inlineStr">
        <is>
          <t>engineering</t>
        </is>
      </c>
      <c r="E203" s="31" t="inlineStr">
        <is>
          <t>midcap</t>
        </is>
      </c>
      <c r="F203" s="31" t="n">
        <v>8385.110000000001</v>
      </c>
      <c r="G203" s="31" t="n">
        <v>989.1</v>
      </c>
      <c r="H203" s="31" t="n">
        <v>-4.94</v>
      </c>
      <c r="I203" s="31" t="n">
        <v>3765768</v>
      </c>
      <c r="J203" s="31" t="inlineStr">
        <is>
          <t>543367</t>
        </is>
      </c>
    </row>
    <row r="204">
      <c r="A204" s="31" t="inlineStr">
        <is>
          <t>CEMPRO</t>
        </is>
      </c>
      <c r="B204" s="31" t="inlineStr">
        <is>
          <t>Cemindia Projects Ltd</t>
        </is>
      </c>
      <c r="C204" s="31" t="inlineStr">
        <is>
          <t>realty</t>
        </is>
      </c>
      <c r="D204" s="31" t="inlineStr">
        <is>
          <t>construction</t>
        </is>
      </c>
      <c r="E204" s="31" t="inlineStr">
        <is>
          <t>largecap</t>
        </is>
      </c>
      <c r="F204" s="31" t="n">
        <v>21251.84</v>
      </c>
      <c r="G204" s="31" t="n">
        <v>1175.3</v>
      </c>
      <c r="H204" s="31" t="n">
        <v>-5</v>
      </c>
      <c r="I204" s="31" t="n">
        <v>699687</v>
      </c>
      <c r="J204" s="31" t="inlineStr">
        <is>
          <t>509496</t>
        </is>
      </c>
    </row>
    <row r="205">
      <c r="A205" s="31" t="inlineStr">
        <is>
          <t>PASUPTAC</t>
        </is>
      </c>
      <c r="B205" s="31" t="inlineStr">
        <is>
          <t>Pasupati Acrylon Ltd</t>
        </is>
      </c>
      <c r="C205" s="31" t="inlineStr">
        <is>
          <t>textiles</t>
        </is>
      </c>
      <c r="D205" s="31" t="inlineStr">
        <is>
          <t>textiles - manmade</t>
        </is>
      </c>
      <c r="E205" s="31" t="inlineStr">
        <is>
          <t>smallcap</t>
        </is>
      </c>
      <c r="F205" s="31" t="n">
        <v>633.11</v>
      </c>
      <c r="G205" s="31" t="n">
        <v>67.48</v>
      </c>
      <c r="H205" s="31" t="n">
        <v>-5</v>
      </c>
      <c r="I205" s="31" t="n">
        <v>179117</v>
      </c>
      <c r="J205" s="31" t="inlineStr">
        <is>
          <t>500456</t>
        </is>
      </c>
    </row>
    <row r="206">
      <c r="A206" s="31" t="inlineStr">
        <is>
          <t>IDEAFORGE</t>
        </is>
      </c>
      <c r="B206" s="31" t="inlineStr">
        <is>
          <t>Ideaforge Technology Ltd</t>
        </is>
      </c>
      <c r="C206" s="31" t="inlineStr">
        <is>
          <t>aerospace &amp; defence</t>
        </is>
      </c>
      <c r="D206" s="31" t="inlineStr">
        <is>
          <t>engineering</t>
        </is>
      </c>
      <c r="E206" s="31" t="inlineStr">
        <is>
          <t>smallcap</t>
        </is>
      </c>
      <c r="F206" s="31" t="n">
        <v>3967.1</v>
      </c>
      <c r="G206" s="31" t="n">
        <v>870.9</v>
      </c>
      <c r="H206" s="31" t="n">
        <v>-5</v>
      </c>
      <c r="I206" s="31" t="n">
        <v>375205</v>
      </c>
      <c r="J206" s="31" t="inlineStr">
        <is>
          <t>543932</t>
        </is>
      </c>
    </row>
    <row r="207">
      <c r="A207" s="31" t="inlineStr">
        <is>
          <t>SKMEGGPROD</t>
        </is>
      </c>
      <c r="B207" s="31" t="inlineStr">
        <is>
          <t>Skm Egg Products Export (india) Limited</t>
        </is>
      </c>
      <c r="C207" s="31" t="inlineStr">
        <is>
          <t>fmcg</t>
        </is>
      </c>
      <c r="D207" s="31" t="inlineStr">
        <is>
          <t>food - processing - indian</t>
        </is>
      </c>
      <c r="E207" s="31" t="inlineStr">
        <is>
          <t>smallcap</t>
        </is>
      </c>
      <c r="F207" s="31" t="n">
        <v>1270.37</v>
      </c>
      <c r="G207" s="31" t="n">
        <v>228.53</v>
      </c>
      <c r="H207" s="31" t="n">
        <v>-5.27</v>
      </c>
      <c r="I207" s="31" t="n">
        <v>548761</v>
      </c>
      <c r="J207" s="31" t="inlineStr">
        <is>
          <t>532143</t>
        </is>
      </c>
    </row>
    <row r="208">
      <c r="A208" s="31" t="inlineStr">
        <is>
          <t>RICOAUTO</t>
        </is>
      </c>
      <c r="B208" s="31" t="inlineStr">
        <is>
          <t>Rico Auto Industries Limited</t>
        </is>
      </c>
      <c r="C208" s="31" t="inlineStr">
        <is>
          <t>auto</t>
        </is>
      </c>
      <c r="D208" s="31" t="inlineStr">
        <is>
          <t>auto ancillaries</t>
        </is>
      </c>
      <c r="E208" s="31" t="inlineStr">
        <is>
          <t>smallcap</t>
        </is>
      </c>
      <c r="F208" s="31" t="n">
        <v>1823.1</v>
      </c>
      <c r="G208" s="31" t="n">
        <v>127.42</v>
      </c>
      <c r="H208" s="31" t="n">
        <v>-5.45</v>
      </c>
      <c r="I208" s="31" t="n">
        <v>3185697</v>
      </c>
      <c r="J208" s="31" t="inlineStr">
        <is>
          <t>520008</t>
        </is>
      </c>
    </row>
    <row r="209">
      <c r="A209" s="31" t="inlineStr">
        <is>
          <t>JNKINDIA</t>
        </is>
      </c>
      <c r="B209" s="31" t="inlineStr">
        <is>
          <t>JNK India Ltd</t>
        </is>
      </c>
      <c r="C209" s="31" t="inlineStr">
        <is>
          <t>realty</t>
        </is>
      </c>
      <c r="D209" s="31" t="inlineStr">
        <is>
          <t>engineering - turnkey services</t>
        </is>
      </c>
      <c r="E209" s="31" t="inlineStr">
        <is>
          <t>smallcap</t>
        </is>
      </c>
      <c r="F209" s="31" t="n">
        <v>2786.51</v>
      </c>
      <c r="G209" s="31" t="n">
        <v>470</v>
      </c>
      <c r="H209" s="31" t="n">
        <v>-5.62</v>
      </c>
      <c r="I209" s="31" t="n">
        <v>2536583</v>
      </c>
      <c r="J209" s="31" t="inlineStr">
        <is>
          <t>544167</t>
        </is>
      </c>
    </row>
    <row r="210">
      <c r="A210" s="31" t="inlineStr">
        <is>
          <t>SASKEN</t>
        </is>
      </c>
      <c r="B210" s="31" t="inlineStr">
        <is>
          <t>Sasken Communication Technologies Limited</t>
        </is>
      </c>
      <c r="C210" s="31" t="inlineStr">
        <is>
          <t>i.t</t>
        </is>
      </c>
      <c r="D210" s="31" t="inlineStr">
        <is>
          <t>computers - software - medium / small</t>
        </is>
      </c>
      <c r="E210" s="31" t="inlineStr">
        <is>
          <t>smallcap</t>
        </is>
      </c>
      <c r="F210" s="31" t="n">
        <v>3434.57</v>
      </c>
      <c r="G210" s="31" t="n">
        <v>2072.9</v>
      </c>
      <c r="H210" s="31" t="n">
        <v>-8.34</v>
      </c>
      <c r="I210" s="31" t="n">
        <v>112524</v>
      </c>
      <c r="J210" s="31" t="inlineStr">
        <is>
          <t>532663</t>
        </is>
      </c>
    </row>
  </sheetData>
  <autoFilter ref="A1:J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TMB</t>
        </is>
      </c>
      <c r="E2" s="31" t="inlineStr">
        <is>
          <t>Tamilnad Mercantile Bank Ltd</t>
        </is>
      </c>
      <c r="F2" s="31" t="inlineStr">
        <is>
          <t>Banks - Private</t>
        </is>
      </c>
      <c r="G2" s="31" t="n">
        <v>3</v>
      </c>
      <c r="H2" s="31" t="inlineStr">
        <is>
          <t>ATH Momentum</t>
        </is>
      </c>
      <c r="I2" s="31" t="inlineStr">
        <is>
          <t>Yes</t>
        </is>
      </c>
      <c r="J2" s="31" t="n">
        <v>17</v>
      </c>
      <c r="K2" s="31" t="n">
        <v>13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VENUSREM</t>
        </is>
      </c>
      <c r="E3" s="31" t="inlineStr">
        <is>
          <t>Venus Remedies Limited</t>
        </is>
      </c>
      <c r="F3" s="31" t="inlineStr">
        <is>
          <t>Pharmaceuticals - I V Fluids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26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CUPID</t>
        </is>
      </c>
      <c r="E4" s="31" t="inlineStr">
        <is>
          <t>Cupid Limited</t>
        </is>
      </c>
      <c r="F4" s="31" t="inlineStr">
        <is>
          <t>Contraceptives/Protectives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SJS</t>
        </is>
      </c>
      <c r="E5" s="31" t="inlineStr">
        <is>
          <t>S J S Enterprises Ltd</t>
        </is>
      </c>
      <c r="F5" s="31" t="inlineStr">
        <is>
          <t>Auto Ancillaries - Diversified</t>
        </is>
      </c>
      <c r="G5" s="31" t="n">
        <v>3</v>
      </c>
      <c r="H5" s="31" t="inlineStr">
        <is>
          <t>ATH Momentum</t>
        </is>
      </c>
      <c r="I5" s="31" t="inlineStr">
        <is>
          <t>Yes</t>
        </is>
      </c>
      <c r="J5" s="31" t="n">
        <v>18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AEGISLOG</t>
        </is>
      </c>
      <c r="E6" s="31" t="inlineStr">
        <is>
          <t>Aegis Logistics Ltd</t>
        </is>
      </c>
      <c r="F6" s="31" t="inlineStr">
        <is>
          <t>Logistics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28</v>
      </c>
      <c r="K6" s="31" t="n">
        <v>10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SIGMAADV</t>
        </is>
      </c>
      <c r="E7" s="31" t="inlineStr">
        <is>
          <t>Sigma Advanced System Ltd</t>
        </is>
      </c>
      <c r="F7" s="31" t="inlineStr">
        <is>
          <t>Aerospace &amp; Defence - Equipments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31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SIS</t>
        </is>
      </c>
      <c r="E8" s="31" t="inlineStr">
        <is>
          <t>Security &amp; Intelligence Services India</t>
        </is>
      </c>
      <c r="F8" s="31" t="inlineStr">
        <is>
          <t>Facility Management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VADILALIND</t>
        </is>
      </c>
      <c r="E9" s="31" t="inlineStr">
        <is>
          <t>Vadilal Industries Limited</t>
        </is>
      </c>
      <c r="F9" s="31" t="inlineStr">
        <is>
          <t>FMCG - Dairy Products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30</v>
      </c>
      <c r="K9" s="31" t="n">
        <v>11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SANDHAR</t>
        </is>
      </c>
      <c r="E10" s="31" t="inlineStr">
        <is>
          <t>Sandhar Technologies Limited</t>
        </is>
      </c>
      <c r="F10" s="31" t="inlineStr">
        <is>
          <t>Auto Ancillaries - 2&amp;3 Wheelers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21</v>
      </c>
      <c r="K10" s="31" t="n">
        <v>24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MAHABANK</t>
        </is>
      </c>
      <c r="E11" s="31" t="inlineStr">
        <is>
          <t>Bank Of Maharashtra Ltd</t>
        </is>
      </c>
      <c r="F11" s="31" t="inlineStr">
        <is>
          <t>Banks - PSU</t>
        </is>
      </c>
      <c r="G11" s="31" t="n">
        <v>2</v>
      </c>
      <c r="H11" s="31" t="inlineStr">
        <is>
          <t>ATH Momentum</t>
        </is>
      </c>
      <c r="I11" s="31" t="inlineStr">
        <is>
          <t>Yes</t>
        </is>
      </c>
      <c r="J11" s="31" t="n">
        <v>16</v>
      </c>
      <c r="K11" s="31" t="n">
        <v>13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BAJAJCON</t>
        </is>
      </c>
      <c r="E12" s="31" t="inlineStr">
        <is>
          <t>Bajaj Consumer Care Ltd</t>
        </is>
      </c>
      <c r="F12" s="31" t="inlineStr">
        <is>
          <t>FMCG - Personal Care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24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IBULLSLTD</t>
        </is>
      </c>
      <c r="E13" s="31" t="inlineStr">
        <is>
          <t>Indiabulls Limited</t>
        </is>
      </c>
      <c r="F13" s="31" t="inlineStr">
        <is>
          <t>Diversified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21</v>
      </c>
      <c r="K13" s="31" t="n">
        <v>26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RBLBANK</t>
        </is>
      </c>
      <c r="E14" s="31" t="inlineStr">
        <is>
          <t>Rbl Bank Limited</t>
        </is>
      </c>
      <c r="F14" s="31" t="inlineStr">
        <is>
          <t>Banks - Private</t>
        </is>
      </c>
      <c r="G14" s="31" t="n">
        <v>2</v>
      </c>
      <c r="H14" s="31" t="inlineStr">
        <is>
          <t>ATH Momentum</t>
        </is>
      </c>
      <c r="I14" s="31" t="inlineStr">
        <is>
          <t>Yes</t>
        </is>
      </c>
      <c r="J14" s="31" t="n">
        <v>11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BLISSGVS</t>
        </is>
      </c>
      <c r="E15" s="31" t="inlineStr">
        <is>
          <t>Bliss Gvs Pharma Limited</t>
        </is>
      </c>
      <c r="F15" s="31" t="inlineStr">
        <is>
          <t>Pharma - Formulators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ATHERENERG</t>
        </is>
      </c>
      <c r="E16" s="31" t="inlineStr">
        <is>
          <t>Ather Energy Ltd</t>
        </is>
      </c>
      <c r="F16" s="31" t="inlineStr">
        <is>
          <t>Auto - 2 &amp; 3 Wheelers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J&amp;KBANK</t>
        </is>
      </c>
      <c r="E17" s="31" t="inlineStr">
        <is>
          <t>The Jammu &amp; Kashmir Bank Limited</t>
        </is>
      </c>
      <c r="F17" s="31" t="inlineStr">
        <is>
          <t>Banks - Private</t>
        </is>
      </c>
      <c r="G17" s="31" t="n">
        <v>2</v>
      </c>
      <c r="H17" s="31" t="inlineStr">
        <is>
          <t>ATH Momentum</t>
        </is>
      </c>
      <c r="I17" s="31" t="inlineStr">
        <is>
          <t>Yes</t>
        </is>
      </c>
      <c r="J17" s="31" t="n">
        <v>14</v>
      </c>
      <c r="K17" s="31" t="n">
        <v>24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INDOBORAX</t>
        </is>
      </c>
      <c r="E18" s="31" t="inlineStr">
        <is>
          <t>Indo Borax &amp; Chemicals Ltd</t>
        </is>
      </c>
      <c r="F18" s="31" t="inlineStr">
        <is>
          <t>Chemicals - Inorganic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NGLFINE</t>
        </is>
      </c>
      <c r="E19" s="31" t="inlineStr">
        <is>
          <t>NGL Fine Chem Ltd</t>
        </is>
      </c>
      <c r="F19" s="31" t="inlineStr">
        <is>
          <t>Pharma - Animal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21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CARYSIL</t>
        </is>
      </c>
      <c r="E20" s="31" t="inlineStr">
        <is>
          <t>Carysil Ltd</t>
        </is>
      </c>
      <c r="F20" s="31" t="inlineStr">
        <is>
          <t>Building Material USA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SYRMA</t>
        </is>
      </c>
      <c r="E21" s="31" t="inlineStr">
        <is>
          <t>Syrma SGS Technology Ltd</t>
        </is>
      </c>
      <c r="F21" s="31" t="inlineStr">
        <is>
          <t>Consumer Electronics - EMS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WHEELS</t>
        </is>
      </c>
      <c r="E22" s="31" t="inlineStr">
        <is>
          <t>Wheels India Limited</t>
        </is>
      </c>
      <c r="F22" s="31" t="inlineStr">
        <is>
          <t>Auto Ancillaries - Wheels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23</v>
      </c>
      <c r="K22" s="31" t="n">
        <v>29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SAKAR</t>
        </is>
      </c>
      <c r="E23" s="31" t="inlineStr">
        <is>
          <t>Sakar Healthcare Ltd</t>
        </is>
      </c>
      <c r="F23" s="31" t="inlineStr">
        <is>
          <t>Hospitals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GVPIL</t>
        </is>
      </c>
      <c r="E24" s="31" t="inlineStr">
        <is>
          <t>GE Power India Ltd</t>
        </is>
      </c>
      <c r="F24" s="31" t="inlineStr">
        <is>
          <t>Infra - General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GLAND</t>
        </is>
      </c>
      <c r="E25" s="31" t="inlineStr">
        <is>
          <t>Gland Pharma Ltd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SUPRIYA</t>
        </is>
      </c>
      <c r="E26" s="31" t="inlineStr">
        <is>
          <t>Supriya Lifescience Ltd</t>
        </is>
      </c>
      <c r="F26" s="31" t="inlineStr">
        <is>
          <t>Pharma - API &amp; CRAMS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22</v>
      </c>
      <c r="K26" s="31" t="n">
        <v>27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FEDERALBNK</t>
        </is>
      </c>
      <c r="E27" s="31" t="inlineStr">
        <is>
          <t>The Federal Bank  Limited</t>
        </is>
      </c>
      <c r="F27" s="31" t="inlineStr">
        <is>
          <t>Banks - Private</t>
        </is>
      </c>
      <c r="G27" s="31" t="n">
        <v>2</v>
      </c>
      <c r="H27" s="31" t="inlineStr">
        <is>
          <t>ATH Momentum</t>
        </is>
      </c>
      <c r="I27" s="31" t="inlineStr">
        <is>
          <t>Yes</t>
        </is>
      </c>
      <c r="J27" s="31" t="n">
        <v>13</v>
      </c>
      <c r="K27" s="31" t="n">
        <v>13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AVALON</t>
        </is>
      </c>
      <c r="E28" s="31" t="inlineStr">
        <is>
          <t>Avalon Technologies Ltd</t>
        </is>
      </c>
      <c r="F28" s="31" t="inlineStr">
        <is>
          <t>Consumer Electronics - EMS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THANGAMAYL</t>
        </is>
      </c>
      <c r="E29" s="31" t="inlineStr">
        <is>
          <t>Thangamayil Jewellery Limited</t>
        </is>
      </c>
      <c r="F29" s="31" t="inlineStr">
        <is>
          <t>Diamond, Gems &amp; Jewellery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31</v>
      </c>
      <c r="K29" s="31" t="n">
        <v>16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SENORES</t>
        </is>
      </c>
      <c r="E30" s="31" t="inlineStr">
        <is>
          <t>Senores Pharmaceuticals Ltd</t>
        </is>
      </c>
      <c r="F30" s="31" t="inlineStr">
        <is>
          <t>Pharma - API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MARKSANS</t>
        </is>
      </c>
      <c r="E31" s="31" t="inlineStr">
        <is>
          <t>Marksans Pharma Limited</t>
        </is>
      </c>
      <c r="F31" s="31" t="inlineStr">
        <is>
          <t>Pharma - Formulators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21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ASTERDM</t>
        </is>
      </c>
      <c r="E32" s="31" t="inlineStr">
        <is>
          <t>Aster DM Healthcare Ltd</t>
        </is>
      </c>
      <c r="F32" s="31" t="inlineStr">
        <is>
          <t>Hospitals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14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CEIGALL</t>
        </is>
      </c>
      <c r="E33" s="31" t="inlineStr">
        <is>
          <t>Ceigall India Ltd</t>
        </is>
      </c>
      <c r="F33" s="31" t="inlineStr">
        <is>
          <t>Construction - Civil/Turnkey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MAYURUNIQ</t>
        </is>
      </c>
      <c r="E34" s="31" t="inlineStr">
        <is>
          <t>Mayur Uniquoters Ltd</t>
        </is>
      </c>
      <c r="F34" s="31" t="inlineStr">
        <is>
          <t>Plastics - Plastic &amp; Plastic Products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18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UNIPARTS</t>
        </is>
      </c>
      <c r="E35" s="31" t="inlineStr">
        <is>
          <t>Uniparts India Ltd</t>
        </is>
      </c>
      <c r="F35" s="31" t="inlineStr">
        <is>
          <t>Castings, Forgings &amp; Fastners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24</v>
      </c>
      <c r="K35" s="31" t="n">
        <v>29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GRWRHITECH</t>
        </is>
      </c>
      <c r="E36" s="31" t="inlineStr">
        <is>
          <t>Garware Hi Tech Films Ltd</t>
        </is>
      </c>
      <c r="F36" s="31" t="inlineStr">
        <is>
          <t>Packaging - Films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13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PANACEABIO</t>
        </is>
      </c>
      <c r="E37" s="31" t="inlineStr">
        <is>
          <t>Panacea Biotec Limited</t>
        </is>
      </c>
      <c r="F37" s="31" t="inlineStr">
        <is>
          <t>Pharma - Others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8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RAIN</t>
        </is>
      </c>
      <c r="E38" s="31" t="inlineStr">
        <is>
          <t>Rain Industries Limited</t>
        </is>
      </c>
      <c r="F38" s="31" t="inlineStr">
        <is>
          <t>Cement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29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HSCL</t>
        </is>
      </c>
      <c r="E39" s="31" t="inlineStr">
        <is>
          <t>Himadri Speciality Chemical Limited</t>
        </is>
      </c>
      <c r="F39" s="31" t="inlineStr">
        <is>
          <t>Carbon Black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27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INNOVACAP</t>
        </is>
      </c>
      <c r="E40" s="31" t="inlineStr">
        <is>
          <t>Innova Captab Ltd</t>
        </is>
      </c>
      <c r="F40" s="31" t="inlineStr">
        <is>
          <t>Pharma - API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16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PARAS</t>
        </is>
      </c>
      <c r="E41" s="31" t="inlineStr">
        <is>
          <t>Paras Defence and Space Technologies Ltd</t>
        </is>
      </c>
      <c r="F41" s="31" t="inlineStr">
        <is>
          <t>Aerospace &amp; Defence - Equipments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SANSERA</t>
        </is>
      </c>
      <c r="E42" s="31" t="inlineStr">
        <is>
          <t>Sansera Engineering Ltd</t>
        </is>
      </c>
      <c r="F42" s="31" t="inlineStr">
        <is>
          <t>Auto Ancillaries - Diversified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17</v>
      </c>
      <c r="K42" s="31" t="n">
        <v>24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CEMPRO</t>
        </is>
      </c>
      <c r="E43" s="31" t="inlineStr">
        <is>
          <t>Cemindia Projects Ltd</t>
        </is>
      </c>
      <c r="F43" s="31" t="inlineStr">
        <is>
          <t>Infra - Construction &amp; Contracting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17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NRBBEARING</t>
        </is>
      </c>
      <c r="E44" s="31" t="inlineStr">
        <is>
          <t>Nrb Bearing Limited</t>
        </is>
      </c>
      <c r="F44" s="31" t="inlineStr">
        <is>
          <t>Bearings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RATEGAIN</t>
        </is>
      </c>
      <c r="E45" s="31" t="inlineStr">
        <is>
          <t>Rategain Travel Technologies Ltd</t>
        </is>
      </c>
      <c r="F45" s="31" t="inlineStr">
        <is>
          <t>IT Product Companies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22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SHILPAMED</t>
        </is>
      </c>
      <c r="E46" s="31" t="inlineStr">
        <is>
          <t>Shilpa Medicare Limited</t>
        </is>
      </c>
      <c r="F46" s="31" t="inlineStr">
        <is>
          <t>Pharma - API &amp; CRAMS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ACUTAAS</t>
        </is>
      </c>
      <c r="E47" s="31" t="inlineStr">
        <is>
          <t>Acutaas Chemicals Ltd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25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CAPLIPOINT</t>
        </is>
      </c>
      <c r="E48" s="31" t="inlineStr">
        <is>
          <t>Caplin Point Laboratories Limited</t>
        </is>
      </c>
      <c r="F48" s="31" t="inlineStr">
        <is>
          <t>Pharma - Formulators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RRKABEL</t>
        </is>
      </c>
      <c r="E49" s="31" t="inlineStr">
        <is>
          <t>R R Kabel Ltd</t>
        </is>
      </c>
      <c r="F49" s="31" t="inlineStr">
        <is>
          <t>Cables - Power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24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SOUTHBANK</t>
        </is>
      </c>
      <c r="E50" s="31" t="inlineStr">
        <is>
          <t>The South Indian Bank Limited</t>
        </is>
      </c>
      <c r="F50" s="31" t="inlineStr">
        <is>
          <t>Banks - Private</t>
        </is>
      </c>
      <c r="G50" s="31" t="n">
        <v>2</v>
      </c>
      <c r="H50" s="31" t="inlineStr">
        <is>
          <t>ATH Momentum</t>
        </is>
      </c>
      <c r="I50" s="31" t="inlineStr">
        <is>
          <t>Yes</t>
        </is>
      </c>
      <c r="J50" s="31" t="n">
        <v>11</v>
      </c>
      <c r="K50" s="31" t="n">
        <v>23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MODISONLTD</t>
        </is>
      </c>
      <c r="E51" s="31" t="inlineStr">
        <is>
          <t>Modison Ltd</t>
        </is>
      </c>
      <c r="F51" s="31" t="inlineStr">
        <is>
          <t>Capital Goods - Electric General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25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RPEL</t>
        </is>
      </c>
      <c r="E52" s="31" t="inlineStr">
        <is>
          <t>Raghav Productivity Enhancers Ltd</t>
        </is>
      </c>
      <c r="F52" s="31" t="inlineStr">
        <is>
          <t>Steel Products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KERNEX</t>
        </is>
      </c>
      <c r="E53" s="31" t="inlineStr">
        <is>
          <t>Kernex Microsystems (india) Limited</t>
        </is>
      </c>
      <c r="F53" s="31" t="inlineStr">
        <is>
          <t>Railways - Kavach/Springs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25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VIYASH</t>
        </is>
      </c>
      <c r="E54" s="31" t="inlineStr">
        <is>
          <t>Viyash Scientific Ltd</t>
        </is>
      </c>
      <c r="F54" s="31" t="inlineStr">
        <is>
          <t>Pharma - Animal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PAISALO</t>
        </is>
      </c>
      <c r="E55" s="31" t="inlineStr">
        <is>
          <t>Paisalo Digital Ltd</t>
        </is>
      </c>
      <c r="F55" s="31" t="inlineStr">
        <is>
          <t>Finance - Capital Markets - Brokers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24</v>
      </c>
      <c r="K55" s="31" t="n">
        <v>28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PSPPROJECT</t>
        </is>
      </c>
      <c r="E56" s="31" t="inlineStr">
        <is>
          <t>PSP Projects Ltd</t>
        </is>
      </c>
      <c r="F56" s="31" t="inlineStr">
        <is>
          <t>Construction &amp; Contracting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21</v>
      </c>
      <c r="K56" s="31" t="n">
        <v>18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MINDACORP</t>
        </is>
      </c>
      <c r="E57" s="31" t="inlineStr">
        <is>
          <t>Minda Corporation Limited</t>
        </is>
      </c>
      <c r="F57" s="31" t="inlineStr">
        <is>
          <t>Auto Ancillaries - Diversified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25</v>
      </c>
      <c r="K57" s="31" t="n">
        <v>19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HONASA</t>
        </is>
      </c>
      <c r="E58" s="31" t="inlineStr">
        <is>
          <t>Honasa Consumer Ltd</t>
        </is>
      </c>
      <c r="F58" s="31" t="inlineStr">
        <is>
          <t>New age - Platform - E-Retail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18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APARINDS</t>
        </is>
      </c>
      <c r="E59" s="31" t="inlineStr">
        <is>
          <t>Apar Industries Limited</t>
        </is>
      </c>
      <c r="F59" s="31" t="inlineStr">
        <is>
          <t>Cables - Power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8</v>
      </c>
      <c r="K59" s="31" t="n">
        <v>29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VINCOFE</t>
        </is>
      </c>
      <c r="E60" s="31" t="inlineStr">
        <is>
          <t>Vintage Coffee &amp; Beverages Ltd</t>
        </is>
      </c>
      <c r="F60" s="31" t="inlineStr">
        <is>
          <t>FMCG - Coffee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16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ANTELOPUS</t>
        </is>
      </c>
      <c r="E61" s="31" t="inlineStr">
        <is>
          <t>Antelopus Selan Energy Ltd</t>
        </is>
      </c>
      <c r="F61" s="31" t="inlineStr">
        <is>
          <t>Oil Drilling &amp; Exploration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28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JBCHEPHARM</t>
        </is>
      </c>
      <c r="E62" s="31" t="inlineStr">
        <is>
          <t>Jb Chemicals &amp; Pharmaceuticals Limited</t>
        </is>
      </c>
      <c r="F62" s="31" t="inlineStr">
        <is>
          <t>Pharma - Formulators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10</v>
      </c>
      <c r="K62" s="31" t="n">
        <v>25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SFL</t>
        </is>
      </c>
      <c r="E63" s="31" t="inlineStr">
        <is>
          <t>Sheela Foam Limited</t>
        </is>
      </c>
      <c r="F63" s="31" t="inlineStr">
        <is>
          <t>Mattress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13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DIFFNKG</t>
        </is>
      </c>
      <c r="E64" s="31" t="inlineStr">
        <is>
          <t>Diffusion Engineers Ltd</t>
        </is>
      </c>
      <c r="F64" s="31" t="inlineStr">
        <is>
          <t>Welding Equipments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19</v>
      </c>
      <c r="K64" s="31" t="n">
        <v>4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PREMIERENE</t>
        </is>
      </c>
      <c r="E65" s="31" t="inlineStr">
        <is>
          <t>Premier Energies Ltd</t>
        </is>
      </c>
      <c r="F65" s="31" t="inlineStr">
        <is>
          <t>Capital Goods - Solar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21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SPECTRUM</t>
        </is>
      </c>
      <c r="E66" s="31" t="inlineStr">
        <is>
          <t>Spectrum Electrical Industries Ltd</t>
        </is>
      </c>
      <c r="F66" s="31" t="inlineStr">
        <is>
          <t>Capital Goods - Electric General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17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JAYBARMARU</t>
        </is>
      </c>
      <c r="E67" s="31" t="inlineStr">
        <is>
          <t>Jay Bharat Maruti Limited</t>
        </is>
      </c>
      <c r="F67" s="31" t="inlineStr">
        <is>
          <t>Auto Ancillaries - Diversified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23</v>
      </c>
      <c r="K67" s="31" t="n">
        <v>22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SOTL</t>
        </is>
      </c>
      <c r="E68" s="31" t="inlineStr">
        <is>
          <t>Savita Oil Technologies Limited</t>
        </is>
      </c>
      <c r="F68" s="31" t="inlineStr">
        <is>
          <t>Petrochem - Others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24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ZYDUSLIFE</t>
        </is>
      </c>
      <c r="E69" s="31" t="inlineStr">
        <is>
          <t>Zydus Lifesciences Ltd</t>
        </is>
      </c>
      <c r="F69" s="31" t="inlineStr">
        <is>
          <t>Pharma - Formulators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10</v>
      </c>
      <c r="K69" s="31" t="n">
        <v>29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YASHO</t>
        </is>
      </c>
      <c r="E70" s="31" t="inlineStr">
        <is>
          <t>Yasho Industries Ltd</t>
        </is>
      </c>
      <c r="F70" s="31" t="inlineStr">
        <is>
          <t>Speciality Chemicals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15</v>
      </c>
      <c r="K70" s="31" t="n">
        <v>22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SASKEN</t>
        </is>
      </c>
      <c r="E71" s="31" t="inlineStr">
        <is>
          <t>Sasken Communication Technologies Limited</t>
        </is>
      </c>
      <c r="F71" s="31" t="inlineStr">
        <is>
          <t>IT - Software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SKMEGGPROD</t>
        </is>
      </c>
      <c r="E72" s="31" t="inlineStr">
        <is>
          <t>Skm Egg Products Export (india) Limited</t>
        </is>
      </c>
      <c r="F72" s="31" t="inlineStr">
        <is>
          <t>FMCG - Animal/Polutry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26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FCL</t>
        </is>
      </c>
      <c r="E73" s="31" t="inlineStr">
        <is>
          <t>Fineotex Chemical Limited</t>
        </is>
      </c>
      <c r="F73" s="31" t="inlineStr">
        <is>
          <t>Speciality Chemicals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17</v>
      </c>
      <c r="K73" s="31" t="n">
        <v>23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JNKINDIA</t>
        </is>
      </c>
      <c r="E74" s="31" t="inlineStr">
        <is>
          <t>JNK India Ltd</t>
        </is>
      </c>
      <c r="F74" s="31" t="inlineStr">
        <is>
          <t>Capital Goods - Engineering Heavy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32</v>
      </c>
      <c r="K74" s="31" t="n">
        <v>24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SHYAMMETL</t>
        </is>
      </c>
      <c r="E75" s="31" t="inlineStr">
        <is>
          <t>Shyam Metalics &amp; Energy Ltd</t>
        </is>
      </c>
      <c r="F75" s="31" t="inlineStr">
        <is>
          <t>Steel Products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26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PTCIL</t>
        </is>
      </c>
      <c r="E76" s="31" t="inlineStr">
        <is>
          <t>PTC Industries Ltd</t>
        </is>
      </c>
      <c r="F76" s="31" t="inlineStr">
        <is>
          <t>Castings - Steel/Alloy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23</v>
      </c>
      <c r="K76" s="31" t="n">
        <v>16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PANAMAPET</t>
        </is>
      </c>
      <c r="E77" s="31" t="inlineStr">
        <is>
          <t>Panama Petrochem Limited</t>
        </is>
      </c>
      <c r="F77" s="31" t="inlineStr">
        <is>
          <t>Speciality Chemicals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25</v>
      </c>
      <c r="K77" s="31" t="n">
        <v>18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DEEPINDS</t>
        </is>
      </c>
      <c r="E78" s="31" t="inlineStr">
        <is>
          <t>Deep Industries Ltd</t>
        </is>
      </c>
      <c r="F78" s="31" t="inlineStr">
        <is>
          <t>Oil Drilling &amp; Exploration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18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NEOGEN</t>
        </is>
      </c>
      <c r="E79" s="31" t="inlineStr">
        <is>
          <t>Neogen Chemicals Ltd</t>
        </is>
      </c>
      <c r="F79" s="31" t="inlineStr">
        <is>
          <t>Speciality Chemicals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14</v>
      </c>
      <c r="K79" s="31" t="n">
        <v>29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MSTCLTD</t>
        </is>
      </c>
      <c r="E80" s="31" t="inlineStr">
        <is>
          <t>MSTC Ltd</t>
        </is>
      </c>
      <c r="F80" s="31" t="inlineStr">
        <is>
          <t>E-Commerce - Platform - Utility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SILVERTUC</t>
        </is>
      </c>
      <c r="E81" s="31" t="inlineStr">
        <is>
          <t>Silver Touch Technologies Ltd</t>
        </is>
      </c>
      <c r="F81" s="31" t="inlineStr">
        <is>
          <t>IT - Software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20</v>
      </c>
    </row>
  </sheetData>
  <autoFilter ref="A1:K81"/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IF(B2=0,"",RANK(B2,$B$2:$B$193,0))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MBAPL</t>
        </is>
      </c>
      <c r="D2" s="31" t="inlineStr">
        <is>
          <t>Madhya Bharat Agro Products Ltd</t>
        </is>
      </c>
      <c r="E2" s="31" t="inlineStr">
        <is>
          <t>chemicals</t>
        </is>
      </c>
      <c r="F2" s="31" t="inlineStr">
        <is>
          <t>fertilizers</t>
        </is>
      </c>
      <c r="G2" s="31" t="inlineStr">
        <is>
          <t>smallcap</t>
        </is>
      </c>
      <c r="H2" s="32" t="n">
        <v>4879.94</v>
      </c>
      <c r="I2" s="32" t="n">
        <v>559.5</v>
      </c>
      <c r="J2" s="32" t="n">
        <v>0.47</v>
      </c>
      <c r="K2" s="32" t="n">
        <v>164237</v>
      </c>
      <c r="L2" s="31" t="n">
        <v>48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66.84</v>
      </c>
      <c r="P2" s="32" t="n">
        <v>46.62</v>
      </c>
      <c r="Q2" s="32" t="n">
        <v>457.96</v>
      </c>
      <c r="R2" s="31" t="inlineStr">
        <is>
          <t>Near 52W High Breakout</t>
        </is>
      </c>
      <c r="S2" s="31" t="inlineStr">
        <is>
          <t>Nifty 50</t>
        </is>
      </c>
      <c r="T2" s="32" t="n">
        <v>-6.3</v>
      </c>
      <c r="U2" s="32" t="n">
        <v>60.71</v>
      </c>
      <c r="V2" s="32" t="n">
        <v>71.51000000000001</v>
      </c>
      <c r="W2" s="32" t="n">
        <v>15.55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IF(B3=0,"",RANK(B3,$B$2:$B$193,0))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personal care - indian</t>
        </is>
      </c>
      <c r="G3" s="31" t="inlineStr">
        <is>
          <t>midcap</t>
        </is>
      </c>
      <c r="H3" s="32" t="n">
        <v>7351.2</v>
      </c>
      <c r="I3" s="32" t="n">
        <v>566.25</v>
      </c>
      <c r="J3" s="32" t="n">
        <v>0.61</v>
      </c>
      <c r="K3" s="32" t="n">
        <v>1031076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75.44</v>
      </c>
      <c r="P3" s="32" t="n">
        <v>53.13</v>
      </c>
      <c r="Q3" s="32" t="n">
        <v>440.45</v>
      </c>
      <c r="R3" s="31" t="inlineStr">
        <is>
          <t>Near 52W High Breakout</t>
        </is>
      </c>
      <c r="S3" s="31" t="inlineStr">
        <is>
          <t>Nifty FMCG</t>
        </is>
      </c>
      <c r="T3" s="32" t="n">
        <v>-11.01</v>
      </c>
      <c r="U3" s="32" t="n">
        <v>219.27</v>
      </c>
      <c r="V3" s="32" t="n">
        <v>258.78</v>
      </c>
      <c r="W3" s="32" t="n">
        <v>42.04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IF(B4=0,"",RANK(B4,$B$2:$B$193,0))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GAYAPROJ</t>
        </is>
      </c>
      <c r="D4" s="31" t="inlineStr">
        <is>
          <t>Gayatri Projects Limited</t>
        </is>
      </c>
      <c r="E4" s="31" t="inlineStr">
        <is>
          <t>realty</t>
        </is>
      </c>
      <c r="F4" s="31" t="inlineStr">
        <is>
          <t>construction</t>
        </is>
      </c>
      <c r="G4" s="31" t="inlineStr">
        <is>
          <t>smallcap</t>
        </is>
      </c>
      <c r="H4" s="32" t="n">
        <v>644.23</v>
      </c>
      <c r="I4" s="32" t="n">
        <v>20.98</v>
      </c>
      <c r="J4" s="32" t="n">
        <v>-3.54</v>
      </c>
      <c r="K4" s="32" t="n">
        <v>545030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73.87</v>
      </c>
      <c r="P4" s="32" t="n">
        <v>61.31</v>
      </c>
      <c r="Q4" s="32" t="n">
        <v>16.57</v>
      </c>
      <c r="R4" s="31" t="inlineStr">
        <is>
          <t>Near 52W High Breakout</t>
        </is>
      </c>
      <c r="S4" s="31" t="inlineStr">
        <is>
          <t>Nifty Realty</t>
        </is>
      </c>
      <c r="T4" s="32" t="n">
        <v>-26.19</v>
      </c>
      <c r="U4" s="32" t="n">
        <v>136.53</v>
      </c>
      <c r="V4" s="32" t="n">
        <v>220.43</v>
      </c>
      <c r="W4" s="32" t="n">
        <v>33.72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IF(B5=0,"",RANK(B5,$B$2:$B$193,0))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 - medium / small</t>
        </is>
      </c>
      <c r="G5" s="31" t="inlineStr">
        <is>
          <t>midcap</t>
        </is>
      </c>
      <c r="H5" s="32" t="n">
        <v>5736.58</v>
      </c>
      <c r="I5" s="32" t="n">
        <v>23.48</v>
      </c>
      <c r="J5" s="32" t="n">
        <v>-4.86</v>
      </c>
      <c r="K5" s="32" t="n">
        <v>3967095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72.02</v>
      </c>
      <c r="P5" s="32" t="n">
        <v>35.6</v>
      </c>
      <c r="Q5" s="32" t="n">
        <v>16.24</v>
      </c>
      <c r="R5" s="31" t="inlineStr">
        <is>
          <t>Near 52W High Breakout</t>
        </is>
      </c>
      <c r="S5" s="31" t="inlineStr">
        <is>
          <t>Nifty 50</t>
        </is>
      </c>
      <c r="T5" s="32" t="n">
        <v>-6.3</v>
      </c>
      <c r="U5" s="32" t="n">
        <v>27.26</v>
      </c>
      <c r="V5" s="32" t="n">
        <v>35.82</v>
      </c>
      <c r="W5" s="32" t="n">
        <v>47.33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IF(B6=0,"",RANK(B6,$B$2:$B$193,0))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VENUSREM</t>
        </is>
      </c>
      <c r="D6" s="31" t="inlineStr">
        <is>
          <t>Venus Remedies Limited</t>
        </is>
      </c>
      <c r="E6" s="31" t="inlineStr">
        <is>
          <t>healthcare</t>
        </is>
      </c>
      <c r="F6" s="31" t="inlineStr">
        <is>
          <t>pharmaceuticals - indian - formulations</t>
        </is>
      </c>
      <c r="G6" s="31" t="inlineStr">
        <is>
          <t>smallcap</t>
        </is>
      </c>
      <c r="H6" s="32" t="n">
        <v>2183.5</v>
      </c>
      <c r="I6" s="32" t="n">
        <v>1715.1</v>
      </c>
      <c r="J6" s="32" t="n">
        <v>5</v>
      </c>
      <c r="K6" s="32" t="n">
        <v>176186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81.59</v>
      </c>
      <c r="P6" s="32" t="n">
        <v>50.28</v>
      </c>
      <c r="Q6" s="32" t="n">
        <v>1307.9</v>
      </c>
      <c r="R6" s="31" t="inlineStr">
        <is>
          <t>Volume Spike &amp; Near 52W High Breakout</t>
        </is>
      </c>
      <c r="S6" s="31" t="inlineStr">
        <is>
          <t>Nifty Pharma</t>
        </is>
      </c>
      <c r="T6" s="32" t="n">
        <v>10.56</v>
      </c>
      <c r="U6" s="32" t="n">
        <v>275.05</v>
      </c>
      <c r="V6" s="32" t="n">
        <v>239.22</v>
      </c>
      <c r="W6" s="32" t="n">
        <v>54.64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IF(B7=0,"",RANK(B7,$B$2:$B$193,0))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BLISSGVS</t>
        </is>
      </c>
      <c r="D7" s="31" t="inlineStr">
        <is>
          <t>Bliss Gvs Pharma Limited</t>
        </is>
      </c>
      <c r="E7" s="31" t="inlineStr">
        <is>
          <t>healthcare</t>
        </is>
      </c>
      <c r="F7" s="31" t="inlineStr">
        <is>
          <t>pharmaceuticals - indian - formulations</t>
        </is>
      </c>
      <c r="G7" s="31" t="inlineStr">
        <is>
          <t>smallcap</t>
        </is>
      </c>
      <c r="H7" s="32" t="n">
        <v>4492.33</v>
      </c>
      <c r="I7" s="32" t="n">
        <v>436.55</v>
      </c>
      <c r="J7" s="32" t="n">
        <v>2.8</v>
      </c>
      <c r="K7" s="32" t="n">
        <v>1122515</v>
      </c>
      <c r="L7" s="31" t="n">
        <v>96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87.79000000000001</v>
      </c>
      <c r="P7" s="32" t="n">
        <v>60.22</v>
      </c>
      <c r="Q7" s="32" t="n">
        <v>333.22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10.56</v>
      </c>
      <c r="U7" s="32" t="n">
        <v>193.97</v>
      </c>
      <c r="V7" s="32" t="n">
        <v>165.89</v>
      </c>
      <c r="W7" s="32" t="n">
        <v>53.53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IF(B8=0,"",RANK(B8,$B$2:$B$193,0))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IOLCP</t>
        </is>
      </c>
      <c r="D8" s="31" t="inlineStr">
        <is>
          <t>Iol Chemicals And Pharmaceuticals Limited</t>
        </is>
      </c>
      <c r="E8" s="31" t="inlineStr">
        <is>
          <t>healthcare</t>
        </is>
      </c>
      <c r="F8" s="31" t="inlineStr">
        <is>
          <t>pharmaceuticals - indian - bulk drugs &amp; formln</t>
        </is>
      </c>
      <c r="G8" s="31" t="inlineStr">
        <is>
          <t>smallcap</t>
        </is>
      </c>
      <c r="H8" s="32" t="n">
        <v>3802.36</v>
      </c>
      <c r="I8" s="32" t="n">
        <v>127.84</v>
      </c>
      <c r="J8" s="32" t="n">
        <v>-1.31</v>
      </c>
      <c r="K8" s="32" t="n">
        <v>2336730</v>
      </c>
      <c r="L8" s="31" t="n">
        <v>84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75.67</v>
      </c>
      <c r="P8" s="32" t="n">
        <v>40.13</v>
      </c>
      <c r="Q8" s="32" t="n">
        <v>98.73999999999999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10.56</v>
      </c>
      <c r="U8" s="32" t="n">
        <v>46</v>
      </c>
      <c r="V8" s="32" t="n">
        <v>32.05</v>
      </c>
      <c r="W8" s="32" t="n">
        <v>31.54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IF(B9=0,"",RANK(B9,$B$2:$B$193,0))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CONFIPET</t>
        </is>
      </c>
      <c r="D9" s="31" t="inlineStr">
        <is>
          <t>Confidence Petroleum India Ltd</t>
        </is>
      </c>
      <c r="E9" s="31" t="inlineStr">
        <is>
          <t>miscellaneous</t>
        </is>
      </c>
      <c r="F9" s="31" t="inlineStr">
        <is>
          <t>miscellaneous</t>
        </is>
      </c>
      <c r="G9" s="31" t="inlineStr">
        <is>
          <t>smallcap</t>
        </is>
      </c>
      <c r="H9" s="32" t="n">
        <v>2422.7</v>
      </c>
      <c r="I9" s="32" t="n">
        <v>72.56</v>
      </c>
      <c r="J9" s="32" t="n">
        <v>-0.49</v>
      </c>
      <c r="K9" s="32" t="n">
        <v>1851024</v>
      </c>
      <c r="L9" s="31" t="n">
        <v>83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71.44</v>
      </c>
      <c r="P9" s="32" t="n">
        <v>47.51</v>
      </c>
      <c r="Q9" s="32" t="n">
        <v>52.79</v>
      </c>
      <c r="R9" s="31" t="inlineStr">
        <is>
          <t>Earnings / Momentum Support</t>
        </is>
      </c>
      <c r="S9" s="31" t="inlineStr">
        <is>
          <t>Nifty 50</t>
        </is>
      </c>
      <c r="T9" s="32" t="n">
        <v>-6.3</v>
      </c>
      <c r="U9" s="32" t="n">
        <v>22.37</v>
      </c>
      <c r="V9" s="32" t="n">
        <v>30.6</v>
      </c>
      <c r="W9" s="32" t="n">
        <v>31.32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IF(B10=0,"",RANK(B10,$B$2:$B$193,0))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INDOBORAX</t>
        </is>
      </c>
      <c r="D10" s="31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1159.57</v>
      </c>
      <c r="I10" s="32" t="n">
        <v>358.95</v>
      </c>
      <c r="J10" s="32" t="n">
        <v>-0.66</v>
      </c>
      <c r="K10" s="32" t="n">
        <v>28417</v>
      </c>
      <c r="L10" s="31" t="n">
        <v>69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77.44</v>
      </c>
      <c r="P10" s="32" t="n">
        <v>49.18</v>
      </c>
      <c r="Q10" s="32" t="n">
        <v>289.71</v>
      </c>
      <c r="R10" s="31" t="inlineStr">
        <is>
          <t>Near 52W High Breakout</t>
        </is>
      </c>
      <c r="S10" s="31" t="inlineStr">
        <is>
          <t>Nifty 50</t>
        </is>
      </c>
      <c r="T10" s="32" t="n">
        <v>-6.3</v>
      </c>
      <c r="U10" s="32" t="n">
        <v>76.20999999999999</v>
      </c>
      <c r="V10" s="32" t="n">
        <v>88.05</v>
      </c>
      <c r="W10" s="32" t="n">
        <v>23.06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IF(B11=0,"",RANK(B11,$B$2:$B$193,0))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MOTHERSON</t>
        </is>
      </c>
      <c r="D11" s="31" t="inlineStr">
        <is>
          <t>Samvardhana Motherson International Ltd</t>
        </is>
      </c>
      <c r="E11" s="31" t="inlineStr">
        <is>
          <t>auto</t>
        </is>
      </c>
      <c r="F11" s="31" t="inlineStr">
        <is>
          <t>auto ancillaries</t>
        </is>
      </c>
      <c r="G11" s="31" t="inlineStr">
        <is>
          <t>largecap</t>
        </is>
      </c>
      <c r="H11" s="32" t="n">
        <v>150094.73</v>
      </c>
      <c r="I11" s="32" t="n">
        <v>140.74</v>
      </c>
      <c r="J11" s="32" t="n">
        <v>-1.03</v>
      </c>
      <c r="K11" s="32" t="n">
        <v>15466606</v>
      </c>
      <c r="L11" s="31" t="n">
        <v>33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63.26</v>
      </c>
      <c r="P11" s="32" t="n">
        <v>20.07</v>
      </c>
      <c r="Q11" s="32" t="n">
        <v>116.25</v>
      </c>
      <c r="R11" s="31" t="inlineStr">
        <is>
          <t>Near 52W High Breakout</t>
        </is>
      </c>
      <c r="S11" s="31" t="inlineStr">
        <is>
          <t>Nifty Auto</t>
        </is>
      </c>
      <c r="T11" s="32" t="n">
        <v>10.56</v>
      </c>
      <c r="U11" s="32" t="n">
        <v>37.82</v>
      </c>
      <c r="V11" s="32" t="n">
        <v>24.66</v>
      </c>
      <c r="W11" s="32" t="n">
        <v>11.99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IF(B12=0,"",RANK(B12,$B$2:$B$193,0))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ATHERENERG</t>
        </is>
      </c>
      <c r="D12" s="31" t="inlineStr">
        <is>
          <t>Ather Energy Ltd</t>
        </is>
      </c>
      <c r="E12" s="31" t="inlineStr">
        <is>
          <t>auto</t>
        </is>
      </c>
      <c r="F12" s="31" t="inlineStr">
        <is>
          <t>automobiles - scooters and 3 - wheelers</t>
        </is>
      </c>
      <c r="G12" s="31" t="inlineStr">
        <is>
          <t>largecap</t>
        </is>
      </c>
      <c r="H12" s="32" t="n">
        <v>39874.54</v>
      </c>
      <c r="I12" s="32" t="n">
        <v>1027.4</v>
      </c>
      <c r="J12" s="32" t="n">
        <v>-1.4</v>
      </c>
      <c r="K12" s="32" t="n">
        <v>2576978</v>
      </c>
      <c r="L12" s="31" t="n">
        <v>91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72.83</v>
      </c>
      <c r="P12" s="32" t="n">
        <v>47.45</v>
      </c>
      <c r="Q12" s="32" t="n">
        <v>782.79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10.56</v>
      </c>
      <c r="U12" s="32" t="n">
        <v>227.2</v>
      </c>
      <c r="V12" s="32" t="n">
        <v>195.95</v>
      </c>
      <c r="W12" s="32" t="n">
        <v>38.49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Negative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IF(B13=0,"",RANK(B13,$B$2:$B$193,0))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STYLAMIND</t>
        </is>
      </c>
      <c r="D13" s="31" t="inlineStr">
        <is>
          <t>Stylam Industries Ltd</t>
        </is>
      </c>
      <c r="E13" s="31" t="inlineStr">
        <is>
          <t>building materials</t>
        </is>
      </c>
      <c r="F13" s="31" t="inlineStr">
        <is>
          <t>miscellaneous</t>
        </is>
      </c>
      <c r="G13" s="31" t="inlineStr">
        <is>
          <t>midcap</t>
        </is>
      </c>
      <c r="H13" s="32" t="n">
        <v>5282.71</v>
      </c>
      <c r="I13" s="32" t="n">
        <v>3056.6</v>
      </c>
      <c r="J13" s="32" t="n">
        <v>-1.94</v>
      </c>
      <c r="K13" s="32" t="n">
        <v>36666</v>
      </c>
      <c r="L13" s="31" t="n">
        <v>65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88.95</v>
      </c>
      <c r="P13" s="32" t="n">
        <v>56.62</v>
      </c>
      <c r="Q13" s="32" t="n">
        <v>2578.9</v>
      </c>
      <c r="R13" s="31" t="inlineStr">
        <is>
          <t>Near 52W High Breakout</t>
        </is>
      </c>
      <c r="S13" s="31" t="inlineStr">
        <is>
          <t>Nifty Infra</t>
        </is>
      </c>
      <c r="T13" s="32" t="n">
        <v>0.59</v>
      </c>
      <c r="U13" s="32" t="n">
        <v>77.59</v>
      </c>
      <c r="V13" s="32" t="n">
        <v>76.54000000000001</v>
      </c>
      <c r="W13" s="32" t="n">
        <v>21.02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IF(B14=0,"",RANK(B14,$B$2:$B$193,0))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CUPID</t>
        </is>
      </c>
      <c r="D14" s="31" t="inlineStr">
        <is>
          <t>Cupid Limited</t>
        </is>
      </c>
      <c r="E14" s="31" t="inlineStr">
        <is>
          <t>fmcg</t>
        </is>
      </c>
      <c r="F14" s="31" t="inlineStr">
        <is>
          <t>personal care - indian</t>
        </is>
      </c>
      <c r="G14" s="31" t="inlineStr">
        <is>
          <t>largecap</t>
        </is>
      </c>
      <c r="H14" s="32" t="n">
        <v>20249.25</v>
      </c>
      <c r="I14" s="32" t="n">
        <v>155.18</v>
      </c>
      <c r="J14" s="32" t="n">
        <v>3.05</v>
      </c>
      <c r="K14" s="32" t="n">
        <v>46400839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80.64</v>
      </c>
      <c r="P14" s="32" t="n">
        <v>45.03</v>
      </c>
      <c r="Q14" s="32" t="n">
        <v>119.74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-11.01</v>
      </c>
      <c r="U14" s="32" t="n">
        <v>702.21</v>
      </c>
      <c r="V14" s="32" t="n">
        <v>801.5</v>
      </c>
      <c r="W14" s="32" t="n">
        <v>81.5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IF(B15=0,"",RANK(B15,$B$2:$B$193,0))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NGLFINE</t>
        </is>
      </c>
      <c r="D15" s="31" t="inlineStr">
        <is>
          <t>NGL Fine Chem Ltd</t>
        </is>
      </c>
      <c r="E15" s="31" t="inlineStr">
        <is>
          <t>healthcare</t>
        </is>
      </c>
      <c r="F15" s="31" t="inlineStr">
        <is>
          <t>pharmaceuticals - indian - bulk drugs</t>
        </is>
      </c>
      <c r="G15" s="31" t="inlineStr">
        <is>
          <t>smallcap</t>
        </is>
      </c>
      <c r="H15" s="32" t="n">
        <v>1737.14</v>
      </c>
      <c r="I15" s="32" t="n">
        <v>2716.5</v>
      </c>
      <c r="J15" s="32" t="n">
        <v>-3.39</v>
      </c>
      <c r="K15" s="32" t="n">
        <v>10705</v>
      </c>
      <c r="L15" s="31" t="n">
        <v>81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72.98</v>
      </c>
      <c r="P15" s="32" t="n">
        <v>65.38</v>
      </c>
      <c r="Q15" s="32" t="n">
        <v>1807.1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10.56</v>
      </c>
      <c r="U15" s="32" t="n">
        <v>159.09</v>
      </c>
      <c r="V15" s="32" t="n">
        <v>134.34</v>
      </c>
      <c r="W15" s="32" t="n">
        <v>28.88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IF(B16=0,"",RANK(B16,$B$2:$B$193,0))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WHEELS</t>
        </is>
      </c>
      <c r="D16" s="31" t="inlineStr">
        <is>
          <t>Wheels India Limited</t>
        </is>
      </c>
      <c r="E16" s="31" t="inlineStr">
        <is>
          <t>auto</t>
        </is>
      </c>
      <c r="F16" s="31" t="inlineStr">
        <is>
          <t>auto ancillaries</t>
        </is>
      </c>
      <c r="G16" s="31" t="inlineStr">
        <is>
          <t>smallcap</t>
        </is>
      </c>
      <c r="H16" s="32" t="n">
        <v>3869.21</v>
      </c>
      <c r="I16" s="32" t="n">
        <v>1622.2</v>
      </c>
      <c r="J16" s="32" t="n">
        <v>2.44</v>
      </c>
      <c r="K16" s="32" t="n">
        <v>224905</v>
      </c>
      <c r="L16" s="31" t="n">
        <v>89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73.12</v>
      </c>
      <c r="P16" s="32" t="n">
        <v>50.52</v>
      </c>
      <c r="Q16" s="32" t="n">
        <v>1279.99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10.56</v>
      </c>
      <c r="U16" s="32" t="n">
        <v>119.85</v>
      </c>
      <c r="V16" s="32" t="n">
        <v>98.84999999999999</v>
      </c>
      <c r="W16" s="32" t="n">
        <v>36.36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Less than 12%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IF(B17=0,"",RANK(B17,$B$2:$B$193,0))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SYRMA</t>
        </is>
      </c>
      <c r="D17" s="31" t="inlineStr">
        <is>
          <t>Syrma SGS Technology Ltd</t>
        </is>
      </c>
      <c r="E17" s="31" t="inlineStr">
        <is>
          <t>consumer discretionary</t>
        </is>
      </c>
      <c r="F17" s="31" t="inlineStr">
        <is>
          <t>electronics - components</t>
        </is>
      </c>
      <c r="G17" s="31" t="inlineStr">
        <is>
          <t>largecap</t>
        </is>
      </c>
      <c r="H17" s="32" t="n">
        <v>23637.16</v>
      </c>
      <c r="I17" s="32" t="n">
        <v>1235.6</v>
      </c>
      <c r="J17" s="32" t="n">
        <v>0.8</v>
      </c>
      <c r="K17" s="32" t="n">
        <v>1660600</v>
      </c>
      <c r="L17" s="31" t="n">
        <v>90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73.34999999999999</v>
      </c>
      <c r="P17" s="32" t="n">
        <v>33.6</v>
      </c>
      <c r="Q17" s="32" t="n">
        <v>947.9400000000001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-6.3</v>
      </c>
      <c r="U17" s="32" t="n">
        <v>136.8</v>
      </c>
      <c r="V17" s="32" t="n">
        <v>152.72</v>
      </c>
      <c r="W17" s="32" t="n">
        <v>37.34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IF(B18=0,"",RANK(B18,$B$2:$B$193,0))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SJS</t>
        </is>
      </c>
      <c r="D18" s="31" t="inlineStr">
        <is>
          <t>S J S Enterprises Ltd</t>
        </is>
      </c>
      <c r="E18" s="31" t="inlineStr">
        <is>
          <t>auto</t>
        </is>
      </c>
      <c r="F18" s="31" t="inlineStr">
        <is>
          <t>plastics products</t>
        </is>
      </c>
      <c r="G18" s="31" t="inlineStr">
        <is>
          <t>midcap</t>
        </is>
      </c>
      <c r="H18" s="32" t="n">
        <v>6648.29</v>
      </c>
      <c r="I18" s="32" t="n">
        <v>2094.1</v>
      </c>
      <c r="J18" s="32" t="n">
        <v>0.78</v>
      </c>
      <c r="K18" s="32" t="n">
        <v>60528</v>
      </c>
      <c r="L18" s="31" t="n">
        <v>61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63.34</v>
      </c>
      <c r="P18" s="32" t="n">
        <v>21.09</v>
      </c>
      <c r="Q18" s="32" t="n">
        <v>1630.08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10.56</v>
      </c>
      <c r="U18" s="32" t="n">
        <v>72.09999999999999</v>
      </c>
      <c r="V18" s="32" t="n">
        <v>55.66</v>
      </c>
      <c r="W18" s="32" t="n">
        <v>19.41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IF(B19=0,"",RANK(B19,$B$2:$B$193,0))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CARYSIL</t>
        </is>
      </c>
      <c r="D19" s="31" t="inlineStr">
        <is>
          <t>Carysil Ltd</t>
        </is>
      </c>
      <c r="E19" s="31" t="inlineStr">
        <is>
          <t>consumer discretionary</t>
        </is>
      </c>
      <c r="F19" s="31" t="inlineStr">
        <is>
          <t>domestic appliances</t>
        </is>
      </c>
      <c r="G19" s="31" t="inlineStr">
        <is>
          <t>smallcap</t>
        </is>
      </c>
      <c r="H19" s="32" t="n">
        <v>3390.07</v>
      </c>
      <c r="I19" s="32" t="n">
        <v>1163.8</v>
      </c>
      <c r="J19" s="32" t="n">
        <v>-2.36</v>
      </c>
      <c r="K19" s="32" t="n">
        <v>440529</v>
      </c>
      <c r="L19" s="31" t="n">
        <v>51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70.5</v>
      </c>
      <c r="P19" s="32" t="n">
        <v>20.61</v>
      </c>
      <c r="Q19" s="32" t="n">
        <v>863.23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-6.3</v>
      </c>
      <c r="U19" s="32" t="n">
        <v>25.58</v>
      </c>
      <c r="V19" s="32" t="n">
        <v>34.02</v>
      </c>
      <c r="W19" s="32" t="n">
        <v>16.24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IF(B20=0,"",RANK(B20,$B$2:$B$193,0))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GLAND</t>
        </is>
      </c>
      <c r="D20" s="31" t="inlineStr">
        <is>
          <t>Gland Pharma Ltd</t>
        </is>
      </c>
      <c r="E20" s="31" t="inlineStr">
        <is>
          <t>healthcare</t>
        </is>
      </c>
      <c r="F20" s="31" t="inlineStr">
        <is>
          <t>pharmaceuticals - indian - formulations</t>
        </is>
      </c>
      <c r="G20" s="31" t="inlineStr">
        <is>
          <t>largecap</t>
        </is>
      </c>
      <c r="H20" s="32" t="n">
        <v>37363.46</v>
      </c>
      <c r="I20" s="32" t="n">
        <v>2306.5</v>
      </c>
      <c r="J20" s="32" t="n">
        <v>1.71</v>
      </c>
      <c r="K20" s="32" t="n">
        <v>2420500</v>
      </c>
      <c r="L20" s="31" t="n">
        <v>53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70.01000000000001</v>
      </c>
      <c r="P20" s="32" t="n">
        <v>29.74</v>
      </c>
      <c r="Q20" s="32" t="n">
        <v>1873.7</v>
      </c>
      <c r="R20" s="31" t="inlineStr">
        <is>
          <t>Volume Spike &amp; Near 52W High Breakout</t>
        </is>
      </c>
      <c r="S20" s="31" t="inlineStr">
        <is>
          <t>Nifty Pharma</t>
        </is>
      </c>
      <c r="T20" s="32" t="n">
        <v>10.56</v>
      </c>
      <c r="U20" s="32" t="n">
        <v>37.78</v>
      </c>
      <c r="V20" s="32" t="n">
        <v>24.61</v>
      </c>
      <c r="W20" s="32" t="n">
        <v>16.86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IF(B21=0,"",RANK(B21,$B$2:$B$193,0))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GRANULES</t>
        </is>
      </c>
      <c r="D21" s="31" t="inlineStr">
        <is>
          <t>Granules India Limited</t>
        </is>
      </c>
      <c r="E21" s="31" t="inlineStr">
        <is>
          <t>healthcare</t>
        </is>
      </c>
      <c r="F21" s="31" t="inlineStr">
        <is>
          <t>pharmaceuticals - indian - bulk drugs &amp; formln</t>
        </is>
      </c>
      <c r="G21" s="31" t="inlineStr">
        <is>
          <t>midcap</t>
        </is>
      </c>
      <c r="H21" s="32" t="n">
        <v>18852.39</v>
      </c>
      <c r="I21" s="32" t="n">
        <v>763.15</v>
      </c>
      <c r="J21" s="32" t="n">
        <v>0.31</v>
      </c>
      <c r="K21" s="32" t="n">
        <v>877372</v>
      </c>
      <c r="L21" s="31" t="n">
        <v>51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70.53</v>
      </c>
      <c r="P21" s="32" t="n">
        <v>34.53</v>
      </c>
      <c r="Q21" s="32" t="n">
        <v>661.25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10.56</v>
      </c>
      <c r="U21" s="32" t="n">
        <v>50.27</v>
      </c>
      <c r="V21" s="32" t="n">
        <v>35.92</v>
      </c>
      <c r="W21" s="32" t="n">
        <v>16.42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IF(B22=0,"",RANK(B22,$B$2:$B$193,0))</f>
        <v/>
      </c>
      <c r="B22" s="32">
        <f>SUM(N22,Y22,AA22,AC22,AE22,AG22,AI22,AK22,AM22,AO22,AQ22,AS22,AU22,AW22,AY22,BA22,BC22,BE22,BG22,BI22,BK22,BM22,BO22,BQ22,BS22,BU22,BW22,BY22,CA22,CC22,CE22)</f>
        <v/>
      </c>
      <c r="C22" s="33" t="inlineStr">
        <is>
          <t>PGHL</t>
        </is>
      </c>
      <c r="D22" s="33" t="inlineStr">
        <is>
          <t>Procter &amp; Gamble Health Ltd</t>
        </is>
      </c>
      <c r="E22" s="31" t="inlineStr">
        <is>
          <t>healthcare</t>
        </is>
      </c>
      <c r="F22" s="31" t="inlineStr">
        <is>
          <t>pharmaceuticals - multinational</t>
        </is>
      </c>
      <c r="G22" s="31" t="inlineStr">
        <is>
          <t>midcap</t>
        </is>
      </c>
      <c r="H22" s="32" t="n">
        <v>10349.71</v>
      </c>
      <c r="I22" s="32" t="n">
        <v>6207</v>
      </c>
      <c r="J22" s="32" t="n">
        <v>-0.45</v>
      </c>
      <c r="K22" s="32" t="n">
        <v>19120</v>
      </c>
      <c r="L22" s="31" t="n">
        <v>21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74.22</v>
      </c>
      <c r="P22" s="32" t="n">
        <v>34.75</v>
      </c>
      <c r="Q22" s="32" t="n">
        <v>5242.04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10.56</v>
      </c>
      <c r="U22" s="32" t="n">
        <v>10.43</v>
      </c>
      <c r="V22" s="32" t="n">
        <v>-0.12</v>
      </c>
      <c r="W22" s="32" t="n">
        <v>8.539999999999999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IF(B23=0,"",RANK(B23,$B$2:$B$193,0))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SUPRIYA</t>
        </is>
      </c>
      <c r="D23" s="31" t="inlineStr">
        <is>
          <t>Supriya Lifescience Ltd</t>
        </is>
      </c>
      <c r="E23" s="31" t="inlineStr">
        <is>
          <t>healthcare</t>
        </is>
      </c>
      <c r="F23" s="31" t="inlineStr">
        <is>
          <t>pharmaceuticals - indian - bulk drugs &amp; formln</t>
        </is>
      </c>
      <c r="G23" s="31" t="inlineStr">
        <is>
          <t>midcap</t>
        </is>
      </c>
      <c r="H23" s="32" t="n">
        <v>7665.18</v>
      </c>
      <c r="I23" s="32" t="n">
        <v>937</v>
      </c>
      <c r="J23" s="32" t="n">
        <v>-1.62</v>
      </c>
      <c r="K23" s="32" t="n">
        <v>357173</v>
      </c>
      <c r="L23" s="31" t="n">
        <v>68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73.81</v>
      </c>
      <c r="P23" s="32" t="n">
        <v>33.96</v>
      </c>
      <c r="Q23" s="32" t="n">
        <v>732.63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10.56</v>
      </c>
      <c r="U23" s="32" t="n">
        <v>36.09</v>
      </c>
      <c r="V23" s="32" t="n">
        <v>23.09</v>
      </c>
      <c r="W23" s="32" t="n">
        <v>22.27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IF(B24=0,"",RANK(B24,$B$2:$B$193,0))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GVPIL</t>
        </is>
      </c>
      <c r="D24" s="31" t="inlineStr">
        <is>
          <t>GE Power India Ltd</t>
        </is>
      </c>
      <c r="E24" s="31" t="inlineStr">
        <is>
          <t>realty</t>
        </is>
      </c>
      <c r="F24" s="31" t="inlineStr">
        <is>
          <t>engineering - turnkey services</t>
        </is>
      </c>
      <c r="G24" s="31" t="inlineStr">
        <is>
          <t>midcap</t>
        </is>
      </c>
      <c r="H24" s="32" t="n">
        <v>6115.01</v>
      </c>
      <c r="I24" s="32" t="n">
        <v>885.3</v>
      </c>
      <c r="J24" s="32" t="n">
        <v>-2.67</v>
      </c>
      <c r="K24" s="32" t="n">
        <v>367120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87.13</v>
      </c>
      <c r="P24" s="32" t="n">
        <v>56.06</v>
      </c>
      <c r="Q24" s="32" t="n">
        <v>667.71</v>
      </c>
      <c r="R24" s="31" t="inlineStr">
        <is>
          <t>Near 52W High Breakout</t>
        </is>
      </c>
      <c r="S24" s="31" t="inlineStr">
        <is>
          <t>Nifty Realty</t>
        </is>
      </c>
      <c r="T24" s="32" t="n">
        <v>-26.19</v>
      </c>
      <c r="U24" s="32" t="n">
        <v>180.11</v>
      </c>
      <c r="V24" s="32" t="n">
        <v>279.48</v>
      </c>
      <c r="W24" s="32" t="n">
        <v>48.55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Duopoly That Cooperate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Shallow Cyclical (2 to 3 Years Growth)</t>
        </is>
      </c>
      <c r="AG24" s="31">
        <f>IF(AF24="Structural (10 Years Consistency)",10,IF(AF24="Shallow Cyclical (2 to 3 years growth)",5,0))</f>
        <v/>
      </c>
      <c r="AH24" s="31" t="inlineStr">
        <is>
          <t>Yes due to Product Mix change or Operating Leverage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Fully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only for next 1 to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IF(B25=0,"",RANK(B25,$B$2:$B$193,0))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SAKAR</t>
        </is>
      </c>
      <c r="D25" s="31" t="inlineStr">
        <is>
          <t>Sakar Healthcare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smallcap</t>
        </is>
      </c>
      <c r="H25" s="32" t="n">
        <v>1866.77</v>
      </c>
      <c r="I25" s="32" t="n">
        <v>803.05</v>
      </c>
      <c r="J25" s="32" t="n">
        <v>-4.28</v>
      </c>
      <c r="K25" s="32" t="n">
        <v>200688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75.5</v>
      </c>
      <c r="P25" s="32" t="n">
        <v>53.29</v>
      </c>
      <c r="Q25" s="32" t="n">
        <v>560.52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10.56</v>
      </c>
      <c r="U25" s="32" t="n">
        <v>156.32</v>
      </c>
      <c r="V25" s="32" t="n">
        <v>131.84</v>
      </c>
      <c r="W25" s="32" t="n">
        <v>33.1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IF(B26=0,"",RANK(B26,$B$2:$B$193,0))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AVALON</t>
        </is>
      </c>
      <c r="D26" s="31" t="inlineStr">
        <is>
          <t>Avalon Technologies Ltd</t>
        </is>
      </c>
      <c r="E26" s="31" t="inlineStr">
        <is>
          <t>consumer discretionary</t>
        </is>
      </c>
      <c r="F26" s="31" t="inlineStr">
        <is>
          <t>electronics - components</t>
        </is>
      </c>
      <c r="G26" s="31" t="inlineStr">
        <is>
          <t>midcap</t>
        </is>
      </c>
      <c r="H26" s="32" t="n">
        <v>10231.91</v>
      </c>
      <c r="I26" s="32" t="n">
        <v>1568.2</v>
      </c>
      <c r="J26" s="32" t="n">
        <v>2.33</v>
      </c>
      <c r="K26" s="32" t="n">
        <v>523120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71.52</v>
      </c>
      <c r="P26" s="32" t="n">
        <v>32.64</v>
      </c>
      <c r="Q26" s="32" t="n">
        <v>1153.3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-6.3</v>
      </c>
      <c r="U26" s="32" t="n">
        <v>88.68000000000001</v>
      </c>
      <c r="V26" s="32" t="n">
        <v>101.36</v>
      </c>
      <c r="W26" s="32" t="n">
        <v>32.83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IF(B27=0,"",RANK(B27,$B$2:$B$193,0))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SPORTKING</t>
        </is>
      </c>
      <c r="D27" s="31" t="inlineStr">
        <is>
          <t>Sportking India Ltd</t>
        </is>
      </c>
      <c r="E27" s="31" t="inlineStr">
        <is>
          <t>textiles</t>
        </is>
      </c>
      <c r="F27" s="31" t="inlineStr">
        <is>
          <t>textiles - spinning - synthetic / blended</t>
        </is>
      </c>
      <c r="G27" s="31" t="inlineStr">
        <is>
          <t>smallcap</t>
        </is>
      </c>
      <c r="H27" s="32" t="n">
        <v>2160.61</v>
      </c>
      <c r="I27" s="32" t="n">
        <v>173.61</v>
      </c>
      <c r="J27" s="32" t="n">
        <v>2.11</v>
      </c>
      <c r="K27" s="32" t="n">
        <v>234255</v>
      </c>
      <c r="L27" s="31" t="n">
        <v>74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74.40000000000001</v>
      </c>
      <c r="P27" s="32" t="n">
        <v>54.59</v>
      </c>
      <c r="Q27" s="32" t="n">
        <v>133.1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-6.3</v>
      </c>
      <c r="U27" s="32" t="n">
        <v>55.79</v>
      </c>
      <c r="V27" s="32" t="n">
        <v>66.26000000000001</v>
      </c>
      <c r="W27" s="32" t="n">
        <v>24.35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Less than 12%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IF(B28=0,"",RANK(B28,$B$2:$B$193,0))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MENONBE</t>
        </is>
      </c>
      <c r="D28" s="31" t="inlineStr">
        <is>
          <t>Menon Bearings Limited</t>
        </is>
      </c>
      <c r="E28" s="31" t="inlineStr">
        <is>
          <t>auto</t>
        </is>
      </c>
      <c r="F28" s="31" t="inlineStr">
        <is>
          <t>auto ancillaries</t>
        </is>
      </c>
      <c r="G28" s="31" t="inlineStr">
        <is>
          <t>smallcap</t>
        </is>
      </c>
      <c r="H28" s="32" t="n">
        <v>914.5700000000001</v>
      </c>
      <c r="I28" s="32" t="n">
        <v>166.26</v>
      </c>
      <c r="J28" s="32" t="n">
        <v>1.88</v>
      </c>
      <c r="K28" s="32" t="n">
        <v>328024</v>
      </c>
      <c r="L28" s="31" t="n">
        <v>46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70.53</v>
      </c>
      <c r="P28" s="32" t="n">
        <v>30.06</v>
      </c>
      <c r="Q28" s="32" t="n">
        <v>121.23</v>
      </c>
      <c r="R28" s="31" t="inlineStr">
        <is>
          <t>Volume Spike &amp; Near 52W High Breakout</t>
        </is>
      </c>
      <c r="S28" s="31" t="inlineStr">
        <is>
          <t>Nifty Auto</t>
        </is>
      </c>
      <c r="T28" s="32" t="n">
        <v>10.56</v>
      </c>
      <c r="U28" s="32" t="n">
        <v>36.56</v>
      </c>
      <c r="V28" s="32" t="n">
        <v>23.52</v>
      </c>
      <c r="W28" s="32" t="n">
        <v>15.09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IF(B29=0,"",RANK(B29,$B$2:$B$193,0))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NITINSPIN</t>
        </is>
      </c>
      <c r="D29" s="31" t="inlineStr">
        <is>
          <t>Nitin Spinners Limited</t>
        </is>
      </c>
      <c r="E29" s="31" t="inlineStr">
        <is>
          <t>textiles</t>
        </is>
      </c>
      <c r="F29" s="31" t="inlineStr">
        <is>
          <t>textiles - cotton/blended</t>
        </is>
      </c>
      <c r="G29" s="31" t="inlineStr">
        <is>
          <t>smallcap</t>
        </is>
      </c>
      <c r="H29" s="32" t="n">
        <v>2946.49</v>
      </c>
      <c r="I29" s="32" t="n">
        <v>533.75</v>
      </c>
      <c r="J29" s="32" t="n">
        <v>1.84</v>
      </c>
      <c r="K29" s="32" t="n">
        <v>276328</v>
      </c>
      <c r="L29" s="31" t="n">
        <v>59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78.31999999999999</v>
      </c>
      <c r="P29" s="32" t="n">
        <v>53.87</v>
      </c>
      <c r="Q29" s="32" t="n">
        <v>412.9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-6.3</v>
      </c>
      <c r="U29" s="32" t="n">
        <v>37.81</v>
      </c>
      <c r="V29" s="32" t="n">
        <v>47.08</v>
      </c>
      <c r="W29" s="32" t="n">
        <v>18.25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IF(B30=0,"",RANK(B30,$B$2:$B$193,0))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TALBROAUTO</t>
        </is>
      </c>
      <c r="D30" s="31" t="inlineStr">
        <is>
          <t>Talbros Automotive Components Limited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smallcap</t>
        </is>
      </c>
      <c r="H30" s="32" t="n">
        <v>2170.98</v>
      </c>
      <c r="I30" s="32" t="n">
        <v>356.85</v>
      </c>
      <c r="J30" s="32" t="n">
        <v>1.46</v>
      </c>
      <c r="K30" s="32" t="n">
        <v>179471</v>
      </c>
      <c r="L30" s="31" t="n">
        <v>41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68.23</v>
      </c>
      <c r="P30" s="32" t="n">
        <v>27.63</v>
      </c>
      <c r="Q30" s="32" t="n">
        <v>266.29</v>
      </c>
      <c r="R30" s="31" t="inlineStr">
        <is>
          <t>Near 52W High Breakout</t>
        </is>
      </c>
      <c r="S30" s="31" t="inlineStr">
        <is>
          <t>Nifty Auto</t>
        </is>
      </c>
      <c r="T30" s="32" t="n">
        <v>10.56</v>
      </c>
      <c r="U30" s="32" t="n">
        <v>18.05</v>
      </c>
      <c r="V30" s="32" t="n">
        <v>6.78</v>
      </c>
      <c r="W30" s="32" t="n">
        <v>13.84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IF(B31=0,"",RANK(B31,$B$2:$B$193,0))</f>
        <v/>
      </c>
      <c r="B31" s="32">
        <f>SUM(N31,Y31,AA31,AC31,AE31,AG31,AI31,AK31,AM31,AO31,AQ31,AS31,AU31,AW31,AY31,BA31,BC31,BE31,BG31,BI31,BK31,BM31,BO31,BQ31,BS31,BU31,BW31,BY31,CA31,CC31,CE31)</f>
        <v/>
      </c>
      <c r="C31" s="33" t="inlineStr">
        <is>
          <t>GANESHBE</t>
        </is>
      </c>
      <c r="D31" s="33" t="inlineStr">
        <is>
          <t>Ganesh Benzoplast Ltd</t>
        </is>
      </c>
      <c r="E31" s="31" t="inlineStr">
        <is>
          <t>miscellaneous</t>
        </is>
      </c>
      <c r="F31" s="31" t="inlineStr">
        <is>
          <t>miscellaneous</t>
        </is>
      </c>
      <c r="G31" s="31" t="inlineStr">
        <is>
          <t>smallcap</t>
        </is>
      </c>
      <c r="H31" s="32" t="n">
        <v>768.63</v>
      </c>
      <c r="I31" s="32" t="n">
        <v>108.23</v>
      </c>
      <c r="J31" s="32" t="n">
        <v>1.37</v>
      </c>
      <c r="K31" s="32" t="n">
        <v>620999</v>
      </c>
      <c r="L31" s="31" t="n">
        <v>23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64.05</v>
      </c>
      <c r="P31" s="32" t="n">
        <v>22.91</v>
      </c>
      <c r="Q31" s="32" t="n">
        <v>82.33</v>
      </c>
      <c r="R31" s="31" t="inlineStr">
        <is>
          <t>Near 52W High Breakout</t>
        </is>
      </c>
      <c r="S31" s="31" t="inlineStr">
        <is>
          <t>Nifty Energy</t>
        </is>
      </c>
      <c r="T31" s="32" t="n">
        <v>8.16</v>
      </c>
      <c r="U31" s="32" t="n">
        <v>1.3</v>
      </c>
      <c r="V31" s="32" t="n">
        <v>-6.34</v>
      </c>
      <c r="W31" s="32" t="n">
        <v>9.06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IF(B32=0,"",RANK(B32,$B$2:$B$193,0))</f>
        <v/>
      </c>
      <c r="B32" s="32">
        <f>SUM(N32,Y32,AA32,AC32,AE32,AG32,AI32,AK32,AM32,AO32,AQ32,AS32,AU32,AW32,AY32,BA32,BC32,BE32,BG32,BI32,BK32,BM32,BO32,BQ32,BS32,BU32,BW32,BY32,CA32,CC32,CE32)</f>
        <v/>
      </c>
      <c r="C32" s="33" t="inlineStr">
        <is>
          <t>NRL</t>
        </is>
      </c>
      <c r="D32" s="33" t="inlineStr">
        <is>
          <t>Nupur Recyclers Ltd</t>
        </is>
      </c>
      <c r="E32" s="31" t="inlineStr">
        <is>
          <t>services</t>
        </is>
      </c>
      <c r="F32" s="31" t="inlineStr">
        <is>
          <t>trading</t>
        </is>
      </c>
      <c r="G32" s="31" t="inlineStr">
        <is>
          <t>smallcap</t>
        </is>
      </c>
      <c r="H32" s="32" t="n">
        <v>519.88</v>
      </c>
      <c r="I32" s="32" t="n">
        <v>75.12</v>
      </c>
      <c r="J32" s="32" t="n">
        <v>-0.2</v>
      </c>
      <c r="K32" s="32" t="n">
        <v>127776</v>
      </c>
      <c r="L32" s="31" t="n">
        <v>26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70.77</v>
      </c>
      <c r="P32" s="32" t="n">
        <v>32.24</v>
      </c>
      <c r="Q32" s="32" t="n">
        <v>56.49</v>
      </c>
      <c r="R32" s="31" t="inlineStr">
        <is>
          <t>Volume Spike / Accumulation</t>
        </is>
      </c>
      <c r="S32" s="31" t="inlineStr">
        <is>
          <t>Nifty 50</t>
        </is>
      </c>
      <c r="T32" s="32" t="n">
        <v>-6.3</v>
      </c>
      <c r="U32" s="32" t="n">
        <v>-11.82</v>
      </c>
      <c r="V32" s="32" t="n">
        <v>-5.89</v>
      </c>
      <c r="W32" s="32" t="n">
        <v>10.04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IF(B33=0,"",RANK(B33,$B$2:$B$193,0))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THANGAMAYL</t>
        </is>
      </c>
      <c r="D33" s="31" t="inlineStr">
        <is>
          <t>Thangamayil Jewellery Limited</t>
        </is>
      </c>
      <c r="E33" s="31" t="inlineStr">
        <is>
          <t>consumer discretionary</t>
        </is>
      </c>
      <c r="F33" s="31" t="inlineStr">
        <is>
          <t>diamond cutting / jewellery</t>
        </is>
      </c>
      <c r="G33" s="31" t="inlineStr">
        <is>
          <t>midcap</t>
        </is>
      </c>
      <c r="H33" s="32" t="n">
        <v>16921.36</v>
      </c>
      <c r="I33" s="32" t="n">
        <v>5415.4</v>
      </c>
      <c r="J33" s="32" t="n">
        <v>-0.53</v>
      </c>
      <c r="K33" s="32" t="n">
        <v>130587</v>
      </c>
      <c r="L33" s="31" t="n">
        <v>90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70.75</v>
      </c>
      <c r="P33" s="32" t="n">
        <v>39.43</v>
      </c>
      <c r="Q33" s="32" t="n">
        <v>3892.56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-6.3</v>
      </c>
      <c r="U33" s="32" t="n">
        <v>194.32</v>
      </c>
      <c r="V33" s="32" t="n">
        <v>214.11</v>
      </c>
      <c r="W33" s="32" t="n">
        <v>36.75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IF(B34=0,"",RANK(B34,$B$2:$B$193,0))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SHAILY</t>
        </is>
      </c>
      <c r="D34" s="31" t="inlineStr">
        <is>
          <t>Shaily Engineering Plastics Ltd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midcap</t>
        </is>
      </c>
      <c r="H34" s="32" t="n">
        <v>13870.17</v>
      </c>
      <c r="I34" s="32" t="n">
        <v>2939.3</v>
      </c>
      <c r="J34" s="32" t="n">
        <v>-2.61</v>
      </c>
      <c r="K34" s="32" t="n">
        <v>239997</v>
      </c>
      <c r="L34" s="31" t="n">
        <v>72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64.93000000000001</v>
      </c>
      <c r="P34" s="32" t="n">
        <v>25.58</v>
      </c>
      <c r="Q34" s="32" t="n">
        <v>2168.16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-6.3</v>
      </c>
      <c r="U34" s="32" t="n">
        <v>69.25</v>
      </c>
      <c r="V34" s="32" t="n">
        <v>80.63</v>
      </c>
      <c r="W34" s="32" t="n">
        <v>24.15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Between 1.5 to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IF(B35=0,"",RANK(B35,$B$2:$B$193,0))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SENORES</t>
        </is>
      </c>
      <c r="D35" s="31" t="inlineStr">
        <is>
          <t>Senores Pharmaceuticals Ltd</t>
        </is>
      </c>
      <c r="E35" s="31" t="inlineStr">
        <is>
          <t>healthcare</t>
        </is>
      </c>
      <c r="F35" s="31" t="inlineStr">
        <is>
          <t>pharmaceuticals - indian - formulations</t>
        </is>
      </c>
      <c r="G35" s="31" t="inlineStr">
        <is>
          <t>midcap</t>
        </is>
      </c>
      <c r="H35" s="32" t="n">
        <v>5123.92</v>
      </c>
      <c r="I35" s="32" t="n">
        <v>1160.7</v>
      </c>
      <c r="J35" s="32" t="n">
        <v>4.32</v>
      </c>
      <c r="K35" s="32" t="n">
        <v>780945</v>
      </c>
      <c r="L35" s="31" t="n">
        <v>82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72.73</v>
      </c>
      <c r="P35" s="32" t="n">
        <v>40.12</v>
      </c>
      <c r="Q35" s="32" t="n">
        <v>884.71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10.56</v>
      </c>
      <c r="U35" s="32" t="n">
        <v>108.4</v>
      </c>
      <c r="V35" s="32" t="n">
        <v>88.5</v>
      </c>
      <c r="W35" s="32" t="n">
        <v>29.92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IF(B36=0,"",RANK(B36,$B$2:$B$193,0))</f>
        <v/>
      </c>
      <c r="B36" s="32">
        <f>SUM(N36,Y36,AA36,AC36,AE36,AG36,AI36,AK36,AM36,AO36,AQ36,AS36,AU36,AW36,AY36,BA36,BC36,BE36,BG36,BI36,BK36,BM36,BO36,BQ36,BS36,BU36,BW36,BY36,CA36,CC36,CE36)</f>
        <v/>
      </c>
      <c r="C36" s="33" t="inlineStr">
        <is>
          <t>MARKSANS</t>
        </is>
      </c>
      <c r="D36" s="33" t="inlineStr">
        <is>
          <t>Marksans Pharma Limited</t>
        </is>
      </c>
      <c r="E36" s="31" t="inlineStr">
        <is>
          <t>healthcare</t>
        </is>
      </c>
      <c r="F36" s="31" t="inlineStr">
        <is>
          <t>pharmaceuticals - indian - formulations</t>
        </is>
      </c>
      <c r="G36" s="31" t="inlineStr">
        <is>
          <t>midcap</t>
        </is>
      </c>
      <c r="H36" s="32" t="n">
        <v>11189.52</v>
      </c>
      <c r="I36" s="32" t="n">
        <v>249.83</v>
      </c>
      <c r="J36" s="32" t="n">
        <v>1.18</v>
      </c>
      <c r="K36" s="32" t="n">
        <v>3679249</v>
      </c>
      <c r="L36" s="31" t="n">
        <v>37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71.34</v>
      </c>
      <c r="P36" s="32" t="n">
        <v>28.52</v>
      </c>
      <c r="Q36" s="32" t="n">
        <v>191.48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10.56</v>
      </c>
      <c r="U36" s="32" t="n">
        <v>-3.29</v>
      </c>
      <c r="V36" s="32" t="n">
        <v>-12.53</v>
      </c>
      <c r="W36" s="32" t="n">
        <v>12.87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IF(B37=0,"",RANK(B37,$B$2:$B$193,0))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ASTERDM</t>
        </is>
      </c>
      <c r="D37" s="31" t="inlineStr">
        <is>
          <t>Aster DM Healthcare Ltd</t>
        </is>
      </c>
      <c r="E37" s="31" t="inlineStr">
        <is>
          <t>healthcare</t>
        </is>
      </c>
      <c r="F37" s="31" t="inlineStr">
        <is>
          <t>healthcare</t>
        </is>
      </c>
      <c r="G37" s="31" t="inlineStr">
        <is>
          <t>largecap</t>
        </is>
      </c>
      <c r="H37" s="32" t="n">
        <v>42118.06</v>
      </c>
      <c r="I37" s="32" t="n">
        <v>813.75</v>
      </c>
      <c r="J37" s="32" t="n">
        <v>0.1</v>
      </c>
      <c r="K37" s="32" t="n">
        <v>967137</v>
      </c>
      <c r="L37" s="31" t="n">
        <v>35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71.88</v>
      </c>
      <c r="P37" s="32" t="n">
        <v>36.94</v>
      </c>
      <c r="Q37" s="32" t="n">
        <v>666.91</v>
      </c>
      <c r="R37" s="31" t="inlineStr">
        <is>
          <t>Volume Spike &amp; Near 52W High Breakout</t>
        </is>
      </c>
      <c r="S37" s="31" t="inlineStr">
        <is>
          <t>Nifty Pharma</t>
        </is>
      </c>
      <c r="T37" s="32" t="n">
        <v>10.56</v>
      </c>
      <c r="U37" s="32" t="n">
        <v>43.7</v>
      </c>
      <c r="V37" s="32" t="n">
        <v>29.98</v>
      </c>
      <c r="W37" s="32" t="n">
        <v>12.38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IF(B38=0,"",RANK(B38,$B$2:$B$193,0))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TINNARUBR</t>
        </is>
      </c>
      <c r="D38" s="31" t="inlineStr">
        <is>
          <t>Tinna Rubber &amp; Infrastructure Ltd</t>
        </is>
      </c>
      <c r="E38" s="31" t="inlineStr">
        <is>
          <t>fmcg</t>
        </is>
      </c>
      <c r="F38" s="31" t="inlineStr">
        <is>
          <t>miscellaneous</t>
        </is>
      </c>
      <c r="G38" s="31" t="inlineStr">
        <is>
          <t>smallcap</t>
        </is>
      </c>
      <c r="H38" s="32" t="n">
        <v>1563.59</v>
      </c>
      <c r="I38" s="32" t="n">
        <v>868.65</v>
      </c>
      <c r="J38" s="32" t="n">
        <v>0.09</v>
      </c>
      <c r="K38" s="32" t="n">
        <v>38342</v>
      </c>
      <c r="L38" s="31" t="n">
        <v>16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58.71</v>
      </c>
      <c r="P38" s="32" t="n">
        <v>21.5</v>
      </c>
      <c r="Q38" s="32" t="n">
        <v>611.22</v>
      </c>
      <c r="R38" s="31" t="inlineStr">
        <is>
          <t>Earnings / Momentum Support</t>
        </is>
      </c>
      <c r="S38" s="31" t="inlineStr">
        <is>
          <t>Nifty FMCG</t>
        </is>
      </c>
      <c r="T38" s="32" t="n">
        <v>-11.01</v>
      </c>
      <c r="U38" s="32" t="n">
        <v>-6.27</v>
      </c>
      <c r="V38" s="32" t="n">
        <v>5.33</v>
      </c>
      <c r="W38" s="32" t="n">
        <v>6.99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IF(B39=0,"",RANK(B39,$B$2:$B$193,0))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MANORAMA</t>
        </is>
      </c>
      <c r="D39" s="31" t="inlineStr">
        <is>
          <t>Manorama Industries Ltd</t>
        </is>
      </c>
      <c r="E39" s="31" t="inlineStr">
        <is>
          <t>fmcg</t>
        </is>
      </c>
      <c r="F39" s="31" t="inlineStr">
        <is>
          <t>food - processing - indian</t>
        </is>
      </c>
      <c r="G39" s="31" t="inlineStr">
        <is>
          <t>midcap</t>
        </is>
      </c>
      <c r="H39" s="32" t="n">
        <v>9199.290000000001</v>
      </c>
      <c r="I39" s="32" t="n">
        <v>1534.2</v>
      </c>
      <c r="J39" s="32" t="n">
        <v>-0.42</v>
      </c>
      <c r="K39" s="32" t="n">
        <v>186926</v>
      </c>
      <c r="L39" s="31" t="n">
        <v>13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58.26</v>
      </c>
      <c r="P39" s="32" t="n">
        <v>14.48</v>
      </c>
      <c r="Q39" s="32" t="n">
        <v>1173.9</v>
      </c>
      <c r="R39" s="31" t="inlineStr">
        <is>
          <t>Near 52W High Breakout</t>
        </is>
      </c>
      <c r="S39" s="31" t="inlineStr">
        <is>
          <t>Nifty FMCG</t>
        </is>
      </c>
      <c r="T39" s="32" t="n">
        <v>-11.01</v>
      </c>
      <c r="U39" s="32" t="n">
        <v>8.09</v>
      </c>
      <c r="V39" s="32" t="n">
        <v>21.47</v>
      </c>
      <c r="W39" s="32" t="n">
        <v>6.02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0 to 20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IF(B40=0,"",RANK(B40,$B$2:$B$193,0))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NINSYS</t>
        </is>
      </c>
      <c r="D40" s="31" t="inlineStr">
        <is>
          <t>NINtec Systems Ltd</t>
        </is>
      </c>
      <c r="E40" s="31" t="inlineStr">
        <is>
          <t>i.t</t>
        </is>
      </c>
      <c r="F40" s="31" t="inlineStr">
        <is>
          <t>computers - software - medium / small</t>
        </is>
      </c>
      <c r="G40" s="31" t="inlineStr">
        <is>
          <t>smallcap</t>
        </is>
      </c>
      <c r="H40" s="32" t="n">
        <v>1317.87</v>
      </c>
      <c r="I40" s="32" t="n">
        <v>689.9</v>
      </c>
      <c r="J40" s="32" t="n">
        <v>-2.76</v>
      </c>
      <c r="K40" s="32" t="n">
        <v>2211</v>
      </c>
      <c r="L40" s="31" t="n">
        <v>93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78.27</v>
      </c>
      <c r="P40" s="32" t="n">
        <v>50.63</v>
      </c>
      <c r="Q40" s="32" t="n">
        <v>544.41</v>
      </c>
      <c r="R40" s="31" t="inlineStr">
        <is>
          <t>Near 52W High Breakout</t>
        </is>
      </c>
      <c r="S40" s="31" t="inlineStr">
        <is>
          <t>Nifty IT</t>
        </is>
      </c>
      <c r="T40" s="32" t="n">
        <v>-27.68</v>
      </c>
      <c r="U40" s="32" t="n">
        <v>48.8</v>
      </c>
      <c r="V40" s="32" t="n">
        <v>105.75</v>
      </c>
      <c r="W40" s="32" t="n">
        <v>46.43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IF(B41=0,"",RANK(B41,$B$2:$B$193,0))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AEGISLOG</t>
        </is>
      </c>
      <c r="D41" s="31" t="inlineStr">
        <is>
          <t>Aegis Logistics Ltd</t>
        </is>
      </c>
      <c r="E41" s="31" t="inlineStr">
        <is>
          <t>services</t>
        </is>
      </c>
      <c r="F41" s="31" t="inlineStr">
        <is>
          <t>trading</t>
        </is>
      </c>
      <c r="G41" s="31" t="inlineStr">
        <is>
          <t>largecap</t>
        </is>
      </c>
      <c r="H41" s="32" t="n">
        <v>28115.1</v>
      </c>
      <c r="I41" s="32" t="n">
        <v>925.9</v>
      </c>
      <c r="J41" s="32" t="n">
        <v>15.59</v>
      </c>
      <c r="K41" s="32" t="n">
        <v>40729363</v>
      </c>
      <c r="L41" s="31" t="n">
        <v>53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71.38</v>
      </c>
      <c r="P41" s="32" t="n">
        <v>19.99</v>
      </c>
      <c r="Q41" s="32" t="n">
        <v>709.6799999999999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-6.3</v>
      </c>
      <c r="U41" s="32" t="n">
        <v>18.4</v>
      </c>
      <c r="V41" s="32" t="n">
        <v>26.36</v>
      </c>
      <c r="W41" s="32" t="n">
        <v>16.91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0 to 20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IF(B42=0,"",RANK(B42,$B$2:$B$193,0))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CEIGALL</t>
        </is>
      </c>
      <c r="D42" s="31" t="inlineStr">
        <is>
          <t>Ceigall India Ltd</t>
        </is>
      </c>
      <c r="E42" s="31" t="inlineStr">
        <is>
          <t>realty</t>
        </is>
      </c>
      <c r="F42" s="31" t="inlineStr">
        <is>
          <t>construction</t>
        </is>
      </c>
      <c r="G42" s="31" t="inlineStr">
        <is>
          <t>midcap</t>
        </is>
      </c>
      <c r="H42" s="32" t="n">
        <v>6286.18</v>
      </c>
      <c r="I42" s="32" t="n">
        <v>369.95</v>
      </c>
      <c r="J42" s="32" t="n">
        <v>2.52</v>
      </c>
      <c r="K42" s="32" t="n">
        <v>1201400</v>
      </c>
      <c r="L42" s="31" t="n">
        <v>55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71.11</v>
      </c>
      <c r="P42" s="32" t="n">
        <v>43.98</v>
      </c>
      <c r="Q42" s="32" t="n">
        <v>295.68</v>
      </c>
      <c r="R42" s="31" t="inlineStr">
        <is>
          <t>Near 52W High Breakout</t>
        </is>
      </c>
      <c r="S42" s="31" t="inlineStr">
        <is>
          <t>Nifty Realty</t>
        </is>
      </c>
      <c r="T42" s="32" t="n">
        <v>-26.19</v>
      </c>
      <c r="U42" s="32" t="n">
        <v>48.7</v>
      </c>
      <c r="V42" s="32" t="n">
        <v>101.45</v>
      </c>
      <c r="W42" s="32" t="n">
        <v>17.37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IF(B43=0,"",RANK(B43,$B$2:$B$193,0))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IDEA</t>
        </is>
      </c>
      <c r="D43" s="31" t="inlineStr">
        <is>
          <t>Vodafone Idea Ltd</t>
        </is>
      </c>
      <c r="E43" s="31" t="inlineStr">
        <is>
          <t>telecom-service</t>
        </is>
      </c>
      <c r="F43" s="31" t="inlineStr">
        <is>
          <t>telecommunications - service provider</t>
        </is>
      </c>
      <c r="G43" s="31" t="inlineStr">
        <is>
          <t>largecap</t>
        </is>
      </c>
      <c r="H43" s="32" t="n">
        <v>150380.13</v>
      </c>
      <c r="I43" s="32" t="n">
        <v>14.17</v>
      </c>
      <c r="J43" s="32" t="n">
        <v>2.09</v>
      </c>
      <c r="K43" s="32" t="n">
        <v>802424304</v>
      </c>
      <c r="L43" s="31" t="n">
        <v>83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68.52</v>
      </c>
      <c r="P43" s="32" t="n">
        <v>26.03</v>
      </c>
      <c r="Q43" s="32" t="n">
        <v>11.68</v>
      </c>
      <c r="R43" s="31" t="inlineStr">
        <is>
          <t>Earnings / Momentum Support</t>
        </is>
      </c>
      <c r="S43" s="31" t="inlineStr">
        <is>
          <t>Nifty 500</t>
        </is>
      </c>
      <c r="T43" s="32" t="n">
        <v>-3.46</v>
      </c>
      <c r="U43" s="32" t="n">
        <v>112.44</v>
      </c>
      <c r="V43" s="32" t="n">
        <v>120.05</v>
      </c>
      <c r="W43" s="32" t="n">
        <v>30.43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IF(B44=0,"",RANK(B44,$B$2:$B$193,0))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GRWRHITECH</t>
        </is>
      </c>
      <c r="D44" s="31" t="inlineStr">
        <is>
          <t>Garware Hi Tech Films Ltd</t>
        </is>
      </c>
      <c r="E44" s="31" t="inlineStr">
        <is>
          <t>industrials</t>
        </is>
      </c>
      <c r="F44" s="31" t="inlineStr">
        <is>
          <t>packaging</t>
        </is>
      </c>
      <c r="G44" s="31" t="inlineStr">
        <is>
          <t>midcap</t>
        </is>
      </c>
      <c r="H44" s="32" t="n">
        <v>14422.67</v>
      </c>
      <c r="I44" s="32" t="n">
        <v>6241</v>
      </c>
      <c r="J44" s="32" t="n">
        <v>0.53</v>
      </c>
      <c r="K44" s="32" t="n">
        <v>78032</v>
      </c>
      <c r="L44" s="31" t="n">
        <v>71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74.62</v>
      </c>
      <c r="P44" s="32" t="n">
        <v>27.83</v>
      </c>
      <c r="Q44" s="32" t="n">
        <v>4608.21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-6.3</v>
      </c>
      <c r="U44" s="32" t="n">
        <v>46.43</v>
      </c>
      <c r="V44" s="32" t="n">
        <v>56.27</v>
      </c>
      <c r="W44" s="32" t="n">
        <v>23.83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IF(B45=0,"",RANK(B45,$B$2:$B$193,0))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RISHABH</t>
        </is>
      </c>
      <c r="D45" s="31" t="inlineStr">
        <is>
          <t>Rishabh Instruments Ltd</t>
        </is>
      </c>
      <c r="E45" s="31" t="inlineStr">
        <is>
          <t>industrials</t>
        </is>
      </c>
      <c r="F45" s="31" t="inlineStr">
        <is>
          <t>electric equipment</t>
        </is>
      </c>
      <c r="G45" s="31" t="inlineStr">
        <is>
          <t>smallcap</t>
        </is>
      </c>
      <c r="H45" s="32" t="n">
        <v>2057.59</v>
      </c>
      <c r="I45" s="32" t="n">
        <v>536.4</v>
      </c>
      <c r="J45" s="32" t="n">
        <v>0.49</v>
      </c>
      <c r="K45" s="32" t="n">
        <v>102424</v>
      </c>
      <c r="L45" s="31" t="n">
        <v>66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63.38</v>
      </c>
      <c r="P45" s="32" t="n">
        <v>29.07</v>
      </c>
      <c r="Q45" s="32" t="n">
        <v>370.18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-6.3</v>
      </c>
      <c r="U45" s="32" t="n">
        <v>80.36</v>
      </c>
      <c r="V45" s="32" t="n">
        <v>92.48999999999999</v>
      </c>
      <c r="W45" s="32" t="n">
        <v>21.89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IF(B46=0,"",RANK(B46,$B$2:$B$193,0))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PIDILITIND</t>
        </is>
      </c>
      <c r="D46" s="31" t="inlineStr">
        <is>
          <t>Pidilite Industries Limited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largecap</t>
        </is>
      </c>
      <c r="H46" s="32" t="n">
        <v>153326.49</v>
      </c>
      <c r="I46" s="32" t="n">
        <v>1498.8</v>
      </c>
      <c r="J46" s="32" t="n">
        <v>-0.51</v>
      </c>
      <c r="K46" s="32" t="n">
        <v>613282</v>
      </c>
      <c r="L46" s="31" t="n">
        <v>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58.12</v>
      </c>
      <c r="P46" s="32" t="n">
        <v>20.72</v>
      </c>
      <c r="Q46" s="32" t="n">
        <v>1288.71</v>
      </c>
      <c r="R46" s="31" t="inlineStr">
        <is>
          <t>Near 52W High Breakout</t>
        </is>
      </c>
      <c r="S46" s="31" t="inlineStr">
        <is>
          <t>Nifty 500</t>
        </is>
      </c>
      <c r="T46" s="32" t="n">
        <v>-3.46</v>
      </c>
      <c r="U46" s="32" t="n">
        <v>0.19</v>
      </c>
      <c r="V46" s="32" t="n">
        <v>3.78</v>
      </c>
      <c r="W46" s="32" t="n">
        <v>2.65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IF(B47=0,"",RANK(B47,$B$2:$B$193,0))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UNIPARTS</t>
        </is>
      </c>
      <c r="D47" s="31" t="inlineStr">
        <is>
          <t>Uniparts India Ltd</t>
        </is>
      </c>
      <c r="E47" s="31" t="inlineStr">
        <is>
          <t>industrials</t>
        </is>
      </c>
      <c r="F47" s="31" t="inlineStr">
        <is>
          <t>engineering</t>
        </is>
      </c>
      <c r="G47" s="31" t="inlineStr">
        <is>
          <t>smallcap</t>
        </is>
      </c>
      <c r="H47" s="32" t="n">
        <v>2897.96</v>
      </c>
      <c r="I47" s="32" t="n">
        <v>637.15</v>
      </c>
      <c r="J47" s="32" t="n">
        <v>-0.75</v>
      </c>
      <c r="K47" s="32" t="n">
        <v>142990</v>
      </c>
      <c r="L47" s="31" t="n">
        <v>69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71.98999999999999</v>
      </c>
      <c r="P47" s="32" t="n">
        <v>34.24</v>
      </c>
      <c r="Q47" s="32" t="n">
        <v>488.38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-6.3</v>
      </c>
      <c r="U47" s="32" t="n">
        <v>78.26000000000001</v>
      </c>
      <c r="V47" s="32" t="n">
        <v>90.23999999999999</v>
      </c>
      <c r="W47" s="32" t="n">
        <v>22.7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IF(B48=0,"",RANK(B48,$B$2:$B$193,0))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GOLDIAM</t>
        </is>
      </c>
      <c r="D48" s="31" t="inlineStr">
        <is>
          <t>Goldiam International Limited</t>
        </is>
      </c>
      <c r="E48" s="31" t="inlineStr">
        <is>
          <t>consumer discretionary</t>
        </is>
      </c>
      <c r="F48" s="31" t="inlineStr">
        <is>
          <t>diamond cutting / jewellery</t>
        </is>
      </c>
      <c r="G48" s="31" t="inlineStr">
        <is>
          <t>smallcap</t>
        </is>
      </c>
      <c r="H48" s="32" t="n">
        <v>4873.53</v>
      </c>
      <c r="I48" s="32" t="n">
        <v>423.8</v>
      </c>
      <c r="J48" s="32" t="n">
        <v>-1.81</v>
      </c>
      <c r="K48" s="32" t="n">
        <v>596911</v>
      </c>
      <c r="L48" s="31" t="n">
        <v>42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58.9</v>
      </c>
      <c r="P48" s="32" t="n">
        <v>24.96</v>
      </c>
      <c r="Q48" s="32" t="n">
        <v>305.11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-6.3</v>
      </c>
      <c r="U48" s="32" t="n">
        <v>19.18</v>
      </c>
      <c r="V48" s="32" t="n">
        <v>27.19</v>
      </c>
      <c r="W48" s="32" t="n">
        <v>14.14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IF(B49=0,"",RANK(B49,$B$2:$B$193,0))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ASTRAMICRO</t>
        </is>
      </c>
      <c r="D49" s="31" t="inlineStr">
        <is>
          <t>Astra Microwave Products Limited</t>
        </is>
      </c>
      <c r="E49" s="31" t="inlineStr">
        <is>
          <t>aerospace &amp; defence</t>
        </is>
      </c>
      <c r="F49" s="31" t="inlineStr">
        <is>
          <t>telecommunications - equipment</t>
        </is>
      </c>
      <c r="G49" s="31" t="inlineStr">
        <is>
          <t>midcap</t>
        </is>
      </c>
      <c r="H49" s="32" t="n">
        <v>13523.97</v>
      </c>
      <c r="I49" s="32" t="n">
        <v>1396.3</v>
      </c>
      <c r="J49" s="32" t="n">
        <v>-1.97</v>
      </c>
      <c r="K49" s="32" t="n">
        <v>711713</v>
      </c>
      <c r="L49" s="31" t="n">
        <v>44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72.93000000000001</v>
      </c>
      <c r="P49" s="32" t="n">
        <v>29.58</v>
      </c>
      <c r="Q49" s="32" t="n">
        <v>1106.07</v>
      </c>
      <c r="R49" s="31" t="inlineStr">
        <is>
          <t>Near 52W High Breakout</t>
        </is>
      </c>
      <c r="S49" s="31" t="inlineStr">
        <is>
          <t>Nifty 50</t>
        </is>
      </c>
      <c r="T49" s="32" t="n">
        <v>-6.3</v>
      </c>
      <c r="U49" s="32" t="n">
        <v>22.46</v>
      </c>
      <c r="V49" s="32" t="n">
        <v>30.69</v>
      </c>
      <c r="W49" s="32" t="n">
        <v>14.4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IF(B50=0,"",RANK(B50,$B$2:$B$193,0))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MAYURUNIQ</t>
        </is>
      </c>
      <c r="D50" s="31" t="inlineStr">
        <is>
          <t>Mayur Uniquoters Ltd</t>
        </is>
      </c>
      <c r="E50" s="31" t="inlineStr">
        <is>
          <t>consumer discretionary</t>
        </is>
      </c>
      <c r="F50" s="31" t="inlineStr">
        <is>
          <t>leather / leather products</t>
        </is>
      </c>
      <c r="G50" s="31" t="inlineStr">
        <is>
          <t>smallcap</t>
        </is>
      </c>
      <c r="H50" s="32" t="n">
        <v>3525.09</v>
      </c>
      <c r="I50" s="32" t="n">
        <v>793.1</v>
      </c>
      <c r="J50" s="32" t="n">
        <v>-2.24</v>
      </c>
      <c r="K50" s="32" t="n">
        <v>269721</v>
      </c>
      <c r="L50" s="31" t="n">
        <v>64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77.55</v>
      </c>
      <c r="P50" s="32" t="n">
        <v>35.68</v>
      </c>
      <c r="Q50" s="32" t="n">
        <v>613.3099999999999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-6.3</v>
      </c>
      <c r="U50" s="32" t="n">
        <v>38.35</v>
      </c>
      <c r="V50" s="32" t="n">
        <v>47.65</v>
      </c>
      <c r="W50" s="32" t="n">
        <v>20.52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IF(B51=0,"",RANK(B51,$B$2:$B$193,0))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INNOVACAP</t>
        </is>
      </c>
      <c r="D51" s="33" t="inlineStr">
        <is>
          <t>Innova Captab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5208.04</v>
      </c>
      <c r="I51" s="32" t="n">
        <v>950.75</v>
      </c>
      <c r="J51" s="32" t="n">
        <v>4.47</v>
      </c>
      <c r="K51" s="32" t="n">
        <v>396483</v>
      </c>
      <c r="L51" s="31" t="n">
        <v>23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72.03</v>
      </c>
      <c r="P51" s="32" t="n">
        <v>27.53</v>
      </c>
      <c r="Q51" s="32" t="n">
        <v>745.33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10.56</v>
      </c>
      <c r="U51" s="32" t="n">
        <v>5.1</v>
      </c>
      <c r="V51" s="32" t="n">
        <v>-4.94</v>
      </c>
      <c r="W51" s="32" t="n">
        <v>8.869999999999999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IF(B52=0,"",RANK(B52,$B$2:$B$193,0))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PIXTRANS</t>
        </is>
      </c>
      <c r="D52" s="31" t="inlineStr">
        <is>
          <t>Pix Transmission Ltd</t>
        </is>
      </c>
      <c r="E52" s="31" t="inlineStr">
        <is>
          <t>fmcg</t>
        </is>
      </c>
      <c r="F52" s="31" t="inlineStr">
        <is>
          <t>miscellaneous</t>
        </is>
      </c>
      <c r="G52" s="31" t="inlineStr">
        <is>
          <t>smallcap</t>
        </is>
      </c>
      <c r="H52" s="32" t="n">
        <v>2169</v>
      </c>
      <c r="I52" s="32" t="n">
        <v>1594.6</v>
      </c>
      <c r="J52" s="32" t="n">
        <v>0.17</v>
      </c>
      <c r="K52" s="32" t="n">
        <v>10695</v>
      </c>
      <c r="L52" s="31" t="n">
        <v>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58.77</v>
      </c>
      <c r="P52" s="32" t="n">
        <v>20.2</v>
      </c>
      <c r="Q52" s="32" t="n">
        <v>1314.8</v>
      </c>
      <c r="R52" s="31" t="inlineStr">
        <is>
          <t>Near 52W High Breakout</t>
        </is>
      </c>
      <c r="S52" s="31" t="inlineStr">
        <is>
          <t>Nifty FMCG</t>
        </is>
      </c>
      <c r="T52" s="32" t="n">
        <v>-11.01</v>
      </c>
      <c r="U52" s="32" t="n">
        <v>2.58</v>
      </c>
      <c r="V52" s="32" t="n">
        <v>15.27</v>
      </c>
      <c r="W52" s="32" t="n">
        <v>3.53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IF(B53=0,"",RANK(B53,$B$2:$B$193,0))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NEULANDLAB</t>
        </is>
      </c>
      <c r="D53" s="31" t="inlineStr">
        <is>
          <t>Neuland Laboratories Limited</t>
        </is>
      </c>
      <c r="E53" s="31" t="inlineStr">
        <is>
          <t>healthcare</t>
        </is>
      </c>
      <c r="F53" s="31" t="inlineStr">
        <is>
          <t>pharmaceuticals - indian - bulk drugs</t>
        </is>
      </c>
      <c r="G53" s="31" t="inlineStr">
        <is>
          <t>largecap</t>
        </is>
      </c>
      <c r="H53" s="32" t="n">
        <v>21741.53</v>
      </c>
      <c r="I53" s="32" t="n">
        <v>16973</v>
      </c>
      <c r="J53" s="32" t="n">
        <v>0.16</v>
      </c>
      <c r="K53" s="32" t="n">
        <v>50931</v>
      </c>
      <c r="L53" s="31" t="n">
        <v>48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61.23</v>
      </c>
      <c r="P53" s="32" t="n">
        <v>31.15</v>
      </c>
      <c r="Q53" s="32" t="n">
        <v>13826.53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10.56</v>
      </c>
      <c r="U53" s="32" t="n">
        <v>28.76</v>
      </c>
      <c r="V53" s="32" t="n">
        <v>16.46</v>
      </c>
      <c r="W53" s="32" t="n">
        <v>15.37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IF(B54=0,"",RANK(B54,$B$2:$B$193,0))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SPARC</t>
        </is>
      </c>
      <c r="D54" s="31" t="inlineStr">
        <is>
          <t>Sun Pharma Advanced Research Company Limited</t>
        </is>
      </c>
      <c r="E54" s="31" t="inlineStr">
        <is>
          <t>healthcare</t>
        </is>
      </c>
      <c r="F54" s="31" t="inlineStr">
        <is>
          <t>miscellaneous</t>
        </is>
      </c>
      <c r="G54" s="31" t="inlineStr">
        <is>
          <t>midcap</t>
        </is>
      </c>
      <c r="H54" s="32" t="n">
        <v>6682.55</v>
      </c>
      <c r="I54" s="32" t="n">
        <v>204.11</v>
      </c>
      <c r="J54" s="32" t="n">
        <v>-0.88</v>
      </c>
      <c r="K54" s="32" t="n">
        <v>2262997</v>
      </c>
      <c r="L54" s="31" t="n">
        <v>70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69.22</v>
      </c>
      <c r="P54" s="32" t="n">
        <v>46.16</v>
      </c>
      <c r="Q54" s="32" t="n">
        <v>147.24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10.56</v>
      </c>
      <c r="U54" s="32" t="n">
        <v>23.03</v>
      </c>
      <c r="V54" s="32" t="n">
        <v>11.28</v>
      </c>
      <c r="W54" s="32" t="n">
        <v>23.33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IF(B55=0,"",RANK(B55,$B$2:$B$193,0))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RATEGAIN</t>
        </is>
      </c>
      <c r="D55" s="31" t="inlineStr">
        <is>
          <t>Rategain Travel Technologies Ltd</t>
        </is>
      </c>
      <c r="E55" s="31" t="inlineStr">
        <is>
          <t>i.t</t>
        </is>
      </c>
      <c r="F55" s="31" t="inlineStr">
        <is>
          <t>computers - software - medium / small</t>
        </is>
      </c>
      <c r="G55" s="31" t="inlineStr">
        <is>
          <t>midcap</t>
        </is>
      </c>
      <c r="H55" s="32" t="n">
        <v>9259.440000000001</v>
      </c>
      <c r="I55" s="32" t="n">
        <v>772.75</v>
      </c>
      <c r="J55" s="32" t="n">
        <v>-1.38</v>
      </c>
      <c r="K55" s="32" t="n">
        <v>612451</v>
      </c>
      <c r="L55" s="31" t="n">
        <v>78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71.63</v>
      </c>
      <c r="P55" s="32" t="n">
        <v>25.67</v>
      </c>
      <c r="Q55" s="32" t="n">
        <v>589.8099999999999</v>
      </c>
      <c r="R55" s="31" t="inlineStr">
        <is>
          <t>Near 52W High Breakout</t>
        </is>
      </c>
      <c r="S55" s="31" t="inlineStr">
        <is>
          <t>Nifty IT</t>
        </is>
      </c>
      <c r="T55" s="32" t="n">
        <v>-27.68</v>
      </c>
      <c r="U55" s="32" t="n">
        <v>74.63</v>
      </c>
      <c r="V55" s="32" t="n">
        <v>141.47</v>
      </c>
      <c r="W55" s="32" t="n">
        <v>27.04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IF(B56=0,"",RANK(B56,$B$2:$B$193,0))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THYROCARE</t>
        </is>
      </c>
      <c r="D56" s="31" t="inlineStr">
        <is>
          <t>Thyrocare Technologies Limited</t>
        </is>
      </c>
      <c r="E56" s="31" t="inlineStr">
        <is>
          <t>healthcare</t>
        </is>
      </c>
      <c r="F56" s="31" t="inlineStr">
        <is>
          <t>healthcare</t>
        </is>
      </c>
      <c r="G56" s="31" t="inlineStr">
        <is>
          <t>midcap</t>
        </is>
      </c>
      <c r="H56" s="32" t="n">
        <v>8480.33</v>
      </c>
      <c r="I56" s="32" t="n">
        <v>519.4</v>
      </c>
      <c r="J56" s="32" t="n">
        <v>-2.52</v>
      </c>
      <c r="K56" s="32" t="n">
        <v>259715</v>
      </c>
      <c r="L56" s="31" t="n">
        <v>64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67.84</v>
      </c>
      <c r="P56" s="32" t="n">
        <v>25.68</v>
      </c>
      <c r="Q56" s="32" t="n">
        <v>386.02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10.56</v>
      </c>
      <c r="U56" s="32" t="n">
        <v>55.85</v>
      </c>
      <c r="V56" s="32" t="n">
        <v>40.96</v>
      </c>
      <c r="W56" s="32" t="n">
        <v>20.65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IF(B57=0,"",RANK(B57,$B$2:$B$193,0))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PANACEABIO</t>
        </is>
      </c>
      <c r="D57" s="31" t="inlineStr">
        <is>
          <t>Panacea Biotec Limited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smallcap</t>
        </is>
      </c>
      <c r="H57" s="32" t="n">
        <v>3350.42</v>
      </c>
      <c r="I57" s="32" t="n">
        <v>522.3</v>
      </c>
      <c r="J57" s="32" t="n">
        <v>-4.52</v>
      </c>
      <c r="K57" s="32" t="n">
        <v>1294388</v>
      </c>
      <c r="L57" s="31" t="n">
        <v>58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72.02</v>
      </c>
      <c r="P57" s="32" t="n">
        <v>23.72</v>
      </c>
      <c r="Q57" s="32" t="n">
        <v>369.69</v>
      </c>
      <c r="R57" s="31" t="inlineStr">
        <is>
          <t>Volume Spike &amp; Near 52W High Breakout</t>
        </is>
      </c>
      <c r="S57" s="31" t="inlineStr">
        <is>
          <t>Nifty Pharma</t>
        </is>
      </c>
      <c r="T57" s="32" t="n">
        <v>10.56</v>
      </c>
      <c r="U57" s="32" t="n">
        <v>15.81</v>
      </c>
      <c r="V57" s="32" t="n">
        <v>4.75</v>
      </c>
      <c r="W57" s="32" t="n">
        <v>18.1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IF(B58=0,"",RANK(B58,$B$2:$B$193,0))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DIVGIITTS</t>
        </is>
      </c>
      <c r="D58" s="31" t="inlineStr">
        <is>
          <t>Divgi Torqtransfer Systems Ltd</t>
        </is>
      </c>
      <c r="E58" s="31" t="inlineStr">
        <is>
          <t>auto</t>
        </is>
      </c>
      <c r="F58" s="31" t="inlineStr">
        <is>
          <t>auto ancillaries</t>
        </is>
      </c>
      <c r="G58" s="31" t="inlineStr">
        <is>
          <t>smallcap</t>
        </is>
      </c>
      <c r="H58" s="32" t="n">
        <v>2381.03</v>
      </c>
      <c r="I58" s="32" t="n">
        <v>801.7</v>
      </c>
      <c r="J58" s="32" t="n">
        <v>2.97</v>
      </c>
      <c r="K58" s="32" t="n">
        <v>41279</v>
      </c>
      <c r="L58" s="31" t="n">
        <v>28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59.9</v>
      </c>
      <c r="P58" s="32" t="n">
        <v>27.21</v>
      </c>
      <c r="Q58" s="32" t="n">
        <v>590.22</v>
      </c>
      <c r="R58" s="31" t="inlineStr">
        <is>
          <t>Near 52W High Breakout</t>
        </is>
      </c>
      <c r="S58" s="31" t="inlineStr">
        <is>
          <t>Nifty Auto</t>
        </is>
      </c>
      <c r="T58" s="32" t="n">
        <v>10.56</v>
      </c>
      <c r="U58" s="32" t="n">
        <v>33.75</v>
      </c>
      <c r="V58" s="32" t="n">
        <v>20.97</v>
      </c>
      <c r="W58" s="32" t="n">
        <v>10.27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IF(B59=0,"",RANK(B59,$B$2:$B$193,0))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WELCORP</t>
        </is>
      </c>
      <c r="D59" s="31" t="inlineStr">
        <is>
          <t>Welspun Corp Limited</t>
        </is>
      </c>
      <c r="E59" s="31" t="inlineStr">
        <is>
          <t>industrials</t>
        </is>
      </c>
      <c r="F59" s="31" t="inlineStr">
        <is>
          <t>steel - large</t>
        </is>
      </c>
      <c r="G59" s="31" t="inlineStr">
        <is>
          <t>largecap</t>
        </is>
      </c>
      <c r="H59" s="32" t="n">
        <v>36149.87</v>
      </c>
      <c r="I59" s="32" t="n">
        <v>1389.4</v>
      </c>
      <c r="J59" s="32" t="n">
        <v>1.39</v>
      </c>
      <c r="K59" s="32" t="n">
        <v>469127</v>
      </c>
      <c r="L59" s="31" t="n">
        <v>80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81.70999999999999</v>
      </c>
      <c r="P59" s="32" t="n">
        <v>50</v>
      </c>
      <c r="Q59" s="32" t="n">
        <v>1128.67</v>
      </c>
      <c r="R59" s="31" t="inlineStr">
        <is>
          <t>Near 52W High Breakout</t>
        </is>
      </c>
      <c r="S59" s="31" t="inlineStr">
        <is>
          <t>Nifty Metal</t>
        </is>
      </c>
      <c r="T59" s="32" t="n">
        <v>37.53</v>
      </c>
      <c r="U59" s="32" t="n">
        <v>54.27</v>
      </c>
      <c r="V59" s="32" t="n">
        <v>12.17</v>
      </c>
      <c r="W59" s="32" t="n">
        <v>27.2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IF(B60=0,"",RANK(B60,$B$2:$B$193,0))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SANGAMIND</t>
        </is>
      </c>
      <c r="D60" s="31" t="inlineStr">
        <is>
          <t>Sangam (india) Limited</t>
        </is>
      </c>
      <c r="E60" s="31" t="inlineStr">
        <is>
          <t>textiles</t>
        </is>
      </c>
      <c r="F60" s="31" t="inlineStr">
        <is>
          <t>textiles - spinning - synthetic / blended</t>
        </is>
      </c>
      <c r="G60" s="31" t="inlineStr">
        <is>
          <t>smallcap</t>
        </is>
      </c>
      <c r="H60" s="32" t="n">
        <v>2653.77</v>
      </c>
      <c r="I60" s="32" t="n">
        <v>529.35</v>
      </c>
      <c r="J60" s="32" t="n">
        <v>0.23</v>
      </c>
      <c r="K60" s="32" t="n">
        <v>19046</v>
      </c>
      <c r="L60" s="31" t="n">
        <v>28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64.31</v>
      </c>
      <c r="P60" s="32" t="n">
        <v>28.64</v>
      </c>
      <c r="Q60" s="32" t="n">
        <v>408.04</v>
      </c>
      <c r="R60" s="31" t="inlineStr">
        <is>
          <t>Near 52W High Breakout</t>
        </is>
      </c>
      <c r="S60" s="31" t="inlineStr">
        <is>
          <t>Nifty 50</t>
        </is>
      </c>
      <c r="T60" s="32" t="n">
        <v>-6.3</v>
      </c>
      <c r="U60" s="32" t="n">
        <v>26.76</v>
      </c>
      <c r="V60" s="32" t="n">
        <v>35.28</v>
      </c>
      <c r="W60" s="32" t="n">
        <v>10.31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IF(B61=0,"",RANK(B61,$B$2:$B$193,0))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NRBBEARING</t>
        </is>
      </c>
      <c r="D61" s="31" t="inlineStr">
        <is>
          <t>Nrb Bearing Limited</t>
        </is>
      </c>
      <c r="E61" s="31" t="inlineStr">
        <is>
          <t>industrials</t>
        </is>
      </c>
      <c r="F61" s="31" t="inlineStr">
        <is>
          <t>bearings</t>
        </is>
      </c>
      <c r="G61" s="31" t="inlineStr">
        <is>
          <t>smallcap</t>
        </is>
      </c>
      <c r="H61" s="32" t="n">
        <v>4227.76</v>
      </c>
      <c r="I61" s="32" t="n">
        <v>435.7</v>
      </c>
      <c r="J61" s="32" t="n">
        <v>-0.11</v>
      </c>
      <c r="K61" s="32" t="n">
        <v>874828</v>
      </c>
      <c r="L61" s="31" t="n">
        <v>82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79.86</v>
      </c>
      <c r="P61" s="32" t="n">
        <v>29.49</v>
      </c>
      <c r="Q61" s="32" t="n">
        <v>340.73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-6.3</v>
      </c>
      <c r="U61" s="32" t="n">
        <v>78.08</v>
      </c>
      <c r="V61" s="32" t="n">
        <v>90.05</v>
      </c>
      <c r="W61" s="32" t="n">
        <v>29.95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IF(B62=0,"",RANK(B62,$B$2:$B$193,0))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ICIL</t>
        </is>
      </c>
      <c r="D62" s="31" t="inlineStr">
        <is>
          <t>Indo Count Industries Limited</t>
        </is>
      </c>
      <c r="E62" s="31" t="inlineStr">
        <is>
          <t>textiles</t>
        </is>
      </c>
      <c r="F62" s="31" t="inlineStr">
        <is>
          <t>textiles - cotton/blended</t>
        </is>
      </c>
      <c r="G62" s="31" t="inlineStr">
        <is>
          <t>midcap</t>
        </is>
      </c>
      <c r="H62" s="32" t="n">
        <v>6453.6</v>
      </c>
      <c r="I62" s="32" t="n">
        <v>324.1</v>
      </c>
      <c r="J62" s="32" t="n">
        <v>-0.54</v>
      </c>
      <c r="K62" s="32" t="n">
        <v>242954</v>
      </c>
      <c r="L62" s="31" t="n">
        <v>37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60.41</v>
      </c>
      <c r="P62" s="32" t="n">
        <v>24.39</v>
      </c>
      <c r="Q62" s="32" t="n">
        <v>232.63</v>
      </c>
      <c r="R62" s="31" t="inlineStr">
        <is>
          <t>Near 52W High Breakout</t>
        </is>
      </c>
      <c r="S62" s="31" t="inlineStr">
        <is>
          <t>Nifty 50</t>
        </is>
      </c>
      <c r="T62" s="32" t="n">
        <v>-6.3</v>
      </c>
      <c r="U62" s="32" t="n">
        <v>19.57</v>
      </c>
      <c r="V62" s="32" t="n">
        <v>27.61</v>
      </c>
      <c r="W62" s="32" t="n">
        <v>12.78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IF(B63=0,"",RANK(B63,$B$2:$B$193,0))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SANSERA</t>
        </is>
      </c>
      <c r="D63" s="31" t="inlineStr">
        <is>
          <t>Sansera Engineering Ltd</t>
        </is>
      </c>
      <c r="E63" s="31" t="inlineStr">
        <is>
          <t>auto</t>
        </is>
      </c>
      <c r="F63" s="31" t="inlineStr">
        <is>
          <t>auto ancillaries</t>
        </is>
      </c>
      <c r="G63" s="31" t="inlineStr">
        <is>
          <t>midcap</t>
        </is>
      </c>
      <c r="H63" s="32" t="n">
        <v>17959.73</v>
      </c>
      <c r="I63" s="32" t="n">
        <v>2861.5</v>
      </c>
      <c r="J63" s="32" t="n">
        <v>-0.6899999999999999</v>
      </c>
      <c r="K63" s="32" t="n">
        <v>155158</v>
      </c>
      <c r="L63" s="31" t="n">
        <v>79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70.62</v>
      </c>
      <c r="P63" s="32" t="n">
        <v>39.85</v>
      </c>
      <c r="Q63" s="32" t="n">
        <v>2288.85</v>
      </c>
      <c r="R63" s="31" t="inlineStr">
        <is>
          <t>Near 52W High Breakout</t>
        </is>
      </c>
      <c r="S63" s="31" t="inlineStr">
        <is>
          <t>Nifty Auto</t>
        </is>
      </c>
      <c r="T63" s="32" t="n">
        <v>10.56</v>
      </c>
      <c r="U63" s="32" t="n">
        <v>118.23</v>
      </c>
      <c r="V63" s="32" t="n">
        <v>97.39</v>
      </c>
      <c r="W63" s="32" t="n">
        <v>27.19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IF(B64=0,"",RANK(B64,$B$2:$B$193,0))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GRINDWELL</t>
        </is>
      </c>
      <c r="D64" s="31" t="inlineStr">
        <is>
          <t>Grindwell Norton Limited</t>
        </is>
      </c>
      <c r="E64" s="31" t="inlineStr">
        <is>
          <t>industrials</t>
        </is>
      </c>
      <c r="F64" s="31" t="inlineStr">
        <is>
          <t>abrasives and grinding wheels</t>
        </is>
      </c>
      <c r="G64" s="31" t="inlineStr">
        <is>
          <t>largecap</t>
        </is>
      </c>
      <c r="H64" s="32" t="n">
        <v>21200.67</v>
      </c>
      <c r="I64" s="32" t="n">
        <v>1895.2</v>
      </c>
      <c r="J64" s="32" t="n">
        <v>-1.02</v>
      </c>
      <c r="K64" s="32" t="n">
        <v>65353</v>
      </c>
      <c r="L64" s="31" t="n">
        <v>22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62.28</v>
      </c>
      <c r="P64" s="32" t="n">
        <v>28.25</v>
      </c>
      <c r="Q64" s="32" t="n">
        <v>1589.83</v>
      </c>
      <c r="R64" s="31" t="inlineStr">
        <is>
          <t>Near 52W High Breakout</t>
        </is>
      </c>
      <c r="S64" s="31" t="inlineStr">
        <is>
          <t>Nifty Infra</t>
        </is>
      </c>
      <c r="T64" s="32" t="n">
        <v>0.59</v>
      </c>
      <c r="U64" s="32" t="n">
        <v>7.46</v>
      </c>
      <c r="V64" s="32" t="n">
        <v>6.83</v>
      </c>
      <c r="W64" s="32" t="n">
        <v>8.859999999999999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IF(B65=0,"",RANK(B65,$B$2:$B$193,0))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HITECHCORP</t>
        </is>
      </c>
      <c r="D65" s="31" t="inlineStr">
        <is>
          <t>Hitech Corporation</t>
        </is>
      </c>
      <c r="E65" s="31" t="inlineStr">
        <is>
          <t>industrials</t>
        </is>
      </c>
      <c r="F65" s="31" t="inlineStr">
        <is>
          <t>packaging</t>
        </is>
      </c>
      <c r="G65" s="31" t="inlineStr">
        <is>
          <t>smallcap</t>
        </is>
      </c>
      <c r="H65" s="32" t="n">
        <v>540.4299999999999</v>
      </c>
      <c r="I65" s="32" t="n">
        <v>310.74</v>
      </c>
      <c r="J65" s="32" t="n">
        <v>-1.24</v>
      </c>
      <c r="K65" s="32" t="n">
        <v>21169</v>
      </c>
      <c r="L65" s="31" t="n">
        <v>94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80.75</v>
      </c>
      <c r="P65" s="32" t="n">
        <v>34.95</v>
      </c>
      <c r="Q65" s="32" t="n">
        <v>233.67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-6.3</v>
      </c>
      <c r="U65" s="32" t="n">
        <v>64</v>
      </c>
      <c r="V65" s="32" t="n">
        <v>75.03</v>
      </c>
      <c r="W65" s="32" t="n">
        <v>47.36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IF(B66=0,"",RANK(B66,$B$2:$B$193,0))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RAIN</t>
        </is>
      </c>
      <c r="D66" s="31" t="inlineStr">
        <is>
          <t>Rain Industries Limited</t>
        </is>
      </c>
      <c r="E66" s="31" t="inlineStr">
        <is>
          <t>miscellaneous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6670.74</v>
      </c>
      <c r="I66" s="32" t="n">
        <v>194.69</v>
      </c>
      <c r="J66" s="32" t="n">
        <v>-1.84</v>
      </c>
      <c r="K66" s="32" t="n">
        <v>3095546</v>
      </c>
      <c r="L66" s="31" t="n">
        <v>74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71.09999999999999</v>
      </c>
      <c r="P66" s="32" t="n">
        <v>22.01</v>
      </c>
      <c r="Q66" s="32" t="n">
        <v>146.64</v>
      </c>
      <c r="R66" s="31" t="inlineStr">
        <is>
          <t>Near 52W High Breakout</t>
        </is>
      </c>
      <c r="S66" s="31" t="inlineStr">
        <is>
          <t>Nifty 50</t>
        </is>
      </c>
      <c r="T66" s="32" t="n">
        <v>-6.3</v>
      </c>
      <c r="U66" s="32" t="n">
        <v>31.48</v>
      </c>
      <c r="V66" s="32" t="n">
        <v>40.31</v>
      </c>
      <c r="W66" s="32" t="n">
        <v>24.57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IF(B67=0,"",RANK(B67,$B$2:$B$193,0))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HSCL</t>
        </is>
      </c>
      <c r="D67" s="31" t="inlineStr">
        <is>
          <t>Himadri Speciality Chemical Limited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largecap</t>
        </is>
      </c>
      <c r="H67" s="32" t="n">
        <v>34964.73</v>
      </c>
      <c r="I67" s="32" t="n">
        <v>680.05</v>
      </c>
      <c r="J67" s="32" t="n">
        <v>-1.87</v>
      </c>
      <c r="K67" s="32" t="n">
        <v>12918718</v>
      </c>
      <c r="L67" s="31" t="n">
        <v>65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72.90000000000001</v>
      </c>
      <c r="P67" s="32" t="n">
        <v>30.36</v>
      </c>
      <c r="Q67" s="32" t="n">
        <v>521.61</v>
      </c>
      <c r="R67" s="31" t="inlineStr">
        <is>
          <t>Near 52W High Breakout</t>
        </is>
      </c>
      <c r="S67" s="31" t="inlineStr">
        <is>
          <t>Nifty 50</t>
        </is>
      </c>
      <c r="T67" s="32" t="n">
        <v>-6.3</v>
      </c>
      <c r="U67" s="32" t="n">
        <v>45.06</v>
      </c>
      <c r="V67" s="32" t="n">
        <v>54.81</v>
      </c>
      <c r="W67" s="32" t="n">
        <v>20.76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IF(B68=0,"",RANK(B68,$B$2:$B$193,0))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PARAS</t>
        </is>
      </c>
      <c r="D68" s="31" t="inlineStr">
        <is>
          <t>Paras Defence and Space Technologies Ltd</t>
        </is>
      </c>
      <c r="E68" s="31" t="inlineStr">
        <is>
          <t>aerospace &amp; defence</t>
        </is>
      </c>
      <c r="F68" s="31" t="inlineStr">
        <is>
          <t>engineering</t>
        </is>
      </c>
      <c r="G68" s="31" t="inlineStr">
        <is>
          <t>midcap</t>
        </is>
      </c>
      <c r="H68" s="32" t="n">
        <v>8385.110000000001</v>
      </c>
      <c r="I68" s="32" t="n">
        <v>989.1</v>
      </c>
      <c r="J68" s="32" t="n">
        <v>-4.94</v>
      </c>
      <c r="K68" s="32" t="n">
        <v>3765768</v>
      </c>
      <c r="L68" s="31" t="n">
        <v>55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68.63</v>
      </c>
      <c r="P68" s="32" t="n">
        <v>38.03</v>
      </c>
      <c r="Q68" s="32" t="n">
        <v>715.01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-6.3</v>
      </c>
      <c r="U68" s="32" t="n">
        <v>21.81</v>
      </c>
      <c r="V68" s="32" t="n">
        <v>29.99</v>
      </c>
      <c r="W68" s="32" t="n">
        <v>17.4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IF(B69=0,"",RANK(B69,$B$2:$B$193,0))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CEMPRO</t>
        </is>
      </c>
      <c r="D69" s="31" t="inlineStr">
        <is>
          <t>Cemindia Projects Ltd</t>
        </is>
      </c>
      <c r="E69" s="31" t="inlineStr">
        <is>
          <t>realty</t>
        </is>
      </c>
      <c r="F69" s="31" t="inlineStr">
        <is>
          <t>construction</t>
        </is>
      </c>
      <c r="G69" s="31" t="inlineStr">
        <is>
          <t>largecap</t>
        </is>
      </c>
      <c r="H69" s="32" t="n">
        <v>21251.84</v>
      </c>
      <c r="I69" s="32" t="n">
        <v>1175.3</v>
      </c>
      <c r="J69" s="32" t="n">
        <v>-5</v>
      </c>
      <c r="K69" s="32" t="n">
        <v>699687</v>
      </c>
      <c r="L69" s="31" t="n">
        <v>92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76.90000000000001</v>
      </c>
      <c r="P69" s="32" t="n">
        <v>37.3</v>
      </c>
      <c r="Q69" s="32" t="n">
        <v>883.8200000000001</v>
      </c>
      <c r="R69" s="31" t="inlineStr">
        <is>
          <t>Near 52W High Breakout</t>
        </is>
      </c>
      <c r="S69" s="31" t="inlineStr">
        <is>
          <t>Nifty Realty</t>
        </is>
      </c>
      <c r="T69" s="32" t="n">
        <v>-26.19</v>
      </c>
      <c r="U69" s="32" t="n">
        <v>53.06</v>
      </c>
      <c r="V69" s="32" t="n">
        <v>107.35</v>
      </c>
      <c r="W69" s="32" t="n">
        <v>41.71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IF(B70=0,"",RANK(B70,$B$2:$B$193,0))</f>
        <v/>
      </c>
      <c r="B70" s="32">
        <f>SUM(N70,Y70,AA70,AC70,AE70,AG70,AI70,AK70,AM70,AO70,AQ70,AS70,AU70,AW70,AY70,BA70,BC70,BE70,BG70,BI70,BK70,BM70,BO70,BQ70,BS70,BU70,BW70,BY70,CA70,CC70,CE70)</f>
        <v/>
      </c>
      <c r="C70" s="33" t="inlineStr">
        <is>
          <t>CAPLIPOINT</t>
        </is>
      </c>
      <c r="D70" s="33" t="inlineStr">
        <is>
          <t>Caplin Point Laboratories Limited</t>
        </is>
      </c>
      <c r="E70" s="31" t="inlineStr">
        <is>
          <t>healthcare</t>
        </is>
      </c>
      <c r="F70" s="31" t="inlineStr">
        <is>
          <t>pharmaceuticals - indian - formulations</t>
        </is>
      </c>
      <c r="G70" s="31" t="inlineStr">
        <is>
          <t>midcap</t>
        </is>
      </c>
      <c r="H70" s="32" t="n">
        <v>17554.14</v>
      </c>
      <c r="I70" s="32" t="n">
        <v>2331</v>
      </c>
      <c r="J70" s="32" t="n">
        <v>0.9399999999999999</v>
      </c>
      <c r="K70" s="32" t="n">
        <v>286180</v>
      </c>
      <c r="L70" s="31" t="n">
        <v>32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74.68000000000001</v>
      </c>
      <c r="P70" s="32" t="n">
        <v>24.15</v>
      </c>
      <c r="Q70" s="32" t="n">
        <v>1903.02</v>
      </c>
      <c r="R70" s="31" t="inlineStr">
        <is>
          <t>Volume Spike &amp; Near 52W High Breakout</t>
        </is>
      </c>
      <c r="S70" s="31" t="inlineStr">
        <is>
          <t>Nifty Pharma</t>
        </is>
      </c>
      <c r="T70" s="32" t="n">
        <v>10.56</v>
      </c>
      <c r="U70" s="32" t="n">
        <v>9.27</v>
      </c>
      <c r="V70" s="32" t="n">
        <v>-1.17</v>
      </c>
      <c r="W70" s="32" t="n">
        <v>11.63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IF(B71=0,"",RANK(B71,$B$2:$B$193,0))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LAURUSLABS</t>
        </is>
      </c>
      <c r="D71" s="31" t="inlineStr">
        <is>
          <t>Laurus Labs Limited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largecap</t>
        </is>
      </c>
      <c r="H71" s="32" t="n">
        <v>74807.92999999999</v>
      </c>
      <c r="I71" s="32" t="n">
        <v>1390.8</v>
      </c>
      <c r="J71" s="32" t="n">
        <v>0.37</v>
      </c>
      <c r="K71" s="32" t="n">
        <v>1505571</v>
      </c>
      <c r="L71" s="31" t="n">
        <v>75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72.55</v>
      </c>
      <c r="P71" s="32" t="n">
        <v>32.85</v>
      </c>
      <c r="Q71" s="32" t="n">
        <v>1223.2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10.56</v>
      </c>
      <c r="U71" s="32" t="n">
        <v>109.02</v>
      </c>
      <c r="V71" s="32" t="n">
        <v>89.06</v>
      </c>
      <c r="W71" s="32" t="n">
        <v>24.82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IF(B72=0,"",RANK(B72,$B$2:$B$193,0))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SAILIFE</t>
        </is>
      </c>
      <c r="D72" s="31" t="inlineStr">
        <is>
          <t>Sai Life Sciences Ltd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largecap</t>
        </is>
      </c>
      <c r="H72" s="32" t="n">
        <v>25161.49</v>
      </c>
      <c r="I72" s="32" t="n">
        <v>1181.2</v>
      </c>
      <c r="J72" s="32" t="n">
        <v>-0.58</v>
      </c>
      <c r="K72" s="32" t="n">
        <v>222202</v>
      </c>
      <c r="L72" s="31" t="n">
        <v>42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69.33</v>
      </c>
      <c r="P72" s="32" t="n">
        <v>29.32</v>
      </c>
      <c r="Q72" s="32" t="n">
        <v>939.34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10.56</v>
      </c>
      <c r="U72" s="32" t="n">
        <v>53.4</v>
      </c>
      <c r="V72" s="32" t="n">
        <v>38.75</v>
      </c>
      <c r="W72" s="32" t="n">
        <v>14.05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IF(B73=0,"",RANK(B73,$B$2:$B$193,0))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ORCHPHARMA</t>
        </is>
      </c>
      <c r="D73" s="31" t="inlineStr">
        <is>
          <t>Orchid Pharma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smallcap</t>
        </is>
      </c>
      <c r="H73" s="32" t="n">
        <v>4315.94</v>
      </c>
      <c r="I73" s="32" t="n">
        <v>845.95</v>
      </c>
      <c r="J73" s="32" t="n">
        <v>-0.59</v>
      </c>
      <c r="K73" s="32" t="n">
        <v>166387</v>
      </c>
      <c r="L73" s="31" t="n">
        <v>67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67.28</v>
      </c>
      <c r="P73" s="32" t="n">
        <v>35.32</v>
      </c>
      <c r="Q73" s="32" t="n">
        <v>639.92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10.56</v>
      </c>
      <c r="U73" s="32" t="n">
        <v>18.46</v>
      </c>
      <c r="V73" s="32" t="n">
        <v>7.15</v>
      </c>
      <c r="W73" s="32" t="n">
        <v>21.95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IF(B74=0,"",RANK(B74,$B$2:$B$193,0))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IPCALAB</t>
        </is>
      </c>
      <c r="D74" s="31" t="inlineStr">
        <is>
          <t>Ipca Laboratories Limited</t>
        </is>
      </c>
      <c r="E74" s="31" t="inlineStr">
        <is>
          <t>healthcare</t>
        </is>
      </c>
      <c r="F74" s="31" t="inlineStr">
        <is>
          <t>pharmaceuticals - indian - bulk drugs &amp; formln</t>
        </is>
      </c>
      <c r="G74" s="31" t="inlineStr">
        <is>
          <t>largecap</t>
        </is>
      </c>
      <c r="H74" s="32" t="n">
        <v>41358.86</v>
      </c>
      <c r="I74" s="32" t="n">
        <v>1613.6</v>
      </c>
      <c r="J74" s="32" t="n">
        <v>-1.02</v>
      </c>
      <c r="K74" s="32" t="n">
        <v>86082</v>
      </c>
      <c r="L74" s="31" t="n">
        <v>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57.41</v>
      </c>
      <c r="P74" s="32" t="n">
        <v>33.29</v>
      </c>
      <c r="Q74" s="32" t="n">
        <v>1317.61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10.56</v>
      </c>
      <c r="U74" s="32" t="n">
        <v>18.08</v>
      </c>
      <c r="V74" s="32" t="n">
        <v>6.8</v>
      </c>
      <c r="W74" s="32" t="n">
        <v>4.18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IF(B75=0,"",RANK(B75,$B$2:$B$193,0))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ACUTAAS</t>
        </is>
      </c>
      <c r="D75" s="31" t="inlineStr">
        <is>
          <t>Acutaas Chemicals Ltd</t>
        </is>
      </c>
      <c r="E75" s="31" t="inlineStr">
        <is>
          <t>healthcare</t>
        </is>
      </c>
      <c r="F75" s="31" t="inlineStr">
        <is>
          <t>pharmaceuticals - indian - bulk drugs</t>
        </is>
      </c>
      <c r="G75" s="31" t="inlineStr">
        <is>
          <t>largecap</t>
        </is>
      </c>
      <c r="H75" s="32" t="n">
        <v>26256.07</v>
      </c>
      <c r="I75" s="32" t="n">
        <v>3128.1</v>
      </c>
      <c r="J75" s="32" t="n">
        <v>-2.46</v>
      </c>
      <c r="K75" s="32" t="n">
        <v>427084</v>
      </c>
      <c r="L75" s="31" t="n">
        <v>87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71.09</v>
      </c>
      <c r="P75" s="32" t="n">
        <v>65.37</v>
      </c>
      <c r="Q75" s="32" t="n">
        <v>2575.1</v>
      </c>
      <c r="R75" s="31" t="inlineStr">
        <is>
          <t>Earnings / Momentum Support</t>
        </is>
      </c>
      <c r="S75" s="31" t="inlineStr">
        <is>
          <t>Nifty Pharma</t>
        </is>
      </c>
      <c r="T75" s="32" t="n">
        <v>10.56</v>
      </c>
      <c r="U75" s="32" t="n">
        <v>183.45</v>
      </c>
      <c r="V75" s="32" t="n">
        <v>156.38</v>
      </c>
      <c r="W75" s="32" t="n">
        <v>34.3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IF(B76=0,"",RANK(B76,$B$2:$B$193,0))</f>
        <v/>
      </c>
      <c r="B76" s="32">
        <f>SUM(N76,Y76,AA76,AC76,AE76,AG76,AI76,AK76,AM76,AO76,AQ76,AS76,AU76,AW76,AY76,BA76,BC76,BE76,BG76,BI76,BK76,BM76,BO76,BQ76,BS76,BU76,BW76,BY76,CA76,CC76,CE76)</f>
        <v/>
      </c>
      <c r="C76" s="33" t="inlineStr">
        <is>
          <t>SHILPAMED</t>
        </is>
      </c>
      <c r="D76" s="33" t="inlineStr">
        <is>
          <t>Shilpa Medicare Limited</t>
        </is>
      </c>
      <c r="E76" s="31" t="inlineStr">
        <is>
          <t>healthcare</t>
        </is>
      </c>
      <c r="F76" s="31" t="inlineStr">
        <is>
          <t>pharmaceuticals - indian - formulations</t>
        </is>
      </c>
      <c r="G76" s="31" t="inlineStr">
        <is>
          <t>midcap</t>
        </is>
      </c>
      <c r="H76" s="32" t="n">
        <v>10929.11</v>
      </c>
      <c r="I76" s="32" t="n">
        <v>538.85</v>
      </c>
      <c r="J76" s="32" t="n">
        <v>-3.57</v>
      </c>
      <c r="K76" s="32" t="n">
        <v>695284</v>
      </c>
      <c r="L76" s="31" t="n">
        <v>64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78.88</v>
      </c>
      <c r="P76" s="32" t="n">
        <v>44.75</v>
      </c>
      <c r="Q76" s="32" t="n">
        <v>416.03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10.56</v>
      </c>
      <c r="U76" s="32" t="n">
        <v>9.449999999999999</v>
      </c>
      <c r="V76" s="32" t="n">
        <v>-1</v>
      </c>
      <c r="W76" s="32" t="n">
        <v>20.61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IF(B77=0,"",RANK(B77,$B$2:$B$193,0))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SIGMAADV</t>
        </is>
      </c>
      <c r="D77" s="31" t="inlineStr">
        <is>
          <t>Sigma Advanced System Ltd</t>
        </is>
      </c>
      <c r="E77" s="31" t="inlineStr">
        <is>
          <t>aerospace &amp; defence</t>
        </is>
      </c>
      <c r="F77" s="31" t="inlineStr">
        <is>
          <t>electronics - components</t>
        </is>
      </c>
      <c r="G77" s="31" t="inlineStr">
        <is>
          <t>midcap</t>
        </is>
      </c>
      <c r="H77" s="32" t="n">
        <v>8094.69</v>
      </c>
      <c r="I77" s="32" t="n">
        <v>482.25</v>
      </c>
      <c r="J77" s="32" t="n">
        <v>5</v>
      </c>
      <c r="K77" s="32" t="n">
        <v>830361</v>
      </c>
      <c r="L77" s="31" t="n">
        <v>99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86.22</v>
      </c>
      <c r="P77" s="32" t="n">
        <v>38.85</v>
      </c>
      <c r="Q77" s="32" t="n">
        <v>367.61</v>
      </c>
      <c r="R77" s="31" t="inlineStr">
        <is>
          <t>Near 52W High Breakout</t>
        </is>
      </c>
      <c r="S77" s="31" t="inlineStr">
        <is>
          <t>Nifty 50</t>
        </is>
      </c>
      <c r="T77" s="32" t="n">
        <v>-6.3</v>
      </c>
      <c r="U77" s="32" t="n">
        <v>387.22</v>
      </c>
      <c r="V77" s="32" t="n">
        <v>419.97</v>
      </c>
      <c r="W77" s="32" t="n">
        <v>103.74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IF(B78=0,"",RANK(B78,$B$2:$B$193,0))</f>
        <v/>
      </c>
      <c r="B78" s="32">
        <f>SUM(N78,Y78,AA78,AC78,AE78,AG78,AI78,AK78,AM78,AO78,AQ78,AS78,AU78,AW78,AY78,BA78,BC78,BE78,BG78,BI78,BK78,BM78,BO78,BQ78,BS78,BU78,BW78,BY78,CA78,CC78,CE78)</f>
        <v/>
      </c>
      <c r="C78" s="33" t="inlineStr">
        <is>
          <t>GREENPLY</t>
        </is>
      </c>
      <c r="D78" s="33" t="inlineStr">
        <is>
          <t>Greenply Industries Limited</t>
        </is>
      </c>
      <c r="E78" s="31" t="inlineStr">
        <is>
          <t>building materials</t>
        </is>
      </c>
      <c r="F78" s="31" t="inlineStr">
        <is>
          <t>miscellaneous</t>
        </is>
      </c>
      <c r="G78" s="31" t="inlineStr">
        <is>
          <t>smallcap</t>
        </is>
      </c>
      <c r="H78" s="32" t="n">
        <v>3512.37</v>
      </c>
      <c r="I78" s="32" t="n">
        <v>292.5</v>
      </c>
      <c r="J78" s="32" t="n">
        <v>4.01</v>
      </c>
      <c r="K78" s="32" t="n">
        <v>731685</v>
      </c>
      <c r="L78" s="31" t="n">
        <v>30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62.73</v>
      </c>
      <c r="P78" s="32" t="n">
        <v>28.76</v>
      </c>
      <c r="Q78" s="32" t="n">
        <v>214.56</v>
      </c>
      <c r="R78" s="31" t="inlineStr">
        <is>
          <t>Earnings / Momentum Support</t>
        </is>
      </c>
      <c r="S78" s="31" t="inlineStr">
        <is>
          <t>Nifty Infra</t>
        </is>
      </c>
      <c r="T78" s="32" t="n">
        <v>0.59</v>
      </c>
      <c r="U78" s="32" t="n">
        <v>-12.13</v>
      </c>
      <c r="V78" s="32" t="n">
        <v>-12.64</v>
      </c>
      <c r="W78" s="32" t="n">
        <v>11.02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IF(B79=0,"",RANK(B79,$B$2:$B$193,0))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SIS</t>
        </is>
      </c>
      <c r="D79" s="31" t="inlineStr">
        <is>
          <t>Security &amp; Intelligence Services India</t>
        </is>
      </c>
      <c r="E79" s="31" t="inlineStr">
        <is>
          <t>miscellaneous</t>
        </is>
      </c>
      <c r="F79" s="31" t="inlineStr">
        <is>
          <t>miscellaneous</t>
        </is>
      </c>
      <c r="G79" s="31" t="inlineStr">
        <is>
          <t>midcap</t>
        </is>
      </c>
      <c r="H79" s="32" t="n">
        <v>5869.15</v>
      </c>
      <c r="I79" s="32" t="n">
        <v>428.65</v>
      </c>
      <c r="J79" s="32" t="n">
        <v>3.18</v>
      </c>
      <c r="K79" s="32" t="n">
        <v>376563</v>
      </c>
      <c r="L79" s="31" t="n">
        <v>51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77.16</v>
      </c>
      <c r="P79" s="32" t="n">
        <v>38.55</v>
      </c>
      <c r="Q79" s="32" t="n">
        <v>340.97</v>
      </c>
      <c r="R79" s="31" t="inlineStr">
        <is>
          <t>Near 52W High Breakout</t>
        </is>
      </c>
      <c r="S79" s="31" t="inlineStr">
        <is>
          <t>Nifty 50</t>
        </is>
      </c>
      <c r="T79" s="32" t="n">
        <v>-6.3</v>
      </c>
      <c r="U79" s="32" t="n">
        <v>18.15</v>
      </c>
      <c r="V79" s="32" t="n">
        <v>26.09</v>
      </c>
      <c r="W79" s="32" t="n">
        <v>16.39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IF(B80=0,"",RANK(B80,$B$2:$B$193,0))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MODISONLTD</t>
        </is>
      </c>
      <c r="D80" s="31" t="inlineStr">
        <is>
          <t>Modison Ltd</t>
        </is>
      </c>
      <c r="E80" s="31" t="inlineStr">
        <is>
          <t>industrials</t>
        </is>
      </c>
      <c r="F80" s="31" t="inlineStr">
        <is>
          <t>electric equipment</t>
        </is>
      </c>
      <c r="G80" s="31" t="inlineStr">
        <is>
          <t>smallcap</t>
        </is>
      </c>
      <c r="H80" s="32" t="n">
        <v>1009.36</v>
      </c>
      <c r="I80" s="32" t="n">
        <v>320.95</v>
      </c>
      <c r="J80" s="32" t="n">
        <v>3.18</v>
      </c>
      <c r="K80" s="32" t="n">
        <v>559387</v>
      </c>
      <c r="L80" s="31" t="n">
        <v>98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75.05</v>
      </c>
      <c r="P80" s="32" t="n">
        <v>34.44</v>
      </c>
      <c r="Q80" s="32" t="n">
        <v>270.99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-6.3</v>
      </c>
      <c r="U80" s="32" t="n">
        <v>101.46</v>
      </c>
      <c r="V80" s="32" t="n">
        <v>115</v>
      </c>
      <c r="W80" s="32" t="n">
        <v>63.19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IF(B81=0,"",RANK(B81,$B$2:$B$193,0))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CENTUM</t>
        </is>
      </c>
      <c r="D81" s="31" t="inlineStr">
        <is>
          <t>Centum Electronics Limited</t>
        </is>
      </c>
      <c r="E81" s="31" t="inlineStr">
        <is>
          <t>consumer discretionary</t>
        </is>
      </c>
      <c r="F81" s="31" t="inlineStr">
        <is>
          <t>electronics - components</t>
        </is>
      </c>
      <c r="G81" s="31" t="inlineStr">
        <is>
          <t>smallcap</t>
        </is>
      </c>
      <c r="H81" s="32" t="n">
        <v>4870.42</v>
      </c>
      <c r="I81" s="32" t="n">
        <v>3389.8</v>
      </c>
      <c r="J81" s="32" t="n">
        <v>2.6</v>
      </c>
      <c r="K81" s="32" t="n">
        <v>87006</v>
      </c>
      <c r="L81" s="31" t="n">
        <v>46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64.16</v>
      </c>
      <c r="P81" s="32" t="n">
        <v>56.96</v>
      </c>
      <c r="Q81" s="32" t="n">
        <v>2500.8</v>
      </c>
      <c r="R81" s="31" t="inlineStr">
        <is>
          <t>Near 52W High Breakout</t>
        </is>
      </c>
      <c r="S81" s="31" t="inlineStr">
        <is>
          <t>Nifty Infra</t>
        </is>
      </c>
      <c r="T81" s="32" t="n">
        <v>0.59</v>
      </c>
      <c r="U81" s="32" t="n">
        <v>51.65</v>
      </c>
      <c r="V81" s="32" t="n">
        <v>50.76</v>
      </c>
      <c r="W81" s="32" t="n">
        <v>15.17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IF(B82=0,"",RANK(B82,$B$2:$B$193,0))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RPEL</t>
        </is>
      </c>
      <c r="D82" s="31" t="inlineStr">
        <is>
          <t>Raghav Productivity Enhancers Ltd</t>
        </is>
      </c>
      <c r="E82" s="31" t="inlineStr">
        <is>
          <t>building materials</t>
        </is>
      </c>
      <c r="F82" s="31" t="inlineStr">
        <is>
          <t>refractories / intermediates</t>
        </is>
      </c>
      <c r="G82" s="31" t="inlineStr">
        <is>
          <t>midcap</t>
        </is>
      </c>
      <c r="H82" s="32" t="n">
        <v>5282.63</v>
      </c>
      <c r="I82" s="32" t="n">
        <v>1155.6</v>
      </c>
      <c r="J82" s="32" t="n">
        <v>0.43</v>
      </c>
      <c r="K82" s="32" t="n">
        <v>254165</v>
      </c>
      <c r="L82" s="31" t="n">
        <v>85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75.95999999999999</v>
      </c>
      <c r="P82" s="32" t="n">
        <v>30.26</v>
      </c>
      <c r="Q82" s="32" t="n">
        <v>876.67</v>
      </c>
      <c r="R82" s="31" t="inlineStr">
        <is>
          <t>Near 52W High Breakout</t>
        </is>
      </c>
      <c r="S82" s="31" t="inlineStr">
        <is>
          <t>Nifty Infra</t>
        </is>
      </c>
      <c r="T82" s="32" t="n">
        <v>0.59</v>
      </c>
      <c r="U82" s="32" t="n">
        <v>63.97</v>
      </c>
      <c r="V82" s="32" t="n">
        <v>63</v>
      </c>
      <c r="W82" s="32" t="n">
        <v>32.81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IF(B83=0,"",RANK(B83,$B$2:$B$193,0))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RSWM</t>
        </is>
      </c>
      <c r="D83" s="31" t="inlineStr">
        <is>
          <t>Rswm Limited</t>
        </is>
      </c>
      <c r="E83" s="31" t="inlineStr">
        <is>
          <t>textiles</t>
        </is>
      </c>
      <c r="F83" s="31" t="inlineStr">
        <is>
          <t>textiles - cotton/blended</t>
        </is>
      </c>
      <c r="G83" s="31" t="inlineStr">
        <is>
          <t>smallcap</t>
        </is>
      </c>
      <c r="H83" s="32" t="n">
        <v>969.59</v>
      </c>
      <c r="I83" s="32" t="n">
        <v>205.03</v>
      </c>
      <c r="J83" s="32" t="n">
        <v>-0.4</v>
      </c>
      <c r="K83" s="32" t="n">
        <v>308929</v>
      </c>
      <c r="L83" s="31" t="n">
        <v>47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69.88</v>
      </c>
      <c r="P83" s="32" t="n">
        <v>23.36</v>
      </c>
      <c r="Q83" s="32" t="n">
        <v>153.12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-6.3</v>
      </c>
      <c r="U83" s="32" t="n">
        <v>17.75</v>
      </c>
      <c r="V83" s="32" t="n">
        <v>25.66</v>
      </c>
      <c r="W83" s="32" t="n">
        <v>15.2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IF(B84=0,"",RANK(B84,$B$2:$B$193,0))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GOCLCORP</t>
        </is>
      </c>
      <c r="D84" s="31" t="inlineStr">
        <is>
          <t>Gocl Corporation Limited</t>
        </is>
      </c>
      <c r="E84" s="31" t="inlineStr">
        <is>
          <t>miscellaneous</t>
        </is>
      </c>
      <c r="F84" s="31" t="inlineStr">
        <is>
          <t>diversified - medium / small</t>
        </is>
      </c>
      <c r="G84" s="31" t="inlineStr">
        <is>
          <t>smallcap</t>
        </is>
      </c>
      <c r="H84" s="32" t="n">
        <v>1914.74</v>
      </c>
      <c r="I84" s="32" t="n">
        <v>381.95</v>
      </c>
      <c r="J84" s="32" t="n">
        <v>-1.11</v>
      </c>
      <c r="K84" s="32" t="n">
        <v>37419</v>
      </c>
      <c r="L84" s="31" t="n">
        <v>50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63.69</v>
      </c>
      <c r="P84" s="32" t="n">
        <v>26.76</v>
      </c>
      <c r="Q84" s="32" t="n">
        <v>301.45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-6.3</v>
      </c>
      <c r="U84" s="32" t="n">
        <v>0.6899999999999999</v>
      </c>
      <c r="V84" s="32" t="n">
        <v>7.46</v>
      </c>
      <c r="W84" s="32" t="n">
        <v>16.16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IF(B85=0,"",RANK(B85,$B$2:$B$193,0))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KERNEX</t>
        </is>
      </c>
      <c r="D85" s="31" t="inlineStr">
        <is>
          <t>Kernex Microsystems (india) Limited</t>
        </is>
      </c>
      <c r="E85" s="31" t="inlineStr">
        <is>
          <t>consumer discretionary</t>
        </is>
      </c>
      <c r="F85" s="31" t="inlineStr">
        <is>
          <t>electronics - components</t>
        </is>
      </c>
      <c r="G85" s="31" t="inlineStr">
        <is>
          <t>smallcap</t>
        </is>
      </c>
      <c r="H85" s="32" t="n">
        <v>3234.3</v>
      </c>
      <c r="I85" s="32" t="n">
        <v>1893.7</v>
      </c>
      <c r="J85" s="32" t="n">
        <v>-1.62</v>
      </c>
      <c r="K85" s="32" t="n">
        <v>337363</v>
      </c>
      <c r="L85" s="31" t="n">
        <v>85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71.45999999999999</v>
      </c>
      <c r="P85" s="32" t="n">
        <v>30.94</v>
      </c>
      <c r="Q85" s="32" t="n">
        <v>1374.23</v>
      </c>
      <c r="R85" s="31" t="inlineStr">
        <is>
          <t>Near 52W High Breakout</t>
        </is>
      </c>
      <c r="S85" s="31" t="inlineStr">
        <is>
          <t>Nifty 50</t>
        </is>
      </c>
      <c r="T85" s="32" t="n">
        <v>-6.3</v>
      </c>
      <c r="U85" s="32" t="n">
        <v>45.52</v>
      </c>
      <c r="V85" s="32" t="n">
        <v>55.31</v>
      </c>
      <c r="W85" s="32" t="n">
        <v>31.8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IF(B86=0,"",RANK(B86,$B$2:$B$193,0))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RRKABEL</t>
        </is>
      </c>
      <c r="D86" s="31" t="inlineStr">
        <is>
          <t>R R Kabel Ltd</t>
        </is>
      </c>
      <c r="E86" s="31" t="inlineStr">
        <is>
          <t>industrials</t>
        </is>
      </c>
      <c r="F86" s="31" t="inlineStr">
        <is>
          <t>cables - power</t>
        </is>
      </c>
      <c r="G86" s="31" t="inlineStr">
        <is>
          <t>largecap</t>
        </is>
      </c>
      <c r="H86" s="32" t="n">
        <v>24515.62</v>
      </c>
      <c r="I86" s="32" t="n">
        <v>2128.1</v>
      </c>
      <c r="J86" s="32" t="n">
        <v>-1.82</v>
      </c>
      <c r="K86" s="32" t="n">
        <v>591539</v>
      </c>
      <c r="L86" s="31" t="n">
        <v>70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72.23999999999999</v>
      </c>
      <c r="P86" s="32" t="n">
        <v>35.45</v>
      </c>
      <c r="Q86" s="32" t="n">
        <v>1757.48</v>
      </c>
      <c r="R86" s="31" t="inlineStr">
        <is>
          <t>Near 52W High Breakout</t>
        </is>
      </c>
      <c r="S86" s="31" t="inlineStr">
        <is>
          <t>Nifty Energy</t>
        </is>
      </c>
      <c r="T86" s="32" t="n">
        <v>8.16</v>
      </c>
      <c r="U86" s="32" t="n">
        <v>57.14</v>
      </c>
      <c r="V86" s="32" t="n">
        <v>45.29</v>
      </c>
      <c r="W86" s="32" t="n">
        <v>23.52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IF(B87=0,"",RANK(B87,$B$2:$B$193,0))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MUNJALAU</t>
        </is>
      </c>
      <c r="D87" s="31" t="inlineStr">
        <is>
          <t>Munjal Auto Industries Limited</t>
        </is>
      </c>
      <c r="E87" s="31" t="inlineStr">
        <is>
          <t>auto</t>
        </is>
      </c>
      <c r="F87" s="31" t="inlineStr">
        <is>
          <t>auto ancillaries</t>
        </is>
      </c>
      <c r="G87" s="31" t="inlineStr">
        <is>
          <t>smallcap</t>
        </is>
      </c>
      <c r="H87" s="32" t="n">
        <v>984.6</v>
      </c>
      <c r="I87" s="32" t="n">
        <v>95.51000000000001</v>
      </c>
      <c r="J87" s="32" t="n">
        <v>-3</v>
      </c>
      <c r="K87" s="32" t="n">
        <v>496415</v>
      </c>
      <c r="L87" s="31" t="n">
        <v>30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65.08</v>
      </c>
      <c r="P87" s="32" t="n">
        <v>21.61</v>
      </c>
      <c r="Q87" s="32" t="n">
        <v>71.66</v>
      </c>
      <c r="R87" s="31" t="inlineStr">
        <is>
          <t>Volume Spike / Accumulation</t>
        </is>
      </c>
      <c r="S87" s="31" t="inlineStr">
        <is>
          <t>Nifty Auto</t>
        </is>
      </c>
      <c r="T87" s="32" t="n">
        <v>10.56</v>
      </c>
      <c r="U87" s="32" t="n">
        <v>26.23</v>
      </c>
      <c r="V87" s="32" t="n">
        <v>14.17</v>
      </c>
      <c r="W87" s="32" t="n">
        <v>11.01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IF(B88=0,"",RANK(B88,$B$2:$B$193,0))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IDEAFORGE</t>
        </is>
      </c>
      <c r="D88" s="31" t="inlineStr">
        <is>
          <t>Ideaforge Technology Ltd</t>
        </is>
      </c>
      <c r="E88" s="31" t="inlineStr">
        <is>
          <t>aerospace &amp; defence</t>
        </is>
      </c>
      <c r="F88" s="31" t="inlineStr">
        <is>
          <t>engineering</t>
        </is>
      </c>
      <c r="G88" s="31" t="inlineStr">
        <is>
          <t>smallcap</t>
        </is>
      </c>
      <c r="H88" s="32" t="n">
        <v>3967.1</v>
      </c>
      <c r="I88" s="32" t="n">
        <v>870.9</v>
      </c>
      <c r="J88" s="32" t="n">
        <v>-5</v>
      </c>
      <c r="K88" s="32" t="n">
        <v>375205</v>
      </c>
      <c r="L88" s="31" t="n">
        <v>92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71.77</v>
      </c>
      <c r="P88" s="32" t="n">
        <v>42.43</v>
      </c>
      <c r="Q88" s="32" t="n">
        <v>675.01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-6.3</v>
      </c>
      <c r="U88" s="32" t="n">
        <v>47.6</v>
      </c>
      <c r="V88" s="32" t="n">
        <v>57.52</v>
      </c>
      <c r="W88" s="32" t="n">
        <v>39.07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IF(B89=0,"",RANK(B89,$B$2:$B$193,0))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VADILALIND</t>
        </is>
      </c>
      <c r="D89" s="31" t="inlineStr">
        <is>
          <t>Vadilal Industries Limited</t>
        </is>
      </c>
      <c r="E89" s="31" t="inlineStr">
        <is>
          <t>fmcg</t>
        </is>
      </c>
      <c r="F89" s="31" t="inlineStr">
        <is>
          <t>food - processing - indian</t>
        </is>
      </c>
      <c r="G89" s="31" t="inlineStr">
        <is>
          <t>smallcap</t>
        </is>
      </c>
      <c r="H89" s="32" t="n">
        <v>4260.08</v>
      </c>
      <c r="I89" s="32" t="n">
        <v>5940.9</v>
      </c>
      <c r="J89" s="32" t="n">
        <v>0.24</v>
      </c>
      <c r="K89" s="32" t="n">
        <v>36437</v>
      </c>
      <c r="L89" s="31" t="n">
        <v>20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65.70999999999999</v>
      </c>
      <c r="P89" s="32" t="n">
        <v>12.8</v>
      </c>
      <c r="Q89" s="32" t="n">
        <v>4537.9</v>
      </c>
      <c r="R89" s="31" t="inlineStr">
        <is>
          <t>Near 52W High Breakout</t>
        </is>
      </c>
      <c r="S89" s="31" t="inlineStr">
        <is>
          <t>Nifty FMCG</t>
        </is>
      </c>
      <c r="T89" s="32" t="n">
        <v>-11.01</v>
      </c>
      <c r="U89" s="32" t="n">
        <v>11.77</v>
      </c>
      <c r="V89" s="32" t="n">
        <v>25.6</v>
      </c>
      <c r="W89" s="32" t="n">
        <v>8.4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IF(B90=0,"",RANK(B90,$B$2:$B$193,0))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BLSE</t>
        </is>
      </c>
      <c r="D90" s="31" t="inlineStr">
        <is>
          <t>BLS E-Services Ltd</t>
        </is>
      </c>
      <c r="E90" s="31" t="inlineStr">
        <is>
          <t>i.t</t>
        </is>
      </c>
      <c r="F90" s="31" t="inlineStr">
        <is>
          <t>computers - software - medium / small</t>
        </is>
      </c>
      <c r="G90" s="31" t="inlineStr">
        <is>
          <t>smallcap</t>
        </is>
      </c>
      <c r="H90" s="32" t="n">
        <v>2052.45</v>
      </c>
      <c r="I90" s="32" t="n">
        <v>225.19</v>
      </c>
      <c r="J90" s="32" t="n">
        <v>-0.31</v>
      </c>
      <c r="K90" s="32" t="n">
        <v>145133</v>
      </c>
      <c r="L90" s="31" t="n">
        <v>60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66.65000000000001</v>
      </c>
      <c r="P90" s="32" t="n">
        <v>21.72</v>
      </c>
      <c r="Q90" s="32" t="n">
        <v>176.66</v>
      </c>
      <c r="R90" s="31" t="inlineStr">
        <is>
          <t>Near 52W High Breakout</t>
        </is>
      </c>
      <c r="S90" s="31" t="inlineStr">
        <is>
          <t>Nifty IT</t>
        </is>
      </c>
      <c r="T90" s="32" t="n">
        <v>-27.68</v>
      </c>
      <c r="U90" s="32" t="n">
        <v>9.279999999999999</v>
      </c>
      <c r="V90" s="32" t="n">
        <v>51.11</v>
      </c>
      <c r="W90" s="32" t="n">
        <v>18.46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IF(B91=0,"",RANK(B91,$B$2:$B$193,0))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VIYASH</t>
        </is>
      </c>
      <c r="D91" s="31" t="inlineStr">
        <is>
          <t>Viyash Scientific Ltd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midcap</t>
        </is>
      </c>
      <c r="H91" s="32" t="n">
        <v>11021.75</v>
      </c>
      <c r="I91" s="32" t="n">
        <v>249.2</v>
      </c>
      <c r="J91" s="32" t="n">
        <v>-1.23</v>
      </c>
      <c r="K91" s="32" t="n">
        <v>1477178</v>
      </c>
      <c r="L91" s="31" t="n">
        <v>30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64.76000000000001</v>
      </c>
      <c r="P91" s="32" t="n">
        <v>30.46</v>
      </c>
      <c r="Q91" s="32" t="n">
        <v>197.49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10.56</v>
      </c>
      <c r="U91" s="32" t="n">
        <v>26.33</v>
      </c>
      <c r="V91" s="32" t="n">
        <v>14.26</v>
      </c>
      <c r="W91" s="32" t="n">
        <v>10.82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IF(B92=0,"",RANK(B92,$B$2:$B$193,0))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SUVEN</t>
        </is>
      </c>
      <c r="D92" s="31" t="inlineStr">
        <is>
          <t>Suven Life Sciences Limited</t>
        </is>
      </c>
      <c r="E92" s="31" t="inlineStr">
        <is>
          <t>healthcare</t>
        </is>
      </c>
      <c r="F92" s="31" t="inlineStr">
        <is>
          <t>miscellaneous</t>
        </is>
      </c>
      <c r="G92" s="31" t="inlineStr">
        <is>
          <t>midcap</t>
        </is>
      </c>
      <c r="H92" s="32" t="n">
        <v>7088.81</v>
      </c>
      <c r="I92" s="32" t="n">
        <v>263.15</v>
      </c>
      <c r="J92" s="32" t="n">
        <v>-2.1</v>
      </c>
      <c r="K92" s="32" t="n">
        <v>825579</v>
      </c>
      <c r="L92" s="31" t="n">
        <v>78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65.47</v>
      </c>
      <c r="P92" s="32" t="n">
        <v>33.85</v>
      </c>
      <c r="Q92" s="32" t="n">
        <v>192.28</v>
      </c>
      <c r="R92" s="31" t="inlineStr">
        <is>
          <t>Earnings / Momentum Support</t>
        </is>
      </c>
      <c r="S92" s="31" t="inlineStr">
        <is>
          <t>Nifty Pharma</t>
        </is>
      </c>
      <c r="T92" s="32" t="n">
        <v>10.56</v>
      </c>
      <c r="U92" s="32" t="n">
        <v>11.49</v>
      </c>
      <c r="V92" s="32" t="n">
        <v>0.84</v>
      </c>
      <c r="W92" s="32" t="n">
        <v>26.85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IF(B93=0,"",RANK(B93,$B$2:$B$193,0))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APARINDS</t>
        </is>
      </c>
      <c r="D93" s="31" t="inlineStr">
        <is>
          <t>Apar Industries Limited</t>
        </is>
      </c>
      <c r="E93" s="31" t="inlineStr">
        <is>
          <t>industrials</t>
        </is>
      </c>
      <c r="F93" s="31" t="inlineStr">
        <is>
          <t>electric equipment</t>
        </is>
      </c>
      <c r="G93" s="31" t="inlineStr">
        <is>
          <t>largecap</t>
        </is>
      </c>
      <c r="H93" s="32" t="n">
        <v>56577.07</v>
      </c>
      <c r="I93" s="32" t="n">
        <v>14551</v>
      </c>
      <c r="J93" s="32" t="n">
        <v>3.31</v>
      </c>
      <c r="K93" s="32" t="n">
        <v>424301</v>
      </c>
      <c r="L93" s="31" t="n">
        <v>80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74.62</v>
      </c>
      <c r="P93" s="32" t="n">
        <v>38.53</v>
      </c>
      <c r="Q93" s="32" t="n">
        <v>11205.13</v>
      </c>
      <c r="R93" s="31" t="inlineStr">
        <is>
          <t>Near 52W High Breakout</t>
        </is>
      </c>
      <c r="S93" s="31" t="inlineStr">
        <is>
          <t>Nifty 500</t>
        </is>
      </c>
      <c r="T93" s="32" t="n">
        <v>-3.46</v>
      </c>
      <c r="U93" s="32" t="n">
        <v>85.39</v>
      </c>
      <c r="V93" s="32" t="n">
        <v>92.02</v>
      </c>
      <c r="W93" s="32" t="n">
        <v>27.58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IF(B94=0,"",RANK(B94,$B$2:$B$193,0))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QPOWER</t>
        </is>
      </c>
      <c r="D94" s="31" t="inlineStr">
        <is>
          <t>Quality Power Electrical Equipments Ltd</t>
        </is>
      </c>
      <c r="E94" s="31" t="inlineStr">
        <is>
          <t>industrials</t>
        </is>
      </c>
      <c r="F94" s="31" t="inlineStr">
        <is>
          <t>electric equipment</t>
        </is>
      </c>
      <c r="G94" s="31" t="inlineStr">
        <is>
          <t>midcap</t>
        </is>
      </c>
      <c r="H94" s="32" t="n">
        <v>8889.809999999999</v>
      </c>
      <c r="I94" s="32" t="n">
        <v>1163</v>
      </c>
      <c r="J94" s="32" t="n">
        <v>1.32</v>
      </c>
      <c r="K94" s="32" t="n">
        <v>204615</v>
      </c>
      <c r="L94" s="31" t="n">
        <v>87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59.24</v>
      </c>
      <c r="P94" s="32" t="n">
        <v>25.03</v>
      </c>
      <c r="Q94" s="32" t="n">
        <v>984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-6.3</v>
      </c>
      <c r="U94" s="32" t="n">
        <v>131.88</v>
      </c>
      <c r="V94" s="32" t="n">
        <v>147.47</v>
      </c>
      <c r="W94" s="32" t="n">
        <v>34.5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Less than 50%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IF(B95=0,"",RANK(B95,$B$2:$B$193,0))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ARVIND</t>
        </is>
      </c>
      <c r="D95" s="31" t="inlineStr">
        <is>
          <t>Arvind Limited</t>
        </is>
      </c>
      <c r="E95" s="31" t="inlineStr">
        <is>
          <t>textiles</t>
        </is>
      </c>
      <c r="F95" s="31" t="inlineStr">
        <is>
          <t>textiles - cotton/blended</t>
        </is>
      </c>
      <c r="G95" s="31" t="inlineStr">
        <is>
          <t>midcap</t>
        </is>
      </c>
      <c r="H95" s="32" t="n">
        <v>12932.74</v>
      </c>
      <c r="I95" s="32" t="n">
        <v>493.25</v>
      </c>
      <c r="J95" s="32" t="n">
        <v>-0.03</v>
      </c>
      <c r="K95" s="32" t="n">
        <v>582651</v>
      </c>
      <c r="L95" s="31" t="n">
        <v>54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76.15000000000001</v>
      </c>
      <c r="P95" s="32" t="n">
        <v>37.91</v>
      </c>
      <c r="Q95" s="32" t="n">
        <v>394.94</v>
      </c>
      <c r="R95" s="31" t="inlineStr">
        <is>
          <t>Near 52W High Breakout</t>
        </is>
      </c>
      <c r="S95" s="31" t="inlineStr">
        <is>
          <t>Nifty 50</t>
        </is>
      </c>
      <c r="T95" s="32" t="n">
        <v>-6.3</v>
      </c>
      <c r="U95" s="32" t="n">
        <v>41.73</v>
      </c>
      <c r="V95" s="32" t="n">
        <v>51.26</v>
      </c>
      <c r="W95" s="32" t="n">
        <v>17.12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IF(B96=0,"",RANK(B96,$B$2:$B$193,0))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STOVEKRAFT</t>
        </is>
      </c>
      <c r="D96" s="31" t="inlineStr">
        <is>
          <t>Stove Kraft Ltd</t>
        </is>
      </c>
      <c r="E96" s="31" t="inlineStr">
        <is>
          <t>consumer discretionary</t>
        </is>
      </c>
      <c r="F96" s="31" t="inlineStr">
        <is>
          <t>domestic appliances</t>
        </is>
      </c>
      <c r="G96" s="31" t="inlineStr">
        <is>
          <t>smallcap</t>
        </is>
      </c>
      <c r="H96" s="32" t="n">
        <v>2158.76</v>
      </c>
      <c r="I96" s="32" t="n">
        <v>651.6</v>
      </c>
      <c r="J96" s="32" t="n">
        <v>-0.07000000000000001</v>
      </c>
      <c r="K96" s="32" t="n">
        <v>182351</v>
      </c>
      <c r="L96" s="31" t="n">
        <v>23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64.81999999999999</v>
      </c>
      <c r="P96" s="32" t="n">
        <v>21.7</v>
      </c>
      <c r="Q96" s="32" t="n">
        <v>486.59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-6.3</v>
      </c>
      <c r="U96" s="32" t="n">
        <v>9.81</v>
      </c>
      <c r="V96" s="32" t="n">
        <v>17.2</v>
      </c>
      <c r="W96" s="32" t="n">
        <v>8.93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IF(B97=0,"",RANK(B97,$B$2:$B$193,0))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CERA</t>
        </is>
      </c>
      <c r="D97" s="33" t="inlineStr">
        <is>
          <t>Cera Sanitaryware Limited</t>
        </is>
      </c>
      <c r="E97" s="31" t="inlineStr">
        <is>
          <t>building materials</t>
        </is>
      </c>
      <c r="F97" s="31" t="inlineStr">
        <is>
          <t>ceramics - tiles / sanitaryware</t>
        </is>
      </c>
      <c r="G97" s="31" t="inlineStr">
        <is>
          <t>midcap</t>
        </is>
      </c>
      <c r="H97" s="32" t="n">
        <v>7570.21</v>
      </c>
      <c r="I97" s="32" t="n">
        <v>5854.5</v>
      </c>
      <c r="J97" s="32" t="n">
        <v>-0.26</v>
      </c>
      <c r="K97" s="32" t="n">
        <v>6739</v>
      </c>
      <c r="L97" s="31" t="n">
        <v>6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60.51</v>
      </c>
      <c r="P97" s="32" t="n">
        <v>29.18</v>
      </c>
      <c r="Q97" s="32" t="n">
        <v>4747.2</v>
      </c>
      <c r="R97" s="31" t="inlineStr">
        <is>
          <t>Volume Spike / Accumulation</t>
        </is>
      </c>
      <c r="S97" s="31" t="inlineStr">
        <is>
          <t>Nifty Infra</t>
        </is>
      </c>
      <c r="T97" s="32" t="n">
        <v>0.59</v>
      </c>
      <c r="U97" s="32" t="n">
        <v>-15.54</v>
      </c>
      <c r="V97" s="32" t="n">
        <v>-16.04</v>
      </c>
      <c r="W97" s="32" t="n">
        <v>3.84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IF(B98=0,"",RANK(B98,$B$2:$B$193,0))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PTL</t>
        </is>
      </c>
      <c r="D98" s="31" t="inlineStr">
        <is>
          <t>Ptl Enterprises Limited</t>
        </is>
      </c>
      <c r="E98" s="31" t="inlineStr">
        <is>
          <t>miscellaneous</t>
        </is>
      </c>
      <c r="F98" s="31" t="inlineStr">
        <is>
          <t>miscellaneous</t>
        </is>
      </c>
      <c r="G98" s="31" t="inlineStr">
        <is>
          <t>smallcap</t>
        </is>
      </c>
      <c r="H98" s="32" t="n">
        <v>532.6900000000001</v>
      </c>
      <c r="I98" s="32" t="n">
        <v>40.02</v>
      </c>
      <c r="J98" s="32" t="n">
        <v>-0.55</v>
      </c>
      <c r="K98" s="32" t="n">
        <v>19112</v>
      </c>
      <c r="L98" s="31" t="n">
        <v>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56.39</v>
      </c>
      <c r="P98" s="32" t="n">
        <v>11.53</v>
      </c>
      <c r="Q98" s="32" t="n">
        <v>34.84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-6.3</v>
      </c>
      <c r="U98" s="32" t="n">
        <v>2.85</v>
      </c>
      <c r="V98" s="32" t="n">
        <v>9.76</v>
      </c>
      <c r="W98" s="32" t="n">
        <v>2.13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IF(B99=0,"",RANK(B99,$B$2:$B$193,0))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UFBL</t>
        </is>
      </c>
      <c r="D99" s="31" t="inlineStr">
        <is>
          <t>United Foodbrands Ltd</t>
        </is>
      </c>
      <c r="E99" s="31" t="inlineStr">
        <is>
          <t>consumer discretionary</t>
        </is>
      </c>
      <c r="F99" s="31" t="inlineStr">
        <is>
          <t>hotels</t>
        </is>
      </c>
      <c r="G99" s="31" t="inlineStr">
        <is>
          <t>smallcap</t>
        </is>
      </c>
      <c r="H99" s="32" t="n">
        <v>2190.4</v>
      </c>
      <c r="I99" s="32" t="n">
        <v>556.55</v>
      </c>
      <c r="J99" s="32" t="n">
        <v>-0.6899999999999999</v>
      </c>
      <c r="K99" s="32" t="n">
        <v>120256</v>
      </c>
      <c r="L99" s="31" t="n">
        <v>97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79.97</v>
      </c>
      <c r="P99" s="32" t="n">
        <v>35.52</v>
      </c>
      <c r="Q99" s="32" t="n">
        <v>397.96</v>
      </c>
      <c r="R99" s="31" t="inlineStr">
        <is>
          <t>Near 52W High Breakout</t>
        </is>
      </c>
      <c r="S99" s="31" t="inlineStr">
        <is>
          <t>Nifty 50</t>
        </is>
      </c>
      <c r="T99" s="32" t="n">
        <v>-6.3</v>
      </c>
      <c r="U99" s="32" t="n">
        <v>69.40000000000001</v>
      </c>
      <c r="V99" s="32" t="n">
        <v>80.78</v>
      </c>
      <c r="W99" s="32" t="n">
        <v>58.71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More than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IF(B100=0,"",RANK(B100,$B$2:$B$193,0))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CGPOWER</t>
        </is>
      </c>
      <c r="D100" s="31" t="inlineStr">
        <is>
          <t>CG Power and Industrial Solutions Ltd</t>
        </is>
      </c>
      <c r="E100" s="31" t="inlineStr">
        <is>
          <t>industrials</t>
        </is>
      </c>
      <c r="F100" s="31" t="inlineStr">
        <is>
          <t>electric equipment</t>
        </is>
      </c>
      <c r="G100" s="31" t="inlineStr">
        <is>
          <t>largecap</t>
        </is>
      </c>
      <c r="H100" s="32" t="n">
        <v>143018.6</v>
      </c>
      <c r="I100" s="32" t="n">
        <v>901.35</v>
      </c>
      <c r="J100" s="32" t="n">
        <v>-0.74</v>
      </c>
      <c r="K100" s="32" t="n">
        <v>2755854</v>
      </c>
      <c r="L100" s="31" t="n">
        <v>35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66.75</v>
      </c>
      <c r="P100" s="32" t="n">
        <v>24.91</v>
      </c>
      <c r="Q100" s="32" t="n">
        <v>770.64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-6.3</v>
      </c>
      <c r="U100" s="32" t="n">
        <v>34.39</v>
      </c>
      <c r="V100" s="32" t="n">
        <v>43.42</v>
      </c>
      <c r="W100" s="32" t="n">
        <v>12.48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IF(B101=0,"",RANK(B101,$B$2:$B$193,0))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ASIANPAINT</t>
        </is>
      </c>
      <c r="D101" s="31" t="inlineStr">
        <is>
          <t>Asian Paints Limited</t>
        </is>
      </c>
      <c r="E101" s="31" t="inlineStr">
        <is>
          <t>building materials</t>
        </is>
      </c>
      <c r="F101" s="31" t="inlineStr">
        <is>
          <t>paints / varnishes</t>
        </is>
      </c>
      <c r="G101" s="31" t="inlineStr">
        <is>
          <t>largecap</t>
        </is>
      </c>
      <c r="H101" s="32" t="n">
        <v>260431.79</v>
      </c>
      <c r="I101" s="32" t="n">
        <v>2690.9</v>
      </c>
      <c r="J101" s="32" t="n">
        <v>-0.89</v>
      </c>
      <c r="K101" s="32" t="n">
        <v>771558</v>
      </c>
      <c r="L101" s="31" t="n">
        <v>25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60.97</v>
      </c>
      <c r="P101" s="32" t="n">
        <v>20.09</v>
      </c>
      <c r="Q101" s="32" t="n">
        <v>2267.09</v>
      </c>
      <c r="R101" s="31" t="inlineStr">
        <is>
          <t>Earnings / Momentum Support</t>
        </is>
      </c>
      <c r="S101" s="31" t="inlineStr">
        <is>
          <t>Nifty Infra</t>
        </is>
      </c>
      <c r="T101" s="32" t="n">
        <v>0.59</v>
      </c>
      <c r="U101" s="32" t="n">
        <v>22.84</v>
      </c>
      <c r="V101" s="32" t="n">
        <v>22.12</v>
      </c>
      <c r="W101" s="32" t="n">
        <v>9.85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IF(B102=0,"",RANK(B102,$B$2:$B$193,0))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WELENT</t>
        </is>
      </c>
      <c r="D102" s="31" t="inlineStr">
        <is>
          <t>Welspun Enterprises Limited</t>
        </is>
      </c>
      <c r="E102" s="31" t="inlineStr">
        <is>
          <t>realty</t>
        </is>
      </c>
      <c r="F102" s="31" t="inlineStr">
        <is>
          <t>construction</t>
        </is>
      </c>
      <c r="G102" s="31" t="inlineStr">
        <is>
          <t>midcap</t>
        </is>
      </c>
      <c r="H102" s="32" t="n">
        <v>7697.19</v>
      </c>
      <c r="I102" s="32" t="n">
        <v>550.4</v>
      </c>
      <c r="J102" s="32" t="n">
        <v>-1.03</v>
      </c>
      <c r="K102" s="32" t="n">
        <v>260053</v>
      </c>
      <c r="L102" s="31" t="n">
        <v>10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62.36</v>
      </c>
      <c r="P102" s="32" t="n">
        <v>13.15</v>
      </c>
      <c r="Q102" s="32" t="n">
        <v>428.91</v>
      </c>
      <c r="R102" s="31" t="inlineStr">
        <is>
          <t>Near 52W High Breakout</t>
        </is>
      </c>
      <c r="S102" s="31" t="inlineStr">
        <is>
          <t>Nifty Realty</t>
        </is>
      </c>
      <c r="T102" s="32" t="n">
        <v>-26.19</v>
      </c>
      <c r="U102" s="32" t="n">
        <v>7.52</v>
      </c>
      <c r="V102" s="32" t="n">
        <v>45.66</v>
      </c>
      <c r="W102" s="32" t="n">
        <v>5.18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0 to 20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Less than 50%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IF(B103=0,"",RANK(B103,$B$2:$B$193,0))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PSPPROJECT</t>
        </is>
      </c>
      <c r="D103" s="31" t="inlineStr">
        <is>
          <t>PSP Projects Ltd</t>
        </is>
      </c>
      <c r="E103" s="31" t="inlineStr">
        <is>
          <t>realty</t>
        </is>
      </c>
      <c r="F103" s="31" t="inlineStr">
        <is>
          <t>construction</t>
        </is>
      </c>
      <c r="G103" s="31" t="inlineStr">
        <is>
          <t>smallcap</t>
        </is>
      </c>
      <c r="H103" s="32" t="n">
        <v>3520.59</v>
      </c>
      <c r="I103" s="32" t="n">
        <v>877.9</v>
      </c>
      <c r="J103" s="32" t="n">
        <v>-1.15</v>
      </c>
      <c r="K103" s="32" t="n">
        <v>118280</v>
      </c>
      <c r="L103" s="31" t="n">
        <v>40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60.72</v>
      </c>
      <c r="P103" s="32" t="n">
        <v>23.51</v>
      </c>
      <c r="Q103" s="32" t="n">
        <v>631.95</v>
      </c>
      <c r="R103" s="31" t="inlineStr">
        <is>
          <t>Earnings / Momentum Support</t>
        </is>
      </c>
      <c r="S103" s="31" t="inlineStr">
        <is>
          <t>Nifty Realty</t>
        </is>
      </c>
      <c r="T103" s="32" t="n">
        <v>-26.19</v>
      </c>
      <c r="U103" s="32" t="n">
        <v>25.66</v>
      </c>
      <c r="V103" s="32" t="n">
        <v>70.23</v>
      </c>
      <c r="W103" s="32" t="n">
        <v>13.32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IF(B104=0,"",RANK(B104,$B$2:$B$193,0))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POLYCAB</t>
        </is>
      </c>
      <c r="D104" s="31" t="inlineStr">
        <is>
          <t>Polycab India Ltd</t>
        </is>
      </c>
      <c r="E104" s="31" t="inlineStr">
        <is>
          <t>industrials</t>
        </is>
      </c>
      <c r="F104" s="31" t="inlineStr">
        <is>
          <t>cables - power</t>
        </is>
      </c>
      <c r="G104" s="31" t="inlineStr">
        <is>
          <t>largecap</t>
        </is>
      </c>
      <c r="H104" s="32" t="n">
        <v>143376.78</v>
      </c>
      <c r="I104" s="32" t="n">
        <v>9372</v>
      </c>
      <c r="J104" s="32" t="n">
        <v>-1.59</v>
      </c>
      <c r="K104" s="32" t="n">
        <v>187312</v>
      </c>
      <c r="L104" s="31" t="n">
        <v>49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65.06</v>
      </c>
      <c r="P104" s="32" t="n">
        <v>23.01</v>
      </c>
      <c r="Q104" s="32" t="n">
        <v>8106.63</v>
      </c>
      <c r="R104" s="31" t="inlineStr">
        <is>
          <t>Near 52W High Breakout</t>
        </is>
      </c>
      <c r="S104" s="31" t="inlineStr">
        <is>
          <t>Nifty Energy</t>
        </is>
      </c>
      <c r="T104" s="32" t="n">
        <v>8.16</v>
      </c>
      <c r="U104" s="32" t="n">
        <v>56.28</v>
      </c>
      <c r="V104" s="32" t="n">
        <v>44.49</v>
      </c>
      <c r="W104" s="32" t="n">
        <v>16.14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IF(B105=0,"",RANK(B105,$B$2:$B$193,0))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MINDACORP</t>
        </is>
      </c>
      <c r="D105" s="31" t="inlineStr">
        <is>
          <t>Minda Corporation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midcap</t>
        </is>
      </c>
      <c r="H105" s="32" t="n">
        <v>15494.74</v>
      </c>
      <c r="I105" s="32" t="n">
        <v>632.9</v>
      </c>
      <c r="J105" s="32" t="n">
        <v>-2.35</v>
      </c>
      <c r="K105" s="32" t="n">
        <v>287265</v>
      </c>
      <c r="L105" s="31" t="n">
        <v>29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63.26</v>
      </c>
      <c r="P105" s="32" t="n">
        <v>19.81</v>
      </c>
      <c r="Q105" s="32" t="n">
        <v>513.36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10.56</v>
      </c>
      <c r="U105" s="32" t="n">
        <v>16.01</v>
      </c>
      <c r="V105" s="32" t="n">
        <v>4.93</v>
      </c>
      <c r="W105" s="32" t="n">
        <v>10.71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IF(B106=0,"",RANK(B106,$B$2:$B$193,0))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STLTECH</t>
        </is>
      </c>
      <c r="D106" s="31" t="inlineStr">
        <is>
          <t>Sterlite Technologies Limited</t>
        </is>
      </c>
      <c r="E106" s="31" t="inlineStr">
        <is>
          <t>industrials</t>
        </is>
      </c>
      <c r="F106" s="31" t="inlineStr">
        <is>
          <t>cables - telephone</t>
        </is>
      </c>
      <c r="G106" s="31" t="inlineStr">
        <is>
          <t>largecap</t>
        </is>
      </c>
      <c r="H106" s="32" t="n">
        <v>28426.4</v>
      </c>
      <c r="I106" s="32" t="n">
        <v>568.4</v>
      </c>
      <c r="J106" s="32" t="n">
        <v>-2.4</v>
      </c>
      <c r="K106" s="32" t="n">
        <v>4451301</v>
      </c>
      <c r="L106" s="31" t="n">
        <v>99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84.73999999999999</v>
      </c>
      <c r="P106" s="32" t="n">
        <v>79.36</v>
      </c>
      <c r="Q106" s="32" t="n">
        <v>479.73</v>
      </c>
      <c r="R106" s="31" t="inlineStr">
        <is>
          <t>Earnings / Momentum Support</t>
        </is>
      </c>
      <c r="S106" s="31" t="inlineStr">
        <is>
          <t>Nifty Infra</t>
        </is>
      </c>
      <c r="T106" s="32" t="n">
        <v>0.59</v>
      </c>
      <c r="U106" s="32" t="n">
        <v>582.11</v>
      </c>
      <c r="V106" s="32" t="n">
        <v>578.11</v>
      </c>
      <c r="W106" s="32" t="n">
        <v>104.32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IF(B107=0,"",RANK(B107,$B$2:$B$193,0))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RUBYMILLS</t>
        </is>
      </c>
      <c r="D107" s="31" t="inlineStr">
        <is>
          <t>The Ruby Mills Limited</t>
        </is>
      </c>
      <c r="E107" s="31" t="inlineStr">
        <is>
          <t>textiles</t>
        </is>
      </c>
      <c r="F107" s="31" t="inlineStr">
        <is>
          <t>textiles - composite</t>
        </is>
      </c>
      <c r="G107" s="31" t="inlineStr">
        <is>
          <t>smallcap</t>
        </is>
      </c>
      <c r="H107" s="32" t="n">
        <v>1181.27</v>
      </c>
      <c r="I107" s="32" t="n">
        <v>342.9</v>
      </c>
      <c r="J107" s="32" t="n">
        <v>-2.93</v>
      </c>
      <c r="K107" s="32" t="n">
        <v>33903</v>
      </c>
      <c r="L107" s="31" t="n">
        <v>81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77.31</v>
      </c>
      <c r="P107" s="32" t="n">
        <v>38.42</v>
      </c>
      <c r="Q107" s="32" t="n">
        <v>256.65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-6.3</v>
      </c>
      <c r="U107" s="32" t="n">
        <v>59.12</v>
      </c>
      <c r="V107" s="32" t="n">
        <v>69.81999999999999</v>
      </c>
      <c r="W107" s="32" t="n">
        <v>27.81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Between 50% to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IF(B108=0,"",RANK(B108,$B$2:$B$193,0))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AKUMS</t>
        </is>
      </c>
      <c r="D108" s="33" t="inlineStr">
        <is>
          <t>Akums Drugs &amp; Pharmaceuticals Ltd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midcap</t>
        </is>
      </c>
      <c r="H108" s="32" t="n">
        <v>9319.299999999999</v>
      </c>
      <c r="I108" s="32" t="n">
        <v>609.1</v>
      </c>
      <c r="J108" s="32" t="n">
        <v>2.87</v>
      </c>
      <c r="K108" s="32" t="n">
        <v>1988455</v>
      </c>
      <c r="L108" s="31" t="n">
        <v>21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70.34999999999999</v>
      </c>
      <c r="P108" s="32" t="n">
        <v>36.96</v>
      </c>
      <c r="Q108" s="32" t="n">
        <v>487.25</v>
      </c>
      <c r="R108" s="31" t="inlineStr">
        <is>
          <t>Volume Spike &amp; Near 52W High Breakout</t>
        </is>
      </c>
      <c r="S108" s="31" t="inlineStr">
        <is>
          <t>Nifty Pharma</t>
        </is>
      </c>
      <c r="T108" s="32" t="n">
        <v>10.56</v>
      </c>
      <c r="U108" s="32" t="n">
        <v>6.43</v>
      </c>
      <c r="V108" s="32" t="n">
        <v>-3.74</v>
      </c>
      <c r="W108" s="32" t="n">
        <v>8.5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IF(B109=0,"",RANK(B109,$B$2:$B$193,0))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JBCHEPHARM</t>
        </is>
      </c>
      <c r="D109" s="31" t="inlineStr">
        <is>
          <t>Jb Chemicals &amp; Pharmaceuticals Limited</t>
        </is>
      </c>
      <c r="E109" s="31" t="inlineStr">
        <is>
          <t>healthcare</t>
        </is>
      </c>
      <c r="F109" s="31" t="inlineStr">
        <is>
          <t>pharmaceuticals - indian - bulk drugs &amp; formln</t>
        </is>
      </c>
      <c r="G109" s="31" t="inlineStr">
        <is>
          <t>largecap</t>
        </is>
      </c>
      <c r="H109" s="32" t="n">
        <v>35347</v>
      </c>
      <c r="I109" s="32" t="n">
        <v>2252.7</v>
      </c>
      <c r="J109" s="32" t="n">
        <v>2.33</v>
      </c>
      <c r="K109" s="32" t="n">
        <v>395798</v>
      </c>
      <c r="L109" s="31" t="n">
        <v>16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71.76000000000001</v>
      </c>
      <c r="P109" s="32" t="n">
        <v>39.93</v>
      </c>
      <c r="Q109" s="32" t="n">
        <v>1925.07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10.56</v>
      </c>
      <c r="U109" s="32" t="n">
        <v>31.81</v>
      </c>
      <c r="V109" s="32" t="n">
        <v>19.22</v>
      </c>
      <c r="W109" s="32" t="n">
        <v>7.24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Between 50% to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IF(B110=0,"",RANK(B110,$B$2:$B$193,0))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HESTERBIO</t>
        </is>
      </c>
      <c r="D110" s="33" t="inlineStr">
        <is>
          <t>Hester Biosciences Limited</t>
        </is>
      </c>
      <c r="E110" s="31" t="inlineStr">
        <is>
          <t>healthcare</t>
        </is>
      </c>
      <c r="F110" s="31" t="inlineStr">
        <is>
          <t>pharmaceuticals - indian - formulations</t>
        </is>
      </c>
      <c r="G110" s="31" t="inlineStr">
        <is>
          <t>smallcap</t>
        </is>
      </c>
      <c r="H110" s="32" t="n">
        <v>1649.65</v>
      </c>
      <c r="I110" s="32" t="n">
        <v>1959.9</v>
      </c>
      <c r="J110" s="32" t="n">
        <v>1.07</v>
      </c>
      <c r="K110" s="32" t="n">
        <v>6207</v>
      </c>
      <c r="L110" s="31" t="n">
        <v>31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67.64</v>
      </c>
      <c r="P110" s="32" t="n">
        <v>35.25</v>
      </c>
      <c r="Q110" s="32" t="n">
        <v>1545.84</v>
      </c>
      <c r="R110" s="31" t="inlineStr">
        <is>
          <t>Earnings / Momentum Support</t>
        </is>
      </c>
      <c r="S110" s="31" t="inlineStr">
        <is>
          <t>Nifty Pharma</t>
        </is>
      </c>
      <c r="T110" s="32" t="n">
        <v>10.56</v>
      </c>
      <c r="U110" s="32" t="n">
        <v>5.79</v>
      </c>
      <c r="V110" s="32" t="n">
        <v>-4.31</v>
      </c>
      <c r="W110" s="32" t="n">
        <v>11.32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IF(B111=0,"",RANK(B111,$B$2:$B$193,0))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HIRECT</t>
        </is>
      </c>
      <c r="D111" s="31" t="inlineStr">
        <is>
          <t>Hind Rectifiers Limited</t>
        </is>
      </c>
      <c r="E111" s="31" t="inlineStr">
        <is>
          <t>consumer discretionary</t>
        </is>
      </c>
      <c r="F111" s="31" t="inlineStr">
        <is>
          <t>electronics - components</t>
        </is>
      </c>
      <c r="G111" s="31" t="inlineStr">
        <is>
          <t>smallcap</t>
        </is>
      </c>
      <c r="H111" s="32" t="n">
        <v>3619.94</v>
      </c>
      <c r="I111" s="32" t="n">
        <v>1111.8</v>
      </c>
      <c r="J111" s="32" t="n">
        <v>5.55</v>
      </c>
      <c r="K111" s="32" t="n">
        <v>568515</v>
      </c>
      <c r="L111" s="31" t="n">
        <v>76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74.33</v>
      </c>
      <c r="P111" s="32" t="n">
        <v>25.41</v>
      </c>
      <c r="Q111" s="32" t="n">
        <v>787.96</v>
      </c>
      <c r="R111" s="31" t="inlineStr">
        <is>
          <t>Near 52W High Breakout</t>
        </is>
      </c>
      <c r="S111" s="31" t="inlineStr">
        <is>
          <t>Nifty Infra</t>
        </is>
      </c>
      <c r="T111" s="32" t="n">
        <v>0.59</v>
      </c>
      <c r="U111" s="32" t="n">
        <v>73.45999999999999</v>
      </c>
      <c r="V111" s="32" t="n">
        <v>72.45</v>
      </c>
      <c r="W111" s="32" t="n">
        <v>25.23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IF(B112=0,"",RANK(B112,$B$2:$B$193,0))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ANTELOPUS</t>
        </is>
      </c>
      <c r="D112" s="31" t="inlineStr">
        <is>
          <t>Antelopus Selan Energy Ltd</t>
        </is>
      </c>
      <c r="E112" s="31" t="inlineStr">
        <is>
          <t>energy</t>
        </is>
      </c>
      <c r="F112" s="31" t="inlineStr">
        <is>
          <t>oil drilling / allied services</t>
        </is>
      </c>
      <c r="G112" s="31" t="inlineStr">
        <is>
          <t>smallcap</t>
        </is>
      </c>
      <c r="H112" s="32" t="n">
        <v>2879.09</v>
      </c>
      <c r="I112" s="32" t="n">
        <v>859.65</v>
      </c>
      <c r="J112" s="32" t="n">
        <v>4.99</v>
      </c>
      <c r="K112" s="32" t="n">
        <v>145234</v>
      </c>
      <c r="L112" s="31" t="n">
        <v>63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67.48999999999999</v>
      </c>
      <c r="P112" s="32" t="n">
        <v>43.53</v>
      </c>
      <c r="Q112" s="32" t="n">
        <v>621.86</v>
      </c>
      <c r="R112" s="31" t="inlineStr">
        <is>
          <t>Near 52W High Breakout</t>
        </is>
      </c>
      <c r="S112" s="31" t="inlineStr">
        <is>
          <t>Nifty Energy</t>
        </is>
      </c>
      <c r="T112" s="32" t="n">
        <v>8.16</v>
      </c>
      <c r="U112" s="32" t="n">
        <v>17.53</v>
      </c>
      <c r="V112" s="32" t="n">
        <v>8.67</v>
      </c>
      <c r="W112" s="32" t="n">
        <v>20.19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Oligopoly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IF(B113=0,"",RANK(B113,$B$2:$B$193,0))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DIFFNKG</t>
        </is>
      </c>
      <c r="D113" s="31" t="inlineStr">
        <is>
          <t>Diffusion Engineers Ltd</t>
        </is>
      </c>
      <c r="E113" s="31" t="inlineStr">
        <is>
          <t>industrials</t>
        </is>
      </c>
      <c r="F113" s="31" t="inlineStr">
        <is>
          <t>electrodes - welding equipment</t>
        </is>
      </c>
      <c r="G113" s="31" t="inlineStr">
        <is>
          <t>smallcap</t>
        </is>
      </c>
      <c r="H113" s="32" t="n">
        <v>1296.82</v>
      </c>
      <c r="I113" s="32" t="n">
        <v>362.4</v>
      </c>
      <c r="J113" s="32" t="n">
        <v>4.59</v>
      </c>
      <c r="K113" s="32" t="n">
        <v>346172</v>
      </c>
      <c r="L113" s="31" t="n">
        <v>59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65.23999999999999</v>
      </c>
      <c r="P113" s="32" t="n">
        <v>14.27</v>
      </c>
      <c r="Q113" s="32" t="n">
        <v>267.55</v>
      </c>
      <c r="R113" s="31" t="inlineStr">
        <is>
          <t>Volume Spike / Accumulation</t>
        </is>
      </c>
      <c r="S113" s="31" t="inlineStr">
        <is>
          <t>Nifty 50</t>
        </is>
      </c>
      <c r="T113" s="32" t="n">
        <v>-6.3</v>
      </c>
      <c r="U113" s="32" t="n">
        <v>20.74</v>
      </c>
      <c r="V113" s="32" t="n">
        <v>28.85</v>
      </c>
      <c r="W113" s="32" t="n">
        <v>18.21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Less than 50%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IF(B114=0,"",RANK(B114,$B$2:$B$193,0))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SANDHAR</t>
        </is>
      </c>
      <c r="D114" s="31" t="inlineStr">
        <is>
          <t>Sandhar Technologies Limited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4324.4</v>
      </c>
      <c r="I114" s="32" t="n">
        <v>734.65</v>
      </c>
      <c r="J114" s="32" t="n">
        <v>2.25</v>
      </c>
      <c r="K114" s="32" t="n">
        <v>787513</v>
      </c>
      <c r="L114" s="31" t="n">
        <v>62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73.48999999999999</v>
      </c>
      <c r="P114" s="32" t="n">
        <v>19.29</v>
      </c>
      <c r="Q114" s="32" t="n">
        <v>553.91</v>
      </c>
      <c r="R114" s="31" t="inlineStr">
        <is>
          <t>Near 52W High Breakout</t>
        </is>
      </c>
      <c r="S114" s="31" t="inlineStr">
        <is>
          <t>Nifty Auto</t>
        </is>
      </c>
      <c r="T114" s="32" t="n">
        <v>10.56</v>
      </c>
      <c r="U114" s="32" t="n">
        <v>38.44</v>
      </c>
      <c r="V114" s="32" t="n">
        <v>25.22</v>
      </c>
      <c r="W114" s="32" t="n">
        <v>19.71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IF(B115=0,"",RANK(B115,$B$2:$B$193,0))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SHRIPISTON</t>
        </is>
      </c>
      <c r="D115" s="31" t="inlineStr">
        <is>
          <t>Shriram Pistons &amp; Rings Limited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midcap</t>
        </is>
      </c>
      <c r="H115" s="32" t="n">
        <v>15086.18</v>
      </c>
      <c r="I115" s="32" t="n">
        <v>3501.2</v>
      </c>
      <c r="J115" s="32" t="n">
        <v>2.23</v>
      </c>
      <c r="K115" s="32" t="n">
        <v>84713</v>
      </c>
      <c r="L115" s="31" t="n">
        <v>36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58.58</v>
      </c>
      <c r="P115" s="32" t="n">
        <v>26.46</v>
      </c>
      <c r="Q115" s="32" t="n">
        <v>2926.58</v>
      </c>
      <c r="R115" s="31" t="inlineStr">
        <is>
          <t>Earnings / Momentum Support</t>
        </is>
      </c>
      <c r="S115" s="31" t="inlineStr">
        <is>
          <t>Nifty Auto</t>
        </is>
      </c>
      <c r="T115" s="32" t="n">
        <v>10.56</v>
      </c>
      <c r="U115" s="32" t="n">
        <v>44.26</v>
      </c>
      <c r="V115" s="32" t="n">
        <v>30.48</v>
      </c>
      <c r="W115" s="32" t="n">
        <v>12.74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IF(B116=0,"",RANK(B116,$B$2:$B$193,0))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HONASA</t>
        </is>
      </c>
      <c r="D116" s="31" t="inlineStr">
        <is>
          <t>Honasa Consumer Ltd</t>
        </is>
      </c>
      <c r="E116" s="31" t="inlineStr">
        <is>
          <t>services</t>
        </is>
      </c>
      <c r="F116" s="31" t="inlineStr">
        <is>
          <t>trading</t>
        </is>
      </c>
      <c r="G116" s="31" t="inlineStr">
        <is>
          <t>midcap</t>
        </is>
      </c>
      <c r="H116" s="32" t="n">
        <v>13489.83</v>
      </c>
      <c r="I116" s="32" t="n">
        <v>417.65</v>
      </c>
      <c r="J116" s="32" t="n">
        <v>0.74</v>
      </c>
      <c r="K116" s="32" t="n">
        <v>11807055</v>
      </c>
      <c r="L116" s="31" t="n">
        <v>62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76.65000000000001</v>
      </c>
      <c r="P116" s="32" t="n">
        <v>31.24</v>
      </c>
      <c r="Q116" s="32" t="n">
        <v>334.62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-6.3</v>
      </c>
      <c r="U116" s="32" t="n">
        <v>36.02</v>
      </c>
      <c r="V116" s="32" t="n">
        <v>45.16</v>
      </c>
      <c r="W116" s="32" t="n">
        <v>19.66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IF(B117=0,"",RANK(B117,$B$2:$B$193,0))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EXIDEIND</t>
        </is>
      </c>
      <c r="D117" s="33" t="inlineStr">
        <is>
          <t>Exide Industries Limited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largecap</t>
        </is>
      </c>
      <c r="H117" s="32" t="n">
        <v>32839.75</v>
      </c>
      <c r="I117" s="32" t="n">
        <v>385.65</v>
      </c>
      <c r="J117" s="32" t="n">
        <v>-0.18</v>
      </c>
      <c r="K117" s="32" t="n">
        <v>1023382</v>
      </c>
      <c r="L117" s="31" t="n">
        <v>18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60.28</v>
      </c>
      <c r="P117" s="32" t="n">
        <v>30.28</v>
      </c>
      <c r="Q117" s="32" t="n">
        <v>327.86</v>
      </c>
      <c r="R117" s="31" t="inlineStr">
        <is>
          <t>Earnings / Momentum Support</t>
        </is>
      </c>
      <c r="S117" s="31" t="inlineStr">
        <is>
          <t>Nifty Auto</t>
        </is>
      </c>
      <c r="T117" s="32" t="n">
        <v>10.56</v>
      </c>
      <c r="U117" s="32" t="n">
        <v>0.73</v>
      </c>
      <c r="V117" s="32" t="n">
        <v>-8.890000000000001</v>
      </c>
      <c r="W117" s="32" t="n">
        <v>7.61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Between 12 to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IF(B118=0,"",RANK(B118,$B$2:$B$193,0))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PREMIERENE</t>
        </is>
      </c>
      <c r="D118" s="31" t="inlineStr">
        <is>
          <t>Premier Energies Ltd</t>
        </is>
      </c>
      <c r="E118" s="31" t="inlineStr">
        <is>
          <t>services</t>
        </is>
      </c>
      <c r="F118" s="31" t="inlineStr">
        <is>
          <t>trading</t>
        </is>
      </c>
      <c r="G118" s="31" t="inlineStr">
        <is>
          <t>largecap</t>
        </is>
      </c>
      <c r="H118" s="32" t="n">
        <v>48284.67</v>
      </c>
      <c r="I118" s="32" t="n">
        <v>1058</v>
      </c>
      <c r="J118" s="32" t="n">
        <v>-0.74</v>
      </c>
      <c r="K118" s="32" t="n">
        <v>854495</v>
      </c>
      <c r="L118" s="31" t="n">
        <v>25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62.4</v>
      </c>
      <c r="P118" s="32" t="n">
        <v>17.56</v>
      </c>
      <c r="Q118" s="32" t="n">
        <v>853.3099999999999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-6.3</v>
      </c>
      <c r="U118" s="32" t="n">
        <v>4.71</v>
      </c>
      <c r="V118" s="32" t="n">
        <v>11.75</v>
      </c>
      <c r="W118" s="32" t="n">
        <v>9.470000000000001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IF(B119=0,"",RANK(B119,$B$2:$B$193,0))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ADANIENT</t>
        </is>
      </c>
      <c r="D119" s="31" t="inlineStr">
        <is>
          <t>Adani Enterprises Limited</t>
        </is>
      </c>
      <c r="E119" s="31" t="inlineStr">
        <is>
          <t>services</t>
        </is>
      </c>
      <c r="F119" s="31" t="inlineStr">
        <is>
          <t>trading</t>
        </is>
      </c>
      <c r="G119" s="31" t="inlineStr">
        <is>
          <t>largecap</t>
        </is>
      </c>
      <c r="H119" s="32" t="n">
        <v>378898.14</v>
      </c>
      <c r="I119" s="32" t="n">
        <v>2908.8</v>
      </c>
      <c r="J119" s="32" t="n">
        <v>-0.76</v>
      </c>
      <c r="K119" s="32" t="n">
        <v>1204115</v>
      </c>
      <c r="L119" s="31" t="n">
        <v>45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68.05</v>
      </c>
      <c r="P119" s="32" t="n">
        <v>32.11</v>
      </c>
      <c r="Q119" s="32" t="n">
        <v>2507.96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-6.3</v>
      </c>
      <c r="U119" s="32" t="n">
        <v>16.04</v>
      </c>
      <c r="V119" s="32" t="n">
        <v>23.84</v>
      </c>
      <c r="W119" s="32" t="n">
        <v>14.68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Less than 50% and Borrowings are increasing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IF(B120=0,"",RANK(B120,$B$2:$B$193,0))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SANGHVIMOV</t>
        </is>
      </c>
      <c r="D120" s="31" t="inlineStr">
        <is>
          <t>Sanghvi Movers Limited</t>
        </is>
      </c>
      <c r="E120" s="31" t="inlineStr">
        <is>
          <t>miscellaneous</t>
        </is>
      </c>
      <c r="F120" s="31" t="inlineStr">
        <is>
          <t>miscellaneous</t>
        </is>
      </c>
      <c r="G120" s="31" t="inlineStr">
        <is>
          <t>smallcap</t>
        </is>
      </c>
      <c r="H120" s="32" t="n">
        <v>3258.29</v>
      </c>
      <c r="I120" s="32" t="n">
        <v>371.3</v>
      </c>
      <c r="J120" s="32" t="n">
        <v>-1.34</v>
      </c>
      <c r="K120" s="32" t="n">
        <v>152270</v>
      </c>
      <c r="L120" s="31" t="n">
        <v>63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61.7</v>
      </c>
      <c r="P120" s="32" t="n">
        <v>19.88</v>
      </c>
      <c r="Q120" s="32" t="n">
        <v>261.47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-6.3</v>
      </c>
      <c r="U120" s="32" t="n">
        <v>28.31</v>
      </c>
      <c r="V120" s="32" t="n">
        <v>36.93</v>
      </c>
      <c r="W120" s="32" t="n">
        <v>20.47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Between 50% to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IF(B121=0,"",RANK(B121,$B$2:$B$193,0))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AEROFLEX</t>
        </is>
      </c>
      <c r="D121" s="31" t="inlineStr">
        <is>
          <t>Aeroflex Industries Ltd</t>
        </is>
      </c>
      <c r="E121" s="31" t="inlineStr">
        <is>
          <t>metals &amp; mining</t>
        </is>
      </c>
      <c r="F121" s="31" t="inlineStr">
        <is>
          <t>steel - medium / small</t>
        </is>
      </c>
      <c r="G121" s="31" t="inlineStr">
        <is>
          <t>midcap</t>
        </is>
      </c>
      <c r="H121" s="32" t="n">
        <v>5479.82</v>
      </c>
      <c r="I121" s="32" t="n">
        <v>408.55</v>
      </c>
      <c r="J121" s="32" t="n">
        <v>-1.34</v>
      </c>
      <c r="K121" s="32" t="n">
        <v>1552333</v>
      </c>
      <c r="L121" s="31" t="n">
        <v>90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68.63</v>
      </c>
      <c r="P121" s="32" t="n">
        <v>56.95</v>
      </c>
      <c r="Q121" s="32" t="n">
        <v>305.67</v>
      </c>
      <c r="R121" s="31" t="inlineStr">
        <is>
          <t>Earnings / Momentum Support</t>
        </is>
      </c>
      <c r="S121" s="31" t="inlineStr">
        <is>
          <t>Nifty Metal</t>
        </is>
      </c>
      <c r="T121" s="32" t="n">
        <v>37.53</v>
      </c>
      <c r="U121" s="32" t="n">
        <v>139.24</v>
      </c>
      <c r="V121" s="32" t="n">
        <v>73.95</v>
      </c>
      <c r="W121" s="32" t="n">
        <v>37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Cyclical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Volatile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IF(B122=0,"",RANK(B122,$B$2:$B$193,0))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ELGIEQUIP</t>
        </is>
      </c>
      <c r="D122" s="31" t="inlineStr">
        <is>
          <t>Elgi Equipments Limited</t>
        </is>
      </c>
      <c r="E122" s="31" t="inlineStr">
        <is>
          <t>industrials</t>
        </is>
      </c>
      <c r="F122" s="31" t="inlineStr">
        <is>
          <t>compressors / drilling equipment</t>
        </is>
      </c>
      <c r="G122" s="31" t="inlineStr">
        <is>
          <t>midcap</t>
        </is>
      </c>
      <c r="H122" s="32" t="n">
        <v>19104.86</v>
      </c>
      <c r="I122" s="32" t="n">
        <v>593.45</v>
      </c>
      <c r="J122" s="32" t="n">
        <v>-1.56</v>
      </c>
      <c r="K122" s="32" t="n">
        <v>245973</v>
      </c>
      <c r="L122" s="31" t="n">
        <v>18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62.69</v>
      </c>
      <c r="P122" s="32" t="n">
        <v>16.64</v>
      </c>
      <c r="Q122" s="32" t="n">
        <v>481.85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-6.3</v>
      </c>
      <c r="U122" s="32" t="n">
        <v>11.09</v>
      </c>
      <c r="V122" s="32" t="n">
        <v>18.56</v>
      </c>
      <c r="W122" s="32" t="n">
        <v>8.18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Between 1.5 to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IF(B123=0,"",RANK(B123,$B$2:$B$193,0))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KDDL</t>
        </is>
      </c>
      <c r="D123" s="31" t="inlineStr">
        <is>
          <t>Kddl Limited</t>
        </is>
      </c>
      <c r="E123" s="31" t="inlineStr">
        <is>
          <t>consumer discretionary</t>
        </is>
      </c>
      <c r="F123" s="31" t="inlineStr">
        <is>
          <t>miscellaneous</t>
        </is>
      </c>
      <c r="G123" s="31" t="inlineStr">
        <is>
          <t>smallcap</t>
        </is>
      </c>
      <c r="H123" s="32" t="n">
        <v>3528.42</v>
      </c>
      <c r="I123" s="32" t="n">
        <v>2811.9</v>
      </c>
      <c r="J123" s="32" t="n">
        <v>-1.98</v>
      </c>
      <c r="K123" s="32" t="n">
        <v>13096</v>
      </c>
      <c r="L123" s="31" t="n">
        <v>21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59.38</v>
      </c>
      <c r="P123" s="32" t="n">
        <v>15.25</v>
      </c>
      <c r="Q123" s="32" t="n">
        <v>2101.93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-6.3</v>
      </c>
      <c r="U123" s="32" t="n">
        <v>13.68</v>
      </c>
      <c r="V123" s="32" t="n">
        <v>21.32</v>
      </c>
      <c r="W123" s="32" t="n">
        <v>8.69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IF(B124=0,"",RANK(B124,$B$2:$B$193,0))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DLINKINDIA</t>
        </is>
      </c>
      <c r="D124" s="31" t="inlineStr">
        <is>
          <t>D-link (india) Limited</t>
        </is>
      </c>
      <c r="E124" s="31" t="inlineStr">
        <is>
          <t>services</t>
        </is>
      </c>
      <c r="F124" s="31" t="inlineStr">
        <is>
          <t>trading</t>
        </is>
      </c>
      <c r="G124" s="31" t="inlineStr">
        <is>
          <t>smallcap</t>
        </is>
      </c>
      <c r="H124" s="32" t="n">
        <v>1780.39</v>
      </c>
      <c r="I124" s="32" t="n">
        <v>490.9</v>
      </c>
      <c r="J124" s="32" t="n">
        <v>-2.1</v>
      </c>
      <c r="K124" s="32" t="n">
        <v>172574</v>
      </c>
      <c r="L124" s="31" t="n">
        <v>10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63.54</v>
      </c>
      <c r="P124" s="32" t="n">
        <v>26.31</v>
      </c>
      <c r="Q124" s="32" t="n">
        <v>393.22</v>
      </c>
      <c r="R124" s="31" t="inlineStr">
        <is>
          <t>Volume Spike / Accumulation</t>
        </is>
      </c>
      <c r="S124" s="31" t="inlineStr">
        <is>
          <t>Nifty 50</t>
        </is>
      </c>
      <c r="T124" s="32" t="n">
        <v>-6.3</v>
      </c>
      <c r="U124" s="32" t="n">
        <v>-5.43</v>
      </c>
      <c r="V124" s="32" t="n">
        <v>0.93</v>
      </c>
      <c r="W124" s="32" t="n">
        <v>5.17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IF(B125=0,"",RANK(B125,$B$2:$B$193,0))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INOXINDIA</t>
        </is>
      </c>
      <c r="D125" s="31" t="inlineStr">
        <is>
          <t>Inox India Ltd</t>
        </is>
      </c>
      <c r="E125" s="31" t="inlineStr">
        <is>
          <t>industrials</t>
        </is>
      </c>
      <c r="F125" s="31" t="inlineStr">
        <is>
          <t>packaging</t>
        </is>
      </c>
      <c r="G125" s="31" t="inlineStr">
        <is>
          <t>midcap</t>
        </is>
      </c>
      <c r="H125" s="32" t="n">
        <v>17168.82</v>
      </c>
      <c r="I125" s="32" t="n">
        <v>1848.8</v>
      </c>
      <c r="J125" s="32" t="n">
        <v>-2.26</v>
      </c>
      <c r="K125" s="32" t="n">
        <v>914863</v>
      </c>
      <c r="L125" s="31" t="n">
        <v>73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82.47</v>
      </c>
      <c r="P125" s="32" t="n">
        <v>53.44</v>
      </c>
      <c r="Q125" s="32" t="n">
        <v>1438.93</v>
      </c>
      <c r="R125" s="31" t="inlineStr">
        <is>
          <t>Volume Spike &amp; Near 52W High Breakout</t>
        </is>
      </c>
      <c r="S125" s="31" t="inlineStr">
        <is>
          <t>Nifty 50</t>
        </is>
      </c>
      <c r="T125" s="32" t="n">
        <v>-6.3</v>
      </c>
      <c r="U125" s="32" t="n">
        <v>56.38</v>
      </c>
      <c r="V125" s="32" t="n">
        <v>66.89</v>
      </c>
      <c r="W125" s="32" t="n">
        <v>24.34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IF(B126=0,"",RANK(B126,$B$2:$B$193,0))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SFL</t>
        </is>
      </c>
      <c r="D126" s="31" t="inlineStr">
        <is>
          <t>Sheela Foam Limited</t>
        </is>
      </c>
      <c r="E126" s="31" t="inlineStr">
        <is>
          <t>consumer discretionary</t>
        </is>
      </c>
      <c r="F126" s="31" t="inlineStr">
        <is>
          <t>miscellaneous</t>
        </is>
      </c>
      <c r="G126" s="31" t="inlineStr">
        <is>
          <t>midcap</t>
        </is>
      </c>
      <c r="H126" s="32" t="n">
        <v>7572.25</v>
      </c>
      <c r="I126" s="32" t="n">
        <v>680.35</v>
      </c>
      <c r="J126" s="32" t="n">
        <v>-2.33</v>
      </c>
      <c r="K126" s="32" t="n">
        <v>636248</v>
      </c>
      <c r="L126" s="31" t="n">
        <v>20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63.87</v>
      </c>
      <c r="P126" s="32" t="n">
        <v>19.55</v>
      </c>
      <c r="Q126" s="32" t="n">
        <v>512.38</v>
      </c>
      <c r="R126" s="31" t="inlineStr">
        <is>
          <t>Volume Spike / Accumulation</t>
        </is>
      </c>
      <c r="S126" s="31" t="inlineStr">
        <is>
          <t>Nifty 50</t>
        </is>
      </c>
      <c r="T126" s="32" t="n">
        <v>-6.3</v>
      </c>
      <c r="U126" s="32" t="n">
        <v>1.97</v>
      </c>
      <c r="V126" s="32" t="n">
        <v>8.83</v>
      </c>
      <c r="W126" s="32" t="n">
        <v>8.43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IF(B127=0,"",RANK(B127,$B$2:$B$193,0))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MGEL</t>
        </is>
      </c>
      <c r="D127" s="31" t="inlineStr">
        <is>
          <t>Mangalam Global Enterprise Ltd</t>
        </is>
      </c>
      <c r="E127" s="31" t="inlineStr">
        <is>
          <t>services</t>
        </is>
      </c>
      <c r="F127" s="31" t="inlineStr">
        <is>
          <t>trading</t>
        </is>
      </c>
      <c r="G127" s="31" t="inlineStr">
        <is>
          <t>smallcap</t>
        </is>
      </c>
      <c r="H127" s="32" t="n">
        <v>544.1</v>
      </c>
      <c r="I127" s="32" t="n">
        <v>16.02</v>
      </c>
      <c r="J127" s="32" t="n">
        <v>-2.97</v>
      </c>
      <c r="K127" s="32" t="n">
        <v>182282</v>
      </c>
      <c r="L127" s="31" t="n">
        <v>52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64.87</v>
      </c>
      <c r="P127" s="32" t="n">
        <v>29.8</v>
      </c>
      <c r="Q127" s="32" t="n">
        <v>11.14</v>
      </c>
      <c r="R127" s="31" t="inlineStr">
        <is>
          <t>Earnings / Momentum Support</t>
        </is>
      </c>
      <c r="S127" s="31" t="inlineStr">
        <is>
          <t>Nifty 50</t>
        </is>
      </c>
      <c r="T127" s="32" t="n">
        <v>-6.3</v>
      </c>
      <c r="U127" s="32" t="n">
        <v>9.789999999999999</v>
      </c>
      <c r="V127" s="32" t="n">
        <v>17.17</v>
      </c>
      <c r="W127" s="32" t="n">
        <v>16.49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IF(B128=0,"",RANK(B128,$B$2:$B$193,0))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CHENNPETRO</t>
        </is>
      </c>
      <c r="D128" s="31" t="inlineStr">
        <is>
          <t>Chennai Petroleum Corporation Limited</t>
        </is>
      </c>
      <c r="E128" s="31" t="inlineStr">
        <is>
          <t>energy</t>
        </is>
      </c>
      <c r="F128" s="31" t="inlineStr">
        <is>
          <t>refineries</t>
        </is>
      </c>
      <c r="G128" s="31" t="inlineStr">
        <is>
          <t>midcap</t>
        </is>
      </c>
      <c r="H128" s="32" t="n">
        <v>17635.58</v>
      </c>
      <c r="I128" s="32" t="n">
        <v>1140.1</v>
      </c>
      <c r="J128" s="32" t="n">
        <v>-3.73</v>
      </c>
      <c r="K128" s="32" t="n">
        <v>835535</v>
      </c>
      <c r="L128" s="31" t="n">
        <v>58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60.75</v>
      </c>
      <c r="P128" s="32" t="n">
        <v>44.01</v>
      </c>
      <c r="Q128" s="32" t="n">
        <v>876.58</v>
      </c>
      <c r="R128" s="31" t="inlineStr">
        <is>
          <t>Near 52W High Breakout</t>
        </is>
      </c>
      <c r="S128" s="31" t="inlineStr">
        <is>
          <t>Nifty Energy</t>
        </is>
      </c>
      <c r="T128" s="32" t="n">
        <v>8.16</v>
      </c>
      <c r="U128" s="32" t="n">
        <v>80.33</v>
      </c>
      <c r="V128" s="32" t="n">
        <v>66.73</v>
      </c>
      <c r="W128" s="32" t="n">
        <v>18.17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Oligopoly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Cyclical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Volatile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IF(B129=0,"",RANK(B129,$B$2:$B$193,0))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PASUPTAC</t>
        </is>
      </c>
      <c r="D129" s="31" t="inlineStr">
        <is>
          <t>Pasupati Acrylon Ltd</t>
        </is>
      </c>
      <c r="E129" s="31" t="inlineStr">
        <is>
          <t>textiles</t>
        </is>
      </c>
      <c r="F129" s="31" t="inlineStr">
        <is>
          <t>textiles - manmade</t>
        </is>
      </c>
      <c r="G129" s="31" t="inlineStr">
        <is>
          <t>smallcap</t>
        </is>
      </c>
      <c r="H129" s="32" t="n">
        <v>633.11</v>
      </c>
      <c r="I129" s="32" t="n">
        <v>67.48</v>
      </c>
      <c r="J129" s="32" t="n">
        <v>-5</v>
      </c>
      <c r="K129" s="32" t="n">
        <v>179117</v>
      </c>
      <c r="L129" s="31" t="n">
        <v>62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64.95</v>
      </c>
      <c r="P129" s="32" t="n">
        <v>31.02</v>
      </c>
      <c r="Q129" s="32" t="n">
        <v>53.13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-6.3</v>
      </c>
      <c r="U129" s="32" t="n">
        <v>42.48</v>
      </c>
      <c r="V129" s="32" t="n">
        <v>52.06</v>
      </c>
      <c r="W129" s="32" t="n">
        <v>19.44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Less than 50%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IF(B130=0,"",RANK(B130,$B$2:$B$193,0))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ZYDUSLIFE</t>
        </is>
      </c>
      <c r="D130" s="31" t="inlineStr">
        <is>
          <t>Zydus Lifesciences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110514.68</v>
      </c>
      <c r="I130" s="32" t="n">
        <v>1105.9</v>
      </c>
      <c r="J130" s="32" t="n">
        <v>0.6899999999999999</v>
      </c>
      <c r="K130" s="32" t="n">
        <v>728343</v>
      </c>
      <c r="L130" s="31" t="n">
        <v>18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72.15000000000001</v>
      </c>
      <c r="P130" s="32" t="n">
        <v>20.23</v>
      </c>
      <c r="Q130" s="32" t="n">
        <v>940.8099999999999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10.56</v>
      </c>
      <c r="U130" s="32" t="n">
        <v>14.73</v>
      </c>
      <c r="V130" s="32" t="n">
        <v>3.77</v>
      </c>
      <c r="W130" s="32" t="n">
        <v>7.79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IF(B131=0,"",RANK(B131,$B$2:$B$193,0))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NOVARTIND</t>
        </is>
      </c>
      <c r="D131" s="31" t="inlineStr">
        <is>
          <t>Novartis India Ltd</t>
        </is>
      </c>
      <c r="E131" s="31" t="inlineStr">
        <is>
          <t>healthcare</t>
        </is>
      </c>
      <c r="F131" s="31" t="inlineStr">
        <is>
          <t>pharmaceuticals - multinational</t>
        </is>
      </c>
      <c r="G131" s="31" t="inlineStr">
        <is>
          <t>smallcap</t>
        </is>
      </c>
      <c r="H131" s="32" t="n">
        <v>3261.9</v>
      </c>
      <c r="I131" s="32" t="n">
        <v>1329.7</v>
      </c>
      <c r="J131" s="32" t="n">
        <v>0.65</v>
      </c>
      <c r="K131" s="32" t="n">
        <v>11516</v>
      </c>
      <c r="L131" s="31" t="n">
        <v>49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64.97</v>
      </c>
      <c r="P131" s="32" t="n">
        <v>62.49</v>
      </c>
      <c r="Q131" s="32" t="n">
        <v>1202.86</v>
      </c>
      <c r="R131" s="31" t="inlineStr">
        <is>
          <t>Earnings / Momentum Support</t>
        </is>
      </c>
      <c r="S131" s="31" t="inlineStr">
        <is>
          <t>Nifty Pharma</t>
        </is>
      </c>
      <c r="T131" s="32" t="n">
        <v>10.56</v>
      </c>
      <c r="U131" s="32" t="n">
        <v>35.09</v>
      </c>
      <c r="V131" s="32" t="n">
        <v>22.19</v>
      </c>
      <c r="W131" s="32" t="n">
        <v>15.83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IF(B132=0,"",RANK(B132,$B$2:$B$193,0))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APOLLOHOSP</t>
        </is>
      </c>
      <c r="D132" s="31" t="inlineStr">
        <is>
          <t>Apollo Hospitals Enterprise Limited</t>
        </is>
      </c>
      <c r="E132" s="31" t="inlineStr">
        <is>
          <t>healthcare</t>
        </is>
      </c>
      <c r="F132" s="31" t="inlineStr">
        <is>
          <t>healthcare</t>
        </is>
      </c>
      <c r="G132" s="31" t="inlineStr">
        <is>
          <t>largecap</t>
        </is>
      </c>
      <c r="H132" s="32" t="n">
        <v>122051.61</v>
      </c>
      <c r="I132" s="32" t="n">
        <v>8493</v>
      </c>
      <c r="J132" s="32" t="n">
        <v>0.05</v>
      </c>
      <c r="K132" s="32" t="n">
        <v>314597</v>
      </c>
      <c r="L132" s="31" t="n">
        <v>15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66.53</v>
      </c>
      <c r="P132" s="32" t="n">
        <v>13.74</v>
      </c>
      <c r="Q132" s="32" t="n">
        <v>7377.04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10.56</v>
      </c>
      <c r="U132" s="32" t="n">
        <v>21.74</v>
      </c>
      <c r="V132" s="32" t="n">
        <v>10.11</v>
      </c>
      <c r="W132" s="32" t="n">
        <v>6.87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Oligopoly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Fully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Yes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Between 1.5 to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IF(B133=0,"",RANK(B133,$B$2:$B$193,0))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GUFICBIO</t>
        </is>
      </c>
      <c r="D133" s="33" t="inlineStr">
        <is>
          <t>Gufic Biosciences Limited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smallcap</t>
        </is>
      </c>
      <c r="H133" s="32" t="n">
        <v>3650.78</v>
      </c>
      <c r="I133" s="32" t="n">
        <v>353.2</v>
      </c>
      <c r="J133" s="32" t="n">
        <v>-2.98</v>
      </c>
      <c r="K133" s="32" t="n">
        <v>121559</v>
      </c>
      <c r="L133" s="31" t="n">
        <v>8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59.81</v>
      </c>
      <c r="P133" s="32" t="n">
        <v>22.26</v>
      </c>
      <c r="Q133" s="32" t="n">
        <v>284.32</v>
      </c>
      <c r="R133" s="31" t="inlineStr">
        <is>
          <t>Volume Spike / Accumulation</t>
        </is>
      </c>
      <c r="S133" s="31" t="inlineStr">
        <is>
          <t>Nifty Pharma</t>
        </is>
      </c>
      <c r="T133" s="32" t="n">
        <v>10.56</v>
      </c>
      <c r="U133" s="32" t="n">
        <v>-4.68</v>
      </c>
      <c r="V133" s="32" t="n">
        <v>-13.79</v>
      </c>
      <c r="W133" s="32" t="n">
        <v>4.45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IF(B134=0,"",RANK(B134,$B$2:$B$193,0))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TATATECH</t>
        </is>
      </c>
      <c r="D134" s="31" t="inlineStr">
        <is>
          <t>Tata Technologies Ltd</t>
        </is>
      </c>
      <c r="E134" s="31" t="inlineStr">
        <is>
          <t>i.t</t>
        </is>
      </c>
      <c r="F134" s="31" t="inlineStr">
        <is>
          <t>computers - software - medium / small</t>
        </is>
      </c>
      <c r="G134" s="31" t="inlineStr">
        <is>
          <t>largecap</t>
        </is>
      </c>
      <c r="H134" s="32" t="n">
        <v>30781.35</v>
      </c>
      <c r="I134" s="32" t="n">
        <v>731.45</v>
      </c>
      <c r="J134" s="32" t="n">
        <v>-3.53</v>
      </c>
      <c r="K134" s="32" t="n">
        <v>1022033</v>
      </c>
      <c r="L134" s="31" t="n">
        <v>19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64.23999999999999</v>
      </c>
      <c r="P134" s="32" t="n">
        <v>34.75</v>
      </c>
      <c r="Q134" s="32" t="n">
        <v>633.36</v>
      </c>
      <c r="R134" s="31" t="inlineStr">
        <is>
          <t>Earnings / Momentum Support</t>
        </is>
      </c>
      <c r="S134" s="31" t="inlineStr">
        <is>
          <t>Nifty IT</t>
        </is>
      </c>
      <c r="T134" s="32" t="n">
        <v>-27.68</v>
      </c>
      <c r="U134" s="32" t="n">
        <v>-1.4</v>
      </c>
      <c r="V134" s="32" t="n">
        <v>36.34</v>
      </c>
      <c r="W134" s="32" t="n">
        <v>8.25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IF(B135=0,"",RANK(B135,$B$2:$B$193,0))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YASHO</t>
        </is>
      </c>
      <c r="D135" s="31" t="inlineStr">
        <is>
          <t>Yasho Industries Ltd</t>
        </is>
      </c>
      <c r="E135" s="31" t="inlineStr">
        <is>
          <t>chemicals</t>
        </is>
      </c>
      <c r="F135" s="31" t="inlineStr">
        <is>
          <t>chemicals</t>
        </is>
      </c>
      <c r="G135" s="31" t="inlineStr">
        <is>
          <t>smallcap</t>
        </is>
      </c>
      <c r="H135" s="32" t="n">
        <v>2984.25</v>
      </c>
      <c r="I135" s="32" t="n">
        <v>2553.2</v>
      </c>
      <c r="J135" s="32" t="n">
        <v>3.16</v>
      </c>
      <c r="K135" s="32" t="n">
        <v>23524</v>
      </c>
      <c r="L135" s="31" t="n">
        <v>83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80.12</v>
      </c>
      <c r="P135" s="32" t="n">
        <v>21.91</v>
      </c>
      <c r="Q135" s="32" t="n">
        <v>1907.81</v>
      </c>
      <c r="R135" s="31" t="inlineStr">
        <is>
          <t>Near 52W High Breakout</t>
        </is>
      </c>
      <c r="S135" s="31" t="inlineStr">
        <is>
          <t>Nifty IT</t>
        </is>
      </c>
      <c r="T135" s="32" t="n">
        <v>-27.68</v>
      </c>
      <c r="U135" s="32" t="n">
        <v>29.29</v>
      </c>
      <c r="V135" s="32" t="n">
        <v>78.77</v>
      </c>
      <c r="W135" s="32" t="n">
        <v>30.59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IF(B136=0,"",RANK(B136,$B$2:$B$193,0))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GALAPREC</t>
        </is>
      </c>
      <c r="D136" s="31" t="inlineStr">
        <is>
          <t>Gala Precision Engineering Ltd</t>
        </is>
      </c>
      <c r="E136" s="31" t="inlineStr">
        <is>
          <t>industrials</t>
        </is>
      </c>
      <c r="F136" s="31" t="inlineStr">
        <is>
          <t>fasteners</t>
        </is>
      </c>
      <c r="G136" s="31" t="inlineStr">
        <is>
          <t>smallcap</t>
        </is>
      </c>
      <c r="H136" s="32" t="n">
        <v>1140.64</v>
      </c>
      <c r="I136" s="32" t="n">
        <v>920.8</v>
      </c>
      <c r="J136" s="32" t="n">
        <v>2.93</v>
      </c>
      <c r="K136" s="32" t="n">
        <v>26140</v>
      </c>
      <c r="L136" s="31" t="n">
        <v>12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64.8</v>
      </c>
      <c r="P136" s="32" t="n">
        <v>20.28</v>
      </c>
      <c r="Q136" s="32" t="n">
        <v>697.29</v>
      </c>
      <c r="R136" s="31" t="inlineStr">
        <is>
          <t>Near 52W High Breakout</t>
        </is>
      </c>
      <c r="S136" s="31" t="inlineStr">
        <is>
          <t>Nifty Infra</t>
        </is>
      </c>
      <c r="T136" s="32" t="n">
        <v>0.59</v>
      </c>
      <c r="U136" s="32" t="n">
        <v>2.38</v>
      </c>
      <c r="V136" s="32" t="n">
        <v>1.78</v>
      </c>
      <c r="W136" s="32" t="n">
        <v>5.63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Less than 50%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IF(B137=0,"",RANK(B137,$B$2:$B$193,0))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VINCOFE</t>
        </is>
      </c>
      <c r="D137" s="31" t="inlineStr">
        <is>
          <t>Vintage Coffee &amp; Beverages Ltd</t>
        </is>
      </c>
      <c r="E137" s="31" t="inlineStr">
        <is>
          <t>consumer discretionary</t>
        </is>
      </c>
      <c r="F137" s="31" t="inlineStr">
        <is>
          <t>trading</t>
        </is>
      </c>
      <c r="G137" s="31" t="inlineStr">
        <is>
          <t>smallcap</t>
        </is>
      </c>
      <c r="H137" s="32" t="n">
        <v>2275.94</v>
      </c>
      <c r="I137" s="32" t="n">
        <v>158.85</v>
      </c>
      <c r="J137" s="32" t="n">
        <v>1.68</v>
      </c>
      <c r="K137" s="32" t="n">
        <v>22143969</v>
      </c>
      <c r="L137" s="31" t="n">
        <v>36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60.46</v>
      </c>
      <c r="P137" s="32" t="n">
        <v>12.75</v>
      </c>
      <c r="Q137" s="32" t="n">
        <v>117.84</v>
      </c>
      <c r="R137" s="31" t="inlineStr">
        <is>
          <t>Volume Spike / Accumulation</t>
        </is>
      </c>
      <c r="S137" s="31" t="inlineStr">
        <is>
          <t>Nifty 50</t>
        </is>
      </c>
      <c r="T137" s="32" t="n">
        <v>-6.3</v>
      </c>
      <c r="U137" s="32" t="n">
        <v>27.1</v>
      </c>
      <c r="V137" s="32" t="n">
        <v>35.65</v>
      </c>
      <c r="W137" s="32" t="n">
        <v>12.63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Between 12 to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IF(B138=0,"",RANK(B138,$B$2:$B$193,0))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KPRMILL</t>
        </is>
      </c>
      <c r="D138" s="31" t="inlineStr">
        <is>
          <t>K.p.r. Mill Limited</t>
        </is>
      </c>
      <c r="E138" s="31" t="inlineStr">
        <is>
          <t>consumer discretionary</t>
        </is>
      </c>
      <c r="F138" s="31" t="inlineStr">
        <is>
          <t>textiles - products</t>
        </is>
      </c>
      <c r="G138" s="31" t="inlineStr">
        <is>
          <t>largecap</t>
        </is>
      </c>
      <c r="H138" s="32" t="n">
        <v>35738.36</v>
      </c>
      <c r="I138" s="32" t="n">
        <v>1054.7</v>
      </c>
      <c r="J138" s="32" t="n">
        <v>0.88</v>
      </c>
      <c r="K138" s="32" t="n">
        <v>211716</v>
      </c>
      <c r="L138" s="31" t="n">
        <v>11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61.85</v>
      </c>
      <c r="P138" s="32" t="n">
        <v>22.51</v>
      </c>
      <c r="Q138" s="32" t="n">
        <v>854.0599999999999</v>
      </c>
      <c r="R138" s="31" t="inlineStr">
        <is>
          <t>Earnings / Momentum Support</t>
        </is>
      </c>
      <c r="S138" s="31" t="inlineStr">
        <is>
          <t>Nifty 500</t>
        </is>
      </c>
      <c r="T138" s="32" t="n">
        <v>-3.46</v>
      </c>
      <c r="U138" s="32" t="n">
        <v>-3.19</v>
      </c>
      <c r="V138" s="32" t="n">
        <v>0.27</v>
      </c>
      <c r="W138" s="32" t="n">
        <v>5.33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IF(B139=0,"",RANK(B139,$B$2:$B$193,0))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COMSYN</t>
        </is>
      </c>
      <c r="D139" s="31" t="inlineStr">
        <is>
          <t>Commercial Syn Bags Ltd</t>
        </is>
      </c>
      <c r="E139" s="31" t="inlineStr">
        <is>
          <t>industrials</t>
        </is>
      </c>
      <c r="F139" s="31" t="inlineStr">
        <is>
          <t>packaging</t>
        </is>
      </c>
      <c r="G139" s="31" t="inlineStr">
        <is>
          <t>smallcap</t>
        </is>
      </c>
      <c r="H139" s="32" t="n">
        <v>681.9299999999999</v>
      </c>
      <c r="I139" s="32" t="n">
        <v>169.38</v>
      </c>
      <c r="J139" s="32" t="n">
        <v>0.2</v>
      </c>
      <c r="K139" s="32" t="n">
        <v>47511</v>
      </c>
      <c r="L139" s="31" t="n">
        <v>22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62.22</v>
      </c>
      <c r="P139" s="32" t="n">
        <v>27.83</v>
      </c>
      <c r="Q139" s="32" t="n">
        <v>139.75</v>
      </c>
      <c r="R139" s="31" t="inlineStr">
        <is>
          <t>Volume Spike / Accumulation</t>
        </is>
      </c>
      <c r="S139" s="31" t="inlineStr">
        <is>
          <t>Nifty 50</t>
        </is>
      </c>
      <c r="T139" s="32" t="n">
        <v>-6.3</v>
      </c>
      <c r="U139" s="32" t="n">
        <v>34.6</v>
      </c>
      <c r="V139" s="32" t="n">
        <v>43.65</v>
      </c>
      <c r="W139" s="32" t="n">
        <v>8.800000000000001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IF(B140=0,"",RANK(B140,$B$2:$B$193,0))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BHAGERIA</t>
        </is>
      </c>
      <c r="D140" s="31" t="inlineStr">
        <is>
          <t>Bhageria Industries Limited</t>
        </is>
      </c>
      <c r="E140" s="31" t="inlineStr">
        <is>
          <t>chemicals</t>
        </is>
      </c>
      <c r="F140" s="31" t="inlineStr">
        <is>
          <t>dyes and pigments</t>
        </is>
      </c>
      <c r="G140" s="31" t="inlineStr">
        <is>
          <t>smallcap</t>
        </is>
      </c>
      <c r="H140" s="32" t="n">
        <v>907.14</v>
      </c>
      <c r="I140" s="32" t="n">
        <v>205.37</v>
      </c>
      <c r="J140" s="32" t="n">
        <v>-1.19</v>
      </c>
      <c r="K140" s="32" t="n">
        <v>72518</v>
      </c>
      <c r="L140" s="31" t="n">
        <v>33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62.89</v>
      </c>
      <c r="P140" s="32" t="n">
        <v>15.11</v>
      </c>
      <c r="Q140" s="32" t="n">
        <v>154.24</v>
      </c>
      <c r="R140" s="31" t="inlineStr">
        <is>
          <t>Volume Spike / Accumulation</t>
        </is>
      </c>
      <c r="S140" s="31" t="inlineStr">
        <is>
          <t>Nifty IT</t>
        </is>
      </c>
      <c r="T140" s="32" t="n">
        <v>-27.68</v>
      </c>
      <c r="U140" s="32" t="n">
        <v>11.11</v>
      </c>
      <c r="V140" s="32" t="n">
        <v>53.63</v>
      </c>
      <c r="W140" s="32" t="n">
        <v>11.93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IF(B141=0,"",RANK(B141,$B$2:$B$193,0))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JAYBARMARU</t>
        </is>
      </c>
      <c r="D141" s="31" t="inlineStr">
        <is>
          <t>Jay Bharat Maruti Limited</t>
        </is>
      </c>
      <c r="E141" s="31" t="inlineStr">
        <is>
          <t>auto</t>
        </is>
      </c>
      <c r="F141" s="31" t="inlineStr">
        <is>
          <t>auto ancillaries</t>
        </is>
      </c>
      <c r="G141" s="31" t="inlineStr">
        <is>
          <t>smallcap</t>
        </is>
      </c>
      <c r="H141" s="32" t="n">
        <v>1441.57</v>
      </c>
      <c r="I141" s="32" t="n">
        <v>131.51</v>
      </c>
      <c r="J141" s="32" t="n">
        <v>-1.25</v>
      </c>
      <c r="K141" s="32" t="n">
        <v>1029571</v>
      </c>
      <c r="L141" s="31" t="n">
        <v>69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66.61</v>
      </c>
      <c r="P141" s="32" t="n">
        <v>17.17</v>
      </c>
      <c r="Q141" s="32" t="n">
        <v>91.42</v>
      </c>
      <c r="R141" s="31" t="inlineStr">
        <is>
          <t>Near 52W High Breakout</t>
        </is>
      </c>
      <c r="S141" s="31" t="inlineStr">
        <is>
          <t>Nifty Auto</t>
        </is>
      </c>
      <c r="T141" s="32" t="n">
        <v>10.56</v>
      </c>
      <c r="U141" s="32" t="n">
        <v>69.39</v>
      </c>
      <c r="V141" s="32" t="n">
        <v>53.21</v>
      </c>
      <c r="W141" s="32" t="n">
        <v>22.57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IF(B142=0,"",RANK(B142,$B$2:$B$193,0))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SOTL</t>
        </is>
      </c>
      <c r="D142" s="31" t="inlineStr">
        <is>
          <t>Savita Oil Technologies Limited</t>
        </is>
      </c>
      <c r="E142" s="31" t="inlineStr">
        <is>
          <t>energy</t>
        </is>
      </c>
      <c r="F142" s="31" t="inlineStr">
        <is>
          <t>petrochemicals</t>
        </is>
      </c>
      <c r="G142" s="31" t="inlineStr">
        <is>
          <t>smallcap</t>
        </is>
      </c>
      <c r="H142" s="32" t="n">
        <v>3774.59</v>
      </c>
      <c r="I142" s="32" t="n">
        <v>543.6</v>
      </c>
      <c r="J142" s="32" t="n">
        <v>-1.26</v>
      </c>
      <c r="K142" s="32" t="n">
        <v>157606</v>
      </c>
      <c r="L142" s="31" t="n">
        <v>66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71.11</v>
      </c>
      <c r="P142" s="32" t="n">
        <v>27.95</v>
      </c>
      <c r="Q142" s="32" t="n">
        <v>420.5</v>
      </c>
      <c r="R142" s="31" t="inlineStr">
        <is>
          <t>Near 52W High Breakout</t>
        </is>
      </c>
      <c r="S142" s="31" t="inlineStr">
        <is>
          <t>Nifty Energy</t>
        </is>
      </c>
      <c r="T142" s="32" t="n">
        <v>8.16</v>
      </c>
      <c r="U142" s="32" t="n">
        <v>30.36</v>
      </c>
      <c r="V142" s="32" t="n">
        <v>20.53</v>
      </c>
      <c r="W142" s="32" t="n">
        <v>21.75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Oligopoly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Cyclical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Volatile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IF(B143=0,"",RANK(B143,$B$2:$B$193,0))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ADANIGREEN</t>
        </is>
      </c>
      <c r="D143" s="31" t="inlineStr">
        <is>
          <t>Adani Green Energy Ltd</t>
        </is>
      </c>
      <c r="E143" s="31" t="inlineStr">
        <is>
          <t>power &amp; utilities</t>
        </is>
      </c>
      <c r="F143" s="31" t="inlineStr">
        <is>
          <t>power generation and supply</t>
        </is>
      </c>
      <c r="G143" s="31" t="inlineStr">
        <is>
          <t>largecap</t>
        </is>
      </c>
      <c r="H143" s="32" t="n">
        <v>244276.22</v>
      </c>
      <c r="I143" s="32" t="n">
        <v>1454.5</v>
      </c>
      <c r="J143" s="32" t="n">
        <v>-1.92</v>
      </c>
      <c r="K143" s="32" t="n">
        <v>2371420</v>
      </c>
      <c r="L143" s="31" t="n">
        <v>75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69.84999999999999</v>
      </c>
      <c r="P143" s="32" t="n">
        <v>37.62</v>
      </c>
      <c r="Q143" s="32" t="n">
        <v>1202.87</v>
      </c>
      <c r="R143" s="31" t="inlineStr">
        <is>
          <t>Near 52W High Breakout</t>
        </is>
      </c>
      <c r="S143" s="31" t="inlineStr">
        <is>
          <t>Nifty IT</t>
        </is>
      </c>
      <c r="T143" s="32" t="n">
        <v>-27.68</v>
      </c>
      <c r="U143" s="32" t="n">
        <v>46.99</v>
      </c>
      <c r="V143" s="32" t="n">
        <v>103.25</v>
      </c>
      <c r="W143" s="32" t="n">
        <v>25.14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IF(B144=0,"",RANK(B144,$B$2:$B$193,0))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SPECTRUM</t>
        </is>
      </c>
      <c r="D144" s="33" t="inlineStr">
        <is>
          <t>Spectrum Electrical Industries Ltd</t>
        </is>
      </c>
      <c r="E144" s="31" t="inlineStr">
        <is>
          <t>industrials</t>
        </is>
      </c>
      <c r="F144" s="31" t="inlineStr">
        <is>
          <t>electric equipment</t>
        </is>
      </c>
      <c r="G144" s="31" t="inlineStr">
        <is>
          <t>smallcap</t>
        </is>
      </c>
      <c r="H144" s="32" t="n">
        <v>2547.21</v>
      </c>
      <c r="I144" s="32" t="n">
        <v>1588.4</v>
      </c>
      <c r="J144" s="32" t="n">
        <v>-2.01</v>
      </c>
      <c r="K144" s="32" t="n">
        <v>17460</v>
      </c>
      <c r="L144" s="31" t="n">
        <v>2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57.84</v>
      </c>
      <c r="P144" s="32" t="n">
        <v>26.12</v>
      </c>
      <c r="Q144" s="32" t="n">
        <v>1202.83</v>
      </c>
      <c r="R144" s="31" t="inlineStr">
        <is>
          <t>Earnings / Momentum Support</t>
        </is>
      </c>
      <c r="S144" s="31" t="inlineStr">
        <is>
          <t>Nifty Infra</t>
        </is>
      </c>
      <c r="T144" s="32" t="n">
        <v>0.59</v>
      </c>
      <c r="U144" s="32" t="n">
        <v>-3.23</v>
      </c>
      <c r="V144" s="32" t="n">
        <v>-3.8</v>
      </c>
      <c r="W144" s="32" t="n">
        <v>1.9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IF(B145=0,"",RANK(B145,$B$2:$B$193,0))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HONAUT</t>
        </is>
      </c>
      <c r="D145" s="33" t="inlineStr">
        <is>
          <t>Honeywell Automation India Limited</t>
        </is>
      </c>
      <c r="E145" s="31" t="inlineStr">
        <is>
          <t>consumer discretionary</t>
        </is>
      </c>
      <c r="F145" s="31" t="inlineStr">
        <is>
          <t>electronics - components</t>
        </is>
      </c>
      <c r="G145" s="31" t="inlineStr">
        <is>
          <t>largecap</t>
        </is>
      </c>
      <c r="H145" s="32" t="n">
        <v>31944.42</v>
      </c>
      <c r="I145" s="32" t="n">
        <v>35230</v>
      </c>
      <c r="J145" s="32" t="n">
        <v>-2.49</v>
      </c>
      <c r="K145" s="32" t="n">
        <v>5455</v>
      </c>
      <c r="L145" s="31" t="n">
        <v>3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57.98</v>
      </c>
      <c r="P145" s="32" t="n">
        <v>23.88</v>
      </c>
      <c r="Q145" s="32" t="n">
        <v>28402.61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-6.3</v>
      </c>
      <c r="U145" s="32" t="n">
        <v>-7.33</v>
      </c>
      <c r="V145" s="32" t="n">
        <v>-1.1</v>
      </c>
      <c r="W145" s="32" t="n">
        <v>2.42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Between 12 to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IF(B146=0,"",RANK(B146,$B$2:$B$193,0))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TORNTPHARM</t>
        </is>
      </c>
      <c r="D146" s="31" t="inlineStr">
        <is>
          <t>Torrent Pharmaceuticals Limited</t>
        </is>
      </c>
      <c r="E146" s="31" t="inlineStr">
        <is>
          <t>healthcare</t>
        </is>
      </c>
      <c r="F146" s="31" t="inlineStr">
        <is>
          <t>pharmaceuticals - indian - formulations</t>
        </is>
      </c>
      <c r="G146" s="31" t="inlineStr">
        <is>
          <t>largecap</t>
        </is>
      </c>
      <c r="H146" s="32" t="n">
        <v>151071.89</v>
      </c>
      <c r="I146" s="32" t="n">
        <v>4572.2</v>
      </c>
      <c r="J146" s="32" t="n">
        <v>2.43</v>
      </c>
      <c r="K146" s="32" t="n">
        <v>830928</v>
      </c>
      <c r="L146" s="31" t="n">
        <v>19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68.8</v>
      </c>
      <c r="P146" s="32" t="n">
        <v>29.8</v>
      </c>
      <c r="Q146" s="32" t="n">
        <v>3909.47</v>
      </c>
      <c r="R146" s="31" t="inlineStr">
        <is>
          <t>Near 52W High Breakout</t>
        </is>
      </c>
      <c r="S146" s="31" t="inlineStr">
        <is>
          <t>Nifty Pharma</t>
        </is>
      </c>
      <c r="T146" s="32" t="n">
        <v>10.56</v>
      </c>
      <c r="U146" s="32" t="n">
        <v>42.09</v>
      </c>
      <c r="V146" s="32" t="n">
        <v>28.52</v>
      </c>
      <c r="W146" s="32" t="n">
        <v>8.289999999999999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Between 50% to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IF(B147=0,"",RANK(B147,$B$2:$B$193,0))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RAMCOSYS</t>
        </is>
      </c>
      <c r="D147" s="31" t="inlineStr">
        <is>
          <t>Ramco Systems Limited</t>
        </is>
      </c>
      <c r="E147" s="31" t="inlineStr">
        <is>
          <t>i.t</t>
        </is>
      </c>
      <c r="F147" s="31" t="inlineStr">
        <is>
          <t>computers - software - medium / small</t>
        </is>
      </c>
      <c r="G147" s="31" t="inlineStr">
        <is>
          <t>smallcap</t>
        </is>
      </c>
      <c r="H147" s="32" t="n">
        <v>2030.72</v>
      </c>
      <c r="I147" s="32" t="n">
        <v>549.8</v>
      </c>
      <c r="J147" s="32" t="n">
        <v>1.29</v>
      </c>
      <c r="K147" s="32" t="n">
        <v>398158</v>
      </c>
      <c r="L147" s="31" t="n">
        <v>50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59.6</v>
      </c>
      <c r="P147" s="32" t="n">
        <v>16.47</v>
      </c>
      <c r="Q147" s="32" t="n">
        <v>382.76</v>
      </c>
      <c r="R147" s="31" t="inlineStr">
        <is>
          <t>Volume Spike / Accumulation</t>
        </is>
      </c>
      <c r="S147" s="31" t="inlineStr">
        <is>
          <t>Nifty IT</t>
        </is>
      </c>
      <c r="T147" s="32" t="n">
        <v>-27.68</v>
      </c>
      <c r="U147" s="32" t="n">
        <v>29.32</v>
      </c>
      <c r="V147" s="32" t="n">
        <v>78.81</v>
      </c>
      <c r="W147" s="32" t="n">
        <v>16.18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IF(B148=0,"",RANK(B148,$B$2:$B$193,0))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FORTIS</t>
        </is>
      </c>
      <c r="D148" s="31" t="inlineStr">
        <is>
          <t>Fortis Healthcare Limited</t>
        </is>
      </c>
      <c r="E148" s="31" t="inlineStr">
        <is>
          <t>healthcare</t>
        </is>
      </c>
      <c r="F148" s="31" t="inlineStr">
        <is>
          <t>healthcare</t>
        </is>
      </c>
      <c r="G148" s="31" t="inlineStr">
        <is>
          <t>largecap</t>
        </is>
      </c>
      <c r="H148" s="32" t="n">
        <v>74665.36</v>
      </c>
      <c r="I148" s="32" t="n">
        <v>989</v>
      </c>
      <c r="J148" s="32" t="n">
        <v>0</v>
      </c>
      <c r="K148" s="32" t="n">
        <v>784738</v>
      </c>
      <c r="L148" s="31" t="n">
        <v>27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61.37</v>
      </c>
      <c r="P148" s="32" t="n">
        <v>14.3</v>
      </c>
      <c r="Q148" s="32" t="n">
        <v>822.45</v>
      </c>
      <c r="R148" s="31" t="inlineStr">
        <is>
          <t>Earnings / Momentum Support</t>
        </is>
      </c>
      <c r="S148" s="31" t="inlineStr">
        <is>
          <t>Nifty Pharma</t>
        </is>
      </c>
      <c r="T148" s="32" t="n">
        <v>10.56</v>
      </c>
      <c r="U148" s="32" t="n">
        <v>31.32</v>
      </c>
      <c r="V148" s="32" t="n">
        <v>18.78</v>
      </c>
      <c r="W148" s="32" t="n">
        <v>10.11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Between 1.5 to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IF(B149=0,"",RANK(B149,$B$2:$B$193,0))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SKMEGGPROD</t>
        </is>
      </c>
      <c r="D149" s="31" t="inlineStr">
        <is>
          <t>Skm Egg Products Export (india) Limited</t>
        </is>
      </c>
      <c r="E149" s="31" t="inlineStr">
        <is>
          <t>fmcg</t>
        </is>
      </c>
      <c r="F149" s="31" t="inlineStr">
        <is>
          <t>food - processing - indian</t>
        </is>
      </c>
      <c r="G149" s="31" t="inlineStr">
        <is>
          <t>smallcap</t>
        </is>
      </c>
      <c r="H149" s="32" t="n">
        <v>1270.37</v>
      </c>
      <c r="I149" s="32" t="n">
        <v>228.53</v>
      </c>
      <c r="J149" s="32" t="n">
        <v>-5.27</v>
      </c>
      <c r="K149" s="32" t="n">
        <v>548761</v>
      </c>
      <c r="L149" s="31" t="n">
        <v>76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64.09999999999999</v>
      </c>
      <c r="P149" s="32" t="n">
        <v>19.27</v>
      </c>
      <c r="Q149" s="32" t="n">
        <v>169.35</v>
      </c>
      <c r="R149" s="31" t="inlineStr">
        <is>
          <t>Earnings / Momentum Support</t>
        </is>
      </c>
      <c r="S149" s="31" t="inlineStr">
        <is>
          <t>Nifty FMCG</t>
        </is>
      </c>
      <c r="T149" s="32" t="n">
        <v>-11.01</v>
      </c>
      <c r="U149" s="32" t="n">
        <v>78.01000000000001</v>
      </c>
      <c r="V149" s="32" t="n">
        <v>100.05</v>
      </c>
      <c r="W149" s="32" t="n">
        <v>25.97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Less than 50%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IF(B150=0,"",RANK(B150,$B$2:$B$193,0))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SASKEN</t>
        </is>
      </c>
      <c r="D150" s="31" t="inlineStr">
        <is>
          <t>Sasken Communication Technologies Limited</t>
        </is>
      </c>
      <c r="E150" s="31" t="inlineStr">
        <is>
          <t>i.t</t>
        </is>
      </c>
      <c r="F150" s="31" t="inlineStr">
        <is>
          <t>computers - software - medium / small</t>
        </is>
      </c>
      <c r="G150" s="31" t="inlineStr">
        <is>
          <t>smallcap</t>
        </is>
      </c>
      <c r="H150" s="32" t="n">
        <v>3434.57</v>
      </c>
      <c r="I150" s="32" t="n">
        <v>2072.9</v>
      </c>
      <c r="J150" s="32" t="n">
        <v>-8.34</v>
      </c>
      <c r="K150" s="32" t="n">
        <v>112524</v>
      </c>
      <c r="L150" s="31" t="n">
        <v>88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69.41</v>
      </c>
      <c r="P150" s="32" t="n">
        <v>31.4</v>
      </c>
      <c r="Q150" s="32" t="n">
        <v>1645.99</v>
      </c>
      <c r="R150" s="31" t="inlineStr">
        <is>
          <t>Earnings / Momentum Support</t>
        </is>
      </c>
      <c r="S150" s="31" t="inlineStr">
        <is>
          <t>Nifty IT</t>
        </is>
      </c>
      <c r="T150" s="32" t="n">
        <v>-27.68</v>
      </c>
      <c r="U150" s="32" t="n">
        <v>44.01</v>
      </c>
      <c r="V150" s="32" t="n">
        <v>99.13</v>
      </c>
      <c r="W150" s="32" t="n">
        <v>35.87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IF(B151=0,"",RANK(B151,$B$2:$B$193,0))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ELECTHERM</t>
        </is>
      </c>
      <c r="D151" s="33" t="inlineStr">
        <is>
          <t>Electrotherm (india) Limited</t>
        </is>
      </c>
      <c r="E151" s="31" t="inlineStr">
        <is>
          <t>metals &amp; mining</t>
        </is>
      </c>
      <c r="F151" s="31" t="inlineStr">
        <is>
          <t>steel - medium / small</t>
        </is>
      </c>
      <c r="G151" s="31" t="inlineStr">
        <is>
          <t>smallcap</t>
        </is>
      </c>
      <c r="H151" s="32" t="n">
        <v>1461.35</v>
      </c>
      <c r="I151" s="32" t="n">
        <v>1182.65</v>
      </c>
      <c r="J151" s="32" t="n">
        <v>3.13</v>
      </c>
      <c r="K151" s="32" t="n">
        <v>533410</v>
      </c>
      <c r="L151" s="31" t="n">
        <v>81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69.75</v>
      </c>
      <c r="P151" s="32" t="n">
        <v>26.62</v>
      </c>
      <c r="Q151" s="32" t="n">
        <v>760.3</v>
      </c>
      <c r="R151" s="31" t="inlineStr">
        <is>
          <t>Volume Spike &amp; Near 52W High Breakout</t>
        </is>
      </c>
      <c r="S151" s="31" t="inlineStr">
        <is>
          <t>Nifty Metal</t>
        </is>
      </c>
      <c r="T151" s="32" t="n">
        <v>37.53</v>
      </c>
      <c r="U151" s="32" t="n">
        <v>-1.98</v>
      </c>
      <c r="V151" s="32" t="n">
        <v>-28.73</v>
      </c>
      <c r="W151" s="32" t="n">
        <v>29.03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Cyclical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Volatile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IF(B152=0,"",RANK(B152,$B$2:$B$193,0))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NAVINFLUOR</t>
        </is>
      </c>
      <c r="D152" s="31" t="inlineStr">
        <is>
          <t>Navin Fluorine International Limited</t>
        </is>
      </c>
      <c r="E152" s="31" t="inlineStr">
        <is>
          <t>chemicals</t>
        </is>
      </c>
      <c r="F152" s="31" t="inlineStr">
        <is>
          <t>chemicals</t>
        </is>
      </c>
      <c r="G152" s="31" t="inlineStr">
        <is>
          <t>largecap</t>
        </is>
      </c>
      <c r="H152" s="32" t="n">
        <v>36112.31</v>
      </c>
      <c r="I152" s="32" t="n">
        <v>7157</v>
      </c>
      <c r="J152" s="32" t="n">
        <v>1.57</v>
      </c>
      <c r="K152" s="32" t="n">
        <v>149175</v>
      </c>
      <c r="L152" s="31" t="n">
        <v>39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67.54000000000001</v>
      </c>
      <c r="P152" s="32" t="n">
        <v>36.69</v>
      </c>
      <c r="Q152" s="32" t="n">
        <v>5800.58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-6.3</v>
      </c>
      <c r="U152" s="32" t="n">
        <v>57.9</v>
      </c>
      <c r="V152" s="32" t="n">
        <v>68.52</v>
      </c>
      <c r="W152" s="32" t="n">
        <v>13.25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Shallow Cyclical (2 to 3 Years Growth)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IF(B153=0,"",RANK(B153,$B$2:$B$193,0))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GRASIM</t>
        </is>
      </c>
      <c r="D153" s="31" t="inlineStr">
        <is>
          <t>Grasim Industries Limited</t>
        </is>
      </c>
      <c r="E153" s="31" t="inlineStr">
        <is>
          <t>textiles</t>
        </is>
      </c>
      <c r="F153" s="31" t="inlineStr">
        <is>
          <t>textiles - manmade</t>
        </is>
      </c>
      <c r="G153" s="31" t="inlineStr">
        <is>
          <t>largecap</t>
        </is>
      </c>
      <c r="H153" s="32" t="n">
        <v>209019.91</v>
      </c>
      <c r="I153" s="32" t="n">
        <v>3089.5</v>
      </c>
      <c r="J153" s="32" t="n">
        <v>0.6</v>
      </c>
      <c r="K153" s="32" t="n">
        <v>613443</v>
      </c>
      <c r="L153" s="31" t="n">
        <v>17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63.86</v>
      </c>
      <c r="P153" s="32" t="n">
        <v>22.99</v>
      </c>
      <c r="Q153" s="32" t="n">
        <v>2741.78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-6.3</v>
      </c>
      <c r="U153" s="32" t="n">
        <v>16.4</v>
      </c>
      <c r="V153" s="32" t="n">
        <v>24.23</v>
      </c>
      <c r="W153" s="32" t="n">
        <v>7.58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Negative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More than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IF(B154=0,"",RANK(B154,$B$2:$B$193,0))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SHYAMMETL</t>
        </is>
      </c>
      <c r="D154" s="33" t="inlineStr">
        <is>
          <t>Shyam Metalics &amp; Energy Ltd</t>
        </is>
      </c>
      <c r="E154" s="31" t="inlineStr">
        <is>
          <t>metals &amp; mining</t>
        </is>
      </c>
      <c r="F154" s="31" t="inlineStr">
        <is>
          <t>steel - large</t>
        </is>
      </c>
      <c r="G154" s="31" t="inlineStr">
        <is>
          <t>largecap</t>
        </is>
      </c>
      <c r="H154" s="32" t="n">
        <v>27043.69</v>
      </c>
      <c r="I154" s="32" t="n">
        <v>969.45</v>
      </c>
      <c r="J154" s="32" t="n">
        <v>0.06</v>
      </c>
      <c r="K154" s="32" t="n">
        <v>121712</v>
      </c>
      <c r="L154" s="31" t="n">
        <v>24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61.11</v>
      </c>
      <c r="P154" s="32" t="n">
        <v>15.26</v>
      </c>
      <c r="Q154" s="32" t="n">
        <v>812.22</v>
      </c>
      <c r="R154" s="31" t="inlineStr">
        <is>
          <t>Near 52W High Breakout</t>
        </is>
      </c>
      <c r="S154" s="31" t="inlineStr">
        <is>
          <t>Nifty Metal</t>
        </is>
      </c>
      <c r="T154" s="32" t="n">
        <v>37.53</v>
      </c>
      <c r="U154" s="32" t="n">
        <v>16.39</v>
      </c>
      <c r="V154" s="32" t="n">
        <v>-15.37</v>
      </c>
      <c r="W154" s="32" t="n">
        <v>9.08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IF(B155=0,"",RANK(B155,$B$2:$B$193,0))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BHARATFORG</t>
        </is>
      </c>
      <c r="D155" s="31" t="inlineStr">
        <is>
          <t>Bharat Forge Limited</t>
        </is>
      </c>
      <c r="E155" s="31" t="inlineStr">
        <is>
          <t>industrials</t>
        </is>
      </c>
      <c r="F155" s="31" t="inlineStr">
        <is>
          <t>castings &amp; forgings</t>
        </is>
      </c>
      <c r="G155" s="31" t="inlineStr">
        <is>
          <t>largecap</t>
        </is>
      </c>
      <c r="H155" s="32" t="n">
        <v>93189.03999999999</v>
      </c>
      <c r="I155" s="32" t="n">
        <v>1942.9</v>
      </c>
      <c r="J155" s="32" t="n">
        <v>-0.32</v>
      </c>
      <c r="K155" s="32" t="n">
        <v>801831</v>
      </c>
      <c r="L155" s="31" t="n">
        <v>34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64.37</v>
      </c>
      <c r="P155" s="32" t="n">
        <v>33.89</v>
      </c>
      <c r="Q155" s="32" t="n">
        <v>1636.04</v>
      </c>
      <c r="R155" s="31" t="inlineStr">
        <is>
          <t>Near 52W High Breakout</t>
        </is>
      </c>
      <c r="S155" s="31" t="inlineStr">
        <is>
          <t>Nifty 500</t>
        </is>
      </c>
      <c r="T155" s="32" t="n">
        <v>-3.46</v>
      </c>
      <c r="U155" s="32" t="n">
        <v>49.25</v>
      </c>
      <c r="V155" s="32" t="n">
        <v>54.6</v>
      </c>
      <c r="W155" s="32" t="n">
        <v>12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IF(B156=0,"",RANK(B156,$B$2:$B$193,0))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FCL</t>
        </is>
      </c>
      <c r="D156" s="31" t="inlineStr">
        <is>
          <t>Fineotex Chemical Limited</t>
        </is>
      </c>
      <c r="E156" s="31" t="inlineStr">
        <is>
          <t>chemicals</t>
        </is>
      </c>
      <c r="F156" s="31" t="inlineStr">
        <is>
          <t>chemicals</t>
        </is>
      </c>
      <c r="G156" s="31" t="inlineStr">
        <is>
          <t>smallcap</t>
        </is>
      </c>
      <c r="H156" s="32" t="n">
        <v>4436.75</v>
      </c>
      <c r="I156" s="32" t="n">
        <v>37.03</v>
      </c>
      <c r="J156" s="32" t="n">
        <v>-2.81</v>
      </c>
      <c r="K156" s="32" t="n">
        <v>11671065</v>
      </c>
      <c r="L156" s="31" t="n">
        <v>71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67.23999999999999</v>
      </c>
      <c r="P156" s="32" t="n">
        <v>30.44</v>
      </c>
      <c r="Q156" s="32" t="n">
        <v>29.76</v>
      </c>
      <c r="R156" s="31" t="inlineStr">
        <is>
          <t>Earnings / Momentum Support</t>
        </is>
      </c>
      <c r="S156" s="31" t="inlineStr">
        <is>
          <t>Nifty IT</t>
        </is>
      </c>
      <c r="T156" s="32" t="n">
        <v>-27.68</v>
      </c>
      <c r="U156" s="32" t="n">
        <v>39.93</v>
      </c>
      <c r="V156" s="32" t="n">
        <v>93.48</v>
      </c>
      <c r="W156" s="32" t="n">
        <v>23.88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Negative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IF(B157=0,"",RANK(B157,$B$2:$B$193,0))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JNKINDIA</t>
        </is>
      </c>
      <c r="D157" s="31" t="inlineStr">
        <is>
          <t>JNK India Ltd</t>
        </is>
      </c>
      <c r="E157" s="31" t="inlineStr">
        <is>
          <t>realty</t>
        </is>
      </c>
      <c r="F157" s="31" t="inlineStr">
        <is>
          <t>engineering - turnkey services</t>
        </is>
      </c>
      <c r="G157" s="31" t="inlineStr">
        <is>
          <t>smallcap</t>
        </is>
      </c>
      <c r="H157" s="32" t="n">
        <v>2786.51</v>
      </c>
      <c r="I157" s="32" t="n">
        <v>470</v>
      </c>
      <c r="J157" s="32" t="n">
        <v>-5.62</v>
      </c>
      <c r="K157" s="32" t="n">
        <v>2536583</v>
      </c>
      <c r="L157" s="31" t="n">
        <v>85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75.16</v>
      </c>
      <c r="P157" s="32" t="n">
        <v>29.06</v>
      </c>
      <c r="Q157" s="32" t="n">
        <v>322.02</v>
      </c>
      <c r="R157" s="31" t="inlineStr">
        <is>
          <t>Volume Spike &amp; Near 52W High Breakout</t>
        </is>
      </c>
      <c r="S157" s="31" t="inlineStr">
        <is>
          <t>Nifty Realty</t>
        </is>
      </c>
      <c r="T157" s="32" t="n">
        <v>-26.19</v>
      </c>
      <c r="U157" s="32" t="n">
        <v>29.71</v>
      </c>
      <c r="V157" s="32" t="n">
        <v>75.72</v>
      </c>
      <c r="W157" s="32" t="n">
        <v>32.58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IF(B158=0,"",RANK(B158,$B$2:$B$193,0))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ZIMLAB</t>
        </is>
      </c>
      <c r="D158" s="33" t="inlineStr">
        <is>
          <t>Zim Laboratories Ltd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smallcap</t>
        </is>
      </c>
      <c r="H158" s="32" t="n">
        <v>597.38</v>
      </c>
      <c r="I158" s="32" t="n">
        <v>112</v>
      </c>
      <c r="J158" s="32" t="n">
        <v>0.3</v>
      </c>
      <c r="K158" s="32" t="n">
        <v>41191</v>
      </c>
      <c r="L158" s="31" t="n">
        <v>62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75.23999999999999</v>
      </c>
      <c r="P158" s="32" t="n">
        <v>42.22</v>
      </c>
      <c r="Q158" s="32" t="n">
        <v>80.16</v>
      </c>
      <c r="R158" s="31" t="inlineStr">
        <is>
          <t>Earnings / Momentum Support</t>
        </is>
      </c>
      <c r="S158" s="31" t="inlineStr">
        <is>
          <t>Nifty Pharma</t>
        </is>
      </c>
      <c r="T158" s="32" t="n">
        <v>10.56</v>
      </c>
      <c r="U158" s="32" t="n">
        <v>7.91</v>
      </c>
      <c r="V158" s="32" t="n">
        <v>-2.4</v>
      </c>
      <c r="W158" s="32" t="n">
        <v>19.44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IF(B159=0,"",RANK(B159,$B$2:$B$193,0))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APCOTEXIND</t>
        </is>
      </c>
      <c r="D159" s="31" t="inlineStr">
        <is>
          <t>Apcotex Industries Limited</t>
        </is>
      </c>
      <c r="E159" s="31" t="inlineStr">
        <is>
          <t>chemicals</t>
        </is>
      </c>
      <c r="F159" s="31" t="inlineStr">
        <is>
          <t>miscellaneous</t>
        </is>
      </c>
      <c r="G159" s="31" t="inlineStr">
        <is>
          <t>smallcap</t>
        </is>
      </c>
      <c r="H159" s="32" t="n">
        <v>2772.93</v>
      </c>
      <c r="I159" s="32" t="n">
        <v>521.75</v>
      </c>
      <c r="J159" s="32" t="n">
        <v>-2.45</v>
      </c>
      <c r="K159" s="32" t="n">
        <v>88913</v>
      </c>
      <c r="L159" s="31" t="n">
        <v>58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68.38</v>
      </c>
      <c r="P159" s="32" t="n">
        <v>34.1</v>
      </c>
      <c r="Q159" s="32" t="n">
        <v>414.56</v>
      </c>
      <c r="R159" s="31" t="inlineStr">
        <is>
          <t>Near 52W High Breakout</t>
        </is>
      </c>
      <c r="S159" s="31" t="inlineStr">
        <is>
          <t>Nifty Infra</t>
        </is>
      </c>
      <c r="T159" s="32" t="n">
        <v>0.59</v>
      </c>
      <c r="U159" s="32" t="n">
        <v>38.63</v>
      </c>
      <c r="V159" s="32" t="n">
        <v>37.82</v>
      </c>
      <c r="W159" s="32" t="n">
        <v>18.1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Oligopoly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Cyclical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Fully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1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Sideways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Overhead supply in last 2 years in last 2 years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IF(B160=0,"",RANK(B160,$B$2:$B$193,0))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INDSWFTLAB</t>
        </is>
      </c>
      <c r="D160" s="31" t="inlineStr">
        <is>
          <t>Ind-swift Laboratories Limited</t>
        </is>
      </c>
      <c r="E160" s="31" t="inlineStr">
        <is>
          <t>healthcare</t>
        </is>
      </c>
      <c r="F160" s="31" t="inlineStr">
        <is>
          <t>pharmaceuticals - indian - bulk drugs &amp; formln</t>
        </is>
      </c>
      <c r="G160" s="31" t="inlineStr">
        <is>
          <t>smallcap</t>
        </is>
      </c>
      <c r="H160" s="32" t="n">
        <v>1414.22</v>
      </c>
      <c r="I160" s="32" t="n">
        <v>158.63</v>
      </c>
      <c r="J160" s="32" t="n">
        <v>-2.6</v>
      </c>
      <c r="K160" s="32" t="n">
        <v>566933</v>
      </c>
      <c r="L160" s="31" t="n">
        <v>34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71.22</v>
      </c>
      <c r="P160" s="32" t="n">
        <v>34.07</v>
      </c>
      <c r="Q160" s="32" t="n">
        <v>112.71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10.56</v>
      </c>
      <c r="U160" s="32" t="n">
        <v>46.11</v>
      </c>
      <c r="V160" s="32" t="n">
        <v>32.15</v>
      </c>
      <c r="W160" s="32" t="n">
        <v>12.25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Negative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IF(B161=0,"",RANK(B161,$B$2:$B$193,0))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JSWDULUX</t>
        </is>
      </c>
      <c r="D161" s="31" t="inlineStr">
        <is>
          <t>JSW Dulux Ltd</t>
        </is>
      </c>
      <c r="E161" s="31" t="inlineStr">
        <is>
          <t>building materials</t>
        </is>
      </c>
      <c r="F161" s="31" t="inlineStr">
        <is>
          <t>paints / varnishes</t>
        </is>
      </c>
      <c r="G161" s="31" t="inlineStr">
        <is>
          <t>midcap</t>
        </is>
      </c>
      <c r="H161" s="32" t="n">
        <v>14461.78</v>
      </c>
      <c r="I161" s="32" t="n">
        <v>3187.8</v>
      </c>
      <c r="J161" s="32" t="n">
        <v>0.38</v>
      </c>
      <c r="K161" s="32" t="n">
        <v>35237</v>
      </c>
      <c r="L161" s="31" t="n">
        <v>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57</v>
      </c>
      <c r="P161" s="32" t="n">
        <v>18.34</v>
      </c>
      <c r="Q161" s="32" t="n">
        <v>2627.93</v>
      </c>
      <c r="R161" s="31" t="inlineStr">
        <is>
          <t>Earnings / Momentum Support</t>
        </is>
      </c>
      <c r="S161" s="31" t="inlineStr">
        <is>
          <t>Nifty Infra</t>
        </is>
      </c>
      <c r="T161" s="32" t="n">
        <v>0.59</v>
      </c>
      <c r="U161" s="32" t="n">
        <v>3.65</v>
      </c>
      <c r="V161" s="32" t="n">
        <v>3.04</v>
      </c>
      <c r="W161" s="32" t="n">
        <v>3.69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1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IF(B162=0,"",RANK(B162,$B$2:$B$193,0))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LMW</t>
        </is>
      </c>
      <c r="D162" s="31" t="inlineStr">
        <is>
          <t>LMW Ltd</t>
        </is>
      </c>
      <c r="E162" s="31" t="inlineStr">
        <is>
          <t>industrials</t>
        </is>
      </c>
      <c r="F162" s="31" t="inlineStr">
        <is>
          <t>textile machinery</t>
        </is>
      </c>
      <c r="G162" s="31" t="inlineStr">
        <is>
          <t>midcap</t>
        </is>
      </c>
      <c r="H162" s="32" t="n">
        <v>16624.88</v>
      </c>
      <c r="I162" s="32" t="n">
        <v>15582</v>
      </c>
      <c r="J162" s="32" t="n">
        <v>0.13</v>
      </c>
      <c r="K162" s="32" t="n">
        <v>757</v>
      </c>
      <c r="L162" s="31" t="n">
        <v>1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57.17</v>
      </c>
      <c r="P162" s="32" t="n">
        <v>17.67</v>
      </c>
      <c r="Q162" s="32" t="n">
        <v>12712.66</v>
      </c>
      <c r="R162" s="31" t="inlineStr">
        <is>
          <t>Earnings / Momentum Support</t>
        </is>
      </c>
      <c r="S162" s="31" t="inlineStr">
        <is>
          <t>Nifty 50</t>
        </is>
      </c>
      <c r="T162" s="32" t="n">
        <v>-6.3</v>
      </c>
      <c r="U162" s="32" t="n">
        <v>-5.35</v>
      </c>
      <c r="V162" s="32" t="n">
        <v>1.01</v>
      </c>
      <c r="W162" s="32" t="n">
        <v>1.56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IF(B163=0,"",RANK(B163,$B$2:$B$193,0))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SSWL</t>
        </is>
      </c>
      <c r="D163" s="33" t="inlineStr">
        <is>
          <t>Steel Strips Wheels Limited</t>
        </is>
      </c>
      <c r="E163" s="31" t="inlineStr">
        <is>
          <t>auto</t>
        </is>
      </c>
      <c r="F163" s="31" t="inlineStr">
        <is>
          <t>auto ancillaries</t>
        </is>
      </c>
      <c r="G163" s="31" t="inlineStr">
        <is>
          <t>smallcap</t>
        </is>
      </c>
      <c r="H163" s="32" t="n">
        <v>3569.41</v>
      </c>
      <c r="I163" s="32" t="n">
        <v>225.83</v>
      </c>
      <c r="J163" s="32" t="n">
        <v>-0.55</v>
      </c>
      <c r="K163" s="32" t="n">
        <v>674970</v>
      </c>
      <c r="L163" s="31" t="n">
        <v>6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57.36</v>
      </c>
      <c r="P163" s="32" t="n">
        <v>8.470000000000001</v>
      </c>
      <c r="Q163" s="32" t="n">
        <v>169.77</v>
      </c>
      <c r="R163" s="31" t="inlineStr">
        <is>
          <t>Earnings / Momentum Support</t>
        </is>
      </c>
      <c r="S163" s="31" t="inlineStr">
        <is>
          <t>Nifty Auto</t>
        </is>
      </c>
      <c r="T163" s="32" t="n">
        <v>10.56</v>
      </c>
      <c r="U163" s="32" t="n">
        <v>-8.59</v>
      </c>
      <c r="V163" s="32" t="n">
        <v>-17.32</v>
      </c>
      <c r="W163" s="32" t="n">
        <v>4.03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Between 50% to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IF(B164=0,"",RANK(B164,$B$2:$B$193,0))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BALRAMCHIN</t>
        </is>
      </c>
      <c r="D164" s="31" t="inlineStr">
        <is>
          <t>Balrampur Chini Mills Limited</t>
        </is>
      </c>
      <c r="E164" s="31" t="inlineStr">
        <is>
          <t>fmcg</t>
        </is>
      </c>
      <c r="F164" s="31" t="inlineStr">
        <is>
          <t>sugar</t>
        </is>
      </c>
      <c r="G164" s="31" t="inlineStr">
        <is>
          <t>midcap</t>
        </is>
      </c>
      <c r="H164" s="32" t="n">
        <v>10835.65</v>
      </c>
      <c r="I164" s="32" t="n">
        <v>548.55</v>
      </c>
      <c r="J164" s="32" t="n">
        <v>2.24</v>
      </c>
      <c r="K164" s="32" t="n">
        <v>1060977</v>
      </c>
      <c r="L164" s="31" t="n">
        <v>1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65.12</v>
      </c>
      <c r="P164" s="32" t="n">
        <v>19.3</v>
      </c>
      <c r="Q164" s="32" t="n">
        <v>440.62</v>
      </c>
      <c r="R164" s="31" t="inlineStr">
        <is>
          <t>Earnings / Momentum Support</t>
        </is>
      </c>
      <c r="S164" s="31" t="inlineStr">
        <is>
          <t>Nifty FMCG</t>
        </is>
      </c>
      <c r="T164" s="32" t="n">
        <v>-11.01</v>
      </c>
      <c r="U164" s="32" t="n">
        <v>-9.44</v>
      </c>
      <c r="V164" s="32" t="n">
        <v>1.77</v>
      </c>
      <c r="W164" s="32" t="n">
        <v>1.35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B2C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IF(B165=0,"",RANK(B165,$B$2:$B$193,0))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AJANTPHARM</t>
        </is>
      </c>
      <c r="D165" s="31" t="inlineStr">
        <is>
          <t>Ajanta Pharma Limited</t>
        </is>
      </c>
      <c r="E165" s="31" t="inlineStr">
        <is>
          <t>healthcare</t>
        </is>
      </c>
      <c r="F165" s="31" t="inlineStr">
        <is>
          <t>pharmaceuticals - indian - formulations</t>
        </is>
      </c>
      <c r="G165" s="31" t="inlineStr">
        <is>
          <t>largecap</t>
        </is>
      </c>
      <c r="H165" s="32" t="n">
        <v>38416.46</v>
      </c>
      <c r="I165" s="32" t="n">
        <v>3143.4</v>
      </c>
      <c r="J165" s="32" t="n">
        <v>2.23</v>
      </c>
      <c r="K165" s="32" t="n">
        <v>192433</v>
      </c>
      <c r="L165" s="31" t="n">
        <v>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62.25</v>
      </c>
      <c r="P165" s="32" t="n">
        <v>35.6</v>
      </c>
      <c r="Q165" s="32" t="n">
        <v>2609.86</v>
      </c>
      <c r="R165" s="31" t="inlineStr">
        <is>
          <t>Near 52W High Breakout</t>
        </is>
      </c>
      <c r="S165" s="31" t="inlineStr">
        <is>
          <t>Nifty Pharma</t>
        </is>
      </c>
      <c r="T165" s="32" t="n">
        <v>10.56</v>
      </c>
      <c r="U165" s="32" t="n">
        <v>20.67</v>
      </c>
      <c r="V165" s="32" t="n">
        <v>9.140000000000001</v>
      </c>
      <c r="W165" s="32" t="n">
        <v>4.72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Between 1.5 to 2</t>
        </is>
      </c>
      <c r="BU165" s="31">
        <f>IF(BT165="Above 2",0,IF(BT165="Between 1.5 to 2",5,IF(BT165="Less than 1.5",10,0)))</f>
        <v/>
      </c>
      <c r="BV165" s="31" t="inlineStr">
        <is>
          <t>Less than 50%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IF(B166=0,"",RANK(B166,$B$2:$B$193,0))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DIAMONDYD</t>
        </is>
      </c>
      <c r="D166" s="31" t="inlineStr">
        <is>
          <t>Prataap Snacks Ltd</t>
        </is>
      </c>
      <c r="E166" s="31" t="inlineStr">
        <is>
          <t>fmcg</t>
        </is>
      </c>
      <c r="F166" s="31" t="inlineStr">
        <is>
          <t>food - processing - indian</t>
        </is>
      </c>
      <c r="G166" s="31" t="inlineStr">
        <is>
          <t>smallcap</t>
        </is>
      </c>
      <c r="H166" s="32" t="n">
        <v>2692.26</v>
      </c>
      <c r="I166" s="32" t="n">
        <v>1121.3</v>
      </c>
      <c r="J166" s="32" t="n">
        <v>-0.44</v>
      </c>
      <c r="K166" s="32" t="n">
        <v>32836</v>
      </c>
      <c r="L166" s="31" t="n">
        <v>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58.64</v>
      </c>
      <c r="P166" s="32" t="n">
        <v>19.42</v>
      </c>
      <c r="Q166" s="32" t="n">
        <v>919.92</v>
      </c>
      <c r="R166" s="31" t="inlineStr">
        <is>
          <t>Earnings / Momentum Support</t>
        </is>
      </c>
      <c r="S166" s="31" t="inlineStr">
        <is>
          <t>Nifty FMCG</t>
        </is>
      </c>
      <c r="T166" s="32" t="n">
        <v>-11.01</v>
      </c>
      <c r="U166" s="32" t="n">
        <v>2.9</v>
      </c>
      <c r="V166" s="32" t="n">
        <v>15.63</v>
      </c>
      <c r="W166" s="32" t="n">
        <v>4.85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Between 50% to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IF(B167=0,"",RANK(B167,$B$2:$B$193,0))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XPROINDIA</t>
        </is>
      </c>
      <c r="D167" s="31" t="inlineStr">
        <is>
          <t>Xpro India Limited</t>
        </is>
      </c>
      <c r="E167" s="31" t="inlineStr">
        <is>
          <t>industrials</t>
        </is>
      </c>
      <c r="F167" s="31" t="inlineStr">
        <is>
          <t>packaging</t>
        </is>
      </c>
      <c r="G167" s="31" t="inlineStr">
        <is>
          <t>smallcap</t>
        </is>
      </c>
      <c r="H167" s="32" t="n">
        <v>2737.12</v>
      </c>
      <c r="I167" s="32" t="n">
        <v>1173.6</v>
      </c>
      <c r="J167" s="32" t="n">
        <v>0.63</v>
      </c>
      <c r="K167" s="32" t="n">
        <v>53196</v>
      </c>
      <c r="L167" s="31" t="n">
        <v>29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58.26</v>
      </c>
      <c r="P167" s="32" t="n">
        <v>19.34</v>
      </c>
      <c r="Q167" s="32" t="n">
        <v>857.65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-6.3</v>
      </c>
      <c r="U167" s="32" t="n">
        <v>-3.87</v>
      </c>
      <c r="V167" s="32" t="n">
        <v>2.59</v>
      </c>
      <c r="W167" s="32" t="n">
        <v>10.45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Between 1.5 to 2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IF(B168=0,"",RANK(B168,$B$2:$B$193,0))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DEEPAKFERT</t>
        </is>
      </c>
      <c r="D168" s="31" t="inlineStr">
        <is>
          <t>Deepak Fertilizers And Petrochemicals Corporation Limited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midcap</t>
        </is>
      </c>
      <c r="H168" s="32" t="n">
        <v>18871.29</v>
      </c>
      <c r="I168" s="32" t="n">
        <v>1501.6</v>
      </c>
      <c r="J168" s="32" t="n">
        <v>0.45</v>
      </c>
      <c r="K168" s="32" t="n">
        <v>394869</v>
      </c>
      <c r="L168" s="31" t="n">
        <v>45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67.23</v>
      </c>
      <c r="P168" s="32" t="n">
        <v>31.11</v>
      </c>
      <c r="Q168" s="32" t="n">
        <v>1135.69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-6.3</v>
      </c>
      <c r="U168" s="32" t="n">
        <v>-2.7</v>
      </c>
      <c r="V168" s="32" t="n">
        <v>3.84</v>
      </c>
      <c r="W168" s="32" t="n">
        <v>14.73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IF(B169=0,"",RANK(B169,$B$2:$B$193,0))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TATACOMM</t>
        </is>
      </c>
      <c r="D169" s="31" t="inlineStr">
        <is>
          <t>Tata Communications Limited</t>
        </is>
      </c>
      <c r="E169" s="31" t="inlineStr">
        <is>
          <t>telecom-service</t>
        </is>
      </c>
      <c r="F169" s="31" t="inlineStr">
        <is>
          <t>telecommunications - service provider</t>
        </is>
      </c>
      <c r="G169" s="31" t="inlineStr">
        <is>
          <t>largecap</t>
        </is>
      </c>
      <c r="H169" s="32" t="n">
        <v>56390.1</v>
      </c>
      <c r="I169" s="32" t="n">
        <v>1966</v>
      </c>
      <c r="J169" s="32" t="n">
        <v>-0.64</v>
      </c>
      <c r="K169" s="32" t="n">
        <v>445629</v>
      </c>
      <c r="L169" s="31" t="n">
        <v>39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68.59999999999999</v>
      </c>
      <c r="P169" s="32" t="n">
        <v>28.03</v>
      </c>
      <c r="Q169" s="32" t="n">
        <v>1560.38</v>
      </c>
      <c r="R169" s="31" t="inlineStr">
        <is>
          <t>Near 52W High Breakout</t>
        </is>
      </c>
      <c r="S169" s="31" t="inlineStr">
        <is>
          <t>Nifty 500</t>
        </is>
      </c>
      <c r="T169" s="32" t="n">
        <v>-3.46</v>
      </c>
      <c r="U169" s="32" t="n">
        <v>16.96</v>
      </c>
      <c r="V169" s="32" t="n">
        <v>21.15</v>
      </c>
      <c r="W169" s="32" t="n">
        <v>13.29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More than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IF(B170=0,"",RANK(B170,$B$2:$B$193,0))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PTCIL</t>
        </is>
      </c>
      <c r="D170" s="31" t="inlineStr">
        <is>
          <t>PTC Industries Ltd</t>
        </is>
      </c>
      <c r="E170" s="31" t="inlineStr">
        <is>
          <t>industrials</t>
        </is>
      </c>
      <c r="F170" s="31" t="inlineStr">
        <is>
          <t>castings &amp; forgings</t>
        </is>
      </c>
      <c r="G170" s="31" t="inlineStr">
        <is>
          <t>largecap</t>
        </is>
      </c>
      <c r="H170" s="32" t="n">
        <v>27842.66</v>
      </c>
      <c r="I170" s="32" t="n">
        <v>18180</v>
      </c>
      <c r="J170" s="32" t="n">
        <v>-2.11</v>
      </c>
      <c r="K170" s="32" t="n">
        <v>9468</v>
      </c>
      <c r="L170" s="31" t="n">
        <v>12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58.07</v>
      </c>
      <c r="P170" s="32" t="n">
        <v>14.22</v>
      </c>
      <c r="Q170" s="32" t="n">
        <v>14467.11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-6.3</v>
      </c>
      <c r="U170" s="32" t="n">
        <v>19</v>
      </c>
      <c r="V170" s="32" t="n">
        <v>27</v>
      </c>
      <c r="W170" s="32" t="n">
        <v>5.71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Negative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IF(B171=0,"",RANK(B171,$B$2:$B$193,0))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AEROENTER</t>
        </is>
      </c>
      <c r="D171" s="33" t="inlineStr">
        <is>
          <t>Aeroflex Enterprises Ltd</t>
        </is>
      </c>
      <c r="E171" s="31" t="inlineStr">
        <is>
          <t>metals &amp; mining</t>
        </is>
      </c>
      <c r="F171" s="31" t="inlineStr">
        <is>
          <t>steel - medium / small</t>
        </is>
      </c>
      <c r="G171" s="31" t="inlineStr">
        <is>
          <t>smallcap</t>
        </is>
      </c>
      <c r="H171" s="32" t="n">
        <v>1190.22</v>
      </c>
      <c r="I171" s="32" t="n">
        <v>102.84</v>
      </c>
      <c r="J171" s="32" t="n">
        <v>-2.29</v>
      </c>
      <c r="K171" s="32" t="n">
        <v>497519</v>
      </c>
      <c r="L171" s="31" t="n">
        <v>44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61.35</v>
      </c>
      <c r="P171" s="32" t="n">
        <v>32.05</v>
      </c>
      <c r="Q171" s="32" t="n">
        <v>79.73</v>
      </c>
      <c r="R171" s="31" t="inlineStr">
        <is>
          <t>Earnings / Momentum Support</t>
        </is>
      </c>
      <c r="S171" s="31" t="inlineStr">
        <is>
          <t>Nifty Metal</t>
        </is>
      </c>
      <c r="T171" s="32" t="n">
        <v>37.53</v>
      </c>
      <c r="U171" s="32" t="n">
        <v>13.12</v>
      </c>
      <c r="V171" s="32" t="n">
        <v>-17.75</v>
      </c>
      <c r="W171" s="32" t="n">
        <v>14.66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Cyclical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Volatile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IF(B172=0,"",RANK(B172,$B$2:$B$193,0))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VINDHYATEL</t>
        </is>
      </c>
      <c r="D172" s="31" t="inlineStr">
        <is>
          <t>Vindhya Telelinks Limited</t>
        </is>
      </c>
      <c r="E172" s="31" t="inlineStr">
        <is>
          <t>realty</t>
        </is>
      </c>
      <c r="F172" s="31" t="inlineStr">
        <is>
          <t>construction</t>
        </is>
      </c>
      <c r="G172" s="31" t="inlineStr">
        <is>
          <t>smallcap</t>
        </is>
      </c>
      <c r="H172" s="32" t="n">
        <v>2442.58</v>
      </c>
      <c r="I172" s="32" t="n">
        <v>1979.6</v>
      </c>
      <c r="J172" s="32" t="n">
        <v>-3.95</v>
      </c>
      <c r="K172" s="32" t="n">
        <v>55409</v>
      </c>
      <c r="L172" s="31" t="n">
        <v>71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64.22</v>
      </c>
      <c r="P172" s="32" t="n">
        <v>33.39</v>
      </c>
      <c r="Q172" s="32" t="n">
        <v>1535.34</v>
      </c>
      <c r="R172" s="31" t="inlineStr">
        <is>
          <t>Earnings / Momentum Support</t>
        </is>
      </c>
      <c r="S172" s="31" t="inlineStr">
        <is>
          <t>Nifty Realty</t>
        </is>
      </c>
      <c r="T172" s="32" t="n">
        <v>-26.19</v>
      </c>
      <c r="U172" s="32" t="n">
        <v>18.05</v>
      </c>
      <c r="V172" s="32" t="n">
        <v>59.93</v>
      </c>
      <c r="W172" s="32" t="n">
        <v>23.85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Negative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IF(B173=0,"",RANK(B173,$B$2:$B$193,0))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PREMEXPLN</t>
        </is>
      </c>
      <c r="D173" s="31" t="inlineStr">
        <is>
          <t>Premier Explosives Limited</t>
        </is>
      </c>
      <c r="E173" s="31" t="inlineStr">
        <is>
          <t>aerospace &amp; defence</t>
        </is>
      </c>
      <c r="F173" s="31" t="inlineStr">
        <is>
          <t>chemicals</t>
        </is>
      </c>
      <c r="G173" s="31" t="inlineStr">
        <is>
          <t>smallcap</t>
        </is>
      </c>
      <c r="H173" s="32" t="n">
        <v>3685.33</v>
      </c>
      <c r="I173" s="32" t="n">
        <v>654.85</v>
      </c>
      <c r="J173" s="32" t="n">
        <v>-4.47</v>
      </c>
      <c r="K173" s="32" t="n">
        <v>801624</v>
      </c>
      <c r="L173" s="31" t="n">
        <v>35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62.97</v>
      </c>
      <c r="P173" s="32" t="n">
        <v>18.54</v>
      </c>
      <c r="Q173" s="32" t="n">
        <v>479.18</v>
      </c>
      <c r="R173" s="31" t="inlineStr">
        <is>
          <t>Earnings / Momentum Support</t>
        </is>
      </c>
      <c r="S173" s="31" t="inlineStr">
        <is>
          <t>Nifty 50</t>
        </is>
      </c>
      <c r="T173" s="32" t="n">
        <v>-6.3</v>
      </c>
      <c r="U173" s="32" t="n">
        <v>7.71</v>
      </c>
      <c r="V173" s="32" t="n">
        <v>14.95</v>
      </c>
      <c r="W173" s="32" t="n">
        <v>12.4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Negative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IF(B174=0,"",RANK(B174,$B$2:$B$193,0))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MEDANTA</t>
        </is>
      </c>
      <c r="D174" s="33" t="inlineStr">
        <is>
          <t>Global Health Ltd</t>
        </is>
      </c>
      <c r="E174" s="31" t="inlineStr">
        <is>
          <t>healthcare</t>
        </is>
      </c>
      <c r="F174" s="31" t="inlineStr">
        <is>
          <t>healthcare</t>
        </is>
      </c>
      <c r="G174" s="31" t="inlineStr">
        <is>
          <t>largecap</t>
        </is>
      </c>
      <c r="H174" s="32" t="n">
        <v>32940.26</v>
      </c>
      <c r="I174" s="32" t="n">
        <v>1229.1</v>
      </c>
      <c r="J174" s="32" t="n">
        <v>0.29</v>
      </c>
      <c r="K174" s="32" t="n">
        <v>124511</v>
      </c>
      <c r="L174" s="31" t="n">
        <v>7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57</v>
      </c>
      <c r="P174" s="32" t="n">
        <v>20.69</v>
      </c>
      <c r="Q174" s="32" t="n">
        <v>1008.57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10.56</v>
      </c>
      <c r="U174" s="32" t="n">
        <v>3.67</v>
      </c>
      <c r="V174" s="32" t="n">
        <v>-6.23</v>
      </c>
      <c r="W174" s="32" t="n">
        <v>4.2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IF(B175=0,"",RANK(B175,$B$2:$B$193,0))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BBOX</t>
        </is>
      </c>
      <c r="D175" s="31" t="inlineStr">
        <is>
          <t>Black Box Ltd</t>
        </is>
      </c>
      <c r="E175" s="31" t="inlineStr">
        <is>
          <t>i.t</t>
        </is>
      </c>
      <c r="F175" s="31" t="inlineStr">
        <is>
          <t>computers - software - medium / small</t>
        </is>
      </c>
      <c r="G175" s="31" t="inlineStr">
        <is>
          <t>midcap</t>
        </is>
      </c>
      <c r="H175" s="32" t="n">
        <v>17974.94</v>
      </c>
      <c r="I175" s="32" t="n">
        <v>988.5</v>
      </c>
      <c r="J175" s="32" t="n">
        <v>-2.39</v>
      </c>
      <c r="K175" s="32" t="n">
        <v>469954</v>
      </c>
      <c r="L175" s="31" t="n">
        <v>91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75.01000000000001</v>
      </c>
      <c r="P175" s="32" t="n">
        <v>35.09</v>
      </c>
      <c r="Q175" s="32" t="n">
        <v>833.48</v>
      </c>
      <c r="R175" s="31" t="inlineStr">
        <is>
          <t>Earnings / Momentum Support</t>
        </is>
      </c>
      <c r="S175" s="31" t="inlineStr">
        <is>
          <t>Nifty IT</t>
        </is>
      </c>
      <c r="T175" s="32" t="n">
        <v>-27.68</v>
      </c>
      <c r="U175" s="32" t="n">
        <v>87.89</v>
      </c>
      <c r="V175" s="32" t="n">
        <v>159.81</v>
      </c>
      <c r="W175" s="32" t="n">
        <v>38.96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IF(B176=0,"",RANK(B176,$B$2:$B$193,0))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NEOGEN</t>
        </is>
      </c>
      <c r="D176" s="31" t="inlineStr">
        <is>
          <t>Neogen Chemicals Ltd</t>
        </is>
      </c>
      <c r="E176" s="31" t="inlineStr">
        <is>
          <t>chemicals</t>
        </is>
      </c>
      <c r="F176" s="31" t="inlineStr">
        <is>
          <t>chemicals</t>
        </is>
      </c>
      <c r="G176" s="31" t="inlineStr">
        <is>
          <t>midcap</t>
        </is>
      </c>
      <c r="H176" s="32" t="n">
        <v>5463.47</v>
      </c>
      <c r="I176" s="32" t="n">
        <v>2028.7</v>
      </c>
      <c r="J176" s="32" t="n">
        <v>1.67</v>
      </c>
      <c r="K176" s="32" t="n">
        <v>173367</v>
      </c>
      <c r="L176" s="31" t="n">
        <v>56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71.41</v>
      </c>
      <c r="P176" s="32" t="n">
        <v>32.97</v>
      </c>
      <c r="Q176" s="32" t="n">
        <v>1511.77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-6.3</v>
      </c>
      <c r="U176" s="32" t="n">
        <v>22.3</v>
      </c>
      <c r="V176" s="32" t="n">
        <v>30.52</v>
      </c>
      <c r="W176" s="32" t="n">
        <v>17.85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IF(B177=0,"",RANK(B177,$B$2:$B$193,0))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DEEPINDS</t>
        </is>
      </c>
      <c r="D177" s="31" t="inlineStr">
        <is>
          <t>Deep Industries Ltd</t>
        </is>
      </c>
      <c r="E177" s="31" t="inlineStr">
        <is>
          <t>energy</t>
        </is>
      </c>
      <c r="F177" s="31" t="inlineStr">
        <is>
          <t>oil drilling / allied services</t>
        </is>
      </c>
      <c r="G177" s="31" t="inlineStr">
        <is>
          <t>smallcap</t>
        </is>
      </c>
      <c r="H177" s="32" t="n">
        <v>3184.32</v>
      </c>
      <c r="I177" s="32" t="n">
        <v>503.6</v>
      </c>
      <c r="J177" s="32" t="n">
        <v>1.22</v>
      </c>
      <c r="K177" s="32" t="n">
        <v>165896</v>
      </c>
      <c r="L177" s="31" t="n">
        <v>53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58.74</v>
      </c>
      <c r="P177" s="32" t="n">
        <v>15.98</v>
      </c>
      <c r="Q177" s="32" t="n">
        <v>390.85</v>
      </c>
      <c r="R177" s="31" t="inlineStr">
        <is>
          <t>Earnings / Momentum Support</t>
        </is>
      </c>
      <c r="S177" s="31" t="inlineStr">
        <is>
          <t>Nifty Energy</t>
        </is>
      </c>
      <c r="T177" s="32" t="n">
        <v>8.16</v>
      </c>
      <c r="U177" s="32" t="n">
        <v>14.33</v>
      </c>
      <c r="V177" s="32" t="n">
        <v>5.71</v>
      </c>
      <c r="W177" s="32" t="n">
        <v>16.55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Volatile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IF(B178=0,"",RANK(B178,$B$2:$B$193,0))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MSTCLTD</t>
        </is>
      </c>
      <c r="D178" s="31" t="inlineStr">
        <is>
          <t>MSTC Ltd</t>
        </is>
      </c>
      <c r="E178" s="31" t="inlineStr">
        <is>
          <t>i.t</t>
        </is>
      </c>
      <c r="F178" s="31" t="inlineStr">
        <is>
          <t>trading</t>
        </is>
      </c>
      <c r="G178" s="31" t="inlineStr">
        <is>
          <t>smallcap</t>
        </is>
      </c>
      <c r="H178" s="32" t="n">
        <v>3912.48</v>
      </c>
      <c r="I178" s="32" t="n">
        <v>560.75</v>
      </c>
      <c r="J178" s="32" t="n">
        <v>0.9</v>
      </c>
      <c r="K178" s="32" t="n">
        <v>2177930</v>
      </c>
      <c r="L178" s="31" t="n">
        <v>26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65.34</v>
      </c>
      <c r="P178" s="32" t="n">
        <v>18.16</v>
      </c>
      <c r="Q178" s="32" t="n">
        <v>427.74</v>
      </c>
      <c r="R178" s="31" t="inlineStr">
        <is>
          <t>Volume Spike &amp; Near 52W High Breakout</t>
        </is>
      </c>
      <c r="S178" s="31" t="inlineStr">
        <is>
          <t>Nifty IT</t>
        </is>
      </c>
      <c r="T178" s="32" t="n">
        <v>-27.68</v>
      </c>
      <c r="U178" s="32" t="n">
        <v>7.78</v>
      </c>
      <c r="V178" s="32" t="n">
        <v>49.04</v>
      </c>
      <c r="W178" s="32" t="n">
        <v>9.93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Negative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IF(B179=0,"",RANK(B179,$B$2:$B$193,0))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SBC</t>
        </is>
      </c>
      <c r="D179" s="31" t="inlineStr">
        <is>
          <t>SBC Exports Ltd</t>
        </is>
      </c>
      <c r="E179" s="31" t="inlineStr">
        <is>
          <t>textiles</t>
        </is>
      </c>
      <c r="F179" s="31" t="inlineStr">
        <is>
          <t>textiles - products</t>
        </is>
      </c>
      <c r="G179" s="31" t="inlineStr">
        <is>
          <t>smallcap</t>
        </is>
      </c>
      <c r="H179" s="32" t="n">
        <v>1753.81</v>
      </c>
      <c r="I179" s="32" t="n">
        <v>36.97</v>
      </c>
      <c r="J179" s="32" t="n">
        <v>0.38</v>
      </c>
      <c r="K179" s="32" t="n">
        <v>11013329</v>
      </c>
      <c r="L179" s="31" t="n">
        <v>72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69.98</v>
      </c>
      <c r="P179" s="32" t="n">
        <v>23.35</v>
      </c>
      <c r="Q179" s="32" t="n">
        <v>32.86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-6.3</v>
      </c>
      <c r="U179" s="32" t="n">
        <v>148.62</v>
      </c>
      <c r="V179" s="32" t="n">
        <v>165.33</v>
      </c>
      <c r="W179" s="32" t="n">
        <v>24.03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More than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IF(B180=0,"",RANK(B180,$B$2:$B$193,0))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PANAMAPET</t>
        </is>
      </c>
      <c r="D180" s="33" t="inlineStr">
        <is>
          <t>Panama Petrochem Limited</t>
        </is>
      </c>
      <c r="E180" s="31" t="inlineStr">
        <is>
          <t>energy</t>
        </is>
      </c>
      <c r="F180" s="31" t="inlineStr">
        <is>
          <t>petrochemicals</t>
        </is>
      </c>
      <c r="G180" s="31" t="inlineStr">
        <is>
          <t>smallcap</t>
        </is>
      </c>
      <c r="H180" s="32" t="n">
        <v>2308.13</v>
      </c>
      <c r="I180" s="32" t="n">
        <v>375.85</v>
      </c>
      <c r="J180" s="32" t="n">
        <v>-1.49</v>
      </c>
      <c r="K180" s="32" t="n">
        <v>1050304</v>
      </c>
      <c r="L180" s="31" t="n">
        <v>28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70.31</v>
      </c>
      <c r="P180" s="32" t="n">
        <v>20.35</v>
      </c>
      <c r="Q180" s="32" t="n">
        <v>277.61</v>
      </c>
      <c r="R180" s="31" t="inlineStr">
        <is>
          <t>Volume Spike &amp; Near 52W High Breakout</t>
        </is>
      </c>
      <c r="S180" s="31" t="inlineStr">
        <is>
          <t>Nifty Energy</t>
        </is>
      </c>
      <c r="T180" s="32" t="n">
        <v>8.16</v>
      </c>
      <c r="U180" s="32" t="n">
        <v>4.47</v>
      </c>
      <c r="V180" s="32" t="n">
        <v>-3.41</v>
      </c>
      <c r="W180" s="32" t="n">
        <v>10.35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IF(B181=0,"",RANK(B181,$B$2:$B$193,0))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RICOAUTO</t>
        </is>
      </c>
      <c r="D181" s="31" t="inlineStr">
        <is>
          <t>Rico Auto Industries Limited</t>
        </is>
      </c>
      <c r="E181" s="31" t="inlineStr">
        <is>
          <t>auto</t>
        </is>
      </c>
      <c r="F181" s="31" t="inlineStr">
        <is>
          <t>auto ancillaries</t>
        </is>
      </c>
      <c r="G181" s="31" t="inlineStr">
        <is>
          <t>smallcap</t>
        </is>
      </c>
      <c r="H181" s="32" t="n">
        <v>1823.1</v>
      </c>
      <c r="I181" s="32" t="n">
        <v>127.42</v>
      </c>
      <c r="J181" s="32" t="n">
        <v>-5.45</v>
      </c>
      <c r="K181" s="32" t="n">
        <v>3185697</v>
      </c>
      <c r="L181" s="31" t="n">
        <v>47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55.9</v>
      </c>
      <c r="P181" s="32" t="n">
        <v>17.65</v>
      </c>
      <c r="Q181" s="32" t="n">
        <v>95.48999999999999</v>
      </c>
      <c r="R181" s="31" t="inlineStr">
        <is>
          <t>Earnings / Momentum Support</t>
        </is>
      </c>
      <c r="S181" s="31" t="inlineStr">
        <is>
          <t>Nifty Auto</t>
        </is>
      </c>
      <c r="T181" s="32" t="n">
        <v>10.56</v>
      </c>
      <c r="U181" s="32" t="n">
        <v>61.96</v>
      </c>
      <c r="V181" s="32" t="n">
        <v>46.5</v>
      </c>
      <c r="W181" s="32" t="n">
        <v>15.23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IF(B182=0,"",RANK(B182,$B$2:$B$193,0))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ABDL</t>
        </is>
      </c>
      <c r="D182" s="31" t="inlineStr">
        <is>
          <t>Allied Blenders &amp; Distillers Ltd</t>
        </is>
      </c>
      <c r="E182" s="31" t="inlineStr">
        <is>
          <t>fmcg</t>
        </is>
      </c>
      <c r="F182" s="31" t="inlineStr">
        <is>
          <t>breweries &amp; distilleries</t>
        </is>
      </c>
      <c r="G182" s="31" t="inlineStr">
        <is>
          <t>midcap</t>
        </is>
      </c>
      <c r="H182" s="32" t="n">
        <v>15991.03</v>
      </c>
      <c r="I182" s="32" t="n">
        <v>608.45</v>
      </c>
      <c r="J182" s="32" t="n">
        <v>6.43</v>
      </c>
      <c r="K182" s="32" t="n">
        <v>1306233</v>
      </c>
      <c r="L182" s="31" t="n">
        <v>58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59.98</v>
      </c>
      <c r="P182" s="32" t="n">
        <v>19.08</v>
      </c>
      <c r="Q182" s="32" t="n">
        <v>456.7</v>
      </c>
      <c r="R182" s="31" t="inlineStr">
        <is>
          <t>Earnings / Momentum Support</t>
        </is>
      </c>
      <c r="S182" s="31" t="inlineStr">
        <is>
          <t>Nifty FMCG</t>
        </is>
      </c>
      <c r="T182" s="32" t="n">
        <v>-11.01</v>
      </c>
      <c r="U182" s="32" t="n">
        <v>44.92</v>
      </c>
      <c r="V182" s="32" t="n">
        <v>62.86</v>
      </c>
      <c r="W182" s="32" t="n">
        <v>18.15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B2C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IF(B183=0,"",RANK(B183,$B$2:$B$193,0))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ACMESOLAR</t>
        </is>
      </c>
      <c r="D183" s="31" t="inlineStr">
        <is>
          <t>ACME Solar Holdings Ltd</t>
        </is>
      </c>
      <c r="E183" s="31" t="inlineStr">
        <is>
          <t>realty</t>
        </is>
      </c>
      <c r="F183" s="31" t="inlineStr">
        <is>
          <t>engineering - turnkey services</t>
        </is>
      </c>
      <c r="G183" s="31" t="inlineStr">
        <is>
          <t>largecap</t>
        </is>
      </c>
      <c r="H183" s="32" t="n">
        <v>20415.19</v>
      </c>
      <c r="I183" s="32" t="n">
        <v>334.45</v>
      </c>
      <c r="J183" s="32" t="n">
        <v>-0.73</v>
      </c>
      <c r="K183" s="32" t="n">
        <v>1977508</v>
      </c>
      <c r="L183" s="31" t="n">
        <v>46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64.53</v>
      </c>
      <c r="P183" s="32" t="n">
        <v>20.35</v>
      </c>
      <c r="Q183" s="32" t="n">
        <v>274.32</v>
      </c>
      <c r="R183" s="31" t="inlineStr">
        <is>
          <t>Earnings / Momentum Support</t>
        </is>
      </c>
      <c r="S183" s="31" t="inlineStr">
        <is>
          <t>Nifty Realty</t>
        </is>
      </c>
      <c r="T183" s="32" t="n">
        <v>-26.19</v>
      </c>
      <c r="U183" s="32" t="n">
        <v>36.52</v>
      </c>
      <c r="V183" s="32" t="n">
        <v>84.95</v>
      </c>
      <c r="W183" s="32" t="n">
        <v>15.07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IF(B184=0,"",RANK(B184,$B$2:$B$193,0))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ASIANENE</t>
        </is>
      </c>
      <c r="D184" s="31" t="inlineStr">
        <is>
          <t>Asian Energy Services Ltd</t>
        </is>
      </c>
      <c r="E184" s="31" t="inlineStr">
        <is>
          <t>energy</t>
        </is>
      </c>
      <c r="F184" s="31" t="inlineStr">
        <is>
          <t>oil drilling / allied services</t>
        </is>
      </c>
      <c r="G184" s="31" t="inlineStr">
        <is>
          <t>smallcap</t>
        </is>
      </c>
      <c r="H184" s="32" t="n">
        <v>1788.88</v>
      </c>
      <c r="I184" s="32" t="n">
        <v>362</v>
      </c>
      <c r="J184" s="32" t="n">
        <v>-1.63</v>
      </c>
      <c r="K184" s="32" t="n">
        <v>295926</v>
      </c>
      <c r="L184" s="31" t="n">
        <v>32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60.61</v>
      </c>
      <c r="P184" s="32" t="n">
        <v>13.59</v>
      </c>
      <c r="Q184" s="32" t="n">
        <v>272.85</v>
      </c>
      <c r="R184" s="31" t="inlineStr">
        <is>
          <t>Earnings / Momentum Support</t>
        </is>
      </c>
      <c r="S184" s="31" t="inlineStr">
        <is>
          <t>Nifty Energy</t>
        </is>
      </c>
      <c r="T184" s="32" t="n">
        <v>8.16</v>
      </c>
      <c r="U184" s="32" t="n">
        <v>16.79</v>
      </c>
      <c r="V184" s="32" t="n">
        <v>7.98</v>
      </c>
      <c r="W184" s="32" t="n">
        <v>11.51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Oligopoly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IF(B185=0,"",RANK(B185,$B$2:$B$193,0))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BERGEPAINT</t>
        </is>
      </c>
      <c r="D185" s="33" t="inlineStr">
        <is>
          <t>Berger Paints (i) Limited</t>
        </is>
      </c>
      <c r="E185" s="31" t="inlineStr">
        <is>
          <t>building materials</t>
        </is>
      </c>
      <c r="F185" s="31" t="inlineStr">
        <is>
          <t>paints / varnishes</t>
        </is>
      </c>
      <c r="G185" s="31" t="inlineStr">
        <is>
          <t>largecap</t>
        </is>
      </c>
      <c r="H185" s="32" t="n">
        <v>60247.37</v>
      </c>
      <c r="I185" s="32" t="n">
        <v>513.95</v>
      </c>
      <c r="J185" s="32" t="n">
        <v>-0.53</v>
      </c>
      <c r="K185" s="32" t="n">
        <v>344492</v>
      </c>
      <c r="L185" s="31" t="n">
        <v>8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55.85</v>
      </c>
      <c r="P185" s="32" t="n">
        <v>28.53</v>
      </c>
      <c r="Q185" s="32" t="n">
        <v>433.83</v>
      </c>
      <c r="R185" s="31" t="inlineStr">
        <is>
          <t>Earnings / Momentum Support</t>
        </is>
      </c>
      <c r="S185" s="31" t="inlineStr">
        <is>
          <t>Nifty Infra</t>
        </is>
      </c>
      <c r="T185" s="32" t="n">
        <v>0.59</v>
      </c>
      <c r="U185" s="32" t="n">
        <v>-9.25</v>
      </c>
      <c r="V185" s="32" t="n">
        <v>-9.779999999999999</v>
      </c>
      <c r="W185" s="32" t="n">
        <v>4.6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IF(B186=0,"",RANK(B186,$B$2:$B$193,0))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SILVERTUC</t>
        </is>
      </c>
      <c r="D186" s="33" t="inlineStr">
        <is>
          <t>Silver Touch Technologies Ltd</t>
        </is>
      </c>
      <c r="E186" s="31" t="inlineStr">
        <is>
          <t>i.t</t>
        </is>
      </c>
      <c r="F186" s="31" t="inlineStr">
        <is>
          <t>computers - software - medium / small</t>
        </is>
      </c>
      <c r="G186" s="31" t="inlineStr">
        <is>
          <t>smallcap</t>
        </is>
      </c>
      <c r="H186" s="32" t="n">
        <v>2345.1</v>
      </c>
      <c r="I186" s="32" t="n">
        <v>189.37</v>
      </c>
      <c r="J186" s="32" t="n">
        <v>2.4</v>
      </c>
      <c r="K186" s="32" t="n">
        <v>591438</v>
      </c>
      <c r="L186" s="31" t="n">
        <v>32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39.95</v>
      </c>
      <c r="P186" s="32" t="n">
        <v>43</v>
      </c>
      <c r="Q186" s="32" t="n">
        <v>69.55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-27.68</v>
      </c>
      <c r="U186" s="32" t="n">
        <v>-75.98999999999999</v>
      </c>
      <c r="V186" s="32" t="n">
        <v>-66.8</v>
      </c>
      <c r="W186" s="32" t="n">
        <v>11.73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Below 45</t>
        </is>
      </c>
      <c r="BA186" s="31">
        <f>IF(AZ186="Between 50 to 75",10,IF(AZ186="Above 75",0,0))</f>
        <v/>
      </c>
      <c r="BB186" s="31" t="inlineStr">
        <is>
          <t>Stage 4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Between 1.5 to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IF(B187=0,"",RANK(B187,$B$2:$B$193,0))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DEEDEV</t>
        </is>
      </c>
      <c r="D187" s="31" t="inlineStr">
        <is>
          <t>DEE Development Engineers Ltd</t>
        </is>
      </c>
      <c r="E187" s="31" t="inlineStr">
        <is>
          <t>metals &amp; mining</t>
        </is>
      </c>
      <c r="F187" s="31" t="inlineStr">
        <is>
          <t>steel - medium / small</t>
        </is>
      </c>
      <c r="G187" s="31" t="inlineStr">
        <is>
          <t>smallcap</t>
        </is>
      </c>
      <c r="H187" s="32" t="n">
        <v>4531.9</v>
      </c>
      <c r="I187" s="32" t="n">
        <v>625.45</v>
      </c>
      <c r="J187" s="32" t="n">
        <v>-4.41</v>
      </c>
      <c r="K187" s="32" t="n">
        <v>361464</v>
      </c>
      <c r="L187" s="31" t="n">
        <v>94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78.48999999999999</v>
      </c>
      <c r="P187" s="32" t="n">
        <v>60.48</v>
      </c>
      <c r="Q187" s="32" t="n">
        <v>511.78</v>
      </c>
      <c r="R187" s="31" t="inlineStr">
        <is>
          <t>Earnings / Momentum Support</t>
        </is>
      </c>
      <c r="S187" s="31" t="inlineStr">
        <is>
          <t>Nifty Metal</t>
        </is>
      </c>
      <c r="T187" s="32" t="n">
        <v>37.53</v>
      </c>
      <c r="U187" s="32" t="n">
        <v>118.19</v>
      </c>
      <c r="V187" s="32" t="n">
        <v>58.65</v>
      </c>
      <c r="W187" s="32" t="n">
        <v>46.69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Less than 50%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IF(B188=0,"",RANK(B188,$B$2:$B$193,0))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BIOCON</t>
        </is>
      </c>
      <c r="D188" s="31" t="inlineStr">
        <is>
          <t>Biocon Limited</t>
        </is>
      </c>
      <c r="E188" s="31" t="inlineStr">
        <is>
          <t>healthcare</t>
        </is>
      </c>
      <c r="F188" s="31" t="inlineStr">
        <is>
          <t>pharmaceuticals - indian - bulk drugs &amp; formln</t>
        </is>
      </c>
      <c r="G188" s="31" t="inlineStr">
        <is>
          <t>largecap</t>
        </is>
      </c>
      <c r="H188" s="32" t="n">
        <v>67202.84</v>
      </c>
      <c r="I188" s="32" t="n">
        <v>415.95</v>
      </c>
      <c r="J188" s="32" t="n">
        <v>0.33</v>
      </c>
      <c r="K188" s="32" t="n">
        <v>1772908</v>
      </c>
      <c r="L188" s="31" t="n">
        <v>9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60.69</v>
      </c>
      <c r="P188" s="32" t="n">
        <v>19.73</v>
      </c>
      <c r="Q188" s="32" t="n">
        <v>360.08</v>
      </c>
      <c r="R188" s="31" t="inlineStr">
        <is>
          <t>Near 52W High Breakout</t>
        </is>
      </c>
      <c r="S188" s="31" t="inlineStr">
        <is>
          <t>Nifty Pharma</t>
        </is>
      </c>
      <c r="T188" s="32" t="n">
        <v>10.56</v>
      </c>
      <c r="U188" s="32" t="n">
        <v>17.19</v>
      </c>
      <c r="V188" s="32" t="n">
        <v>6</v>
      </c>
      <c r="W188" s="32" t="n">
        <v>4.97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IF(B189=0,"",RANK(B189,$B$2:$B$193,0))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KOVAI</t>
        </is>
      </c>
      <c r="D189" s="33" t="inlineStr">
        <is>
          <t>Kovai Medical Center &amp; Hospital Ltd</t>
        </is>
      </c>
      <c r="E189" s="31" t="inlineStr">
        <is>
          <t>healthcare</t>
        </is>
      </c>
      <c r="F189" s="31" t="inlineStr">
        <is>
          <t>healthcare</t>
        </is>
      </c>
      <c r="G189" s="31" t="inlineStr">
        <is>
          <t>midcap</t>
        </is>
      </c>
      <c r="H189" s="32" t="n">
        <v>6408.34</v>
      </c>
      <c r="I189" s="32" t="n">
        <v>5794.5</v>
      </c>
      <c r="J189" s="32" t="n">
        <v>-1.06</v>
      </c>
      <c r="K189" s="32" t="n">
        <v>5630</v>
      </c>
      <c r="L189" s="31" t="n">
        <v>3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58.46</v>
      </c>
      <c r="P189" s="32" t="n">
        <v>18.98</v>
      </c>
      <c r="Q189" s="32" t="n">
        <v>4809.36</v>
      </c>
      <c r="R189" s="31" t="inlineStr">
        <is>
          <t>Earnings / Momentum Support</t>
        </is>
      </c>
      <c r="S189" s="31" t="inlineStr">
        <is>
          <t>Nifty Pharma</t>
        </is>
      </c>
      <c r="T189" s="32" t="n">
        <v>10.56</v>
      </c>
      <c r="U189" s="32" t="n">
        <v>-2.2</v>
      </c>
      <c r="V189" s="32" t="n">
        <v>-11.54</v>
      </c>
      <c r="W189" s="32" t="n">
        <v>2.41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1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Between 12 to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IF(B190=0,"",RANK(B190,$B$2:$B$193,0))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BOSCHLTD</t>
        </is>
      </c>
      <c r="D190" s="31" t="inlineStr">
        <is>
          <t>Bosch Limited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largecap</t>
        </is>
      </c>
      <c r="H190" s="32" t="n">
        <v>111456.47</v>
      </c>
      <c r="I190" s="32" t="n">
        <v>37565</v>
      </c>
      <c r="J190" s="32" t="n">
        <v>-0.6</v>
      </c>
      <c r="K190" s="32" t="n">
        <v>34810</v>
      </c>
      <c r="L190" s="31" t="n">
        <v>27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55.27</v>
      </c>
      <c r="P190" s="32" t="n">
        <v>19.71</v>
      </c>
      <c r="Q190" s="32" t="n">
        <v>31149.45</v>
      </c>
      <c r="R190" s="31" t="inlineStr">
        <is>
          <t>Earnings / Momentum Support</t>
        </is>
      </c>
      <c r="S190" s="31" t="inlineStr">
        <is>
          <t>Nifty Auto</t>
        </is>
      </c>
      <c r="T190" s="32" t="n">
        <v>10.56</v>
      </c>
      <c r="U190" s="32" t="n">
        <v>20.55</v>
      </c>
      <c r="V190" s="32" t="n">
        <v>9.039999999999999</v>
      </c>
      <c r="W190" s="32" t="n">
        <v>10.23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IF(B191=0,"",RANK(B191,$B$2:$B$193,0))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GREENLAM</t>
        </is>
      </c>
      <c r="D191" s="31" t="inlineStr">
        <is>
          <t>Greenlam Industries Limited</t>
        </is>
      </c>
      <c r="E191" s="31" t="inlineStr">
        <is>
          <t>building materials</t>
        </is>
      </c>
      <c r="F191" s="31" t="inlineStr">
        <is>
          <t>miscellaneous</t>
        </is>
      </c>
      <c r="G191" s="31" t="inlineStr">
        <is>
          <t>midcap</t>
        </is>
      </c>
      <c r="H191" s="32" t="n">
        <v>6115.38</v>
      </c>
      <c r="I191" s="32" t="n">
        <v>241.52</v>
      </c>
      <c r="J191" s="32" t="n">
        <v>0.77</v>
      </c>
      <c r="K191" s="32" t="n">
        <v>358665</v>
      </c>
      <c r="L191" s="31" t="n">
        <v>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54.42</v>
      </c>
      <c r="P191" s="32" t="n">
        <v>17.35</v>
      </c>
      <c r="Q191" s="32" t="n">
        <v>174.93</v>
      </c>
      <c r="R191" s="31" t="inlineStr">
        <is>
          <t>Earnings / Momentum Support</t>
        </is>
      </c>
      <c r="S191" s="31" t="inlineStr">
        <is>
          <t>Nifty Infra</t>
        </is>
      </c>
      <c r="T191" s="32" t="n">
        <v>0.59</v>
      </c>
      <c r="U191" s="32" t="n">
        <v>0.7</v>
      </c>
      <c r="V191" s="32" t="n">
        <v>0.11</v>
      </c>
      <c r="W191" s="32" t="n">
        <v>3.54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1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IF(B192=0,"",RANK(B192,$B$2:$B$193,0))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BALAMINES</t>
        </is>
      </c>
      <c r="D192" s="31" t="inlineStr">
        <is>
          <t>Balaji Amines Limited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midcap</t>
        </is>
      </c>
      <c r="H192" s="32" t="n">
        <v>6904.98</v>
      </c>
      <c r="I192" s="32" t="n">
        <v>2054</v>
      </c>
      <c r="J192" s="32" t="n">
        <v>-3.62</v>
      </c>
      <c r="K192" s="32" t="n">
        <v>319584</v>
      </c>
      <c r="L192" s="31" t="n">
        <v>88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81.28</v>
      </c>
      <c r="P192" s="32" t="n">
        <v>38.69</v>
      </c>
      <c r="Q192" s="32" t="n">
        <v>1515.56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-6.3</v>
      </c>
      <c r="U192" s="32" t="n">
        <v>42.19</v>
      </c>
      <c r="V192" s="32" t="n">
        <v>51.75</v>
      </c>
      <c r="W192" s="32" t="n">
        <v>35.68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Duopoly That Cooperate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Shallow Cyclical (2 to 3 Years Growth)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4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Downtrend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Overhead supply in last 2 years in last 2 years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No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IF(B193=0,"",RANK(B193,$B$2:$B$193,0))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RAJRATAN</t>
        </is>
      </c>
      <c r="D193" s="33" t="inlineStr">
        <is>
          <t>Rajratan Global Wire Ltd</t>
        </is>
      </c>
      <c r="E193" s="31" t="inlineStr">
        <is>
          <t>metals &amp; mining</t>
        </is>
      </c>
      <c r="F193" s="31" t="inlineStr">
        <is>
          <t>steel - medium / small</t>
        </is>
      </c>
      <c r="G193" s="31" t="inlineStr">
        <is>
          <t>smallcap</t>
        </is>
      </c>
      <c r="H193" s="32" t="n">
        <v>2241.29</v>
      </c>
      <c r="I193" s="32" t="n">
        <v>437.5</v>
      </c>
      <c r="J193" s="32" t="n">
        <v>-0.89</v>
      </c>
      <c r="K193" s="32" t="n">
        <v>64454</v>
      </c>
      <c r="L193" s="31" t="n">
        <v>14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54.03</v>
      </c>
      <c r="P193" s="32" t="n">
        <v>8.31</v>
      </c>
      <c r="Q193" s="32" t="n">
        <v>315.34</v>
      </c>
      <c r="R193" s="31" t="inlineStr">
        <is>
          <t>Earnings / Momentum Support</t>
        </is>
      </c>
      <c r="S193" s="31" t="inlineStr">
        <is>
          <t>Nifty Metal</t>
        </is>
      </c>
      <c r="T193" s="32" t="n">
        <v>37.53</v>
      </c>
      <c r="U193" s="32" t="n">
        <v>2.87</v>
      </c>
      <c r="V193" s="32" t="n">
        <v>-25.21</v>
      </c>
      <c r="W193" s="32" t="n">
        <v>6.17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1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</sheetData>
  <autoFilter ref="A1:CE193"/>
  <conditionalFormatting sqref="B2:B1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9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93">
    <cfRule type="cellIs" priority="36" operator="equal" dxfId="3" stopIfTrue="1">
      <formula>"Underperforming"</formula>
    </cfRule>
  </conditionalFormatting>
  <conditionalFormatting sqref="N2:N193">
    <cfRule type="cellIs" priority="37" operator="equal" dxfId="3" stopIfTrue="1">
      <formula>-5</formula>
    </cfRule>
  </conditionalFormatting>
  <conditionalFormatting sqref="Q2:Q19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93" showDropDown="0" showInputMessage="0" showErrorMessage="0" allowBlank="1" type="list">
      <formula1>"Growing Industry,Stagnant Industry,Cyclical in an Upturn"</formula1>
    </dataValidation>
    <dataValidation sqref="Z2:Z1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93" showDropDown="0" showInputMessage="0" showErrorMessage="0" allowBlank="1" type="list">
      <formula1>"Yes,No"</formula1>
    </dataValidation>
    <dataValidation sqref="AD2:AD193" showDropDown="0" showInputMessage="0" showErrorMessage="0" allowBlank="1" type="list">
      <formula1>"Tailwind,Headwind"</formula1>
    </dataValidation>
    <dataValidation sqref="AF2:AF193" showDropDown="0" showInputMessage="0" showErrorMessage="0" allowBlank="1" type="list">
      <formula1>"Structural (10 Years Consistency),Shallow Cyclical (2 to 3 Years Growth),Cyclical"</formula1>
    </dataValidation>
    <dataValidation sqref="AH2:AH193" showDropDown="0" showInputMessage="0" showErrorMessage="0" allowBlank="1" type="list">
      <formula1>"Yes due to Product Mix change or Operating Leverage,Yes, these are peak margins,No"</formula1>
    </dataValidation>
    <dataValidation sqref="AJ2:AJ193" showDropDown="0" showInputMessage="0" showErrorMessage="0" allowBlank="1" type="list">
      <formula1>"Stable,Volatile"</formula1>
    </dataValidation>
    <dataValidation sqref="AL2:AL193" showDropDown="0" showInputMessage="0" showErrorMessage="0" allowBlank="1" type="list">
      <formula1>"Yes,No"</formula1>
    </dataValidation>
    <dataValidation sqref="AN2:AN193" showDropDown="0" showInputMessage="0" showErrorMessage="0" allowBlank="1" type="list">
      <formula1>"B2C,B2B,B2G"</formula1>
    </dataValidation>
    <dataValidation sqref="AP2:AP193" showDropDown="0" showInputMessage="0" showErrorMessage="0" allowBlank="1" type="list">
      <formula1>"Yes,No"</formula1>
    </dataValidation>
    <dataValidation sqref="AR2:AR193" showDropDown="0" showInputMessage="0" showErrorMessage="0" allowBlank="1" type="list">
      <formula1>"Fully Annuity,Higher Annuity, Lower One time,Higher One Time, Lower Annuity,Fully One Time"</formula1>
    </dataValidation>
    <dataValidation sqref="AT2:AT193" showDropDown="0" showInputMessage="0" showErrorMessage="0" allowBlank="1" type="list">
      <formula1>"Good,Allocated capital in Non-core Areas"</formula1>
    </dataValidation>
    <dataValidation sqref="AV2:AV193" showDropDown="0" showInputMessage="0" showErrorMessage="0" allowBlank="1" type="list">
      <formula1>"Yes for more than 2 years,Yes only for next 1 to 2 years,No"</formula1>
    </dataValidation>
    <dataValidation sqref="AX2:AX193" showDropDown="0" showInputMessage="0" showErrorMessage="0" allowBlank="1" type="list">
      <formula1>"Above 40,20 to 40,0 to 20"</formula1>
    </dataValidation>
    <dataValidation sqref="AZ2:AZ193" showDropDown="0" showInputMessage="0" showErrorMessage="0" allowBlank="1" type="list">
      <formula1>"Between 50 to 75,Above 75,Below 45"</formula1>
    </dataValidation>
    <dataValidation sqref="BB2:BB193" showDropDown="0" showInputMessage="0" showErrorMessage="0" allowBlank="1" type="list">
      <formula1>"Stage 1,Stage 2,Stage 3,Stage 4"</formula1>
    </dataValidation>
    <dataValidation sqref="BD2:BD193" showDropDown="0" showInputMessage="0" showErrorMessage="0" allowBlank="1" type="list">
      <formula1>"Positive Trend,Negative Trend"</formula1>
    </dataValidation>
    <dataValidation sqref="BF2:BF193" showDropDown="0" showInputMessage="0" showErrorMessage="0" allowBlank="1" type="list">
      <formula1>"Uptrend,Sideways,Downtrend"</formula1>
    </dataValidation>
    <dataValidation sqref="BH2:BH193" showDropDown="0" showInputMessage="0" showErrorMessage="0" allowBlank="1" type="list">
      <formula1>"Uptrend,Sideways,Downtrend"</formula1>
    </dataValidation>
    <dataValidation sqref="BJ2:BJ1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93" showDropDown="0" showInputMessage="0" showErrorMessage="0" allowBlank="1" type="list">
      <formula1>"Yes,No"</formula1>
    </dataValidation>
    <dataValidation sqref="BN2:BN193" showDropDown="0" showInputMessage="0" showErrorMessage="0" allowBlank="1" type="list">
      <formula1>"More than 20%,Between 12 to 20%,Less than 12%"</formula1>
    </dataValidation>
    <dataValidation sqref="BP2:BP193" showDropDown="0" showInputMessage="0" showErrorMessage="0" allowBlank="1" type="list">
      <formula1>"Yes,No"</formula1>
    </dataValidation>
    <dataValidation sqref="BR2:BR193" showDropDown="0" showInputMessage="0" showErrorMessage="0" allowBlank="1" type="list">
      <formula1>"Yes,No"</formula1>
    </dataValidation>
    <dataValidation sqref="BT2:BT193" showDropDown="0" showInputMessage="0" showErrorMessage="0" allowBlank="1" type="list">
      <formula1>"Above 2,Between 1.5 to 2,Less than 1.5"</formula1>
    </dataValidation>
    <dataValidation sqref="BV2:BV193" showDropDown="0" showInputMessage="0" showErrorMessage="0" allowBlank="1" type="list">
      <formula1>"Above 70%,Between 50% to 70%,Less than 50%,Less than 50% and Borrowings are increasing,Negative"</formula1>
    </dataValidation>
    <dataValidation sqref="BX2:BX193" showDropDown="0" showInputMessage="0" showErrorMessage="0" allowBlank="1" type="list">
      <formula1>"More than 1.2,Between 0.7 to 1.2,Less than 0.7"</formula1>
    </dataValidation>
    <dataValidation sqref="BZ2:BZ193" showDropDown="0" showInputMessage="0" showErrorMessage="0" allowBlank="1" type="list">
      <formula1>"Yes,No"</formula1>
    </dataValidation>
    <dataValidation sqref="CB2:CB193" showDropDown="0" showInputMessage="0" showErrorMessage="0" allowBlank="1" type="list">
      <formula1>"More than 15%,Less than 15%"</formula1>
    </dataValidation>
    <dataValidation sqref="CD2:CD1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IF(B2=0,"",RANK(B2,$B$2:$B$18,0))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64747.51</v>
      </c>
      <c r="I2" s="32" t="n">
        <v>83.08</v>
      </c>
      <c r="J2" s="32" t="n">
        <v>-1.31</v>
      </c>
      <c r="K2" s="32" t="n">
        <v>13551944</v>
      </c>
      <c r="L2" s="31" t="n">
        <v>52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68.23</v>
      </c>
      <c r="P2" s="32" t="n">
        <v>41.05</v>
      </c>
      <c r="Q2" s="32" t="n">
        <v>67.01000000000001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-0.63</v>
      </c>
      <c r="U2" s="32" t="n">
        <v>57.41</v>
      </c>
      <c r="V2" s="32" t="n">
        <v>58.41</v>
      </c>
      <c r="W2" s="32" t="n">
        <v>16.43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IF(B3=0,"",RANK(B3,$B$2:$B$18,0))</f>
        <v/>
      </c>
      <c r="B3" s="32">
        <f>SUM(N3,Y3,AA3,AC3,AE3,AG3,AI3,AK3,AM3,AO3,AQ3,AS3,AU3,AW3,AY3,BA3,BC3,BE3,BG3,BI3,BK3,BM3,BO3,BQ3,BS3,BU3,BW3,BY3,CA3)</f>
        <v/>
      </c>
      <c r="C3" s="31" t="inlineStr">
        <is>
          <t>RBLBANK</t>
        </is>
      </c>
      <c r="D3" s="31" t="inlineStr">
        <is>
          <t>Rbl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22063.49</v>
      </c>
      <c r="I3" s="32" t="n">
        <v>359.1</v>
      </c>
      <c r="J3" s="32" t="n">
        <v>0.6</v>
      </c>
      <c r="K3" s="32" t="n">
        <v>6472883</v>
      </c>
      <c r="L3" s="31" t="n">
        <v>48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67.56999999999999</v>
      </c>
      <c r="P3" s="32" t="n">
        <v>28.66</v>
      </c>
      <c r="Q3" s="32" t="n">
        <v>296.97</v>
      </c>
      <c r="R3" s="31" t="inlineStr">
        <is>
          <t>Near 52W High Breakout</t>
        </is>
      </c>
      <c r="S3" s="31" t="inlineStr">
        <is>
          <t>Nifty Bank</t>
        </is>
      </c>
      <c r="T3" s="32" t="n">
        <v>-0.63</v>
      </c>
      <c r="U3" s="32" t="n">
        <v>63.65</v>
      </c>
      <c r="V3" s="32" t="n">
        <v>64.69</v>
      </c>
      <c r="W3" s="32" t="n">
        <v>15.3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IF(B4=0,"",RANK(B4,$B$2:$B$18,0))</f>
        <v/>
      </c>
      <c r="B4" s="32">
        <f>SUM(N4,Y4,AA4,AC4,AE4,AG4,AI4,AK4,AM4,AO4,AQ4,AS4,AU4,AW4,AY4,BA4,BC4,BE4,BG4,BI4,BK4,BM4,BO4,BQ4,BS4,BU4,BW4,BY4,CA4)</f>
        <v/>
      </c>
      <c r="C4" s="31" t="inlineStr">
        <is>
          <t>TMB</t>
        </is>
      </c>
      <c r="D4" s="31" t="inlineStr">
        <is>
          <t>Tamilnad Mercantile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12265.9</v>
      </c>
      <c r="I4" s="32" t="n">
        <v>767.4</v>
      </c>
      <c r="J4" s="32" t="n">
        <v>-0.93</v>
      </c>
      <c r="K4" s="32" t="n">
        <v>159786</v>
      </c>
      <c r="L4" s="31" t="n">
        <v>56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68.06</v>
      </c>
      <c r="P4" s="32" t="n">
        <v>29.41</v>
      </c>
      <c r="Q4" s="32" t="n">
        <v>607.53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-0.63</v>
      </c>
      <c r="U4" s="32" t="n">
        <v>73.75</v>
      </c>
      <c r="V4" s="32" t="n">
        <v>74.84999999999999</v>
      </c>
      <c r="W4" s="32" t="n">
        <v>17.84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IF(B5=0,"",RANK(B5,$B$2:$B$18,0))</f>
        <v/>
      </c>
      <c r="B5" s="32">
        <f>SUM(N5,Y5,AA5,AC5,AE5,AG5,AI5,AK5,AM5,AO5,AQ5,AS5,AU5,AW5,AY5,BA5,BC5,BE5,BG5,BI5,BK5,BM5,BO5,BQ5,BS5,BU5,BW5,BY5,CA5)</f>
        <v/>
      </c>
      <c r="C5" s="31" t="inlineStr">
        <is>
          <t>J&amp;KBANK</t>
        </is>
      </c>
      <c r="D5" s="31" t="inlineStr">
        <is>
          <t>The Jammu &amp; Kashmir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16992.35</v>
      </c>
      <c r="I5" s="32" t="n">
        <v>153.07</v>
      </c>
      <c r="J5" s="32" t="n">
        <v>-0.8</v>
      </c>
      <c r="K5" s="32" t="n">
        <v>2502629</v>
      </c>
      <c r="L5" s="31" t="n">
        <v>43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71.86</v>
      </c>
      <c r="P5" s="32" t="n">
        <v>49.53</v>
      </c>
      <c r="Q5" s="32" t="n">
        <v>121.6</v>
      </c>
      <c r="R5" s="31" t="inlineStr">
        <is>
          <t>Near 52W High Breakout</t>
        </is>
      </c>
      <c r="S5" s="31" t="inlineStr">
        <is>
          <t>Nifty Bank</t>
        </is>
      </c>
      <c r="T5" s="32" t="n">
        <v>-0.63</v>
      </c>
      <c r="U5" s="32" t="n">
        <v>49.08</v>
      </c>
      <c r="V5" s="32" t="n">
        <v>50.03</v>
      </c>
      <c r="W5" s="32" t="n">
        <v>14.22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IF(B6=0,"",RANK(B6,$B$2:$B$18,0))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76663.82000000001</v>
      </c>
      <c r="I6" s="32" t="n">
        <v>309.75</v>
      </c>
      <c r="J6" s="32" t="n">
        <v>-0.43</v>
      </c>
      <c r="K6" s="32" t="n">
        <v>7619065</v>
      </c>
      <c r="L6" s="31" t="n">
        <v>37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66.03</v>
      </c>
      <c r="P6" s="32" t="n">
        <v>17.71</v>
      </c>
      <c r="Q6" s="32" t="n">
        <v>262.9</v>
      </c>
      <c r="R6" s="31" t="inlineStr">
        <is>
          <t>Near 52W High Breakout</t>
        </is>
      </c>
      <c r="S6" s="31" t="inlineStr">
        <is>
          <t>Nifty Bank</t>
        </is>
      </c>
      <c r="T6" s="32" t="n">
        <v>-0.63</v>
      </c>
      <c r="U6" s="32" t="n">
        <v>51.79</v>
      </c>
      <c r="V6" s="32" t="n">
        <v>52.75</v>
      </c>
      <c r="W6" s="32" t="n">
        <v>13.17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0 to 20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IF(B7=0,"",RANK(B7,$B$2:$B$18,0))</f>
        <v/>
      </c>
      <c r="B7" s="32">
        <f>SUM(N7,Y7,AA7,AC7,AE7,AG7,AI7,AK7,AM7,AO7,AQ7,AS7,AU7,AW7,AY7,BA7,BC7,BE7,BG7,BI7,BK7,BM7,BO7,BQ7,BS7,BU7,BW7,BY7,CA7)</f>
        <v/>
      </c>
      <c r="C7" s="31" t="inlineStr">
        <is>
          <t>ABSLAMC</t>
        </is>
      </c>
      <c r="D7" s="31" t="inlineStr">
        <is>
          <t>Aditya Birla Sun Life AMC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32066.15</v>
      </c>
      <c r="I7" s="32" t="n">
        <v>1068.6</v>
      </c>
      <c r="J7" s="32" t="n">
        <v>-3.76</v>
      </c>
      <c r="K7" s="32" t="n">
        <v>425095</v>
      </c>
      <c r="L7" s="31" t="n">
        <v>31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63.92</v>
      </c>
      <c r="P7" s="32" t="n">
        <v>41.37</v>
      </c>
      <c r="Q7" s="32" t="n">
        <v>841.99</v>
      </c>
      <c r="R7" s="31" t="inlineStr">
        <is>
          <t>Near 52W High Breakout</t>
        </is>
      </c>
      <c r="S7" s="31" t="inlineStr">
        <is>
          <t>Nifty Bank</t>
        </is>
      </c>
      <c r="T7" s="32" t="n">
        <v>-0.63</v>
      </c>
      <c r="U7" s="32" t="n">
        <v>43.4</v>
      </c>
      <c r="V7" s="32" t="n">
        <v>44.31</v>
      </c>
      <c r="W7" s="32" t="n">
        <v>11.12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IF(B8=0,"",RANK(B8,$B$2:$B$18,0))</f>
        <v/>
      </c>
      <c r="B8" s="32">
        <f>SUM(N8,Y8,AA8,AC8,AE8,AG8,AI8,AK8,AM8,AO8,AQ8,AS8,AU8,AW8,AY8,BA8,BC8,BE8,BG8,BI8,BK8,BM8,BO8,BQ8,BS8,BU8,BW8,BY8,CA8)</f>
        <v/>
      </c>
      <c r="C8" s="31" t="inlineStr">
        <is>
          <t>MONARCH</t>
        </is>
      </c>
      <c r="D8" s="31" t="inlineStr">
        <is>
          <t>Monarch Networth Capital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2661.04</v>
      </c>
      <c r="I8" s="32" t="n">
        <v>330.05</v>
      </c>
      <c r="J8" s="32" t="n">
        <v>-1.68</v>
      </c>
      <c r="K8" s="32" t="n">
        <v>62685</v>
      </c>
      <c r="L8" s="31" t="n">
        <v>16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59.27</v>
      </c>
      <c r="P8" s="32" t="n">
        <v>20.19</v>
      </c>
      <c r="Q8" s="32" t="n">
        <v>268.11</v>
      </c>
      <c r="R8" s="31" t="inlineStr">
        <is>
          <t>Earnings / Momentum Support</t>
        </is>
      </c>
      <c r="S8" s="31" t="inlineStr">
        <is>
          <t>Nifty Bank</t>
        </is>
      </c>
      <c r="T8" s="32" t="n">
        <v>-0.63</v>
      </c>
      <c r="U8" s="32" t="n">
        <v>4.53</v>
      </c>
      <c r="V8" s="32" t="n">
        <v>5.19</v>
      </c>
      <c r="W8" s="32" t="n">
        <v>7.32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IF(B9=0,"",RANK(B9,$B$2:$B$18,0))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SOUTHBANK</t>
        </is>
      </c>
      <c r="D9" s="31" t="inlineStr">
        <is>
          <t>The South Indian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11813.08</v>
      </c>
      <c r="I9" s="32" t="n">
        <v>45.32</v>
      </c>
      <c r="J9" s="32" t="n">
        <v>0.42</v>
      </c>
      <c r="K9" s="32" t="n">
        <v>13705352</v>
      </c>
      <c r="L9" s="31" t="n">
        <v>41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65.73999999999999</v>
      </c>
      <c r="P9" s="32" t="n">
        <v>13.45</v>
      </c>
      <c r="Q9" s="32" t="n">
        <v>35.76</v>
      </c>
      <c r="R9" s="31" t="inlineStr">
        <is>
          <t>Near 52W High Breakout</t>
        </is>
      </c>
      <c r="S9" s="31" t="inlineStr">
        <is>
          <t>Nifty Bank</t>
        </is>
      </c>
      <c r="T9" s="32" t="n">
        <v>-0.63</v>
      </c>
      <c r="U9" s="32" t="n">
        <v>52.31</v>
      </c>
      <c r="V9" s="32" t="n">
        <v>53.27</v>
      </c>
      <c r="W9" s="32" t="n">
        <v>13.79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0 to 20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IF(B10=0,"",RANK(B10,$B$2:$B$18,0))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AXISBANK</t>
        </is>
      </c>
      <c r="D10" s="31" t="inlineStr">
        <is>
          <t>Axis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408569.29</v>
      </c>
      <c r="I10" s="32" t="n">
        <v>1317.3</v>
      </c>
      <c r="J10" s="32" t="n">
        <v>0.21</v>
      </c>
      <c r="K10" s="32" t="n">
        <v>8196686</v>
      </c>
      <c r="L10" s="31" t="n">
        <v>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55.39</v>
      </c>
      <c r="P10" s="32" t="n">
        <v>9.06</v>
      </c>
      <c r="Q10" s="32" t="n">
        <v>1165.57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-0.63</v>
      </c>
      <c r="U10" s="32" t="n">
        <v>9.34</v>
      </c>
      <c r="V10" s="32" t="n">
        <v>10.04</v>
      </c>
      <c r="W10" s="32" t="n">
        <v>4.25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IF(B11=0,"",RANK(B11,$B$2:$B$18,0))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CGCL</t>
        </is>
      </c>
      <c r="D11" s="31" t="inlineStr">
        <is>
          <t>Capri Global Capital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19408.57</v>
      </c>
      <c r="I11" s="32" t="n">
        <v>199.29</v>
      </c>
      <c r="J11" s="32" t="n">
        <v>-1.2</v>
      </c>
      <c r="K11" s="32" t="n">
        <v>1883079</v>
      </c>
      <c r="L11" s="31" t="n">
        <v>15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60.21</v>
      </c>
      <c r="P11" s="32" t="n">
        <v>17.18</v>
      </c>
      <c r="Q11" s="32" t="n">
        <v>163.72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-0.63</v>
      </c>
      <c r="U11" s="32" t="n">
        <v>16.58</v>
      </c>
      <c r="V11" s="32" t="n">
        <v>17.32</v>
      </c>
      <c r="W11" s="32" t="n">
        <v>6.9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IF(B12=0,"",RANK(B12,$B$2:$B$18,0))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CAPITALSFB</t>
        </is>
      </c>
      <c r="D12" s="33" t="inlineStr">
        <is>
          <t>Capital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1249.92</v>
      </c>
      <c r="I12" s="32" t="n">
        <v>277.95</v>
      </c>
      <c r="J12" s="32" t="n">
        <v>1</v>
      </c>
      <c r="K12" s="32" t="n">
        <v>12751</v>
      </c>
      <c r="L12" s="31" t="n">
        <v>4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54.28</v>
      </c>
      <c r="P12" s="32" t="n">
        <v>27.38</v>
      </c>
      <c r="Q12" s="32" t="n">
        <v>238.29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-0.63</v>
      </c>
      <c r="U12" s="32" t="n">
        <v>-7.14</v>
      </c>
      <c r="V12" s="32" t="n">
        <v>-6.55</v>
      </c>
      <c r="W12" s="32" t="n">
        <v>2.46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IF(B13=0,"",RANK(B13,$B$2:$B$18,0))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PAISALO</t>
        </is>
      </c>
      <c r="D13" s="31" t="inlineStr">
        <is>
          <t>Paisalo Digital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midcap</t>
        </is>
      </c>
      <c r="H13" s="32" t="n">
        <v>5412.56</v>
      </c>
      <c r="I13" s="32" t="n">
        <v>58.51</v>
      </c>
      <c r="J13" s="32" t="n">
        <v>-1.68</v>
      </c>
      <c r="K13" s="32" t="n">
        <v>8560549</v>
      </c>
      <c r="L13" s="31" t="n">
        <v>89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76.78</v>
      </c>
      <c r="P13" s="32" t="n">
        <v>32.77</v>
      </c>
      <c r="Q13" s="32" t="n">
        <v>45.7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-0.63</v>
      </c>
      <c r="U13" s="32" t="n">
        <v>87.17</v>
      </c>
      <c r="V13" s="32" t="n">
        <v>88.36</v>
      </c>
      <c r="W13" s="32" t="n">
        <v>36.16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IF(B14=0,"",RANK(B14,$B$2:$B$18,0))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STEL</t>
        </is>
      </c>
      <c r="D14" s="31" t="inlineStr">
        <is>
          <t>Stel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985.0599999999999</v>
      </c>
      <c r="I14" s="32" t="n">
        <v>543.8</v>
      </c>
      <c r="J14" s="32" t="n">
        <v>1.88</v>
      </c>
      <c r="K14" s="32" t="n">
        <v>17400</v>
      </c>
      <c r="L14" s="31" t="n">
        <v>24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61.58</v>
      </c>
      <c r="P14" s="32" t="n">
        <v>6.42</v>
      </c>
      <c r="Q14" s="32" t="n">
        <v>379.22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-0.63</v>
      </c>
      <c r="U14" s="32" t="n">
        <v>28.88</v>
      </c>
      <c r="V14" s="32" t="n">
        <v>29.7</v>
      </c>
      <c r="W14" s="32" t="n">
        <v>9.210000000000001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IF(B15=0,"",RANK(B15,$B$2:$B$18,0))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IDFCFIRSTB</t>
        </is>
      </c>
      <c r="D15" s="31" t="inlineStr">
        <is>
          <t>IDFC First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62783.8</v>
      </c>
      <c r="I15" s="32" t="n">
        <v>72.95</v>
      </c>
      <c r="J15" s="32" t="n">
        <v>-0.05</v>
      </c>
      <c r="K15" s="32" t="n">
        <v>22321129</v>
      </c>
      <c r="L15" s="31" t="n">
        <v>11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51.76</v>
      </c>
      <c r="P15" s="32" t="n">
        <v>29.71</v>
      </c>
      <c r="Q15" s="32" t="n">
        <v>59.77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-0.63</v>
      </c>
      <c r="U15" s="32" t="n">
        <v>3.9</v>
      </c>
      <c r="V15" s="32" t="n">
        <v>4.56</v>
      </c>
      <c r="W15" s="32" t="n">
        <v>5.21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1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IF(B16=0,"",RANK(B16,$B$2:$B$18,0))</f>
        <v/>
      </c>
      <c r="B16" s="32">
        <f>SUM(N16,Y16,AA16,AC16,AE16,AG16,AI16,AK16,AM16,AO16,AQ16,AS16,AU16,AW16,AY16,BA16,BC16,BE16,BG16,BI16,BK16,BM16,BO16,BQ16,BS16,BU16,BW16,BY16,CA16)</f>
        <v/>
      </c>
      <c r="C16" s="33" t="inlineStr">
        <is>
          <t>CREST</t>
        </is>
      </c>
      <c r="D16" s="33" t="inlineStr">
        <is>
          <t>Crest Ventures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1080.24</v>
      </c>
      <c r="I16" s="32" t="n">
        <v>368.95</v>
      </c>
      <c r="J16" s="32" t="n">
        <v>-2.83</v>
      </c>
      <c r="K16" s="32" t="n">
        <v>17163</v>
      </c>
      <c r="L16" s="31" t="n">
        <v>2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52.43</v>
      </c>
      <c r="P16" s="32" t="n">
        <v>13.87</v>
      </c>
      <c r="Q16" s="32" t="n">
        <v>293.24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-0.63</v>
      </c>
      <c r="U16" s="32" t="n">
        <v>-7.46</v>
      </c>
      <c r="V16" s="32" t="n">
        <v>-6.87</v>
      </c>
      <c r="W16" s="32" t="n">
        <v>2.18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1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IF(B17=0,"",RANK(B17,$B$2:$B$18,0))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IIFLCAPS</t>
        </is>
      </c>
      <c r="D17" s="31" t="inlineStr">
        <is>
          <t>IIFL Capital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10697.78</v>
      </c>
      <c r="I17" s="32" t="n">
        <v>342.3</v>
      </c>
      <c r="J17" s="32" t="n">
        <v>-0.35</v>
      </c>
      <c r="K17" s="32" t="n">
        <v>307477</v>
      </c>
      <c r="L17" s="31" t="n">
        <v>12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56.65</v>
      </c>
      <c r="P17" s="32" t="n">
        <v>19.25</v>
      </c>
      <c r="Q17" s="32" t="n">
        <v>273.66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-0.63</v>
      </c>
      <c r="U17" s="32" t="n">
        <v>2.93</v>
      </c>
      <c r="V17" s="32" t="n">
        <v>3.58</v>
      </c>
      <c r="W17" s="32" t="n">
        <v>5.46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IF(B18=0,"",RANK(B18,$B$2:$B$18,0))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PRUDENT</t>
        </is>
      </c>
      <c r="D18" s="33" t="inlineStr">
        <is>
          <t>Prudent Corporate Advisory Services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midcap</t>
        </is>
      </c>
      <c r="H18" s="32" t="n">
        <v>11272.55</v>
      </c>
      <c r="I18" s="32" t="n">
        <v>2816.9</v>
      </c>
      <c r="J18" s="32" t="n">
        <v>3.47</v>
      </c>
      <c r="K18" s="32" t="n">
        <v>33494</v>
      </c>
      <c r="L18" s="31" t="n">
        <v>13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59</v>
      </c>
      <c r="P18" s="32" t="n">
        <v>19.44</v>
      </c>
      <c r="Q18" s="32" t="n">
        <v>2204.05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-0.63</v>
      </c>
      <c r="U18" s="32" t="n">
        <v>-0.83</v>
      </c>
      <c r="V18" s="32" t="n">
        <v>-0.2</v>
      </c>
      <c r="W18" s="32" t="n">
        <v>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</sheetData>
  <autoFilter ref="A1:CA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8">
    <cfRule type="cellIs" priority="34" operator="equal" dxfId="3" stopIfTrue="1">
      <formula>"Underperforming"</formula>
    </cfRule>
  </conditionalFormatting>
  <conditionalFormatting sqref="N2:N18">
    <cfRule type="cellIs" priority="35" operator="equal" dxfId="3" stopIfTrue="1">
      <formula>-5</formula>
    </cfRule>
  </conditionalFormatting>
  <conditionalFormatting sqref="Q2:Q18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8" showDropDown="0" showInputMessage="0" showErrorMessage="0" allowBlank="1" type="list">
      <formula1>"Growing Industry,Stagnant Industry,Cyclical in an Upturn"</formula1>
    </dataValidation>
    <dataValidation sqref="Z2:Z18" showDropDown="0" showInputMessage="0" showErrorMessage="0" allowBlank="1" type="list">
      <formula1>"Fragmented with Low ROE,Fragmented with High ROE,Highly Cyclical"</formula1>
    </dataValidation>
    <dataValidation sqref="AB2:AB18" showDropDown="0" showInputMessage="0" showErrorMessage="0" allowBlank="1" type="list">
      <formula1>"Yes,No"</formula1>
    </dataValidation>
    <dataValidation sqref="AD2:AD18" showDropDown="0" showInputMessage="0" showErrorMessage="0" allowBlank="1" type="list">
      <formula1>"Tailwind,Headwind"</formula1>
    </dataValidation>
    <dataValidation sqref="AF2:AF1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8" showDropDown="0" showInputMessage="0" showErrorMessage="0" allowBlank="1" type="list">
      <formula1>"Yes,No"</formula1>
    </dataValidation>
    <dataValidation sqref="AJ2:AJ18" showDropDown="0" showInputMessage="0" showErrorMessage="0" allowBlank="1" type="list">
      <formula1>"Yes,No,Not Applicable"</formula1>
    </dataValidation>
    <dataValidation sqref="AL2:AL18" showDropDown="0" showInputMessage="0" showErrorMessage="0" allowBlank="1" type="list">
      <formula1>"Yes,No"</formula1>
    </dataValidation>
    <dataValidation sqref="AN2:AN18" showDropDown="0" showInputMessage="0" showErrorMessage="0" allowBlank="1" type="list">
      <formula1>"Yes,No"</formula1>
    </dataValidation>
    <dataValidation sqref="AP2:AP18" showDropDown="0" showInputMessage="0" showErrorMessage="0" allowBlank="1" type="list">
      <formula1>"Yes,No"</formula1>
    </dataValidation>
    <dataValidation sqref="AR2:AR18" showDropDown="0" showInputMessage="0" showErrorMessage="0" allowBlank="1" type="list">
      <formula1>"Yes,No"</formula1>
    </dataValidation>
    <dataValidation sqref="AT2:AT18" showDropDown="0" showInputMessage="0" showErrorMessage="0" allowBlank="1" type="list">
      <formula1>"No,Yes"</formula1>
    </dataValidation>
    <dataValidation sqref="AV2:AV18" showDropDown="0" showInputMessage="0" showErrorMessage="0" allowBlank="1" type="list">
      <formula1>"No,Yes"</formula1>
    </dataValidation>
    <dataValidation sqref="AX2:AX18" showDropDown="0" showInputMessage="0" showErrorMessage="0" allowBlank="1" type="list">
      <formula1>"No,Yes CEO Resignation,Yes CEO Retirement"</formula1>
    </dataValidation>
    <dataValidation sqref="AZ2:AZ18" showDropDown="0" showInputMessage="0" showErrorMessage="0" allowBlank="1" type="list">
      <formula1>"No,Yes"</formula1>
    </dataValidation>
    <dataValidation sqref="BB2:BB18" showDropDown="0" showInputMessage="0" showErrorMessage="0" allowBlank="1" type="list">
      <formula1>"No,Yes"</formula1>
    </dataValidation>
    <dataValidation sqref="BD2:BD18" showDropDown="0" showInputMessage="0" showErrorMessage="0" allowBlank="1" type="list">
      <formula1>"Yes,No"</formula1>
    </dataValidation>
    <dataValidation sqref="BF2:BF18" showDropDown="0" showInputMessage="0" showErrorMessage="0" allowBlank="1" type="list">
      <formula1>"Yes,No"</formula1>
    </dataValidation>
    <dataValidation sqref="BH2:BH18" showDropDown="0" showInputMessage="0" showErrorMessage="0" allowBlank="1" type="list">
      <formula1>"Yes,No"</formula1>
    </dataValidation>
    <dataValidation sqref="BJ2:BJ1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8" showDropDown="0" showInputMessage="0" showErrorMessage="0" allowBlank="1" type="list">
      <formula1>"Above 40,20 to 40,0 to 20"</formula1>
    </dataValidation>
    <dataValidation sqref="BN2:BN18" showDropDown="0" showInputMessage="0" showErrorMessage="0" allowBlank="1" type="list">
      <formula1>"Between 50 to 75,Above 75,Below 45"</formula1>
    </dataValidation>
    <dataValidation sqref="BP2:BP18" showDropDown="0" showInputMessage="0" showErrorMessage="0" allowBlank="1" type="list">
      <formula1>"Stage 1,Stage 2,Stage 3,Stage 4"</formula1>
    </dataValidation>
    <dataValidation sqref="BR2:BR18" showDropDown="0" showInputMessage="0" showErrorMessage="0" allowBlank="1" type="list">
      <formula1>"Positive Trend,Negative Trend"</formula1>
    </dataValidation>
    <dataValidation sqref="BT2:BT18" showDropDown="0" showInputMessage="0" showErrorMessage="0" allowBlank="1" type="list">
      <formula1>"Uptrend,Sideways,Downtrend"</formula1>
    </dataValidation>
    <dataValidation sqref="BV2:BV18" showDropDown="0" showInputMessage="0" showErrorMessage="0" allowBlank="1" type="list">
      <formula1>"Uptrend,Sideways,Downtrend"</formula1>
    </dataValidation>
    <dataValidation sqref="BX2:BX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IF(B2=0,"",RANK(B2,$B$2:$B$17,0))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138.7</v>
      </c>
      <c r="E2" s="32" t="inlineStr">
        <is>
          <t>5%</t>
        </is>
      </c>
      <c r="F2" s="32" t="n">
        <v>50000</v>
      </c>
      <c r="G2" s="32" t="n">
        <v>29</v>
      </c>
      <c r="H2" s="31" t="inlineStr">
        <is>
          <t>VENUSREM</t>
        </is>
      </c>
      <c r="I2" s="31" t="inlineStr">
        <is>
          <t>Venus Remedies Limited</t>
        </is>
      </c>
      <c r="J2" s="31" t="inlineStr">
        <is>
          <t>healthcare</t>
        </is>
      </c>
      <c r="K2" s="31" t="inlineStr">
        <is>
          <t>pharmaceuticals - indian - formulations</t>
        </is>
      </c>
      <c r="L2" s="31" t="inlineStr">
        <is>
          <t>smallcap</t>
        </is>
      </c>
      <c r="M2" s="32" t="n">
        <v>2183.5</v>
      </c>
      <c r="N2" s="32" t="n">
        <v>1715.1</v>
      </c>
      <c r="O2" s="32" t="n">
        <v>5</v>
      </c>
      <c r="P2" s="32" t="n">
        <v>176186</v>
      </c>
      <c r="Q2" s="31" t="n">
        <v>97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81.59</v>
      </c>
      <c r="U2" s="32" t="n">
        <v>50.28</v>
      </c>
      <c r="V2" s="32" t="n">
        <v>1307.9</v>
      </c>
      <c r="W2" s="31" t="inlineStr">
        <is>
          <t>Volume Spike &amp; Near 52W High Breakout</t>
        </is>
      </c>
      <c r="X2" s="31" t="inlineStr">
        <is>
          <t>Nifty Pharma</t>
        </is>
      </c>
      <c r="Y2" s="32" t="n">
        <v>10.56</v>
      </c>
      <c r="Z2" s="32" t="n">
        <v>275.05</v>
      </c>
      <c r="AA2" s="32" t="n">
        <v>239.22</v>
      </c>
      <c r="AB2" s="32" t="n">
        <v>54.64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IF(B3=0,"",RANK(B3,$B$2:$B$17,0))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139.1</v>
      </c>
      <c r="E3" s="32" t="inlineStr">
        <is>
          <t>5%</t>
        </is>
      </c>
      <c r="F3" s="32" t="n">
        <v>50000</v>
      </c>
      <c r="G3" s="32" t="n">
        <v>322</v>
      </c>
      <c r="H3" s="31" t="inlineStr">
        <is>
          <t>CUPID</t>
        </is>
      </c>
      <c r="I3" s="31" t="inlineStr">
        <is>
          <t>Cupid Limited</t>
        </is>
      </c>
      <c r="J3" s="31" t="inlineStr">
        <is>
          <t>fmcg</t>
        </is>
      </c>
      <c r="K3" s="31" t="inlineStr">
        <is>
          <t>personal care - indian</t>
        </is>
      </c>
      <c r="L3" s="31" t="inlineStr">
        <is>
          <t>largecap</t>
        </is>
      </c>
      <c r="M3" s="32" t="n">
        <v>20249.25</v>
      </c>
      <c r="N3" s="32" t="n">
        <v>155.18</v>
      </c>
      <c r="O3" s="32" t="n">
        <v>3.05</v>
      </c>
      <c r="P3" s="32" t="n">
        <v>46400839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80.64</v>
      </c>
      <c r="U3" s="32" t="n">
        <v>45.03</v>
      </c>
      <c r="V3" s="32" t="n">
        <v>119.74</v>
      </c>
      <c r="W3" s="31" t="inlineStr">
        <is>
          <t>Near 52W High Breakout</t>
        </is>
      </c>
      <c r="X3" s="31" t="inlineStr">
        <is>
          <t>Nifty FMCG</t>
        </is>
      </c>
      <c r="Y3" s="32" t="n">
        <v>-11.01</v>
      </c>
      <c r="Z3" s="32" t="n">
        <v>702.21</v>
      </c>
      <c r="AA3" s="32" t="n">
        <v>801.5</v>
      </c>
      <c r="AB3" s="32" t="n">
        <v>81.5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IF(B4=0,"",RANK(B4,$B$2:$B$17,0))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ATH Momentum</t>
        </is>
      </c>
      <c r="D4" s="32" t="n">
        <v>73</v>
      </c>
      <c r="E4" s="32" t="inlineStr">
        <is>
          <t>4%</t>
        </is>
      </c>
      <c r="F4" s="32" t="n">
        <v>40000</v>
      </c>
      <c r="G4" s="32" t="n">
        <v>19</v>
      </c>
      <c r="H4" s="31" t="inlineStr">
        <is>
          <t>SJS</t>
        </is>
      </c>
      <c r="I4" s="31" t="inlineStr">
        <is>
          <t>S J S Enterprises Ltd</t>
        </is>
      </c>
      <c r="J4" s="31" t="inlineStr">
        <is>
          <t>auto</t>
        </is>
      </c>
      <c r="K4" s="31" t="inlineStr">
        <is>
          <t>plastics products</t>
        </is>
      </c>
      <c r="L4" s="31" t="inlineStr">
        <is>
          <t>midcap</t>
        </is>
      </c>
      <c r="M4" s="32" t="n">
        <v>6648.29</v>
      </c>
      <c r="N4" s="32" t="n">
        <v>2094.1</v>
      </c>
      <c r="O4" s="32" t="n">
        <v>0.78</v>
      </c>
      <c r="P4" s="32" t="n">
        <v>60528</v>
      </c>
      <c r="Q4" s="31" t="n">
        <v>61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63.34</v>
      </c>
      <c r="U4" s="32" t="n">
        <v>21.09</v>
      </c>
      <c r="V4" s="32" t="n">
        <v>1630.08</v>
      </c>
      <c r="W4" s="31" t="inlineStr">
        <is>
          <t>Near 52W High Breakout</t>
        </is>
      </c>
      <c r="X4" s="31" t="inlineStr">
        <is>
          <t>Nifty Auto</t>
        </is>
      </c>
      <c r="Y4" s="32" t="n">
        <v>10.56</v>
      </c>
      <c r="Z4" s="32" t="n">
        <v>72.09999999999999</v>
      </c>
      <c r="AA4" s="32" t="n">
        <v>55.66</v>
      </c>
      <c r="AB4" s="32" t="n">
        <v>19.41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IF(B5=0,"",RANK(B5,$B$2:$B$17,0))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138.6</v>
      </c>
      <c r="E5" s="32" t="inlineStr">
        <is>
          <t>5%</t>
        </is>
      </c>
      <c r="F5" s="32" t="n">
        <v>50000</v>
      </c>
      <c r="G5" s="32" t="n">
        <v>61</v>
      </c>
      <c r="H5" s="31" t="inlineStr">
        <is>
          <t>ASTERDM</t>
        </is>
      </c>
      <c r="I5" s="31" t="inlineStr">
        <is>
          <t>Aster DM Healthcare Ltd</t>
        </is>
      </c>
      <c r="J5" s="31" t="inlineStr">
        <is>
          <t>healthcare</t>
        </is>
      </c>
      <c r="K5" s="31" t="inlineStr">
        <is>
          <t>healthcare</t>
        </is>
      </c>
      <c r="L5" s="31" t="inlineStr">
        <is>
          <t>largecap</t>
        </is>
      </c>
      <c r="M5" s="32" t="n">
        <v>42118.06</v>
      </c>
      <c r="N5" s="32" t="n">
        <v>813.75</v>
      </c>
      <c r="O5" s="32" t="n">
        <v>0.1</v>
      </c>
      <c r="P5" s="32" t="n">
        <v>967137</v>
      </c>
      <c r="Q5" s="31" t="n">
        <v>35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71.88</v>
      </c>
      <c r="U5" s="32" t="n">
        <v>36.94</v>
      </c>
      <c r="V5" s="32" t="n">
        <v>666.91</v>
      </c>
      <c r="W5" s="31" t="inlineStr">
        <is>
          <t>Volume Spike &amp; Near 52W High Breakout</t>
        </is>
      </c>
      <c r="X5" s="31" t="inlineStr">
        <is>
          <t>Nifty Pharma</t>
        </is>
      </c>
      <c r="Y5" s="32" t="n">
        <v>10.56</v>
      </c>
      <c r="Z5" s="32" t="n">
        <v>43.7</v>
      </c>
      <c r="AA5" s="32" t="n">
        <v>29.98</v>
      </c>
      <c r="AB5" s="32" t="n">
        <v>12.38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IF(B6=0,"",RANK(B6,$B$2:$B$17,0))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138.8</v>
      </c>
      <c r="E6" s="32" t="inlineStr">
        <is>
          <t>5%</t>
        </is>
      </c>
      <c r="F6" s="32" t="n">
        <v>50000</v>
      </c>
      <c r="G6" s="32" t="n">
        <v>8</v>
      </c>
      <c r="H6" s="31" t="inlineStr">
        <is>
          <t>GRWRHITECH</t>
        </is>
      </c>
      <c r="I6" s="31" t="inlineStr">
        <is>
          <t>Garware Hi Tech Films Ltd</t>
        </is>
      </c>
      <c r="J6" s="31" t="inlineStr">
        <is>
          <t>industrials</t>
        </is>
      </c>
      <c r="K6" s="31" t="inlineStr">
        <is>
          <t>packaging</t>
        </is>
      </c>
      <c r="L6" s="31" t="inlineStr">
        <is>
          <t>midcap</t>
        </is>
      </c>
      <c r="M6" s="32" t="n">
        <v>14422.67</v>
      </c>
      <c r="N6" s="32" t="n">
        <v>6241</v>
      </c>
      <c r="O6" s="32" t="n">
        <v>0.53</v>
      </c>
      <c r="P6" s="32" t="n">
        <v>78032</v>
      </c>
      <c r="Q6" s="31" t="n">
        <v>71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74.62</v>
      </c>
      <c r="U6" s="32" t="n">
        <v>27.83</v>
      </c>
      <c r="V6" s="32" t="n">
        <v>4608.21</v>
      </c>
      <c r="W6" s="31" t="inlineStr">
        <is>
          <t>Near 52W High Breakout</t>
        </is>
      </c>
      <c r="X6" s="31" t="inlineStr">
        <is>
          <t>Nifty 50</t>
        </is>
      </c>
      <c r="Y6" s="32" t="n">
        <v>-6.3</v>
      </c>
      <c r="Z6" s="32" t="n">
        <v>46.43</v>
      </c>
      <c r="AA6" s="32" t="n">
        <v>56.27</v>
      </c>
      <c r="AB6" s="32" t="n">
        <v>23.83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IF(B7=0,"",RANK(B7,$B$2:$B$17,0))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130.2</v>
      </c>
      <c r="E7" s="32" t="inlineStr">
        <is>
          <t>5%</t>
        </is>
      </c>
      <c r="F7" s="32" t="n">
        <v>50000</v>
      </c>
      <c r="G7" s="32" t="n">
        <v>54</v>
      </c>
      <c r="H7" s="31" t="inlineStr">
        <is>
          <t>AEGISLOG</t>
        </is>
      </c>
      <c r="I7" s="31" t="inlineStr">
        <is>
          <t>Aegis Logistics Ltd</t>
        </is>
      </c>
      <c r="J7" s="31" t="inlineStr">
        <is>
          <t>services</t>
        </is>
      </c>
      <c r="K7" s="31" t="inlineStr">
        <is>
          <t>trading</t>
        </is>
      </c>
      <c r="L7" s="31" t="inlineStr">
        <is>
          <t>largecap</t>
        </is>
      </c>
      <c r="M7" s="32" t="n">
        <v>28115.1</v>
      </c>
      <c r="N7" s="32" t="n">
        <v>925.9</v>
      </c>
      <c r="O7" s="32" t="n">
        <v>15.59</v>
      </c>
      <c r="P7" s="32" t="n">
        <v>40729363</v>
      </c>
      <c r="Q7" s="31" t="n">
        <v>53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71.38</v>
      </c>
      <c r="U7" s="32" t="n">
        <v>19.99</v>
      </c>
      <c r="V7" s="32" t="n">
        <v>709.6799999999999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-6.3</v>
      </c>
      <c r="Z7" s="32" t="n">
        <v>18.4</v>
      </c>
      <c r="AA7" s="32" t="n">
        <v>26.36</v>
      </c>
      <c r="AB7" s="32" t="n">
        <v>16.91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0 to 20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IF(B8=0,"",RANK(B8,$B$2:$B$17,0))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115.7</v>
      </c>
      <c r="E8" s="32" t="inlineStr">
        <is>
          <t>5%</t>
        </is>
      </c>
      <c r="F8" s="32" t="n">
        <v>50000</v>
      </c>
      <c r="G8" s="32" t="n">
        <v>52</v>
      </c>
      <c r="H8" s="33" t="inlineStr">
        <is>
          <t>INNOVACAP</t>
        </is>
      </c>
      <c r="I8" s="33" t="inlineStr">
        <is>
          <t>Innova Captab Ltd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midcap</t>
        </is>
      </c>
      <c r="M8" s="32" t="n">
        <v>5208.04</v>
      </c>
      <c r="N8" s="32" t="n">
        <v>950.75</v>
      </c>
      <c r="O8" s="32" t="n">
        <v>4.47</v>
      </c>
      <c r="P8" s="32" t="n">
        <v>396483</v>
      </c>
      <c r="Q8" s="31" t="n">
        <v>23</v>
      </c>
      <c r="R8" s="31" t="inlineStr">
        <is>
          <t>Underperforming</t>
        </is>
      </c>
      <c r="S8" s="32">
        <f>IF(R8="Underperforming",-5,IF(Q8&gt;=95,15,IF(Q8&gt;=90,10,IF(Q8&gt;=80,5,0))))</f>
        <v/>
      </c>
      <c r="T8" s="32" t="n">
        <v>72.03</v>
      </c>
      <c r="U8" s="32" t="n">
        <v>27.53</v>
      </c>
      <c r="V8" s="32" t="n">
        <v>745.33</v>
      </c>
      <c r="W8" s="31" t="inlineStr">
        <is>
          <t>Volume Spike &amp; Near 52W High Breakout</t>
        </is>
      </c>
      <c r="X8" s="31" t="inlineStr">
        <is>
          <t>Nifty Pharma</t>
        </is>
      </c>
      <c r="Y8" s="32" t="n">
        <v>10.56</v>
      </c>
      <c r="Z8" s="32" t="n">
        <v>5.1</v>
      </c>
      <c r="AA8" s="32" t="n">
        <v>-4.94</v>
      </c>
      <c r="AB8" s="32" t="n">
        <v>8.869999999999999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Between 50% to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IF(B9=0,"",RANK(B9,$B$2:$B$17,0))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140</v>
      </c>
      <c r="E9" s="32" t="inlineStr">
        <is>
          <t>5%</t>
        </is>
      </c>
      <c r="F9" s="32" t="n">
        <v>50000</v>
      </c>
      <c r="G9" s="32" t="n">
        <v>103</v>
      </c>
      <c r="H9" s="31" t="inlineStr">
        <is>
          <t>SIGMAADV</t>
        </is>
      </c>
      <c r="I9" s="31" t="inlineStr">
        <is>
          <t>Sigma Advanced System Ltd</t>
        </is>
      </c>
      <c r="J9" s="31" t="inlineStr">
        <is>
          <t>aerospace &amp; defence</t>
        </is>
      </c>
      <c r="K9" s="31" t="inlineStr">
        <is>
          <t>electronics - components</t>
        </is>
      </c>
      <c r="L9" s="31" t="inlineStr">
        <is>
          <t>midcap</t>
        </is>
      </c>
      <c r="M9" s="32" t="n">
        <v>8094.69</v>
      </c>
      <c r="N9" s="32" t="n">
        <v>482.25</v>
      </c>
      <c r="O9" s="32" t="n">
        <v>5</v>
      </c>
      <c r="P9" s="32" t="n">
        <v>830361</v>
      </c>
      <c r="Q9" s="31" t="n">
        <v>99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86.22</v>
      </c>
      <c r="U9" s="32" t="n">
        <v>38.85</v>
      </c>
      <c r="V9" s="32" t="n">
        <v>367.61</v>
      </c>
      <c r="W9" s="31" t="inlineStr">
        <is>
          <t>Near 52W High Breakout</t>
        </is>
      </c>
      <c r="X9" s="31" t="inlineStr">
        <is>
          <t>Nifty 50</t>
        </is>
      </c>
      <c r="Y9" s="32" t="n">
        <v>-6.3</v>
      </c>
      <c r="Z9" s="32" t="n">
        <v>387.22</v>
      </c>
      <c r="AA9" s="32" t="n">
        <v>419.97</v>
      </c>
      <c r="AB9" s="32" t="n">
        <v>103.74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Negative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IF(B10=0,"",RANK(B10,$B$2:$B$17,0))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135.1</v>
      </c>
      <c r="E10" s="32" t="inlineStr">
        <is>
          <t>5%</t>
        </is>
      </c>
      <c r="F10" s="32" t="n">
        <v>50000</v>
      </c>
      <c r="G10" s="32" t="n">
        <v>116</v>
      </c>
      <c r="H10" s="31" t="inlineStr">
        <is>
          <t>SIS</t>
        </is>
      </c>
      <c r="I10" s="31" t="inlineStr">
        <is>
          <t>Security &amp; Intelligence Services India</t>
        </is>
      </c>
      <c r="J10" s="31" t="inlineStr">
        <is>
          <t>miscellaneous</t>
        </is>
      </c>
      <c r="K10" s="31" t="inlineStr">
        <is>
          <t>miscellaneous</t>
        </is>
      </c>
      <c r="L10" s="31" t="inlineStr">
        <is>
          <t>midcap</t>
        </is>
      </c>
      <c r="M10" s="32" t="n">
        <v>5869.15</v>
      </c>
      <c r="N10" s="32" t="n">
        <v>428.65</v>
      </c>
      <c r="O10" s="32" t="n">
        <v>3.18</v>
      </c>
      <c r="P10" s="32" t="n">
        <v>376563</v>
      </c>
      <c r="Q10" s="31" t="n">
        <v>51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77.16</v>
      </c>
      <c r="U10" s="32" t="n">
        <v>38.55</v>
      </c>
      <c r="V10" s="32" t="n">
        <v>340.97</v>
      </c>
      <c r="W10" s="31" t="inlineStr">
        <is>
          <t>Near 52W High Breakout</t>
        </is>
      </c>
      <c r="X10" s="31" t="inlineStr">
        <is>
          <t>Nifty 50</t>
        </is>
      </c>
      <c r="Y10" s="32" t="n">
        <v>-6.3</v>
      </c>
      <c r="Z10" s="32" t="n">
        <v>18.15</v>
      </c>
      <c r="AA10" s="32" t="n">
        <v>26.09</v>
      </c>
      <c r="AB10" s="32" t="n">
        <v>16.39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Between 0.7 to 1.2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IF(B11=0,"",RANK(B11,$B$2:$B$17,0))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120.6</v>
      </c>
      <c r="E11" s="32" t="inlineStr">
        <is>
          <t>5%</t>
        </is>
      </c>
      <c r="F11" s="32" t="n">
        <v>50000</v>
      </c>
      <c r="G11" s="32" t="n">
        <v>8</v>
      </c>
      <c r="H11" s="31" t="inlineStr">
        <is>
          <t>VADILALIND</t>
        </is>
      </c>
      <c r="I11" s="31" t="inlineStr">
        <is>
          <t>Vadilal Industries Limited</t>
        </is>
      </c>
      <c r="J11" s="31" t="inlineStr">
        <is>
          <t>fmcg</t>
        </is>
      </c>
      <c r="K11" s="31" t="inlineStr">
        <is>
          <t>food - processing - indian</t>
        </is>
      </c>
      <c r="L11" s="31" t="inlineStr">
        <is>
          <t>smallcap</t>
        </is>
      </c>
      <c r="M11" s="32" t="n">
        <v>4260.08</v>
      </c>
      <c r="N11" s="32" t="n">
        <v>5940.9</v>
      </c>
      <c r="O11" s="32" t="n">
        <v>0.24</v>
      </c>
      <c r="P11" s="32" t="n">
        <v>36437</v>
      </c>
      <c r="Q11" s="31" t="n">
        <v>20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65.70999999999999</v>
      </c>
      <c r="U11" s="32" t="n">
        <v>12.8</v>
      </c>
      <c r="V11" s="32" t="n">
        <v>4537.9</v>
      </c>
      <c r="W11" s="31" t="inlineStr">
        <is>
          <t>Near 52W High Breakout</t>
        </is>
      </c>
      <c r="X11" s="31" t="inlineStr">
        <is>
          <t>Nifty FMCG</t>
        </is>
      </c>
      <c r="Y11" s="32" t="n">
        <v>-11.01</v>
      </c>
      <c r="Z11" s="32" t="n">
        <v>11.77</v>
      </c>
      <c r="AA11" s="32" t="n">
        <v>25.6</v>
      </c>
      <c r="AB11" s="32" t="n">
        <v>8.4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B2C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0 to 20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IF(B12=0,"",RANK(B12,$B$2:$B$17,0))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137.2</v>
      </c>
      <c r="E12" s="32" t="inlineStr">
        <is>
          <t>5%</t>
        </is>
      </c>
      <c r="F12" s="32" t="n">
        <v>50000</v>
      </c>
      <c r="G12" s="32" t="n">
        <v>3</v>
      </c>
      <c r="H12" s="31" t="inlineStr">
        <is>
          <t>APARINDS</t>
        </is>
      </c>
      <c r="I12" s="31" t="inlineStr">
        <is>
          <t>Apar Industries Limited</t>
        </is>
      </c>
      <c r="J12" s="31" t="inlineStr">
        <is>
          <t>industrials</t>
        </is>
      </c>
      <c r="K12" s="31" t="inlineStr">
        <is>
          <t>electric equipment</t>
        </is>
      </c>
      <c r="L12" s="31" t="inlineStr">
        <is>
          <t>largecap</t>
        </is>
      </c>
      <c r="M12" s="32" t="n">
        <v>56577.07</v>
      </c>
      <c r="N12" s="32" t="n">
        <v>14551</v>
      </c>
      <c r="O12" s="32" t="n">
        <v>3.31</v>
      </c>
      <c r="P12" s="32" t="n">
        <v>424301</v>
      </c>
      <c r="Q12" s="31" t="n">
        <v>80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74.62</v>
      </c>
      <c r="U12" s="32" t="n">
        <v>38.53</v>
      </c>
      <c r="V12" s="32" t="n">
        <v>11205.13</v>
      </c>
      <c r="W12" s="31" t="inlineStr">
        <is>
          <t>Near 52W High Breakout</t>
        </is>
      </c>
      <c r="X12" s="31" t="inlineStr">
        <is>
          <t>Nifty 500</t>
        </is>
      </c>
      <c r="Y12" s="32" t="n">
        <v>-3.46</v>
      </c>
      <c r="Z12" s="32" t="n">
        <v>85.39</v>
      </c>
      <c r="AA12" s="32" t="n">
        <v>92.02</v>
      </c>
      <c r="AB12" s="32" t="n">
        <v>27.58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IF(B13=0,"",RANK(B13,$B$2:$B$17,0))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</v>
      </c>
      <c r="E13" s="32" t="inlineStr">
        <is>
          <t>5%</t>
        </is>
      </c>
      <c r="F13" s="32" t="n">
        <v>50000</v>
      </c>
      <c r="G13" s="32" t="n">
        <v>22</v>
      </c>
      <c r="H13" s="31" t="inlineStr">
        <is>
          <t>JBCHEPHARM</t>
        </is>
      </c>
      <c r="I13" s="31" t="inlineStr">
        <is>
          <t>Jb Chemicals &amp; Pharmaceuticals Limited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35347</v>
      </c>
      <c r="N13" s="32" t="n">
        <v>2252.7</v>
      </c>
      <c r="O13" s="32" t="n">
        <v>2.33</v>
      </c>
      <c r="P13" s="32" t="n">
        <v>395798</v>
      </c>
      <c r="Q13" s="31" t="n">
        <v>16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71.76000000000001</v>
      </c>
      <c r="U13" s="32" t="n">
        <v>39.93</v>
      </c>
      <c r="V13" s="32" t="n">
        <v>1925.07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10.56</v>
      </c>
      <c r="Z13" s="32" t="n">
        <v>31.81</v>
      </c>
      <c r="AA13" s="32" t="n">
        <v>19.22</v>
      </c>
      <c r="AB13" s="32" t="n">
        <v>7.24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IF(B14=0,"",RANK(B14,$B$2:$B$17,0))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138.6</v>
      </c>
      <c r="E14" s="32" t="inlineStr">
        <is>
          <t>5%</t>
        </is>
      </c>
      <c r="F14" s="32" t="n">
        <v>50000</v>
      </c>
      <c r="G14" s="32" t="n">
        <v>68</v>
      </c>
      <c r="H14" s="31" t="inlineStr">
        <is>
          <t>SANDHAR</t>
        </is>
      </c>
      <c r="I14" s="31" t="inlineStr">
        <is>
          <t>Sandhar Technologies Limited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smallcap</t>
        </is>
      </c>
      <c r="M14" s="32" t="n">
        <v>4324.4</v>
      </c>
      <c r="N14" s="32" t="n">
        <v>734.65</v>
      </c>
      <c r="O14" s="32" t="n">
        <v>2.25</v>
      </c>
      <c r="P14" s="32" t="n">
        <v>787513</v>
      </c>
      <c r="Q14" s="31" t="n">
        <v>62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73.48999999999999</v>
      </c>
      <c r="U14" s="32" t="n">
        <v>19.29</v>
      </c>
      <c r="V14" s="32" t="n">
        <v>553.91</v>
      </c>
      <c r="W14" s="31" t="inlineStr">
        <is>
          <t>Near 52W High Breakout</t>
        </is>
      </c>
      <c r="X14" s="31" t="inlineStr">
        <is>
          <t>Nifty Auto</t>
        </is>
      </c>
      <c r="Y14" s="32" t="n">
        <v>10.56</v>
      </c>
      <c r="Z14" s="32" t="n">
        <v>38.44</v>
      </c>
      <c r="AA14" s="32" t="n">
        <v>25.22</v>
      </c>
      <c r="AB14" s="32" t="n">
        <v>19.71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0 to 20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Less than 50%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IF(B15=0,"",RANK(B15,$B$2:$B$17,0))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124.5</v>
      </c>
      <c r="E15" s="32" t="inlineStr">
        <is>
          <t>5%</t>
        </is>
      </c>
      <c r="F15" s="32" t="n">
        <v>50000</v>
      </c>
      <c r="G15" s="32" t="n">
        <v>45</v>
      </c>
      <c r="H15" s="31" t="inlineStr">
        <is>
          <t>ZYDUSLIFE</t>
        </is>
      </c>
      <c r="I15" s="31" t="inlineStr">
        <is>
          <t>Zydus Lifesciences Ltd</t>
        </is>
      </c>
      <c r="J15" s="31" t="inlineStr">
        <is>
          <t>healthcare</t>
        </is>
      </c>
      <c r="K15" s="31" t="inlineStr">
        <is>
          <t>pharmaceuticals - indian - bulk drugs &amp; formln</t>
        </is>
      </c>
      <c r="L15" s="31" t="inlineStr">
        <is>
          <t>largecap</t>
        </is>
      </c>
      <c r="M15" s="32" t="n">
        <v>110514.68</v>
      </c>
      <c r="N15" s="32" t="n">
        <v>1105.9</v>
      </c>
      <c r="O15" s="32" t="n">
        <v>0.6899999999999999</v>
      </c>
      <c r="P15" s="32" t="n">
        <v>728343</v>
      </c>
      <c r="Q15" s="31" t="n">
        <v>18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72.15000000000001</v>
      </c>
      <c r="U15" s="32" t="n">
        <v>20.23</v>
      </c>
      <c r="V15" s="32" t="n">
        <v>940.8099999999999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10.56</v>
      </c>
      <c r="Z15" s="32" t="n">
        <v>14.73</v>
      </c>
      <c r="AA15" s="32" t="n">
        <v>3.77</v>
      </c>
      <c r="AB15" s="32" t="n">
        <v>7.79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Less than 50%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IF(B16=0,"",RANK(B16,$B$2:$B$17,0))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134.6</v>
      </c>
      <c r="E16" s="32" t="inlineStr">
        <is>
          <t>5%</t>
        </is>
      </c>
      <c r="F16" s="32" t="n">
        <v>50000</v>
      </c>
      <c r="G16" s="32" t="n">
        <v>19</v>
      </c>
      <c r="H16" s="31" t="inlineStr">
        <is>
          <t>YASHO</t>
        </is>
      </c>
      <c r="I16" s="31" t="inlineStr">
        <is>
          <t>Yasho Industries Ltd</t>
        </is>
      </c>
      <c r="J16" s="31" t="inlineStr">
        <is>
          <t>chemicals</t>
        </is>
      </c>
      <c r="K16" s="31" t="inlineStr">
        <is>
          <t>chemicals</t>
        </is>
      </c>
      <c r="L16" s="31" t="inlineStr">
        <is>
          <t>smallcap</t>
        </is>
      </c>
      <c r="M16" s="32" t="n">
        <v>2984.25</v>
      </c>
      <c r="N16" s="32" t="n">
        <v>2553.2</v>
      </c>
      <c r="O16" s="32" t="n">
        <v>3.16</v>
      </c>
      <c r="P16" s="32" t="n">
        <v>23524</v>
      </c>
      <c r="Q16" s="31" t="n">
        <v>83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80.12</v>
      </c>
      <c r="U16" s="32" t="n">
        <v>21.91</v>
      </c>
      <c r="V16" s="32" t="n">
        <v>1907.81</v>
      </c>
      <c r="W16" s="31" t="inlineStr">
        <is>
          <t>Near 52W High Breakout</t>
        </is>
      </c>
      <c r="X16" s="31" t="inlineStr">
        <is>
          <t>Nifty IT</t>
        </is>
      </c>
      <c r="Y16" s="32" t="n">
        <v>-27.68</v>
      </c>
      <c r="Z16" s="32" t="n">
        <v>29.29</v>
      </c>
      <c r="AA16" s="32" t="n">
        <v>78.77</v>
      </c>
      <c r="AB16" s="32" t="n">
        <v>30.59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IF(B17=0,"",RANK(B17,$B$2:$B$17,0))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123.9</v>
      </c>
      <c r="E17" s="32" t="inlineStr">
        <is>
          <t>5%</t>
        </is>
      </c>
      <c r="F17" s="32" t="n">
        <v>50000</v>
      </c>
      <c r="G17" s="32" t="n">
        <v>24</v>
      </c>
      <c r="H17" s="31" t="inlineStr">
        <is>
          <t>NEOGEN</t>
        </is>
      </c>
      <c r="I17" s="31" t="inlineStr">
        <is>
          <t>Neogen Chemicals Ltd</t>
        </is>
      </c>
      <c r="J17" s="31" t="inlineStr">
        <is>
          <t>chemicals</t>
        </is>
      </c>
      <c r="K17" s="31" t="inlineStr">
        <is>
          <t>chemicals</t>
        </is>
      </c>
      <c r="L17" s="31" t="inlineStr">
        <is>
          <t>midcap</t>
        </is>
      </c>
      <c r="M17" s="32" t="n">
        <v>5463.47</v>
      </c>
      <c r="N17" s="32" t="n">
        <v>2028.7</v>
      </c>
      <c r="O17" s="32" t="n">
        <v>1.67</v>
      </c>
      <c r="P17" s="32" t="n">
        <v>173367</v>
      </c>
      <c r="Q17" s="31" t="n">
        <v>56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71.41</v>
      </c>
      <c r="U17" s="32" t="n">
        <v>32.97</v>
      </c>
      <c r="V17" s="32" t="n">
        <v>1511.77</v>
      </c>
      <c r="W17" s="31" t="inlineStr">
        <is>
          <t>Near 52W High Breakout</t>
        </is>
      </c>
      <c r="X17" s="31" t="inlineStr">
        <is>
          <t>Nifty 50</t>
        </is>
      </c>
      <c r="Y17" s="32" t="n">
        <v>-6.3</v>
      </c>
      <c r="Z17" s="32" t="n">
        <v>22.3</v>
      </c>
      <c r="AA17" s="32" t="n">
        <v>30.52</v>
      </c>
      <c r="AB17" s="32" t="n">
        <v>17.85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Negative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</sheetData>
  <autoFilter ref="A1:CJ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7">
    <cfRule type="cellIs" priority="36" operator="equal" dxfId="3" stopIfTrue="1">
      <formula>"Underperforming"</formula>
    </cfRule>
  </conditionalFormatting>
  <conditionalFormatting sqref="S2:S17">
    <cfRule type="cellIs" priority="37" operator="equal" dxfId="3" stopIfTrue="1">
      <formula>-5</formula>
    </cfRule>
  </conditionalFormatting>
  <conditionalFormatting sqref="V2:V17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7" showDropDown="0" showInputMessage="0" showErrorMessage="0" allowBlank="1" type="list">
      <formula1>"Growing Industry,Stagnant Industry,Cyclical in an Upturn"</formula1>
    </dataValidation>
    <dataValidation sqref="AE2:AE1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7" showDropDown="0" showInputMessage="0" showErrorMessage="0" allowBlank="1" type="list">
      <formula1>"Yes,No"</formula1>
    </dataValidation>
    <dataValidation sqref="AI2:AI17" showDropDown="0" showInputMessage="0" showErrorMessage="0" allowBlank="1" type="list">
      <formula1>"Tailwind,Headwind"</formula1>
    </dataValidation>
    <dataValidation sqref="AK2:AK17" showDropDown="0" showInputMessage="0" showErrorMessage="0" allowBlank="1" type="list">
      <formula1>"Structural (10 Years Consistency),Shallow Cyclical (2 to 3 Years Growth),Cyclical"</formula1>
    </dataValidation>
    <dataValidation sqref="AM2:AM17" showDropDown="0" showInputMessage="0" showErrorMessage="0" allowBlank="1" type="list">
      <formula1>"Yes due to Product Mix change or Operating Leverage,Yes, these are peak margins,No"</formula1>
    </dataValidation>
    <dataValidation sqref="AO2:AO17" showDropDown="0" showInputMessage="0" showErrorMessage="0" allowBlank="1" type="list">
      <formula1>"Stable,Volatile"</formula1>
    </dataValidation>
    <dataValidation sqref="AQ2:AQ17" showDropDown="0" showInputMessage="0" showErrorMessage="0" allowBlank="1" type="list">
      <formula1>"Yes,No"</formula1>
    </dataValidation>
    <dataValidation sqref="AS2:AS17" showDropDown="0" showInputMessage="0" showErrorMessage="0" allowBlank="1" type="list">
      <formula1>"B2C,B2B,B2G"</formula1>
    </dataValidation>
    <dataValidation sqref="AU2:AU17" showDropDown="0" showInputMessage="0" showErrorMessage="0" allowBlank="1" type="list">
      <formula1>"Yes,No"</formula1>
    </dataValidation>
    <dataValidation sqref="AW2:AW17" showDropDown="0" showInputMessage="0" showErrorMessage="0" allowBlank="1" type="list">
      <formula1>"Fully Annuity,Higher Annuity, Lower One time,Higher One Time, Lower Annuity,Fully One Time"</formula1>
    </dataValidation>
    <dataValidation sqref="AY2:AY17" showDropDown="0" showInputMessage="0" showErrorMessage="0" allowBlank="1" type="list">
      <formula1>"Good,Allocated capital in Non-core Areas"</formula1>
    </dataValidation>
    <dataValidation sqref="BA2:BA17" showDropDown="0" showInputMessage="0" showErrorMessage="0" allowBlank="1" type="list">
      <formula1>"Yes for more than 2 years,Yes only for next 1 to 2 years,No"</formula1>
    </dataValidation>
    <dataValidation sqref="BC2:BC17" showDropDown="0" showInputMessage="0" showErrorMessage="0" allowBlank="1" type="list">
      <formula1>"Above 40,20 to 40,0 to 20"</formula1>
    </dataValidation>
    <dataValidation sqref="BE2:BE17" showDropDown="0" showInputMessage="0" showErrorMessage="0" allowBlank="1" type="list">
      <formula1>"Between 50 to 75,Above 75,Below 45"</formula1>
    </dataValidation>
    <dataValidation sqref="BG2:BG17" showDropDown="0" showInputMessage="0" showErrorMessage="0" allowBlank="1" type="list">
      <formula1>"Stage 1,Stage 2,Stage 3,Stage 4"</formula1>
    </dataValidation>
    <dataValidation sqref="BI2:BI17" showDropDown="0" showInputMessage="0" showErrorMessage="0" allowBlank="1" type="list">
      <formula1>"Positive Trend,Negative Trend"</formula1>
    </dataValidation>
    <dataValidation sqref="BK2:BK17" showDropDown="0" showInputMessage="0" showErrorMessage="0" allowBlank="1" type="list">
      <formula1>"Uptrend,Sideways,Downtrend"</formula1>
    </dataValidation>
    <dataValidation sqref="BM2:BM17" showDropDown="0" showInputMessage="0" showErrorMessage="0" allowBlank="1" type="list">
      <formula1>"Uptrend,Sideways,Downtrend"</formula1>
    </dataValidation>
    <dataValidation sqref="BO2:BO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7" showDropDown="0" showInputMessage="0" showErrorMessage="0" allowBlank="1" type="list">
      <formula1>"Yes,No"</formula1>
    </dataValidation>
    <dataValidation sqref="BS2:BS17" showDropDown="0" showInputMessage="0" showErrorMessage="0" allowBlank="1" type="list">
      <formula1>"More than 20%,Between 12 to 20%,Less than 12%"</formula1>
    </dataValidation>
    <dataValidation sqref="BU2:BU17" showDropDown="0" showInputMessage="0" showErrorMessage="0" allowBlank="1" type="list">
      <formula1>"Yes,No"</formula1>
    </dataValidation>
    <dataValidation sqref="BW2:BW17" showDropDown="0" showInputMessage="0" showErrorMessage="0" allowBlank="1" type="list">
      <formula1>"Yes,No"</formula1>
    </dataValidation>
    <dataValidation sqref="BY2:BY17" showDropDown="0" showInputMessage="0" showErrorMessage="0" allowBlank="1" type="list">
      <formula1>"Above 2,Between 1.5 to 2,Less than 1.5"</formula1>
    </dataValidation>
    <dataValidation sqref="CA2:CA17" showDropDown="0" showInputMessage="0" showErrorMessage="0" allowBlank="1" type="list">
      <formula1>"Above 70%,Between 50% to 70%,Less than 50%,Less than 50% and Borrowings are increasing,Negative"</formula1>
    </dataValidation>
    <dataValidation sqref="CC2:CC17" showDropDown="0" showInputMessage="0" showErrorMessage="0" allowBlank="1" type="list">
      <formula1>"More than 1.2,Between 0.7 to 1.2,Less than 0.7"</formula1>
    </dataValidation>
    <dataValidation sqref="CE2:CE17" showDropDown="0" showInputMessage="0" showErrorMessage="0" allowBlank="1" type="list">
      <formula1>"Yes,No"</formula1>
    </dataValidation>
    <dataValidation sqref="CG2:CG17" showDropDown="0" showInputMessage="0" showErrorMessage="0" allowBlank="1" type="list">
      <formula1>"More than 15%,Less than 15%"</formula1>
    </dataValidation>
    <dataValidation sqref="CI2:CI1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IF(B2=0,"",RANK(B2,$B$2:$B$7,0))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ATH Momentum</t>
        </is>
      </c>
      <c r="D2" s="32" t="n">
        <v>72.59999999999999</v>
      </c>
      <c r="E2" s="32" t="inlineStr">
        <is>
          <t>4%</t>
        </is>
      </c>
      <c r="F2" s="32" t="n">
        <v>40000</v>
      </c>
      <c r="G2" s="32" t="n">
        <v>481</v>
      </c>
      <c r="H2" s="31" t="inlineStr">
        <is>
          <t>MAHABANK</t>
        </is>
      </c>
      <c r="I2" s="31" t="inlineStr">
        <is>
          <t>Bank Of Maharashtra Ltd</t>
        </is>
      </c>
      <c r="J2" s="31" t="inlineStr">
        <is>
          <t>bank</t>
        </is>
      </c>
      <c r="K2" s="31" t="inlineStr">
        <is>
          <t>banks - public sector</t>
        </is>
      </c>
      <c r="L2" s="31" t="inlineStr">
        <is>
          <t>largecap</t>
        </is>
      </c>
      <c r="M2" s="32" t="n">
        <v>64747.51</v>
      </c>
      <c r="N2" s="32" t="n">
        <v>83.08</v>
      </c>
      <c r="O2" s="32" t="n">
        <v>-1.31</v>
      </c>
      <c r="P2" s="32" t="n">
        <v>13551944</v>
      </c>
      <c r="Q2" s="31" t="n">
        <v>52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68.23</v>
      </c>
      <c r="U2" s="32" t="n">
        <v>41.05</v>
      </c>
      <c r="V2" s="32" t="n">
        <v>67.01000000000001</v>
      </c>
      <c r="W2" s="31" t="inlineStr">
        <is>
          <t>Near 52W High Breakout</t>
        </is>
      </c>
      <c r="X2" s="31" t="inlineStr">
        <is>
          <t>Nifty Bank</t>
        </is>
      </c>
      <c r="Y2" s="32" t="n">
        <v>-0.63</v>
      </c>
      <c r="Z2" s="32" t="n">
        <v>57.41</v>
      </c>
      <c r="AA2" s="32" t="n">
        <v>58.41</v>
      </c>
      <c r="AB2" s="32" t="n">
        <v>16.43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IF(B3=0,"",RANK(B3,$B$2:$B$7,0))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ATH Momentum</t>
        </is>
      </c>
      <c r="D3" s="32" t="n">
        <v>73</v>
      </c>
      <c r="E3" s="32" t="inlineStr">
        <is>
          <t>4%</t>
        </is>
      </c>
      <c r="F3" s="32" t="n">
        <v>40000</v>
      </c>
      <c r="G3" s="32" t="n">
        <v>111</v>
      </c>
      <c r="H3" s="31" t="inlineStr">
        <is>
          <t>RBLBANK</t>
        </is>
      </c>
      <c r="I3" s="31" t="inlineStr">
        <is>
          <t>Rbl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22063.49</v>
      </c>
      <c r="N3" s="32" t="n">
        <v>359.1</v>
      </c>
      <c r="O3" s="32" t="n">
        <v>0.6</v>
      </c>
      <c r="P3" s="32" t="n">
        <v>6472883</v>
      </c>
      <c r="Q3" s="31" t="n">
        <v>48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67.56999999999999</v>
      </c>
      <c r="U3" s="32" t="n">
        <v>28.66</v>
      </c>
      <c r="V3" s="32" t="n">
        <v>296.97</v>
      </c>
      <c r="W3" s="31" t="inlineStr">
        <is>
          <t>Near 52W High Breakout</t>
        </is>
      </c>
      <c r="X3" s="31" t="inlineStr">
        <is>
          <t>Nifty Bank</t>
        </is>
      </c>
      <c r="Y3" s="32" t="n">
        <v>-0.63</v>
      </c>
      <c r="Z3" s="32" t="n">
        <v>63.65</v>
      </c>
      <c r="AA3" s="32" t="n">
        <v>64.69</v>
      </c>
      <c r="AB3" s="32" t="n">
        <v>15.3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IF(B4=0,"",RANK(B4,$B$2:$B$7,0))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ATH Momentum</t>
        </is>
      </c>
      <c r="D4" s="32" t="n">
        <v>71.90000000000001</v>
      </c>
      <c r="E4" s="32" t="inlineStr">
        <is>
          <t>4%</t>
        </is>
      </c>
      <c r="F4" s="32" t="n">
        <v>40000</v>
      </c>
      <c r="G4" s="32" t="n">
        <v>52</v>
      </c>
      <c r="H4" s="31" t="inlineStr">
        <is>
          <t>TMB</t>
        </is>
      </c>
      <c r="I4" s="31" t="inlineStr">
        <is>
          <t>Tamilnad Mercantile Bank Ltd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12265.9</v>
      </c>
      <c r="N4" s="32" t="n">
        <v>767.4</v>
      </c>
      <c r="O4" s="32" t="n">
        <v>-0.93</v>
      </c>
      <c r="P4" s="32" t="n">
        <v>159786</v>
      </c>
      <c r="Q4" s="31" t="n">
        <v>56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68.06</v>
      </c>
      <c r="U4" s="32" t="n">
        <v>29.41</v>
      </c>
      <c r="V4" s="32" t="n">
        <v>607.53</v>
      </c>
      <c r="W4" s="31" t="inlineStr">
        <is>
          <t>Near 52W High Breakout</t>
        </is>
      </c>
      <c r="X4" s="31" t="inlineStr">
        <is>
          <t>Nifty Bank</t>
        </is>
      </c>
      <c r="Y4" s="32" t="n">
        <v>-0.63</v>
      </c>
      <c r="Z4" s="32" t="n">
        <v>73.75</v>
      </c>
      <c r="AA4" s="32" t="n">
        <v>74.84999999999999</v>
      </c>
      <c r="AB4" s="32" t="n">
        <v>17.84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IF(B5=0,"",RANK(B5,$B$2:$B$7,0))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ATH Momentum</t>
        </is>
      </c>
      <c r="D5" s="32" t="n">
        <v>71.59999999999999</v>
      </c>
      <c r="E5" s="32" t="inlineStr">
        <is>
          <t>4%</t>
        </is>
      </c>
      <c r="F5" s="32" t="n">
        <v>40000</v>
      </c>
      <c r="G5" s="32" t="n">
        <v>261</v>
      </c>
      <c r="H5" s="31" t="inlineStr">
        <is>
          <t>J&amp;KBANK</t>
        </is>
      </c>
      <c r="I5" s="31" t="inlineStr">
        <is>
          <t>The Jammu &amp; Kashmir Bank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midcap</t>
        </is>
      </c>
      <c r="M5" s="32" t="n">
        <v>16992.35</v>
      </c>
      <c r="N5" s="32" t="n">
        <v>153.07</v>
      </c>
      <c r="O5" s="32" t="n">
        <v>-0.8</v>
      </c>
      <c r="P5" s="32" t="n">
        <v>2502629</v>
      </c>
      <c r="Q5" s="31" t="n">
        <v>43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71.86</v>
      </c>
      <c r="U5" s="32" t="n">
        <v>49.53</v>
      </c>
      <c r="V5" s="32" t="n">
        <v>121.6</v>
      </c>
      <c r="W5" s="31" t="inlineStr">
        <is>
          <t>Near 52W High Breakout</t>
        </is>
      </c>
      <c r="X5" s="31" t="inlineStr">
        <is>
          <t>Nifty Bank</t>
        </is>
      </c>
      <c r="Y5" s="32" t="n">
        <v>-0.63</v>
      </c>
      <c r="Z5" s="32" t="n">
        <v>49.08</v>
      </c>
      <c r="AA5" s="32" t="n">
        <v>50.03</v>
      </c>
      <c r="AB5" s="32" t="n">
        <v>14.22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Above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IF(B6=0,"",RANK(B6,$B$2:$B$7,0))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ATH Momentum</t>
        </is>
      </c>
      <c r="D6" s="32" t="n">
        <v>72.8</v>
      </c>
      <c r="E6" s="32" t="inlineStr">
        <is>
          <t>4%</t>
        </is>
      </c>
      <c r="F6" s="32" t="n">
        <v>40000</v>
      </c>
      <c r="G6" s="32" t="n">
        <v>129</v>
      </c>
      <c r="H6" s="31" t="inlineStr">
        <is>
          <t>FEDERALBNK</t>
        </is>
      </c>
      <c r="I6" s="31" t="inlineStr">
        <is>
          <t>The Federal Bank  Limited</t>
        </is>
      </c>
      <c r="J6" s="31" t="inlineStr">
        <is>
          <t>bank</t>
        </is>
      </c>
      <c r="K6" s="31" t="inlineStr">
        <is>
          <t>banks - private sector</t>
        </is>
      </c>
      <c r="L6" s="31" t="inlineStr">
        <is>
          <t>largecap</t>
        </is>
      </c>
      <c r="M6" s="32" t="n">
        <v>76663.82000000001</v>
      </c>
      <c r="N6" s="32" t="n">
        <v>309.75</v>
      </c>
      <c r="O6" s="32" t="n">
        <v>-0.43</v>
      </c>
      <c r="P6" s="32" t="n">
        <v>7619065</v>
      </c>
      <c r="Q6" s="31" t="n">
        <v>37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66.03</v>
      </c>
      <c r="U6" s="32" t="n">
        <v>17.71</v>
      </c>
      <c r="V6" s="32" t="n">
        <v>262.9</v>
      </c>
      <c r="W6" s="31" t="inlineStr">
        <is>
          <t>Near 52W High Breakout</t>
        </is>
      </c>
      <c r="X6" s="31" t="inlineStr">
        <is>
          <t>Nifty Bank</t>
        </is>
      </c>
      <c r="Y6" s="32" t="n">
        <v>-0.63</v>
      </c>
      <c r="Z6" s="32" t="n">
        <v>51.79</v>
      </c>
      <c r="AA6" s="32" t="n">
        <v>52.75</v>
      </c>
      <c r="AB6" s="32" t="n">
        <v>13.17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more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0 to 20</t>
        </is>
      </c>
      <c r="BR6" s="31">
        <f>IF(BQ6="Above 40",20,IF(BQ6="20 to 40",10,IF(BQ6="0 to 20",-5,0)))</f>
        <v/>
      </c>
      <c r="BS6" s="31" t="inlineStr">
        <is>
          <t>Between 50 to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  <row r="7">
      <c r="A7" s="31">
        <f>IF(B7=0,"",RANK(B7,$B$2:$B$7,0))</f>
        <v/>
      </c>
      <c r="B7" s="32">
        <f>SUM(S7,AD7,AF7,AH7,AJ7,AL7,AN7,AP7,AR7,AT7,AV7,AX7,AZ7,BB7,BD7,BF7,BH7,BJ7,BL7,BN7,BP7,BR7,BT7,BV7,BX7,BZ7,CB7,CD7,CF7)</f>
        <v/>
      </c>
      <c r="C7" s="31" t="inlineStr">
        <is>
          <t>ATH Momentum</t>
        </is>
      </c>
      <c r="D7" s="32" t="n">
        <v>71.8</v>
      </c>
      <c r="E7" s="32" t="inlineStr">
        <is>
          <t>4%</t>
        </is>
      </c>
      <c r="F7" s="32" t="n">
        <v>40000</v>
      </c>
      <c r="G7" s="32" t="n">
        <v>882</v>
      </c>
      <c r="H7" s="31" t="inlineStr">
        <is>
          <t>SOUTHBANK</t>
        </is>
      </c>
      <c r="I7" s="31" t="inlineStr">
        <is>
          <t>The South Indian Bank Limited</t>
        </is>
      </c>
      <c r="J7" s="31" t="inlineStr">
        <is>
          <t>bank</t>
        </is>
      </c>
      <c r="K7" s="31" t="inlineStr">
        <is>
          <t>banks - private sector</t>
        </is>
      </c>
      <c r="L7" s="31" t="inlineStr">
        <is>
          <t>midcap</t>
        </is>
      </c>
      <c r="M7" s="32" t="n">
        <v>11813.08</v>
      </c>
      <c r="N7" s="32" t="n">
        <v>45.32</v>
      </c>
      <c r="O7" s="32" t="n">
        <v>0.42</v>
      </c>
      <c r="P7" s="32" t="n">
        <v>13705352</v>
      </c>
      <c r="Q7" s="31" t="n">
        <v>41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65.73999999999999</v>
      </c>
      <c r="U7" s="32" t="n">
        <v>13.45</v>
      </c>
      <c r="V7" s="32" t="n">
        <v>35.76</v>
      </c>
      <c r="W7" s="31" t="inlineStr">
        <is>
          <t>Near 52W High Breakout</t>
        </is>
      </c>
      <c r="X7" s="31" t="inlineStr">
        <is>
          <t>Nifty Bank</t>
        </is>
      </c>
      <c r="Y7" s="32" t="n">
        <v>-0.63</v>
      </c>
      <c r="Z7" s="32" t="n">
        <v>52.31</v>
      </c>
      <c r="AA7" s="32" t="n">
        <v>53.27</v>
      </c>
      <c r="AB7" s="32" t="n">
        <v>13.79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Fragmented with High ROE</t>
        </is>
      </c>
      <c r="AF7" s="31">
        <f>IF(AE7="Fragmented with Low ROE",-5,IF(AE7="Fragmented with High ROE",10,IF(AE7= "highly cyclical",5,0)))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Consistency)",15,IF(AK7="Shallow Cyclical (2 to 3 years growth)",10,IF(AK7 = "Cyclical in an Uptick",5,IF(AK7 = "Cyclical in an Downtick",-10,0))))</f>
        <v/>
      </c>
      <c r="AM7" s="31" t="inlineStr">
        <is>
          <t>Yes</t>
        </is>
      </c>
      <c r="AN7" s="31">
        <f>IF(AM7="Yes",10,0)</f>
        <v/>
      </c>
      <c r="AO7" s="31" t="inlineStr">
        <is>
          <t>Yes</t>
        </is>
      </c>
      <c r="AP7" s="31">
        <f>IF(AO7="Yes",10,0)</f>
        <v/>
      </c>
      <c r="AQ7" s="31" t="n"/>
      <c r="AR7" s="31">
        <f>IF(AQ7="No",10,0)</f>
        <v/>
      </c>
      <c r="AS7" s="31" t="inlineStr">
        <is>
          <t>Yes</t>
        </is>
      </c>
      <c r="AT7" s="31">
        <f>IF(AS7="Yes",10,0)</f>
        <v/>
      </c>
      <c r="AU7" s="31" t="inlineStr">
        <is>
          <t>Yes</t>
        </is>
      </c>
      <c r="AV7" s="31">
        <f>IF(AU7="Yes",10,0)</f>
        <v/>
      </c>
      <c r="AW7" s="31" t="inlineStr">
        <is>
          <t>Yes</t>
        </is>
      </c>
      <c r="AX7" s="31">
        <f>IF(AW7="Yes",5,0)</f>
        <v/>
      </c>
      <c r="AY7" s="31" t="inlineStr">
        <is>
          <t>No</t>
        </is>
      </c>
      <c r="AZ7" s="31">
        <f>IF(AY7="No",10,IF(AY7="Yes",-10,0))</f>
        <v/>
      </c>
      <c r="BA7" s="31" t="inlineStr">
        <is>
          <t>No</t>
        </is>
      </c>
      <c r="BB7" s="31">
        <f>IF(BA7="No",10,0)</f>
        <v/>
      </c>
      <c r="BC7" s="31" t="inlineStr">
        <is>
          <t>No</t>
        </is>
      </c>
      <c r="BD7" s="31">
        <f>IF(BC7="No",10,IF(BC7= "Yes CEO Resignation",-5,0))</f>
        <v/>
      </c>
      <c r="BE7" s="31" t="inlineStr">
        <is>
          <t>No</t>
        </is>
      </c>
      <c r="BF7" s="31">
        <f>IF(BE7="No",10,IF(BE7="Yes",-5,0))</f>
        <v/>
      </c>
      <c r="BG7" s="31" t="inlineStr">
        <is>
          <t>No</t>
        </is>
      </c>
      <c r="BH7" s="31">
        <f>IF(BG7="No",5,IF(BG7="Yes",-5,0))</f>
        <v/>
      </c>
      <c r="BI7" s="31" t="inlineStr">
        <is>
          <t>Yes</t>
        </is>
      </c>
      <c r="BJ7" s="31">
        <f>IF(BI7="Yes",10,0)</f>
        <v/>
      </c>
      <c r="BK7" s="31" t="inlineStr">
        <is>
          <t>Yes</t>
        </is>
      </c>
      <c r="BL7" s="31">
        <f>IF(BK7="Yes",10,0)</f>
        <v/>
      </c>
      <c r="BM7" s="31" t="inlineStr">
        <is>
          <t>Yes</t>
        </is>
      </c>
      <c r="BN7" s="31">
        <f>IF(BM7="Yes",10,0)</f>
        <v/>
      </c>
      <c r="BO7" s="31" t="inlineStr">
        <is>
          <t>P/BV less than 2.5x and Growth less than 20%</t>
        </is>
      </c>
      <c r="BP7" s="31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1" t="inlineStr">
        <is>
          <t>0 to 20</t>
        </is>
      </c>
      <c r="BR7" s="31">
        <f>IF(BQ7="Above 40",20,IF(BQ7="20 to 40",10,IF(BQ7="0 to 20",-5,0)))</f>
        <v/>
      </c>
      <c r="BS7" s="31" t="inlineStr">
        <is>
          <t>Between 50 to 75</t>
        </is>
      </c>
      <c r="BT7" s="31">
        <f>IF(BS7="Between 50 to 75",10,IF(BS7="Above 75",0,0))</f>
        <v/>
      </c>
      <c r="BU7" s="31" t="inlineStr">
        <is>
          <t>Stage 2</t>
        </is>
      </c>
      <c r="BV7" s="31">
        <f>IF(BU7="Stage 2",20,IF(BU7="Stage 1",0,IF(BU7="Stage 3",5,IF(BU7="Stage 4",-5,0))))</f>
        <v/>
      </c>
      <c r="BW7" s="31" t="inlineStr">
        <is>
          <t>Positive Trend</t>
        </is>
      </c>
      <c r="BX7" s="31">
        <f>IF(BW7="Positive Trend",20,IF(BW7="Negative Trend",-10,0))</f>
        <v/>
      </c>
      <c r="BY7" s="31" t="inlineStr">
        <is>
          <t>Uptrend</t>
        </is>
      </c>
      <c r="BZ7" s="31">
        <f>IF(BY7="Uptrend",10,IF(BY7="Sideways",5,0))</f>
        <v/>
      </c>
      <c r="CA7" s="31" t="inlineStr">
        <is>
          <t>Uptrend</t>
        </is>
      </c>
      <c r="CB7" s="31">
        <f>IF(CA7="Uptrend",10,IF(CA7="Sideways",5,0))</f>
        <v/>
      </c>
      <c r="CC7" s="31" t="inlineStr">
        <is>
          <t>Blue sky scenario</t>
        </is>
      </c>
      <c r="CD7" s="31">
        <f>IF(CC7="Overhead supply in last 2 years in last 2 years",-5,IF(CC7="Close to 52 week high or retracement",5,IF(CC7="Blue sky scenario",10,IF(CC7="Long term Downtrend",-10,0))))</f>
        <v/>
      </c>
      <c r="CE7" s="31" t="inlineStr">
        <is>
          <t>Yes</t>
        </is>
      </c>
      <c r="CF7" s="31">
        <f>IF(CE7="Yes",10,0)</f>
        <v/>
      </c>
    </row>
  </sheetData>
  <autoFilter ref="A1:CF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7">
    <cfRule type="cellIs" priority="34" operator="equal" dxfId="3" stopIfTrue="1">
      <formula>"Underperforming"</formula>
    </cfRule>
  </conditionalFormatting>
  <conditionalFormatting sqref="S2:S7">
    <cfRule type="cellIs" priority="35" operator="equal" dxfId="3" stopIfTrue="1">
      <formula>-5</formula>
    </cfRule>
  </conditionalFormatting>
  <conditionalFormatting sqref="V2:V7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7" showDropDown="0" showInputMessage="0" showErrorMessage="0" allowBlank="1" type="list">
      <formula1>"Growing Industry,Stagnant Industry,Cyclical in an Upturn"</formula1>
    </dataValidation>
    <dataValidation sqref="AE2:AE7" showDropDown="0" showInputMessage="0" showErrorMessage="0" allowBlank="1" type="list">
      <formula1>"Fragmented with Low ROE,Fragmented with High ROE,Highly Cyclical"</formula1>
    </dataValidation>
    <dataValidation sqref="AG2:AG7" showDropDown="0" showInputMessage="0" showErrorMessage="0" allowBlank="1" type="list">
      <formula1>"Yes,No"</formula1>
    </dataValidation>
    <dataValidation sqref="AI2:AI7" showDropDown="0" showInputMessage="0" showErrorMessage="0" allowBlank="1" type="list">
      <formula1>"Tailwind,Headwind"</formula1>
    </dataValidation>
    <dataValidation sqref="AK2:AK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7" showDropDown="0" showInputMessage="0" showErrorMessage="0" allowBlank="1" type="list">
      <formula1>"Yes,No"</formula1>
    </dataValidation>
    <dataValidation sqref="AO2:AO7" showDropDown="0" showInputMessage="0" showErrorMessage="0" allowBlank="1" type="list">
      <formula1>"Yes,No,Not Applicable"</formula1>
    </dataValidation>
    <dataValidation sqref="AQ2:AQ7" showDropDown="0" showInputMessage="0" showErrorMessage="0" allowBlank="1" type="list">
      <formula1>"Yes,No"</formula1>
    </dataValidation>
    <dataValidation sqref="AS2:AS7" showDropDown="0" showInputMessage="0" showErrorMessage="0" allowBlank="1" type="list">
      <formula1>"Yes,No"</formula1>
    </dataValidation>
    <dataValidation sqref="AU2:AU7" showDropDown="0" showInputMessage="0" showErrorMessage="0" allowBlank="1" type="list">
      <formula1>"Yes,No"</formula1>
    </dataValidation>
    <dataValidation sqref="AW2:AW7" showDropDown="0" showInputMessage="0" showErrorMessage="0" allowBlank="1" type="list">
      <formula1>"Yes,No"</formula1>
    </dataValidation>
    <dataValidation sqref="AY2:AY7" showDropDown="0" showInputMessage="0" showErrorMessage="0" allowBlank="1" type="list">
      <formula1>"No,Yes"</formula1>
    </dataValidation>
    <dataValidation sqref="BA2:BA7" showDropDown="0" showInputMessage="0" showErrorMessage="0" allowBlank="1" type="list">
      <formula1>"No,Yes"</formula1>
    </dataValidation>
    <dataValidation sqref="BC2:BC7" showDropDown="0" showInputMessage="0" showErrorMessage="0" allowBlank="1" type="list">
      <formula1>"No,Yes CEO Resignation,Yes CEO Retirement"</formula1>
    </dataValidation>
    <dataValidation sqref="BE2:BE7" showDropDown="0" showInputMessage="0" showErrorMessage="0" allowBlank="1" type="list">
      <formula1>"No,Yes"</formula1>
    </dataValidation>
    <dataValidation sqref="BG2:BG7" showDropDown="0" showInputMessage="0" showErrorMessage="0" allowBlank="1" type="list">
      <formula1>"No,Yes"</formula1>
    </dataValidation>
    <dataValidation sqref="BI2:BI7" showDropDown="0" showInputMessage="0" showErrorMessage="0" allowBlank="1" type="list">
      <formula1>"Yes,No"</formula1>
    </dataValidation>
    <dataValidation sqref="BK2:BK7" showDropDown="0" showInputMessage="0" showErrorMessage="0" allowBlank="1" type="list">
      <formula1>"Yes,No"</formula1>
    </dataValidation>
    <dataValidation sqref="BM2:BM7" showDropDown="0" showInputMessage="0" showErrorMessage="0" allowBlank="1" type="list">
      <formula1>"Yes,No"</formula1>
    </dataValidation>
    <dataValidation sqref="BO2:BO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7" showDropDown="0" showInputMessage="0" showErrorMessage="0" allowBlank="1" type="list">
      <formula1>"Above 40,20 to 40,0 to 20"</formula1>
    </dataValidation>
    <dataValidation sqref="BS2:BS7" showDropDown="0" showInputMessage="0" showErrorMessage="0" allowBlank="1" type="list">
      <formula1>"Between 50 to 75,Above 75,Below 45"</formula1>
    </dataValidation>
    <dataValidation sqref="BU2:BU7" showDropDown="0" showInputMessage="0" showErrorMessage="0" allowBlank="1" type="list">
      <formula1>"Stage 1,Stage 2,Stage 3,Stage 4"</formula1>
    </dataValidation>
    <dataValidation sqref="BW2:BW7" showDropDown="0" showInputMessage="0" showErrorMessage="0" allowBlank="1" type="list">
      <formula1>"Positive Trend,Negative Trend"</formula1>
    </dataValidation>
    <dataValidation sqref="BY2:BY7" showDropDown="0" showInputMessage="0" showErrorMessage="0" allowBlank="1" type="list">
      <formula1>"Uptrend,Sideways,Downtrend"</formula1>
    </dataValidation>
    <dataValidation sqref="CA2:CA7" showDropDown="0" showInputMessage="0" showErrorMessage="0" allowBlank="1" type="list">
      <formula1>"Uptrend,Sideways,Downtrend"</formula1>
    </dataValidation>
    <dataValidation sqref="CC2:CC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FMCG - Personal Care</t>
        </is>
      </c>
      <c r="G2" s="31" t="inlineStr">
        <is>
          <t>midcap</t>
        </is>
      </c>
      <c r="H2" s="32" t="n">
        <v>7396.26</v>
      </c>
      <c r="I2" s="32" t="n">
        <v>566.25</v>
      </c>
      <c r="J2" s="32" t="n">
        <v>0.61</v>
      </c>
      <c r="K2" s="32" t="n">
        <v>0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75.44</v>
      </c>
      <c r="P2" s="32" t="n">
        <v>53.13</v>
      </c>
      <c r="Q2" s="32" t="n">
        <v>440.45</v>
      </c>
      <c r="R2" s="31" t="inlineStr">
        <is>
          <t>Near 52W High Breakout</t>
        </is>
      </c>
      <c r="S2" s="31" t="inlineStr">
        <is>
          <t>Nifty FMCG</t>
        </is>
      </c>
      <c r="T2" s="32" t="n">
        <v>-11.01</v>
      </c>
      <c r="U2" s="32" t="n">
        <v>219.27</v>
      </c>
      <c r="V2" s="32" t="n">
        <v>258.78</v>
      </c>
      <c r="W2" s="32" t="n">
        <v>42.04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24</t>
        </is>
      </c>
      <c r="CG2" s="31">
        <f>IF(CF2&gt;20,10,IF(CF2&gt;=10,5,2))</f>
        <v/>
      </c>
    </row>
    <row r="3">
      <c r="A3" s="31">
        <f>IF(B3=0,"",RANK(B3,$B$2:$B$95,0))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5469.77</v>
      </c>
      <c r="I3" s="32" t="n">
        <v>23.48</v>
      </c>
      <c r="J3" s="32" t="n">
        <v>-4.86</v>
      </c>
      <c r="K3" s="32" t="n">
        <v>0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72.02</v>
      </c>
      <c r="P3" s="32" t="n">
        <v>35.6</v>
      </c>
      <c r="Q3" s="32" t="n">
        <v>16.24</v>
      </c>
      <c r="R3" s="31" t="inlineStr">
        <is>
          <t>Near 52W High Breakout</t>
        </is>
      </c>
      <c r="S3" s="31" t="inlineStr">
        <is>
          <t>Nifty 50</t>
        </is>
      </c>
      <c r="T3" s="32" t="n">
        <v>-6.3</v>
      </c>
      <c r="U3" s="32" t="n">
        <v>27.26</v>
      </c>
      <c r="V3" s="32" t="n">
        <v>35.82</v>
      </c>
      <c r="W3" s="32" t="n">
        <v>47.33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ACCENTMIC</t>
        </is>
      </c>
      <c r="D4" s="31" t="inlineStr">
        <is>
          <t>Accent Microcell Ltd</t>
        </is>
      </c>
      <c r="E4" s="31" t="inlineStr">
        <is>
          <t>unknown</t>
        </is>
      </c>
      <c r="F4" s="31" t="inlineStr">
        <is>
          <t>Pharma - Formulators</t>
        </is>
      </c>
      <c r="G4" s="31" t="inlineStr">
        <is>
          <t>smallcap</t>
        </is>
      </c>
      <c r="H4" s="32" t="n">
        <v>1079.27</v>
      </c>
      <c r="I4" s="32" t="n">
        <v>449.9</v>
      </c>
      <c r="J4" s="32" t="n">
        <v>-2.4</v>
      </c>
      <c r="K4" s="32" t="n">
        <v>0</v>
      </c>
      <c r="L4" s="31" t="n">
        <v>68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67.45</v>
      </c>
      <c r="P4" s="32" t="n">
        <v>52.91</v>
      </c>
      <c r="Q4" s="32" t="n">
        <v>369.68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-6.3</v>
      </c>
      <c r="U4" s="32" t="n">
        <v>101.76</v>
      </c>
      <c r="V4" s="32" t="n">
        <v>115.32</v>
      </c>
      <c r="W4" s="32" t="n">
        <v>22.55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VENUSREM</t>
        </is>
      </c>
      <c r="D5" s="31" t="inlineStr">
        <is>
          <t>Venus Remedies Ltd</t>
        </is>
      </c>
      <c r="E5" s="31" t="inlineStr">
        <is>
          <t>healthcare</t>
        </is>
      </c>
      <c r="F5" s="31" t="inlineStr">
        <is>
          <t>Pharmaceuticals - I V Fluids</t>
        </is>
      </c>
      <c r="G5" s="31" t="inlineStr">
        <is>
          <t>smallcap</t>
        </is>
      </c>
      <c r="H5" s="32" t="n">
        <v>2292.57</v>
      </c>
      <c r="I5" s="32" t="n">
        <v>1715.1</v>
      </c>
      <c r="J5" s="32" t="n">
        <v>5</v>
      </c>
      <c r="K5" s="32" t="n">
        <v>0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81.59</v>
      </c>
      <c r="P5" s="32" t="n">
        <v>50.28</v>
      </c>
      <c r="Q5" s="32" t="n">
        <v>1307.9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10.56</v>
      </c>
      <c r="U5" s="32" t="n">
        <v>275.05</v>
      </c>
      <c r="V5" s="32" t="n">
        <v>239.22</v>
      </c>
      <c r="W5" s="32" t="n">
        <v>54.64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26</t>
        </is>
      </c>
      <c r="CG5" s="31">
        <f>IF(CF5&gt;20,10,IF(CF5&gt;=10,5,2))</f>
        <v/>
      </c>
    </row>
    <row r="6">
      <c r="A6" s="31">
        <f>IF(B6=0,"",RANK(B6,$B$2:$B$95,0))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BLISSGVS</t>
        </is>
      </c>
      <c r="D6" s="31" t="inlineStr">
        <is>
          <t>Bliss GVS Pharma Ltd</t>
        </is>
      </c>
      <c r="E6" s="31" t="inlineStr">
        <is>
          <t>healthcare</t>
        </is>
      </c>
      <c r="F6" s="31" t="inlineStr">
        <is>
          <t>Pharma - Formulators</t>
        </is>
      </c>
      <c r="G6" s="31" t="inlineStr">
        <is>
          <t>smallcap</t>
        </is>
      </c>
      <c r="H6" s="32" t="n">
        <v>4618.22</v>
      </c>
      <c r="I6" s="32" t="n">
        <v>436.55</v>
      </c>
      <c r="J6" s="32" t="n">
        <v>2.8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87.79000000000001</v>
      </c>
      <c r="P6" s="32" t="n">
        <v>60.22</v>
      </c>
      <c r="Q6" s="32" t="n">
        <v>333.22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10.56</v>
      </c>
      <c r="U6" s="32" t="n">
        <v>193.97</v>
      </c>
      <c r="V6" s="32" t="n">
        <v>165.89</v>
      </c>
      <c r="W6" s="32" t="n">
        <v>53.53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Technology</t>
        </is>
      </c>
      <c r="F7" s="31" t="inlineStr">
        <is>
          <t>Trading</t>
        </is>
      </c>
      <c r="G7" s="31" t="inlineStr">
        <is>
          <t>smallcap</t>
        </is>
      </c>
      <c r="H7" s="32" t="n">
        <v>3500.26</v>
      </c>
      <c r="I7" s="32" t="n">
        <v>531.15</v>
      </c>
      <c r="J7" s="32" t="n">
        <v>0.38</v>
      </c>
      <c r="K7" s="32" t="n">
        <v>0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72.45</v>
      </c>
      <c r="P7" s="32" t="n">
        <v>48.6</v>
      </c>
      <c r="Q7" s="32" t="n">
        <v>417.42</v>
      </c>
      <c r="R7" s="31" t="inlineStr">
        <is>
          <t>Near 52W High Breakout</t>
        </is>
      </c>
      <c r="S7" s="31" t="inlineStr">
        <is>
          <t>Nifty 50</t>
        </is>
      </c>
      <c r="T7" s="32" t="n">
        <v>-6.3</v>
      </c>
      <c r="U7" s="32" t="n">
        <v>71.70999999999999</v>
      </c>
      <c r="V7" s="32" t="n">
        <v>83.25</v>
      </c>
      <c r="W7" s="32" t="n">
        <v>24.24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VMARCIND</t>
        </is>
      </c>
      <c r="D8" s="31" t="inlineStr">
        <is>
          <t>V-Marc India Ltd</t>
        </is>
      </c>
      <c r="E8" s="31" t="inlineStr">
        <is>
          <t>unknown</t>
        </is>
      </c>
      <c r="F8" s="31" t="inlineStr">
        <is>
          <t>Cables - Power</t>
        </is>
      </c>
      <c r="G8" s="31" t="inlineStr">
        <is>
          <t>smallcap</t>
        </is>
      </c>
      <c r="H8" s="32" t="n">
        <v>3328.54</v>
      </c>
      <c r="I8" s="32" t="n">
        <v>1363</v>
      </c>
      <c r="J8" s="32" t="n">
        <v>-2.45</v>
      </c>
      <c r="K8" s="32" t="n">
        <v>0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77.40000000000001</v>
      </c>
      <c r="P8" s="32" t="n">
        <v>41.13</v>
      </c>
      <c r="Q8" s="32" t="n">
        <v>1127.75</v>
      </c>
      <c r="R8" s="31" t="inlineStr">
        <is>
          <t>Earnings / Momentum Support</t>
        </is>
      </c>
      <c r="S8" s="31" t="inlineStr">
        <is>
          <t>Nifty 50</t>
        </is>
      </c>
      <c r="T8" s="32" t="n">
        <v>-6.3</v>
      </c>
      <c r="U8" s="32" t="n">
        <v>352.18</v>
      </c>
      <c r="V8" s="32" t="n">
        <v>382.58</v>
      </c>
      <c r="W8" s="32" t="n">
        <v>60.28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18</t>
        </is>
      </c>
      <c r="CG8" s="31">
        <f>IF(CF8&gt;20,10,IF(CF8&gt;=10,5,2))</f>
        <v/>
      </c>
    </row>
    <row r="9">
      <c r="A9" s="31">
        <f>IF(B9=0,"",RANK(B9,$B$2:$B$95,0))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ATHERENERG</t>
        </is>
      </c>
      <c r="D9" s="31" t="inlineStr">
        <is>
          <t>Ather Energy Ltd</t>
        </is>
      </c>
      <c r="E9" s="31" t="inlineStr">
        <is>
          <t>auto</t>
        </is>
      </c>
      <c r="F9" s="31" t="inlineStr">
        <is>
          <t>Auto - 2 &amp; 3 Wheelers</t>
        </is>
      </c>
      <c r="G9" s="31" t="inlineStr">
        <is>
          <t>largecap</t>
        </is>
      </c>
      <c r="H9" s="32" t="n">
        <v>39361.85</v>
      </c>
      <c r="I9" s="32" t="n">
        <v>1027.4</v>
      </c>
      <c r="J9" s="32" t="n">
        <v>-1.4</v>
      </c>
      <c r="K9" s="32" t="n">
        <v>0</v>
      </c>
      <c r="L9" s="31" t="n">
        <v>91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72.83</v>
      </c>
      <c r="P9" s="32" t="n">
        <v>47.45</v>
      </c>
      <c r="Q9" s="32" t="n">
        <v>782.79</v>
      </c>
      <c r="R9" s="31" t="inlineStr">
        <is>
          <t>Near 52W High Breakout</t>
        </is>
      </c>
      <c r="S9" s="31" t="inlineStr">
        <is>
          <t>Nifty Auto</t>
        </is>
      </c>
      <c r="T9" s="32" t="n">
        <v>10.56</v>
      </c>
      <c r="U9" s="32" t="n">
        <v>227.2</v>
      </c>
      <c r="V9" s="32" t="n">
        <v>195.95</v>
      </c>
      <c r="W9" s="32" t="n">
        <v>38.49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Negative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IF(B10=0,"",RANK(B10,$B$2:$B$95,0))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INDOBORAX</t>
        </is>
      </c>
      <c r="D10" s="34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 - Inorganic</t>
        </is>
      </c>
      <c r="G10" s="31" t="inlineStr">
        <is>
          <t>smallcap</t>
        </is>
      </c>
      <c r="H10" s="32" t="n">
        <v>1151.87</v>
      </c>
      <c r="I10" s="32" t="n">
        <v>358.95</v>
      </c>
      <c r="J10" s="32" t="n">
        <v>-0.66</v>
      </c>
      <c r="K10" s="32" t="n">
        <v>0</v>
      </c>
      <c r="L10" s="31" t="n">
        <v>69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77.44</v>
      </c>
      <c r="P10" s="32" t="n">
        <v>49.18</v>
      </c>
      <c r="Q10" s="32" t="n">
        <v>289.71</v>
      </c>
      <c r="R10" s="31" t="inlineStr">
        <is>
          <t>Near 52W High Breakout</t>
        </is>
      </c>
      <c r="S10" s="31" t="inlineStr">
        <is>
          <t>Nifty 50</t>
        </is>
      </c>
      <c r="T10" s="32" t="n">
        <v>-6.3</v>
      </c>
      <c r="U10" s="32" t="n">
        <v>76.20999999999999</v>
      </c>
      <c r="V10" s="32" t="n">
        <v>88.05</v>
      </c>
      <c r="W10" s="32" t="n">
        <v>23.06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16</t>
        </is>
      </c>
      <c r="CG10" s="31">
        <f>IF(CF10&gt;20,10,IF(CF10&gt;=10,5,2))</f>
        <v/>
      </c>
    </row>
    <row r="11">
      <c r="A11" s="31">
        <f>IF(B11=0,"",RANK(B11,$B$2:$B$95,0))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NGLFINE</t>
        </is>
      </c>
      <c r="D11" s="31" t="inlineStr">
        <is>
          <t>NGL Fine Chem Ltd</t>
        </is>
      </c>
      <c r="E11" s="31" t="inlineStr">
        <is>
          <t>healthcare</t>
        </is>
      </c>
      <c r="F11" s="31" t="inlineStr">
        <is>
          <t>Pharma - Animal</t>
        </is>
      </c>
      <c r="G11" s="31" t="inlineStr">
        <is>
          <t>smallcap</t>
        </is>
      </c>
      <c r="H11" s="32" t="n">
        <v>1678.26</v>
      </c>
      <c r="I11" s="32" t="n">
        <v>2716.5</v>
      </c>
      <c r="J11" s="32" t="n">
        <v>-3.39</v>
      </c>
      <c r="K11" s="32" t="n">
        <v>0</v>
      </c>
      <c r="L11" s="31" t="n">
        <v>81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72.98</v>
      </c>
      <c r="P11" s="32" t="n">
        <v>65.38</v>
      </c>
      <c r="Q11" s="32" t="n">
        <v>1807.1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10.56</v>
      </c>
      <c r="U11" s="32" t="n">
        <v>159.09</v>
      </c>
      <c r="V11" s="32" t="n">
        <v>134.34</v>
      </c>
      <c r="W11" s="32" t="n">
        <v>28.88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22</t>
        </is>
      </c>
      <c r="CG11" s="31">
        <f>IF(CF11&gt;20,10,IF(CF11&gt;=10,5,2))</f>
        <v/>
      </c>
    </row>
    <row r="12">
      <c r="A12" s="31">
        <f>IF(B12=0,"",RANK(B12,$B$2:$B$95,0))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CUPID</t>
        </is>
      </c>
      <c r="D12" s="31" t="inlineStr">
        <is>
          <t>Cupid Ltd</t>
        </is>
      </c>
      <c r="E12" s="31" t="inlineStr">
        <is>
          <t>fmcg</t>
        </is>
      </c>
      <c r="F12" s="31" t="inlineStr">
        <is>
          <t>Contraceptives/Protectives</t>
        </is>
      </c>
      <c r="G12" s="31" t="inlineStr">
        <is>
          <t>largecap</t>
        </is>
      </c>
      <c r="H12" s="32" t="n">
        <v>20866.44</v>
      </c>
      <c r="I12" s="32" t="n">
        <v>155.18</v>
      </c>
      <c r="J12" s="32" t="n">
        <v>3.05</v>
      </c>
      <c r="K12" s="32" t="n">
        <v>0</v>
      </c>
      <c r="L12" s="31" t="n">
        <v>98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80.64</v>
      </c>
      <c r="P12" s="32" t="n">
        <v>45.03</v>
      </c>
      <c r="Q12" s="32" t="n">
        <v>119.74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-11.01</v>
      </c>
      <c r="U12" s="32" t="n">
        <v>702.21</v>
      </c>
      <c r="V12" s="32" t="n">
        <v>801.5</v>
      </c>
      <c r="W12" s="32" t="n">
        <v>81.5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22</t>
        </is>
      </c>
      <c r="CG12" s="31">
        <f>IF(CF12&gt;20,10,IF(CF12&gt;=10,5,2))</f>
        <v/>
      </c>
    </row>
    <row r="13">
      <c r="A13" s="31">
        <f>IF(B13=0,"",RANK(B13,$B$2:$B$95,0))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WHEELS</t>
        </is>
      </c>
      <c r="D13" s="31" t="inlineStr">
        <is>
          <t>Wheels India Ltd</t>
        </is>
      </c>
      <c r="E13" s="31" t="inlineStr">
        <is>
          <t>auto</t>
        </is>
      </c>
      <c r="F13" s="31" t="inlineStr">
        <is>
          <t>Auto Ancillaries - Wheels</t>
        </is>
      </c>
      <c r="G13" s="31" t="inlineStr">
        <is>
          <t>smallcap</t>
        </is>
      </c>
      <c r="H13" s="32" t="n">
        <v>3963.52</v>
      </c>
      <c r="I13" s="32" t="n">
        <v>1622.2</v>
      </c>
      <c r="J13" s="32" t="n">
        <v>2.44</v>
      </c>
      <c r="K13" s="32" t="n">
        <v>0</v>
      </c>
      <c r="L13" s="31" t="n">
        <v>89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73.12</v>
      </c>
      <c r="P13" s="32" t="n">
        <v>50.52</v>
      </c>
      <c r="Q13" s="32" t="n">
        <v>1279.99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10.56</v>
      </c>
      <c r="U13" s="32" t="n">
        <v>119.85</v>
      </c>
      <c r="V13" s="32" t="n">
        <v>98.84999999999999</v>
      </c>
      <c r="W13" s="32" t="n">
        <v>36.36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Less than 12%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SYRMA</t>
        </is>
      </c>
      <c r="D14" s="31" t="inlineStr">
        <is>
          <t>Syrma SGS Technology Ltd</t>
        </is>
      </c>
      <c r="E14" s="31" t="inlineStr">
        <is>
          <t>consumer discretionary</t>
        </is>
      </c>
      <c r="F14" s="31" t="inlineStr">
        <is>
          <t>Consumer Electronics - EMS</t>
        </is>
      </c>
      <c r="G14" s="31" t="inlineStr">
        <is>
          <t>largecap</t>
        </is>
      </c>
      <c r="H14" s="32" t="n">
        <v>23826.13</v>
      </c>
      <c r="I14" s="32" t="n">
        <v>1235.6</v>
      </c>
      <c r="J14" s="32" t="n">
        <v>0.8</v>
      </c>
      <c r="K14" s="32" t="n">
        <v>0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73.34999999999999</v>
      </c>
      <c r="P14" s="32" t="n">
        <v>33.6</v>
      </c>
      <c r="Q14" s="32" t="n">
        <v>947.9400000000001</v>
      </c>
      <c r="R14" s="31" t="inlineStr">
        <is>
          <t>Near 52W High Breakout</t>
        </is>
      </c>
      <c r="S14" s="31" t="inlineStr">
        <is>
          <t>Nifty 50</t>
        </is>
      </c>
      <c r="T14" s="32" t="n">
        <v>-6.3</v>
      </c>
      <c r="U14" s="32" t="n">
        <v>136.8</v>
      </c>
      <c r="V14" s="32" t="n">
        <v>152.72</v>
      </c>
      <c r="W14" s="32" t="n">
        <v>37.34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Between 1.5 to 2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IF(B15=0,"",RANK(B15,$B$2:$B$95,0))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SEAMECLTD</t>
        </is>
      </c>
      <c r="D15" s="31" t="inlineStr">
        <is>
          <t>SEAMEC Ltd</t>
        </is>
      </c>
      <c r="E15" s="31" t="inlineStr">
        <is>
          <t>Industrials</t>
        </is>
      </c>
      <c r="F15" s="31" t="inlineStr">
        <is>
          <t>Shipping</t>
        </is>
      </c>
      <c r="G15" s="31" t="inlineStr">
        <is>
          <t>smallcap</t>
        </is>
      </c>
      <c r="H15" s="32" t="n">
        <v>4038.76</v>
      </c>
      <c r="I15" s="32" t="n">
        <v>1588.5</v>
      </c>
      <c r="J15" s="32" t="n">
        <v>0.23</v>
      </c>
      <c r="K15" s="32" t="n">
        <v>0</v>
      </c>
      <c r="L15" s="31" t="n">
        <v>55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69.81</v>
      </c>
      <c r="P15" s="32" t="n">
        <v>55.98</v>
      </c>
      <c r="Q15" s="32" t="n">
        <v>1253.01</v>
      </c>
      <c r="R15" s="31" t="inlineStr">
        <is>
          <t>Near 52W High Breakout</t>
        </is>
      </c>
      <c r="S15" s="31" t="inlineStr">
        <is>
          <t>Nifty 50</t>
        </is>
      </c>
      <c r="T15" s="32" t="n">
        <v>-6.3</v>
      </c>
      <c r="U15" s="32" t="n">
        <v>84.73</v>
      </c>
      <c r="V15" s="32" t="n">
        <v>97.15000000000001</v>
      </c>
      <c r="W15" s="32" t="n">
        <v>17.5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SJS</t>
        </is>
      </c>
      <c r="D16" s="34" t="inlineStr">
        <is>
          <t>S J S Enterprises Ltd</t>
        </is>
      </c>
      <c r="E16" s="31" t="inlineStr">
        <is>
          <t>auto</t>
        </is>
      </c>
      <c r="F16" s="31" t="inlineStr">
        <is>
          <t>Auto Ancillaries - Diversified</t>
        </is>
      </c>
      <c r="G16" s="31" t="inlineStr">
        <is>
          <t>midcap</t>
        </is>
      </c>
      <c r="H16" s="32" t="n">
        <v>6702.2</v>
      </c>
      <c r="I16" s="32" t="n">
        <v>2094.1</v>
      </c>
      <c r="J16" s="32" t="n">
        <v>0.78</v>
      </c>
      <c r="K16" s="32" t="n">
        <v>0</v>
      </c>
      <c r="L16" s="31" t="n">
        <v>61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63.34</v>
      </c>
      <c r="P16" s="32" t="n">
        <v>21.09</v>
      </c>
      <c r="Q16" s="32" t="n">
        <v>1630.08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10.56</v>
      </c>
      <c r="U16" s="32" t="n">
        <v>72.09999999999999</v>
      </c>
      <c r="V16" s="32" t="n">
        <v>55.66</v>
      </c>
      <c r="W16" s="32" t="n">
        <v>19.41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IF(B17=0,"",RANK(B17,$B$2:$B$95,0))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CARYSIL</t>
        </is>
      </c>
      <c r="D17" s="34" t="inlineStr">
        <is>
          <t>Carysil Ltd</t>
        </is>
      </c>
      <c r="E17" s="31" t="inlineStr">
        <is>
          <t>consumer discretionary</t>
        </is>
      </c>
      <c r="F17" s="31" t="inlineStr">
        <is>
          <t>Building Material USA</t>
        </is>
      </c>
      <c r="G17" s="31" t="inlineStr">
        <is>
          <t>smallcap</t>
        </is>
      </c>
      <c r="H17" s="32" t="n">
        <v>3310.15</v>
      </c>
      <c r="I17" s="32" t="n">
        <v>1163.8</v>
      </c>
      <c r="J17" s="32" t="n">
        <v>-2.36</v>
      </c>
      <c r="K17" s="32" t="n">
        <v>0</v>
      </c>
      <c r="L17" s="31" t="n">
        <v>51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70.5</v>
      </c>
      <c r="P17" s="32" t="n">
        <v>20.61</v>
      </c>
      <c r="Q17" s="32" t="n">
        <v>863.23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-6.3</v>
      </c>
      <c r="U17" s="32" t="n">
        <v>25.58</v>
      </c>
      <c r="V17" s="32" t="n">
        <v>34.02</v>
      </c>
      <c r="W17" s="32" t="n">
        <v>16.24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IF(B18=0,"",RANK(B18,$B$2:$B$95,0))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KPL</t>
        </is>
      </c>
      <c r="D18" s="31" t="inlineStr">
        <is>
          <t>Kwality Pharmaceuticals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smallcap</t>
        </is>
      </c>
      <c r="H18" s="32" t="n">
        <v>2462.01</v>
      </c>
      <c r="I18" s="32" t="n">
        <v>2372.75</v>
      </c>
      <c r="J18" s="32" t="n">
        <v>-5.44</v>
      </c>
      <c r="K18" s="32" t="n">
        <v>0</v>
      </c>
      <c r="L18" s="31" t="n">
        <v>84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78.34999999999999</v>
      </c>
      <c r="P18" s="32" t="n">
        <v>52.89</v>
      </c>
      <c r="Q18" s="32" t="n">
        <v>1696.02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10.56</v>
      </c>
      <c r="U18" s="32" t="n">
        <v>130.64</v>
      </c>
      <c r="V18" s="32" t="n">
        <v>108.61</v>
      </c>
      <c r="W18" s="32" t="n">
        <v>31.53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26</t>
        </is>
      </c>
      <c r="CG18" s="31">
        <f>IF(CF18&gt;20,10,IF(CF18&gt;=10,5,2))</f>
        <v/>
      </c>
    </row>
    <row r="19">
      <c r="A19" s="31">
        <f>IF(B19=0,"",RANK(B19,$B$2:$B$95,0))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SUPRIYA</t>
        </is>
      </c>
      <c r="D19" s="31" t="inlineStr">
        <is>
          <t>Supriya Lifescience Ltd</t>
        </is>
      </c>
      <c r="E19" s="31" t="inlineStr">
        <is>
          <t>healthcare</t>
        </is>
      </c>
      <c r="F19" s="31" t="inlineStr">
        <is>
          <t>Pharma - API &amp; CRAMS</t>
        </is>
      </c>
      <c r="G19" s="31" t="inlineStr">
        <is>
          <t>midcap</t>
        </is>
      </c>
      <c r="H19" s="32" t="n">
        <v>7541.24</v>
      </c>
      <c r="I19" s="32" t="n">
        <v>937</v>
      </c>
      <c r="J19" s="32" t="n">
        <v>-1.62</v>
      </c>
      <c r="K19" s="32" t="n">
        <v>0</v>
      </c>
      <c r="L19" s="31" t="n">
        <v>68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73.81</v>
      </c>
      <c r="P19" s="32" t="n">
        <v>33.96</v>
      </c>
      <c r="Q19" s="32" t="n">
        <v>732.63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10.56</v>
      </c>
      <c r="U19" s="32" t="n">
        <v>36.09</v>
      </c>
      <c r="V19" s="32" t="n">
        <v>23.09</v>
      </c>
      <c r="W19" s="32" t="n">
        <v>22.27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22</t>
        </is>
      </c>
      <c r="CG19" s="31">
        <f>IF(CF19&gt;20,10,IF(CF19&gt;=10,5,2))</f>
        <v/>
      </c>
    </row>
    <row r="20">
      <c r="A20" s="31">
        <f>IF(B20=0,"",RANK(B20,$B$2:$B$95,0))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GVPIL</t>
        </is>
      </c>
      <c r="D20" s="31" t="inlineStr">
        <is>
          <t>GE Power India Ltd</t>
        </is>
      </c>
      <c r="E20" s="31" t="inlineStr">
        <is>
          <t>realty</t>
        </is>
      </c>
      <c r="F20" s="31" t="inlineStr">
        <is>
          <t>Infra - General</t>
        </is>
      </c>
      <c r="G20" s="31" t="inlineStr">
        <is>
          <t>midcap</t>
        </is>
      </c>
      <c r="H20" s="32" t="n">
        <v>5951.65</v>
      </c>
      <c r="I20" s="32" t="n">
        <v>885.3</v>
      </c>
      <c r="J20" s="32" t="n">
        <v>-2.67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87.13</v>
      </c>
      <c r="P20" s="32" t="n">
        <v>56.06</v>
      </c>
      <c r="Q20" s="32" t="n">
        <v>667.71</v>
      </c>
      <c r="R20" s="31" t="inlineStr">
        <is>
          <t>Near 52W High Breakout</t>
        </is>
      </c>
      <c r="S20" s="31" t="inlineStr">
        <is>
          <t>Nifty Realty</t>
        </is>
      </c>
      <c r="T20" s="32" t="n">
        <v>-26.19</v>
      </c>
      <c r="U20" s="32" t="n">
        <v>180.11</v>
      </c>
      <c r="V20" s="32" t="n">
        <v>279.48</v>
      </c>
      <c r="W20" s="32" t="n">
        <v>48.55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Duopoly That Cooperate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Shallow Cyclical (2 to 3 Years Growth)</t>
        </is>
      </c>
      <c r="AG20" s="31">
        <f>IF(AF20="Structural (10 Years Consistency)",10,IF(AF20="Shallow Cyclical (2 to 3 years growth)",5,0))</f>
        <v/>
      </c>
      <c r="AH20" s="31" t="inlineStr">
        <is>
          <t>Yes due to Product Mix change or Operating Leverage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Fully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only for next 1 to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IF(B21=0,"",RANK(B21,$B$2:$B$95,0))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GLAND</t>
        </is>
      </c>
      <c r="D21" s="34" t="inlineStr">
        <is>
          <t>Gland Pharma Ltd</t>
        </is>
      </c>
      <c r="E21" s="31" t="inlineStr">
        <is>
          <t>healthcare</t>
        </is>
      </c>
      <c r="F21" s="31" t="inlineStr">
        <is>
          <t>Pharma - API &amp; CRAMS</t>
        </is>
      </c>
      <c r="G21" s="31" t="inlineStr">
        <is>
          <t>largecap</t>
        </is>
      </c>
      <c r="H21" s="32" t="n">
        <v>38047.95</v>
      </c>
      <c r="I21" s="32" t="n">
        <v>2306.5</v>
      </c>
      <c r="J21" s="32" t="n">
        <v>1.71</v>
      </c>
      <c r="K21" s="32" t="n">
        <v>0</v>
      </c>
      <c r="L21" s="31" t="n">
        <v>53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70.01000000000001</v>
      </c>
      <c r="P21" s="32" t="n">
        <v>29.74</v>
      </c>
      <c r="Q21" s="32" t="n">
        <v>1873.7</v>
      </c>
      <c r="R21" s="31" t="inlineStr">
        <is>
          <t>Volume Spike &amp; Near 52W High Breakout</t>
        </is>
      </c>
      <c r="S21" s="31" t="inlineStr">
        <is>
          <t>Nifty Pharma</t>
        </is>
      </c>
      <c r="T21" s="32" t="n">
        <v>10.56</v>
      </c>
      <c r="U21" s="32" t="n">
        <v>37.78</v>
      </c>
      <c r="V21" s="32" t="n">
        <v>24.61</v>
      </c>
      <c r="W21" s="32" t="n">
        <v>16.86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SAKAR</t>
        </is>
      </c>
      <c r="D22" s="34" t="inlineStr">
        <is>
          <t>Sakar Healthcare Ltd</t>
        </is>
      </c>
      <c r="E22" s="31" t="inlineStr">
        <is>
          <t>healthcare</t>
        </is>
      </c>
      <c r="F22" s="31" t="inlineStr">
        <is>
          <t>Hospitals</t>
        </is>
      </c>
      <c r="G22" s="31" t="inlineStr">
        <is>
          <t>smallcap</t>
        </is>
      </c>
      <c r="H22" s="32" t="n">
        <v>1786.78</v>
      </c>
      <c r="I22" s="32" t="n">
        <v>803.05</v>
      </c>
      <c r="J22" s="32" t="n">
        <v>-4.28</v>
      </c>
      <c r="K22" s="32" t="n">
        <v>0</v>
      </c>
      <c r="L22" s="31" t="n">
        <v>86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75.5</v>
      </c>
      <c r="P22" s="32" t="n">
        <v>53.29</v>
      </c>
      <c r="Q22" s="32" t="n">
        <v>560.52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10.56</v>
      </c>
      <c r="U22" s="32" t="n">
        <v>156.32</v>
      </c>
      <c r="V22" s="32" t="n">
        <v>131.84</v>
      </c>
      <c r="W22" s="32" t="n">
        <v>33.1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IF(B23=0,"",RANK(B23,$B$2:$B$95,0))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VALIANT</t>
        </is>
      </c>
      <c r="D23" s="31" t="inlineStr">
        <is>
          <t>Valiant Communications Ltd</t>
        </is>
      </c>
      <c r="E23" s="31" t="inlineStr">
        <is>
          <t>Technology</t>
        </is>
      </c>
      <c r="F23" s="31" t="inlineStr">
        <is>
          <t>Telecom Services</t>
        </is>
      </c>
      <c r="G23" s="31" t="inlineStr">
        <is>
          <t>smallcap</t>
        </is>
      </c>
      <c r="H23" s="32" t="n">
        <v>1417.55</v>
      </c>
      <c r="I23" s="32" t="n">
        <v>1212.4</v>
      </c>
      <c r="J23" s="32" t="n">
        <v>-2.37</v>
      </c>
      <c r="K23" s="32" t="n">
        <v>0</v>
      </c>
      <c r="L23" s="31" t="n">
        <v>77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64.28</v>
      </c>
      <c r="P23" s="32" t="n">
        <v>26.77</v>
      </c>
      <c r="Q23" s="32" t="n">
        <v>894.79</v>
      </c>
      <c r="R23" s="31" t="inlineStr">
        <is>
          <t>Near 52W High Breakout</t>
        </is>
      </c>
      <c r="S23" s="31" t="inlineStr">
        <is>
          <t>Nifty 50</t>
        </is>
      </c>
      <c r="T23" s="32" t="n">
        <v>-6.3</v>
      </c>
      <c r="U23" s="32" t="n">
        <v>165.89</v>
      </c>
      <c r="V23" s="32" t="n">
        <v>183.76</v>
      </c>
      <c r="W23" s="32" t="n">
        <v>26.35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Oligopoly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IF(B24=0,"",RANK(B24,$B$2:$B$95,0))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THANGAMAYL</t>
        </is>
      </c>
      <c r="D24" s="31" t="inlineStr">
        <is>
          <t>Thangamayil Jewellery Ltd</t>
        </is>
      </c>
      <c r="E24" s="31" t="inlineStr">
        <is>
          <t>consumer discretionary</t>
        </is>
      </c>
      <c r="F24" s="31" t="inlineStr">
        <is>
          <t>Diamond, Gems &amp; Jewellery</t>
        </is>
      </c>
      <c r="G24" s="31" t="inlineStr">
        <is>
          <t>midcap</t>
        </is>
      </c>
      <c r="H24" s="32" t="n">
        <v>16832.16</v>
      </c>
      <c r="I24" s="32" t="n">
        <v>5415.4</v>
      </c>
      <c r="J24" s="32" t="n">
        <v>-0.53</v>
      </c>
      <c r="K24" s="32" t="n">
        <v>0</v>
      </c>
      <c r="L24" s="31" t="n">
        <v>90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70.75</v>
      </c>
      <c r="P24" s="32" t="n">
        <v>39.43</v>
      </c>
      <c r="Q24" s="32" t="n">
        <v>3892.56</v>
      </c>
      <c r="R24" s="31" t="inlineStr">
        <is>
          <t>Near 52W High Breakout</t>
        </is>
      </c>
      <c r="S24" s="31" t="inlineStr">
        <is>
          <t>Nifty 50</t>
        </is>
      </c>
      <c r="T24" s="32" t="n">
        <v>-6.3</v>
      </c>
      <c r="U24" s="32" t="n">
        <v>194.32</v>
      </c>
      <c r="V24" s="32" t="n">
        <v>214.11</v>
      </c>
      <c r="W24" s="32" t="n">
        <v>36.75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31</t>
        </is>
      </c>
      <c r="CG24" s="31">
        <f>IF(CF24&gt;20,10,IF(CF24&gt;=10,5,2))</f>
        <v/>
      </c>
    </row>
    <row r="25">
      <c r="A25" s="31">
        <f>IF(B25=0,"",RANK(B25,$B$2:$B$95,0))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TIMEX</t>
        </is>
      </c>
      <c r="D25" s="31" t="inlineStr">
        <is>
          <t>Timex Group India Ltd</t>
        </is>
      </c>
      <c r="E25" s="31" t="inlineStr">
        <is>
          <t>Consumer Cyclical</t>
        </is>
      </c>
      <c r="F25" s="31" t="inlineStr">
        <is>
          <t>Watches</t>
        </is>
      </c>
      <c r="G25" s="31" t="inlineStr">
        <is>
          <t>smallcap</t>
        </is>
      </c>
      <c r="H25" s="32" t="n">
        <v>4593.23</v>
      </c>
      <c r="I25" s="32" t="n">
        <v>455</v>
      </c>
      <c r="J25" s="32" t="n">
        <v>-1.49</v>
      </c>
      <c r="K25" s="32" t="n">
        <v>0</v>
      </c>
      <c r="L25" s="31" t="n">
        <v>77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71.26000000000001</v>
      </c>
      <c r="P25" s="32" t="n">
        <v>27.29</v>
      </c>
      <c r="Q25" s="32" t="n">
        <v>337.41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-6.3</v>
      </c>
      <c r="U25" s="32" t="n">
        <v>66.72</v>
      </c>
      <c r="V25" s="32" t="n">
        <v>77.92</v>
      </c>
      <c r="W25" s="32" t="n">
        <v>26.48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AVALON</t>
        </is>
      </c>
      <c r="D26" s="31" t="inlineStr">
        <is>
          <t>Avalon Technologies Ltd</t>
        </is>
      </c>
      <c r="E26" s="31" t="inlineStr">
        <is>
          <t>consumer discretionary</t>
        </is>
      </c>
      <c r="F26" s="31" t="inlineStr">
        <is>
          <t>Consumer Electronics - EMS</t>
        </is>
      </c>
      <c r="G26" s="31" t="inlineStr">
        <is>
          <t>midcap</t>
        </is>
      </c>
      <c r="H26" s="32" t="n">
        <v>10473.65</v>
      </c>
      <c r="I26" s="32" t="n">
        <v>1568.2</v>
      </c>
      <c r="J26" s="32" t="n">
        <v>2.33</v>
      </c>
      <c r="K26" s="32" t="n">
        <v>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71.52</v>
      </c>
      <c r="P26" s="32" t="n">
        <v>32.64</v>
      </c>
      <c r="Q26" s="32" t="n">
        <v>1153.3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-6.3</v>
      </c>
      <c r="U26" s="32" t="n">
        <v>88.68000000000001</v>
      </c>
      <c r="V26" s="32" t="n">
        <v>101.36</v>
      </c>
      <c r="W26" s="32" t="n">
        <v>32.83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SENORES</t>
        </is>
      </c>
      <c r="D27" s="34" t="inlineStr">
        <is>
          <t>Senores Pharmaceuticals Ltd</t>
        </is>
      </c>
      <c r="E27" s="31" t="inlineStr">
        <is>
          <t>healthcare</t>
        </is>
      </c>
      <c r="F27" s="31" t="inlineStr">
        <is>
          <t>Pharma - API</t>
        </is>
      </c>
      <c r="G27" s="31" t="inlineStr">
        <is>
          <t>midcap</t>
        </is>
      </c>
      <c r="H27" s="32" t="n">
        <v>5345.44</v>
      </c>
      <c r="I27" s="32" t="n">
        <v>1160.7</v>
      </c>
      <c r="J27" s="32" t="n">
        <v>4.32</v>
      </c>
      <c r="K27" s="32" t="n">
        <v>0</v>
      </c>
      <c r="L27" s="31" t="n">
        <v>82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72.73</v>
      </c>
      <c r="P27" s="32" t="n">
        <v>40.12</v>
      </c>
      <c r="Q27" s="32" t="n">
        <v>884.71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10.56</v>
      </c>
      <c r="U27" s="32" t="n">
        <v>108.4</v>
      </c>
      <c r="V27" s="32" t="n">
        <v>88.5</v>
      </c>
      <c r="W27" s="32" t="n">
        <v>29.92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23</t>
        </is>
      </c>
      <c r="CG27" s="31">
        <f>IF(CF27&gt;20,10,IF(CF27&gt;=10,5,2))</f>
        <v/>
      </c>
    </row>
    <row r="28">
      <c r="A28" s="31">
        <f>IF(B28=0,"",RANK(B28,$B$2:$B$95,0))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3" t="inlineStr">
        <is>
          <t>MARKSANS</t>
        </is>
      </c>
      <c r="D28" s="33" t="inlineStr">
        <is>
          <t>Marksans Pharma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midcap</t>
        </is>
      </c>
      <c r="H28" s="32" t="n">
        <v>11321.39</v>
      </c>
      <c r="I28" s="32" t="n">
        <v>249.83</v>
      </c>
      <c r="J28" s="32" t="n">
        <v>1.18</v>
      </c>
      <c r="K28" s="32" t="n">
        <v>0</v>
      </c>
      <c r="L28" s="31" t="n">
        <v>37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71.34</v>
      </c>
      <c r="P28" s="32" t="n">
        <v>28.52</v>
      </c>
      <c r="Q28" s="32" t="n">
        <v>191.48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10.56</v>
      </c>
      <c r="U28" s="32" t="n">
        <v>-3.29</v>
      </c>
      <c r="V28" s="32" t="n">
        <v>-12.53</v>
      </c>
      <c r="W28" s="32" t="n">
        <v>12.87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AEGISLOG</t>
        </is>
      </c>
      <c r="D29" s="34" t="inlineStr">
        <is>
          <t>Aegis Logistics Ltd</t>
        </is>
      </c>
      <c r="E29" s="31" t="inlineStr">
        <is>
          <t>services</t>
        </is>
      </c>
      <c r="F29" s="31" t="inlineStr">
        <is>
          <t>Logistics</t>
        </is>
      </c>
      <c r="G29" s="31" t="inlineStr">
        <is>
          <t>largecap</t>
        </is>
      </c>
      <c r="H29" s="32" t="n">
        <v>32499.09</v>
      </c>
      <c r="I29" s="32" t="n">
        <v>925.9</v>
      </c>
      <c r="J29" s="32" t="n">
        <v>15.59</v>
      </c>
      <c r="K29" s="32" t="n">
        <v>0</v>
      </c>
      <c r="L29" s="31" t="n">
        <v>53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71.38</v>
      </c>
      <c r="P29" s="32" t="n">
        <v>19.99</v>
      </c>
      <c r="Q29" s="32" t="n">
        <v>709.6799999999999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-6.3</v>
      </c>
      <c r="U29" s="32" t="n">
        <v>18.4</v>
      </c>
      <c r="V29" s="32" t="n">
        <v>26.36</v>
      </c>
      <c r="W29" s="32" t="n">
        <v>16.91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0 to 20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28</t>
        </is>
      </c>
      <c r="CG29" s="31">
        <f>IF(CF29&gt;20,10,IF(CF29&gt;=10,5,2))</f>
        <v/>
      </c>
    </row>
    <row r="30">
      <c r="A30" s="31">
        <f>IF(B30=0,"",RANK(B30,$B$2:$B$95,0))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UNIPARTS</t>
        </is>
      </c>
      <c r="D30" s="31" t="inlineStr">
        <is>
          <t>Uniparts India Ltd</t>
        </is>
      </c>
      <c r="E30" s="31" t="inlineStr">
        <is>
          <t>industrials</t>
        </is>
      </c>
      <c r="F30" s="31" t="inlineStr">
        <is>
          <t>Castings, Forgings &amp; Fastners</t>
        </is>
      </c>
      <c r="G30" s="31" t="inlineStr">
        <is>
          <t>smallcap</t>
        </is>
      </c>
      <c r="H30" s="32" t="n">
        <v>2876.29</v>
      </c>
      <c r="I30" s="32" t="n">
        <v>637.15</v>
      </c>
      <c r="J30" s="32" t="n">
        <v>-0.75</v>
      </c>
      <c r="K30" s="32" t="n">
        <v>0</v>
      </c>
      <c r="L30" s="31" t="n">
        <v>69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71.98999999999999</v>
      </c>
      <c r="P30" s="32" t="n">
        <v>34.24</v>
      </c>
      <c r="Q30" s="32" t="n">
        <v>488.38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-6.3</v>
      </c>
      <c r="U30" s="32" t="n">
        <v>78.26000000000001</v>
      </c>
      <c r="V30" s="32" t="n">
        <v>90.23999999999999</v>
      </c>
      <c r="W30" s="32" t="n">
        <v>22.7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24</t>
        </is>
      </c>
      <c r="CG30" s="31">
        <f>IF(CF30&gt;20,10,IF(CF30&gt;=10,5,2))</f>
        <v/>
      </c>
    </row>
    <row r="31">
      <c r="A31" s="31">
        <f>IF(B31=0,"",RANK(B31,$B$2:$B$95,0))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SEKURITIND</t>
        </is>
      </c>
      <c r="D31" s="31" t="inlineStr">
        <is>
          <t>Saint-Gobain Sekurit India Ltd</t>
        </is>
      </c>
      <c r="E31" s="31" t="inlineStr">
        <is>
          <t>Consumer Cyclical</t>
        </is>
      </c>
      <c r="F31" s="31" t="inlineStr">
        <is>
          <t>Glass &amp; Glass Products</t>
        </is>
      </c>
      <c r="G31" s="31" t="inlineStr">
        <is>
          <t>smallcap</t>
        </is>
      </c>
      <c r="H31" s="32" t="n">
        <v>1119.23</v>
      </c>
      <c r="I31" s="32" t="n">
        <v>122.85</v>
      </c>
      <c r="J31" s="32" t="n">
        <v>-0.8100000000000001</v>
      </c>
      <c r="K31" s="32" t="n">
        <v>0</v>
      </c>
      <c r="L31" s="31" t="n">
        <v>25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63.37</v>
      </c>
      <c r="P31" s="32" t="n">
        <v>30.75</v>
      </c>
      <c r="Q31" s="32" t="n">
        <v>106.12</v>
      </c>
      <c r="R31" s="31" t="inlineStr">
        <is>
          <t>Earnings / Momentum Support</t>
        </is>
      </c>
      <c r="S31" s="31" t="inlineStr">
        <is>
          <t>Nifty Auto</t>
        </is>
      </c>
      <c r="T31" s="32" t="n">
        <v>10.56</v>
      </c>
      <c r="U31" s="32" t="n">
        <v>11.2</v>
      </c>
      <c r="V31" s="32" t="n">
        <v>0.58</v>
      </c>
      <c r="W31" s="32" t="n">
        <v>9.380000000000001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GVT&amp;D</t>
        </is>
      </c>
      <c r="D32" s="31" t="inlineStr">
        <is>
          <t>GE Vernova T&amp;D India Ltd</t>
        </is>
      </c>
      <c r="E32" s="31" t="inlineStr">
        <is>
          <t>Industrials</t>
        </is>
      </c>
      <c r="F32" s="31" t="inlineStr">
        <is>
          <t>Electrical Equipments/HVDC</t>
        </is>
      </c>
      <c r="G32" s="31" t="inlineStr">
        <is>
          <t>largecap</t>
        </is>
      </c>
      <c r="H32" s="32" t="n">
        <v>121238.03</v>
      </c>
      <c r="I32" s="32" t="n">
        <v>4735</v>
      </c>
      <c r="J32" s="32" t="n">
        <v>-2.69</v>
      </c>
      <c r="K32" s="32" t="n">
        <v>0</v>
      </c>
      <c r="L32" s="31" t="n">
        <v>67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64.28</v>
      </c>
      <c r="P32" s="32" t="n">
        <v>49.62</v>
      </c>
      <c r="Q32" s="32" t="n">
        <v>3910.35</v>
      </c>
      <c r="R32" s="31" t="inlineStr">
        <is>
          <t>Earnings / Momentum Support</t>
        </is>
      </c>
      <c r="S32" s="31" t="inlineStr">
        <is>
          <t>Nifty 500</t>
        </is>
      </c>
      <c r="T32" s="32" t="n">
        <v>-3.46</v>
      </c>
      <c r="U32" s="32" t="n">
        <v>104.25</v>
      </c>
      <c r="V32" s="32" t="n">
        <v>111.56</v>
      </c>
      <c r="W32" s="32" t="n">
        <v>22.11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20</t>
        </is>
      </c>
      <c r="CG32" s="31">
        <f>IF(CF32&gt;20,10,IF(CF32&gt;=10,5,2))</f>
        <v/>
      </c>
    </row>
    <row r="33">
      <c r="A33" s="31">
        <f>IF(B33=0,"",RANK(B33,$B$2:$B$95,0))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COCKERILL</t>
        </is>
      </c>
      <c r="D33" s="31" t="inlineStr">
        <is>
          <t>John Cockerill India Ltd</t>
        </is>
      </c>
      <c r="E33" s="31" t="inlineStr">
        <is>
          <t>Industrials</t>
        </is>
      </c>
      <c r="F33" s="31" t="inlineStr">
        <is>
          <t>Capital Goods - Engineering Heavy</t>
        </is>
      </c>
      <c r="G33" s="31" t="inlineStr">
        <is>
          <t>smallcap</t>
        </is>
      </c>
      <c r="H33" s="32" t="n">
        <v>4769.88</v>
      </c>
      <c r="I33" s="32" t="n">
        <v>9659.9</v>
      </c>
      <c r="J33" s="32" t="n">
        <v>-6.17</v>
      </c>
      <c r="K33" s="32" t="n">
        <v>0</v>
      </c>
      <c r="L33" s="31" t="n">
        <v>96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82.81</v>
      </c>
      <c r="P33" s="32" t="n">
        <v>32.2</v>
      </c>
      <c r="Q33" s="32" t="n">
        <v>7199</v>
      </c>
      <c r="R33" s="31" t="inlineStr">
        <is>
          <t>Near 52W High Breakout</t>
        </is>
      </c>
      <c r="S33" s="31" t="inlineStr">
        <is>
          <t>Nifty Metal</t>
        </is>
      </c>
      <c r="T33" s="32" t="n">
        <v>37.53</v>
      </c>
      <c r="U33" s="32" t="n">
        <v>172.47</v>
      </c>
      <c r="V33" s="32" t="n">
        <v>98.12</v>
      </c>
      <c r="W33" s="32" t="n">
        <v>48.67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MAYURUNIQ</t>
        </is>
      </c>
      <c r="D34" s="34" t="inlineStr">
        <is>
          <t>Mayur Uniquoters Ltd</t>
        </is>
      </c>
      <c r="E34" s="31" t="inlineStr">
        <is>
          <t>consumer discretionary</t>
        </is>
      </c>
      <c r="F34" s="31" t="inlineStr">
        <is>
          <t>Plastics - Plastic &amp; Plastic Products</t>
        </is>
      </c>
      <c r="G34" s="31" t="inlineStr">
        <is>
          <t>smallcap</t>
        </is>
      </c>
      <c r="H34" s="32" t="n">
        <v>3446.23</v>
      </c>
      <c r="I34" s="32" t="n">
        <v>793.1</v>
      </c>
      <c r="J34" s="32" t="n">
        <v>-2.24</v>
      </c>
      <c r="K34" s="32" t="n">
        <v>0</v>
      </c>
      <c r="L34" s="31" t="n">
        <v>64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77.55</v>
      </c>
      <c r="P34" s="32" t="n">
        <v>35.68</v>
      </c>
      <c r="Q34" s="32" t="n">
        <v>613.3099999999999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-6.3</v>
      </c>
      <c r="U34" s="32" t="n">
        <v>38.35</v>
      </c>
      <c r="V34" s="32" t="n">
        <v>47.65</v>
      </c>
      <c r="W34" s="32" t="n">
        <v>20.52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CEIGALL</t>
        </is>
      </c>
      <c r="D35" s="31" t="inlineStr">
        <is>
          <t>Ceigall India Ltd</t>
        </is>
      </c>
      <c r="E35" s="31" t="inlineStr">
        <is>
          <t>realty</t>
        </is>
      </c>
      <c r="F35" s="31" t="inlineStr">
        <is>
          <t>Construction - Civil/Turnkey</t>
        </is>
      </c>
      <c r="G35" s="31" t="inlineStr">
        <is>
          <t>midcap</t>
        </is>
      </c>
      <c r="H35" s="32" t="n">
        <v>6444.71</v>
      </c>
      <c r="I35" s="32" t="n">
        <v>369.95</v>
      </c>
      <c r="J35" s="32" t="n">
        <v>2.52</v>
      </c>
      <c r="K35" s="32" t="n">
        <v>0</v>
      </c>
      <c r="L35" s="31" t="n">
        <v>55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71.11</v>
      </c>
      <c r="P35" s="32" t="n">
        <v>43.98</v>
      </c>
      <c r="Q35" s="32" t="n">
        <v>295.68</v>
      </c>
      <c r="R35" s="31" t="inlineStr">
        <is>
          <t>Near 52W High Breakout</t>
        </is>
      </c>
      <c r="S35" s="31" t="inlineStr">
        <is>
          <t>Nifty Realty</t>
        </is>
      </c>
      <c r="T35" s="32" t="n">
        <v>-26.19</v>
      </c>
      <c r="U35" s="32" t="n">
        <v>48.7</v>
      </c>
      <c r="V35" s="32" t="n">
        <v>101.45</v>
      </c>
      <c r="W35" s="32" t="n">
        <v>17.37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Negative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IF(B36=0,"",RANK(B36,$B$2:$B$95,0))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KMCSHIL</t>
        </is>
      </c>
      <c r="D36" s="31" t="inlineStr">
        <is>
          <t>KMC Speciality Hospitals (India) Ltd</t>
        </is>
      </c>
      <c r="E36" s="31" t="inlineStr">
        <is>
          <t>Healthcare</t>
        </is>
      </c>
      <c r="F36" s="31" t="inlineStr">
        <is>
          <t>Hospitals</t>
        </is>
      </c>
      <c r="G36" s="31" t="inlineStr">
        <is>
          <t>smallcap</t>
        </is>
      </c>
      <c r="H36" s="32" t="n">
        <v>1956.2</v>
      </c>
      <c r="I36" s="32" t="n">
        <v>119.95</v>
      </c>
      <c r="J36" s="32" t="n">
        <v>2.04</v>
      </c>
      <c r="K36" s="32" t="n">
        <v>0</v>
      </c>
      <c r="L36" s="31" t="n">
        <v>68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84.2</v>
      </c>
      <c r="P36" s="32" t="n">
        <v>52.18</v>
      </c>
      <c r="Q36" s="32" t="n">
        <v>95.39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10.56</v>
      </c>
      <c r="U36" s="32" t="n">
        <v>77.15000000000001</v>
      </c>
      <c r="V36" s="32" t="n">
        <v>60.23</v>
      </c>
      <c r="W36" s="32" t="n">
        <v>22.27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27</t>
        </is>
      </c>
      <c r="CG36" s="31">
        <f>IF(CF36&gt;20,10,IF(CF36&gt;=10,5,2))</f>
        <v/>
      </c>
    </row>
    <row r="37">
      <c r="A37" s="31">
        <f>IF(B37=0,"",RANK(B37,$B$2:$B$95,0))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PANACEABIO</t>
        </is>
      </c>
      <c r="D37" s="31" t="inlineStr">
        <is>
          <t>Panacea Biotec Ltd</t>
        </is>
      </c>
      <c r="E37" s="31" t="inlineStr">
        <is>
          <t>healthcare</t>
        </is>
      </c>
      <c r="F37" s="31" t="inlineStr">
        <is>
          <t>Pharma - Others</t>
        </is>
      </c>
      <c r="G37" s="31" t="inlineStr">
        <is>
          <t>smallcap</t>
        </is>
      </c>
      <c r="H37" s="32" t="n">
        <v>3199.13</v>
      </c>
      <c r="I37" s="32" t="n">
        <v>522.3</v>
      </c>
      <c r="J37" s="32" t="n">
        <v>-4.52</v>
      </c>
      <c r="K37" s="32" t="n">
        <v>0</v>
      </c>
      <c r="L37" s="31" t="n">
        <v>58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72.02</v>
      </c>
      <c r="P37" s="32" t="n">
        <v>23.72</v>
      </c>
      <c r="Q37" s="32" t="n">
        <v>369.69</v>
      </c>
      <c r="R37" s="31" t="inlineStr">
        <is>
          <t>Volume Spike &amp; Near 52W High Breakout</t>
        </is>
      </c>
      <c r="S37" s="31" t="inlineStr">
        <is>
          <t>Nifty Pharma</t>
        </is>
      </c>
      <c r="T37" s="32" t="n">
        <v>10.56</v>
      </c>
      <c r="U37" s="32" t="n">
        <v>15.81</v>
      </c>
      <c r="V37" s="32" t="n">
        <v>4.75</v>
      </c>
      <c r="W37" s="32" t="n">
        <v>18.1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Less than 12%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IF(B38=0,"",RANK(B38,$B$2:$B$95,0))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RATEGAIN</t>
        </is>
      </c>
      <c r="D38" s="31" t="inlineStr">
        <is>
          <t>Rategain Travel Technologies Ltd</t>
        </is>
      </c>
      <c r="E38" s="31" t="inlineStr">
        <is>
          <t>i.t</t>
        </is>
      </c>
      <c r="F38" s="31" t="inlineStr">
        <is>
          <t>IT Product Companies</t>
        </is>
      </c>
      <c r="G38" s="31" t="inlineStr">
        <is>
          <t>midcap</t>
        </is>
      </c>
      <c r="H38" s="32" t="n">
        <v>9131.23</v>
      </c>
      <c r="I38" s="32" t="n">
        <v>772.75</v>
      </c>
      <c r="J38" s="32" t="n">
        <v>-1.38</v>
      </c>
      <c r="K38" s="32" t="n">
        <v>0</v>
      </c>
      <c r="L38" s="31" t="n">
        <v>78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71.63</v>
      </c>
      <c r="P38" s="32" t="n">
        <v>25.67</v>
      </c>
      <c r="Q38" s="32" t="n">
        <v>589.8099999999999</v>
      </c>
      <c r="R38" s="31" t="inlineStr">
        <is>
          <t>Near 52W High Breakout</t>
        </is>
      </c>
      <c r="S38" s="31" t="inlineStr">
        <is>
          <t>Nifty IT</t>
        </is>
      </c>
      <c r="T38" s="32" t="n">
        <v>-27.68</v>
      </c>
      <c r="U38" s="32" t="n">
        <v>74.63</v>
      </c>
      <c r="V38" s="32" t="n">
        <v>141.47</v>
      </c>
      <c r="W38" s="32" t="n">
        <v>27.04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Between 1.5 to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IF(B39=0,"",RANK(B39,$B$2:$B$95,0))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NRBBEARING</t>
        </is>
      </c>
      <c r="D39" s="31" t="inlineStr">
        <is>
          <t>NRB Bearings Ltd</t>
        </is>
      </c>
      <c r="E39" s="31" t="inlineStr">
        <is>
          <t>industrials</t>
        </is>
      </c>
      <c r="F39" s="31" t="inlineStr">
        <is>
          <t>Bearings</t>
        </is>
      </c>
      <c r="G39" s="31" t="inlineStr">
        <is>
          <t>smallcap</t>
        </is>
      </c>
      <c r="H39" s="32" t="n">
        <v>4222.92</v>
      </c>
      <c r="I39" s="32" t="n">
        <v>435.7</v>
      </c>
      <c r="J39" s="32" t="n">
        <v>-0.11</v>
      </c>
      <c r="K39" s="32" t="n">
        <v>0</v>
      </c>
      <c r="L39" s="31" t="n">
        <v>82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79.86</v>
      </c>
      <c r="P39" s="32" t="n">
        <v>29.49</v>
      </c>
      <c r="Q39" s="32" t="n">
        <v>340.73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-6.3</v>
      </c>
      <c r="U39" s="32" t="n">
        <v>78.08</v>
      </c>
      <c r="V39" s="32" t="n">
        <v>90.05</v>
      </c>
      <c r="W39" s="32" t="n">
        <v>29.95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PARAS</t>
        </is>
      </c>
      <c r="D40" s="31" t="inlineStr">
        <is>
          <t>Paras Defence and Space Technologies Ltd</t>
        </is>
      </c>
      <c r="E40" s="31" t="inlineStr">
        <is>
          <t>aerospace &amp; defence</t>
        </is>
      </c>
      <c r="F40" s="31" t="inlineStr">
        <is>
          <t>Aerospace &amp; Defence - Equipments</t>
        </is>
      </c>
      <c r="G40" s="31" t="inlineStr">
        <is>
          <t>midcap</t>
        </is>
      </c>
      <c r="H40" s="32" t="n">
        <v>7970.89</v>
      </c>
      <c r="I40" s="32" t="n">
        <v>989.1</v>
      </c>
      <c r="J40" s="32" t="n">
        <v>-4.94</v>
      </c>
      <c r="K40" s="32" t="n">
        <v>0</v>
      </c>
      <c r="L40" s="31" t="n">
        <v>55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68.63</v>
      </c>
      <c r="P40" s="32" t="n">
        <v>38.03</v>
      </c>
      <c r="Q40" s="32" t="n">
        <v>715.01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-6.3</v>
      </c>
      <c r="U40" s="32" t="n">
        <v>21.81</v>
      </c>
      <c r="V40" s="32" t="n">
        <v>29.99</v>
      </c>
      <c r="W40" s="32" t="n">
        <v>17.4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HSCL</t>
        </is>
      </c>
      <c r="D41" s="31" t="inlineStr">
        <is>
          <t>Himadri Speciality Chemical Ltd</t>
        </is>
      </c>
      <c r="E41" s="31" t="inlineStr">
        <is>
          <t>chemicals</t>
        </is>
      </c>
      <c r="F41" s="31" t="inlineStr">
        <is>
          <t>Carbon Black</t>
        </is>
      </c>
      <c r="G41" s="31" t="inlineStr">
        <is>
          <t>largecap</t>
        </is>
      </c>
      <c r="H41" s="32" t="n">
        <v>34311.35</v>
      </c>
      <c r="I41" s="32" t="n">
        <v>680.05</v>
      </c>
      <c r="J41" s="32" t="n">
        <v>-1.87</v>
      </c>
      <c r="K41" s="32" t="n">
        <v>0</v>
      </c>
      <c r="L41" s="31" t="n">
        <v>65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72.90000000000001</v>
      </c>
      <c r="P41" s="32" t="n">
        <v>30.36</v>
      </c>
      <c r="Q41" s="32" t="n">
        <v>521.61</v>
      </c>
      <c r="R41" s="31" t="inlineStr">
        <is>
          <t>Near 52W High Breakout</t>
        </is>
      </c>
      <c r="S41" s="31" t="inlineStr">
        <is>
          <t>Nifty 50</t>
        </is>
      </c>
      <c r="T41" s="32" t="n">
        <v>-6.3</v>
      </c>
      <c r="U41" s="32" t="n">
        <v>45.06</v>
      </c>
      <c r="V41" s="32" t="n">
        <v>54.81</v>
      </c>
      <c r="W41" s="32" t="n">
        <v>20.76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RAIN</t>
        </is>
      </c>
      <c r="D42" s="31" t="inlineStr">
        <is>
          <t>Rain Industries Ltd</t>
        </is>
      </c>
      <c r="E42" s="31" t="inlineStr">
        <is>
          <t>miscellaneous</t>
        </is>
      </c>
      <c r="F42" s="31" t="inlineStr">
        <is>
          <t>Cement</t>
        </is>
      </c>
      <c r="G42" s="31" t="inlineStr">
        <is>
          <t>midcap</t>
        </is>
      </c>
      <c r="H42" s="32" t="n">
        <v>6548.31</v>
      </c>
      <c r="I42" s="32" t="n">
        <v>194.69</v>
      </c>
      <c r="J42" s="32" t="n">
        <v>-1.84</v>
      </c>
      <c r="K42" s="32" t="n">
        <v>0</v>
      </c>
      <c r="L42" s="31" t="n">
        <v>74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71.09999999999999</v>
      </c>
      <c r="P42" s="32" t="n">
        <v>22.01</v>
      </c>
      <c r="Q42" s="32" t="n">
        <v>146.64</v>
      </c>
      <c r="R42" s="31" t="inlineStr">
        <is>
          <t>Near 52W High Breakout</t>
        </is>
      </c>
      <c r="S42" s="31" t="inlineStr">
        <is>
          <t>Nifty 50</t>
        </is>
      </c>
      <c r="T42" s="32" t="n">
        <v>-6.3</v>
      </c>
      <c r="U42" s="32" t="n">
        <v>31.48</v>
      </c>
      <c r="V42" s="32" t="n">
        <v>40.31</v>
      </c>
      <c r="W42" s="32" t="n">
        <v>24.57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More than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IF(B43=0,"",RANK(B43,$B$2:$B$95,0))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SANSERA</t>
        </is>
      </c>
      <c r="D43" s="34" t="inlineStr">
        <is>
          <t>Sansera Engineering Ltd</t>
        </is>
      </c>
      <c r="E43" s="31" t="inlineStr">
        <is>
          <t>auto</t>
        </is>
      </c>
      <c r="F43" s="31" t="inlineStr">
        <is>
          <t>Auto Ancillaries - Diversified</t>
        </is>
      </c>
      <c r="G43" s="31" t="inlineStr">
        <is>
          <t>midcap</t>
        </is>
      </c>
      <c r="H43" s="32" t="n">
        <v>17836.32</v>
      </c>
      <c r="I43" s="32" t="n">
        <v>2861.5</v>
      </c>
      <c r="J43" s="32" t="n">
        <v>-0.6899999999999999</v>
      </c>
      <c r="K43" s="32" t="n">
        <v>0</v>
      </c>
      <c r="L43" s="31" t="n">
        <v>79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70.62</v>
      </c>
      <c r="P43" s="32" t="n">
        <v>39.85</v>
      </c>
      <c r="Q43" s="32" t="n">
        <v>2288.85</v>
      </c>
      <c r="R43" s="31" t="inlineStr">
        <is>
          <t>Near 52W High Breakout</t>
        </is>
      </c>
      <c r="S43" s="31" t="inlineStr">
        <is>
          <t>Nifty Auto</t>
        </is>
      </c>
      <c r="T43" s="32" t="n">
        <v>10.56</v>
      </c>
      <c r="U43" s="32" t="n">
        <v>118.23</v>
      </c>
      <c r="V43" s="32" t="n">
        <v>97.39</v>
      </c>
      <c r="W43" s="32" t="n">
        <v>27.19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IF(B44=0,"",RANK(B44,$B$2:$B$95,0))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CEMPRO</t>
        </is>
      </c>
      <c r="D44" s="31" t="inlineStr">
        <is>
          <t>Cemindia Projects Ltd</t>
        </is>
      </c>
      <c r="E44" s="31" t="inlineStr">
        <is>
          <t>realty</t>
        </is>
      </c>
      <c r="F44" s="31" t="inlineStr">
        <is>
          <t>Infra - Construction &amp; Contracting</t>
        </is>
      </c>
      <c r="G44" s="31" t="inlineStr">
        <is>
          <t>largecap</t>
        </is>
      </c>
      <c r="H44" s="32" t="n">
        <v>20190.19</v>
      </c>
      <c r="I44" s="32" t="n">
        <v>1175.3</v>
      </c>
      <c r="J44" s="32" t="n">
        <v>-5</v>
      </c>
      <c r="K44" s="32" t="n">
        <v>0</v>
      </c>
      <c r="L44" s="31" t="n">
        <v>92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76.90000000000001</v>
      </c>
      <c r="P44" s="32" t="n">
        <v>37.3</v>
      </c>
      <c r="Q44" s="32" t="n">
        <v>883.8200000000001</v>
      </c>
      <c r="R44" s="31" t="inlineStr">
        <is>
          <t>Near 52W High Breakout</t>
        </is>
      </c>
      <c r="S44" s="31" t="inlineStr">
        <is>
          <t>Nifty Realty</t>
        </is>
      </c>
      <c r="T44" s="32" t="n">
        <v>-26.19</v>
      </c>
      <c r="U44" s="32" t="n">
        <v>53.06</v>
      </c>
      <c r="V44" s="32" t="n">
        <v>107.35</v>
      </c>
      <c r="W44" s="32" t="n">
        <v>41.71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17</t>
        </is>
      </c>
      <c r="CG44" s="31">
        <f>IF(CF44&gt;20,10,IF(CF44&gt;=10,5,2))</f>
        <v/>
      </c>
    </row>
    <row r="45">
      <c r="A45" s="31">
        <f>IF(B45=0,"",RANK(B45,$B$2:$B$95,0))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ACUTAAS</t>
        </is>
      </c>
      <c r="D45" s="31" t="inlineStr">
        <is>
          <t>Acutaas Chemicals Ltd</t>
        </is>
      </c>
      <c r="E45" s="31" t="inlineStr">
        <is>
          <t>healthcare</t>
        </is>
      </c>
      <c r="F45" s="31" t="inlineStr">
        <is>
          <t>Pharma - API &amp; CRAMS</t>
        </is>
      </c>
      <c r="G45" s="31" t="inlineStr">
        <is>
          <t>largecap</t>
        </is>
      </c>
      <c r="H45" s="32" t="n">
        <v>25610.11</v>
      </c>
      <c r="I45" s="32" t="n">
        <v>3128.1</v>
      </c>
      <c r="J45" s="32" t="n">
        <v>-2.46</v>
      </c>
      <c r="K45" s="32" t="n">
        <v>0</v>
      </c>
      <c r="L45" s="31" t="n">
        <v>87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71.09</v>
      </c>
      <c r="P45" s="32" t="n">
        <v>65.37</v>
      </c>
      <c r="Q45" s="32" t="n">
        <v>2575.1</v>
      </c>
      <c r="R45" s="31" t="inlineStr">
        <is>
          <t>Earnings / Momentum Support</t>
        </is>
      </c>
      <c r="S45" s="31" t="inlineStr">
        <is>
          <t>Nifty Pharma</t>
        </is>
      </c>
      <c r="T45" s="32" t="n">
        <v>10.56</v>
      </c>
      <c r="U45" s="32" t="n">
        <v>183.45</v>
      </c>
      <c r="V45" s="32" t="n">
        <v>156.38</v>
      </c>
      <c r="W45" s="32" t="n">
        <v>34.3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25</t>
        </is>
      </c>
      <c r="CG45" s="31">
        <f>IF(CF45&gt;20,10,IF(CF45&gt;=10,5,2))</f>
        <v/>
      </c>
    </row>
    <row r="46">
      <c r="A46" s="31">
        <f>IF(B46=0,"",RANK(B46,$B$2:$B$95,0))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3" t="inlineStr">
        <is>
          <t>SHILPAMED</t>
        </is>
      </c>
      <c r="D46" s="33" t="inlineStr">
        <is>
          <t>Shilpa Medicare Ltd</t>
        </is>
      </c>
      <c r="E46" s="31" t="inlineStr">
        <is>
          <t>healthcare</t>
        </is>
      </c>
      <c r="F46" s="31" t="inlineStr">
        <is>
          <t>Pharma - API &amp; CRAMS</t>
        </is>
      </c>
      <c r="G46" s="31" t="inlineStr">
        <is>
          <t>midcap</t>
        </is>
      </c>
      <c r="H46" s="32" t="n">
        <v>10538.93</v>
      </c>
      <c r="I46" s="32" t="n">
        <v>538.85</v>
      </c>
      <c r="J46" s="32" t="n">
        <v>-3.57</v>
      </c>
      <c r="K46" s="32" t="n">
        <v>0</v>
      </c>
      <c r="L46" s="31" t="n">
        <v>64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78.88</v>
      </c>
      <c r="P46" s="32" t="n">
        <v>44.75</v>
      </c>
      <c r="Q46" s="32" t="n">
        <v>416.03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10.56</v>
      </c>
      <c r="U46" s="32" t="n">
        <v>9.449999999999999</v>
      </c>
      <c r="V46" s="32" t="n">
        <v>-1</v>
      </c>
      <c r="W46" s="32" t="n">
        <v>20.61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CAPLIPOINT</t>
        </is>
      </c>
      <c r="D47" s="34" t="inlineStr">
        <is>
          <t>Caplin Point Laboratories Ltd</t>
        </is>
      </c>
      <c r="E47" s="31" t="inlineStr">
        <is>
          <t>healthcare</t>
        </is>
      </c>
      <c r="F47" s="31" t="inlineStr">
        <is>
          <t>Pharma - Formulators</t>
        </is>
      </c>
      <c r="G47" s="31" t="inlineStr">
        <is>
          <t>midcap</t>
        </is>
      </c>
      <c r="H47" s="32" t="n">
        <v>17718.33</v>
      </c>
      <c r="I47" s="32" t="n">
        <v>2331</v>
      </c>
      <c r="J47" s="32" t="n">
        <v>0.9399999999999999</v>
      </c>
      <c r="K47" s="32" t="n">
        <v>0</v>
      </c>
      <c r="L47" s="31" t="n">
        <v>32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74.68000000000001</v>
      </c>
      <c r="P47" s="32" t="n">
        <v>24.15</v>
      </c>
      <c r="Q47" s="32" t="n">
        <v>1903.02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10.56</v>
      </c>
      <c r="U47" s="32" t="n">
        <v>9.27</v>
      </c>
      <c r="V47" s="32" t="n">
        <v>-1.17</v>
      </c>
      <c r="W47" s="32" t="n">
        <v>11.63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IF(B48=0,"",RANK(B48,$B$2:$B$95,0))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SIGMAADV</t>
        </is>
      </c>
      <c r="D48" s="31" t="inlineStr">
        <is>
          <t>Sigma Advanced System Ltd</t>
        </is>
      </c>
      <c r="E48" s="31" t="inlineStr">
        <is>
          <t>aerospace &amp; defence</t>
        </is>
      </c>
      <c r="F48" s="31" t="inlineStr">
        <is>
          <t>Aerospace &amp; Defence - Equipments</t>
        </is>
      </c>
      <c r="G48" s="31" t="inlineStr">
        <is>
          <t>midcap</t>
        </is>
      </c>
      <c r="H48" s="32" t="n">
        <v>8499.16</v>
      </c>
      <c r="I48" s="32" t="n">
        <v>482.25</v>
      </c>
      <c r="J48" s="32" t="n">
        <v>5</v>
      </c>
      <c r="K48" s="32" t="n">
        <v>0</v>
      </c>
      <c r="L48" s="31" t="n">
        <v>99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86.22</v>
      </c>
      <c r="P48" s="32" t="n">
        <v>38.85</v>
      </c>
      <c r="Q48" s="32" t="n">
        <v>367.61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-6.3</v>
      </c>
      <c r="U48" s="32" t="n">
        <v>387.22</v>
      </c>
      <c r="V48" s="32" t="n">
        <v>419.97</v>
      </c>
      <c r="W48" s="32" t="n">
        <v>103.74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31</t>
        </is>
      </c>
      <c r="CG48" s="31">
        <f>IF(CF48&gt;20,10,IF(CF48&gt;=10,5,2))</f>
        <v/>
      </c>
    </row>
    <row r="49">
      <c r="A49" s="31">
        <f>IF(B49=0,"",RANK(B49,$B$2:$B$95,0))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KERNEX</t>
        </is>
      </c>
      <c r="D49" s="31" t="inlineStr">
        <is>
          <t>Kernex Microsystems (India) Ltd</t>
        </is>
      </c>
      <c r="E49" s="31" t="inlineStr">
        <is>
          <t>consumer discretionary</t>
        </is>
      </c>
      <c r="F49" s="31" t="inlineStr">
        <is>
          <t>Railways - Kavach/Springs</t>
        </is>
      </c>
      <c r="G49" s="31" t="inlineStr">
        <is>
          <t>smallcap</t>
        </is>
      </c>
      <c r="H49" s="32" t="n">
        <v>3181.87</v>
      </c>
      <c r="I49" s="32" t="n">
        <v>1893.7</v>
      </c>
      <c r="J49" s="32" t="n">
        <v>-1.62</v>
      </c>
      <c r="K49" s="32" t="n">
        <v>0</v>
      </c>
      <c r="L49" s="31" t="n">
        <v>85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71.45999999999999</v>
      </c>
      <c r="P49" s="32" t="n">
        <v>30.94</v>
      </c>
      <c r="Q49" s="32" t="n">
        <v>1374.23</v>
      </c>
      <c r="R49" s="31" t="inlineStr">
        <is>
          <t>Near 52W High Breakout</t>
        </is>
      </c>
      <c r="S49" s="31" t="inlineStr">
        <is>
          <t>Nifty 50</t>
        </is>
      </c>
      <c r="T49" s="32" t="n">
        <v>-6.3</v>
      </c>
      <c r="U49" s="32" t="n">
        <v>45.52</v>
      </c>
      <c r="V49" s="32" t="n">
        <v>55.31</v>
      </c>
      <c r="W49" s="32" t="n">
        <v>31.8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Negative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25</t>
        </is>
      </c>
      <c r="CG49" s="31">
        <f>IF(CF49&gt;20,10,IF(CF49&gt;=10,5,2))</f>
        <v/>
      </c>
    </row>
    <row r="50">
      <c r="A50" s="31">
        <f>IF(B50=0,"",RANK(B50,$B$2:$B$95,0))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MODISONLTD</t>
        </is>
      </c>
      <c r="D50" s="31" t="inlineStr">
        <is>
          <t>Modison Ltd</t>
        </is>
      </c>
      <c r="E50" s="31" t="inlineStr">
        <is>
          <t>industrials</t>
        </is>
      </c>
      <c r="F50" s="31" t="inlineStr">
        <is>
          <t>Capital Goods - Electric General</t>
        </is>
      </c>
      <c r="G50" s="31" t="inlineStr">
        <is>
          <t>smallcap</t>
        </is>
      </c>
      <c r="H50" s="32" t="n">
        <v>1041.48</v>
      </c>
      <c r="I50" s="32" t="n">
        <v>320.95</v>
      </c>
      <c r="J50" s="32" t="n">
        <v>3.18</v>
      </c>
      <c r="K50" s="32" t="n">
        <v>0</v>
      </c>
      <c r="L50" s="31" t="n">
        <v>98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75.05</v>
      </c>
      <c r="P50" s="32" t="n">
        <v>34.44</v>
      </c>
      <c r="Q50" s="32" t="n">
        <v>270.99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-6.3</v>
      </c>
      <c r="U50" s="32" t="n">
        <v>101.46</v>
      </c>
      <c r="V50" s="32" t="n">
        <v>115</v>
      </c>
      <c r="W50" s="32" t="n">
        <v>63.19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25</t>
        </is>
      </c>
      <c r="CG50" s="31">
        <f>IF(CF50&gt;20,10,IF(CF50&gt;=10,5,2))</f>
        <v/>
      </c>
    </row>
    <row r="51">
      <c r="A51" s="31">
        <f>IF(B51=0,"",RANK(B51,$B$2:$B$95,0))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RRKABEL</t>
        </is>
      </c>
      <c r="D51" s="31" t="inlineStr">
        <is>
          <t>R R Kabel Ltd</t>
        </is>
      </c>
      <c r="E51" s="31" t="inlineStr">
        <is>
          <t>industrials</t>
        </is>
      </c>
      <c r="F51" s="31" t="inlineStr">
        <is>
          <t>Cables - Power</t>
        </is>
      </c>
      <c r="G51" s="31" t="inlineStr">
        <is>
          <t>largecap</t>
        </is>
      </c>
      <c r="H51" s="32" t="n">
        <v>24069.98</v>
      </c>
      <c r="I51" s="32" t="n">
        <v>2128.1</v>
      </c>
      <c r="J51" s="32" t="n">
        <v>-1.82</v>
      </c>
      <c r="K51" s="32" t="n">
        <v>0</v>
      </c>
      <c r="L51" s="31" t="n">
        <v>70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72.23999999999999</v>
      </c>
      <c r="P51" s="32" t="n">
        <v>35.45</v>
      </c>
      <c r="Q51" s="32" t="n">
        <v>1757.48</v>
      </c>
      <c r="R51" s="31" t="inlineStr">
        <is>
          <t>Near 52W High Breakout</t>
        </is>
      </c>
      <c r="S51" s="31" t="inlineStr">
        <is>
          <t>Nifty Energy</t>
        </is>
      </c>
      <c r="T51" s="32" t="n">
        <v>8.16</v>
      </c>
      <c r="U51" s="32" t="n">
        <v>57.14</v>
      </c>
      <c r="V51" s="32" t="n">
        <v>45.29</v>
      </c>
      <c r="W51" s="32" t="n">
        <v>23.52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RPEL</t>
        </is>
      </c>
      <c r="D52" s="31" t="inlineStr">
        <is>
          <t>Raghav Productivity Enhancers Ltd</t>
        </is>
      </c>
      <c r="E52" s="31" t="inlineStr">
        <is>
          <t>building materials</t>
        </is>
      </c>
      <c r="F52" s="31" t="inlineStr">
        <is>
          <t>Steel Products</t>
        </is>
      </c>
      <c r="G52" s="31" t="inlineStr">
        <is>
          <t>midcap</t>
        </is>
      </c>
      <c r="H52" s="32" t="n">
        <v>5340.03</v>
      </c>
      <c r="I52" s="32" t="n">
        <v>1162.85</v>
      </c>
      <c r="J52" s="32" t="n">
        <v>1.09</v>
      </c>
      <c r="K52" s="32" t="n">
        <v>0</v>
      </c>
      <c r="L52" s="31" t="n">
        <v>85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75.95999999999999</v>
      </c>
      <c r="P52" s="32" t="n">
        <v>30.26</v>
      </c>
      <c r="Q52" s="32" t="n">
        <v>876.67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0.59</v>
      </c>
      <c r="U52" s="32" t="n">
        <v>63.97</v>
      </c>
      <c r="V52" s="32" t="n">
        <v>63</v>
      </c>
      <c r="W52" s="32" t="n">
        <v>32.81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SIS</t>
        </is>
      </c>
      <c r="D53" s="31" t="inlineStr">
        <is>
          <t>SIS Ltd</t>
        </is>
      </c>
      <c r="E53" s="31" t="inlineStr">
        <is>
          <t>miscellaneous</t>
        </is>
      </c>
      <c r="F53" s="31" t="inlineStr">
        <is>
          <t>Facility Management</t>
        </is>
      </c>
      <c r="G53" s="31" t="inlineStr">
        <is>
          <t>midcap</t>
        </is>
      </c>
      <c r="H53" s="32" t="n">
        <v>6056.62</v>
      </c>
      <c r="I53" s="32" t="n">
        <v>428.65</v>
      </c>
      <c r="J53" s="32" t="n">
        <v>3.18</v>
      </c>
      <c r="K53" s="32" t="n">
        <v>0</v>
      </c>
      <c r="L53" s="31" t="n">
        <v>51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77.16</v>
      </c>
      <c r="P53" s="32" t="n">
        <v>38.55</v>
      </c>
      <c r="Q53" s="32" t="n">
        <v>340.97</v>
      </c>
      <c r="R53" s="31" t="inlineStr">
        <is>
          <t>Near 52W High Breakout</t>
        </is>
      </c>
      <c r="S53" s="31" t="inlineStr">
        <is>
          <t>Nifty 50</t>
        </is>
      </c>
      <c r="T53" s="32" t="n">
        <v>-6.3</v>
      </c>
      <c r="U53" s="32" t="n">
        <v>18.15</v>
      </c>
      <c r="V53" s="32" t="n">
        <v>26.09</v>
      </c>
      <c r="W53" s="32" t="n">
        <v>16.39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CRAFTSMAN</t>
        </is>
      </c>
      <c r="D54" s="31" t="inlineStr">
        <is>
          <t>Craftsman Automation Ltd</t>
        </is>
      </c>
      <c r="E54" s="31" t="inlineStr">
        <is>
          <t>Consumer Cyclical</t>
        </is>
      </c>
      <c r="F54" s="31" t="inlineStr">
        <is>
          <t>Auto &amp; Auto Ancl - CV</t>
        </is>
      </c>
      <c r="G54" s="31" t="inlineStr">
        <is>
          <t>largecap</t>
        </is>
      </c>
      <c r="H54" s="32" t="n">
        <v>20975.02</v>
      </c>
      <c r="I54" s="32" t="n">
        <v>8792.5</v>
      </c>
      <c r="J54" s="32" t="n">
        <v>-2.16</v>
      </c>
      <c r="K54" s="32" t="n">
        <v>0</v>
      </c>
      <c r="L54" s="31" t="n">
        <v>57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62.36</v>
      </c>
      <c r="P54" s="32" t="n">
        <v>32.61</v>
      </c>
      <c r="Q54" s="32" t="n">
        <v>7056.85</v>
      </c>
      <c r="R54" s="31" t="inlineStr">
        <is>
          <t>Near 52W High Breakout</t>
        </is>
      </c>
      <c r="S54" s="31" t="inlineStr">
        <is>
          <t>Nifty Auto</t>
        </is>
      </c>
      <c r="T54" s="32" t="n">
        <v>10.56</v>
      </c>
      <c r="U54" s="32" t="n">
        <v>65.98999999999999</v>
      </c>
      <c r="V54" s="32" t="n">
        <v>50.14</v>
      </c>
      <c r="W54" s="32" t="n">
        <v>17.96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 and Borrowings are increasing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VADILALIND</t>
        </is>
      </c>
      <c r="D55" s="31" t="inlineStr">
        <is>
          <t>Vadilal Industries Ltd</t>
        </is>
      </c>
      <c r="E55" s="31" t="inlineStr">
        <is>
          <t>fmcg</t>
        </is>
      </c>
      <c r="F55" s="31" t="inlineStr">
        <is>
          <t>FMCG - Dairy Products</t>
        </is>
      </c>
      <c r="G55" s="31" t="inlineStr">
        <is>
          <t>smallcap</t>
        </is>
      </c>
      <c r="H55" s="32" t="n">
        <v>4270.22</v>
      </c>
      <c r="I55" s="32" t="n">
        <v>5940.9</v>
      </c>
      <c r="J55" s="32" t="n">
        <v>0.24</v>
      </c>
      <c r="K55" s="32" t="n">
        <v>0</v>
      </c>
      <c r="L55" s="31" t="n">
        <v>20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65.70999999999999</v>
      </c>
      <c r="P55" s="32" t="n">
        <v>12.8</v>
      </c>
      <c r="Q55" s="32" t="n">
        <v>4537.9</v>
      </c>
      <c r="R55" s="31" t="inlineStr">
        <is>
          <t>Near 52W High Breakout</t>
        </is>
      </c>
      <c r="S55" s="31" t="inlineStr">
        <is>
          <t>Nifty FMCG</t>
        </is>
      </c>
      <c r="T55" s="32" t="n">
        <v>-11.01</v>
      </c>
      <c r="U55" s="32" t="n">
        <v>11.77</v>
      </c>
      <c r="V55" s="32" t="n">
        <v>25.6</v>
      </c>
      <c r="W55" s="32" t="n">
        <v>8.4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30</t>
        </is>
      </c>
      <c r="CG55" s="31">
        <f>IF(CF55&gt;20,10,IF(CF55&gt;=10,5,2))</f>
        <v/>
      </c>
    </row>
    <row r="56">
      <c r="A56" s="31">
        <f>IF(B56=0,"",RANK(B56,$B$2:$B$95,0))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APOLLO</t>
        </is>
      </c>
      <c r="D56" s="31" t="inlineStr">
        <is>
          <t>Apollo Micro Systems Ltd</t>
        </is>
      </c>
      <c r="E56" s="31" t="inlineStr">
        <is>
          <t>Industrials</t>
        </is>
      </c>
      <c r="F56" s="31" t="inlineStr">
        <is>
          <t>Aerospace &amp; Defence - Equipments</t>
        </is>
      </c>
      <c r="G56" s="31" t="inlineStr">
        <is>
          <t>midcap</t>
        </is>
      </c>
      <c r="H56" s="32" t="n">
        <v>13769.37</v>
      </c>
      <c r="I56" s="32" t="n">
        <v>381.75</v>
      </c>
      <c r="J56" s="32" t="n">
        <v>-4.09</v>
      </c>
      <c r="K56" s="32" t="n">
        <v>0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65.65000000000001</v>
      </c>
      <c r="P56" s="32" t="n">
        <v>33.81</v>
      </c>
      <c r="Q56" s="32" t="n">
        <v>298.51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-6.3</v>
      </c>
      <c r="U56" s="32" t="n">
        <v>96.92</v>
      </c>
      <c r="V56" s="32" t="n">
        <v>110.16</v>
      </c>
      <c r="W56" s="32" t="n">
        <v>40.98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Fully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Yes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VIYASH</t>
        </is>
      </c>
      <c r="D57" s="31" t="inlineStr">
        <is>
          <t>Viyash Scientific Ltd</t>
        </is>
      </c>
      <c r="E57" s="31" t="inlineStr">
        <is>
          <t>healthcare</t>
        </is>
      </c>
      <c r="F57" s="31" t="inlineStr">
        <is>
          <t>Pharma - Animal</t>
        </is>
      </c>
      <c r="G57" s="31" t="inlineStr">
        <is>
          <t>midcap</t>
        </is>
      </c>
      <c r="H57" s="32" t="n">
        <v>10886.94</v>
      </c>
      <c r="I57" s="32" t="n">
        <v>249.2</v>
      </c>
      <c r="J57" s="32" t="n">
        <v>-1.23</v>
      </c>
      <c r="K57" s="32" t="n">
        <v>0</v>
      </c>
      <c r="L57" s="31" t="n">
        <v>30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64.76000000000001</v>
      </c>
      <c r="P57" s="32" t="n">
        <v>30.46</v>
      </c>
      <c r="Q57" s="32" t="n">
        <v>197.49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10.56</v>
      </c>
      <c r="U57" s="32" t="n">
        <v>26.33</v>
      </c>
      <c r="V57" s="32" t="n">
        <v>14.26</v>
      </c>
      <c r="W57" s="32" t="n">
        <v>10.82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HFCL</t>
        </is>
      </c>
      <c r="D58" s="31" t="inlineStr">
        <is>
          <t>HFCL Ltd</t>
        </is>
      </c>
      <c r="E58" s="31" t="inlineStr">
        <is>
          <t>Technology</t>
        </is>
      </c>
      <c r="F58" s="31" t="inlineStr">
        <is>
          <t>Telecom Services</t>
        </is>
      </c>
      <c r="G58" s="31" t="inlineStr">
        <is>
          <t>largecap</t>
        </is>
      </c>
      <c r="H58" s="32" t="n">
        <v>25052.9</v>
      </c>
      <c r="I58" s="32" t="n">
        <v>163.68</v>
      </c>
      <c r="J58" s="32" t="n">
        <v>-3.21</v>
      </c>
      <c r="K58" s="32" t="n">
        <v>0</v>
      </c>
      <c r="L58" s="31" t="n">
        <v>95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74.08</v>
      </c>
      <c r="P58" s="32" t="n">
        <v>47.3</v>
      </c>
      <c r="Q58" s="32" t="n">
        <v>140.86</v>
      </c>
      <c r="R58" s="31" t="inlineStr">
        <is>
          <t>Earnings / Momentum Support</t>
        </is>
      </c>
      <c r="S58" s="31" t="inlineStr">
        <is>
          <t>Nifty 50</t>
        </is>
      </c>
      <c r="T58" s="32" t="n">
        <v>-6.3</v>
      </c>
      <c r="U58" s="32" t="n">
        <v>88.84</v>
      </c>
      <c r="V58" s="32" t="n">
        <v>101.54</v>
      </c>
      <c r="W58" s="32" t="n">
        <v>47.68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IF(B59=0,"",RANK(B59,$B$2:$B$95,0))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MINDACORP</t>
        </is>
      </c>
      <c r="D59" s="31" t="inlineStr">
        <is>
          <t>Minda Corporation Ltd</t>
        </is>
      </c>
      <c r="E59" s="31" t="inlineStr">
        <is>
          <t>auto</t>
        </is>
      </c>
      <c r="F59" s="31" t="inlineStr">
        <is>
          <t>Auto Ancillaries - Diversified</t>
        </is>
      </c>
      <c r="G59" s="31" t="inlineStr">
        <is>
          <t>midcap</t>
        </is>
      </c>
      <c r="H59" s="32" t="n">
        <v>15131.34</v>
      </c>
      <c r="I59" s="32" t="n">
        <v>632.9</v>
      </c>
      <c r="J59" s="32" t="n">
        <v>-2.35</v>
      </c>
      <c r="K59" s="32" t="n">
        <v>0</v>
      </c>
      <c r="L59" s="31" t="n">
        <v>29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63.26</v>
      </c>
      <c r="P59" s="32" t="n">
        <v>19.81</v>
      </c>
      <c r="Q59" s="32" t="n">
        <v>513.36</v>
      </c>
      <c r="R59" s="31" t="inlineStr">
        <is>
          <t>Near 52W High Breakout</t>
        </is>
      </c>
      <c r="S59" s="31" t="inlineStr">
        <is>
          <t>Nifty Auto</t>
        </is>
      </c>
      <c r="T59" s="32" t="n">
        <v>10.56</v>
      </c>
      <c r="U59" s="32" t="n">
        <v>16.01</v>
      </c>
      <c r="V59" s="32" t="n">
        <v>4.93</v>
      </c>
      <c r="W59" s="32" t="n">
        <v>10.71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SKIPPER</t>
        </is>
      </c>
      <c r="D60" s="31" t="inlineStr">
        <is>
          <t>Skipper Ltd</t>
        </is>
      </c>
      <c r="E60" s="31" t="inlineStr">
        <is>
          <t>Industrials</t>
        </is>
      </c>
      <c r="F60" s="31" t="inlineStr">
        <is>
          <t>Electrical Equipments/HVDC</t>
        </is>
      </c>
      <c r="G60" s="31" t="inlineStr">
        <is>
          <t>midcap</t>
        </is>
      </c>
      <c r="H60" s="32" t="n">
        <v>5881.77</v>
      </c>
      <c r="I60" s="32" t="n">
        <v>520.8</v>
      </c>
      <c r="J60" s="32" t="n">
        <v>-2.65</v>
      </c>
      <c r="K60" s="32" t="n">
        <v>0</v>
      </c>
      <c r="L60" s="31" t="n">
        <v>39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62.69</v>
      </c>
      <c r="P60" s="32" t="n">
        <v>33.02</v>
      </c>
      <c r="Q60" s="32" t="n">
        <v>416.1</v>
      </c>
      <c r="R60" s="31" t="inlineStr">
        <is>
          <t>Earnings / Momentum Support</t>
        </is>
      </c>
      <c r="S60" s="31" t="inlineStr">
        <is>
          <t>Nifty Infra</t>
        </is>
      </c>
      <c r="T60" s="32" t="n">
        <v>0.59</v>
      </c>
      <c r="U60" s="32" t="n">
        <v>2.01</v>
      </c>
      <c r="V60" s="32" t="n">
        <v>1.41</v>
      </c>
      <c r="W60" s="32" t="n">
        <v>13.25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24</t>
        </is>
      </c>
      <c r="CG60" s="31">
        <f>IF(CF60&gt;20,10,IF(CF60&gt;=10,5,2))</f>
        <v/>
      </c>
    </row>
    <row r="61">
      <c r="A61" s="31">
        <f>IF(B61=0,"",RANK(B61,$B$2:$B$95,0))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PSPPROJECT</t>
        </is>
      </c>
      <c r="D61" s="34" t="inlineStr">
        <is>
          <t>PSP Projects Ltd</t>
        </is>
      </c>
      <c r="E61" s="31" t="inlineStr">
        <is>
          <t>realty</t>
        </is>
      </c>
      <c r="F61" s="31" t="inlineStr">
        <is>
          <t>Construction &amp; Contracting</t>
        </is>
      </c>
      <c r="G61" s="31" t="inlineStr">
        <is>
          <t>smallcap</t>
        </is>
      </c>
      <c r="H61" s="32" t="n">
        <v>3480.15</v>
      </c>
      <c r="I61" s="32" t="n">
        <v>877.9</v>
      </c>
      <c r="J61" s="32" t="n">
        <v>-1.15</v>
      </c>
      <c r="K61" s="32" t="n">
        <v>0</v>
      </c>
      <c r="L61" s="31" t="n">
        <v>40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60.72</v>
      </c>
      <c r="P61" s="32" t="n">
        <v>23.51</v>
      </c>
      <c r="Q61" s="32" t="n">
        <v>631.95</v>
      </c>
      <c r="R61" s="31" t="inlineStr">
        <is>
          <t>Earnings / Momentum Support</t>
        </is>
      </c>
      <c r="S61" s="31" t="inlineStr">
        <is>
          <t>Nifty Realty</t>
        </is>
      </c>
      <c r="T61" s="32" t="n">
        <v>-26.19</v>
      </c>
      <c r="U61" s="32" t="n">
        <v>25.66</v>
      </c>
      <c r="V61" s="32" t="n">
        <v>70.23</v>
      </c>
      <c r="W61" s="32" t="n">
        <v>13.32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ADVAIT</t>
        </is>
      </c>
      <c r="D62" s="34" t="inlineStr">
        <is>
          <t>Advait Energy Transitions Limited</t>
        </is>
      </c>
      <c r="E62" s="31" t="inlineStr">
        <is>
          <t>Industrials</t>
        </is>
      </c>
      <c r="F62" s="31" t="inlineStr">
        <is>
          <t>EPC</t>
        </is>
      </c>
      <c r="G62" s="31" t="inlineStr">
        <is>
          <t>smallcap</t>
        </is>
      </c>
      <c r="H62" s="32" t="n">
        <v>2434.82</v>
      </c>
      <c r="I62" s="32" t="n">
        <v>2225</v>
      </c>
      <c r="J62" s="32" t="n">
        <v>-0.86</v>
      </c>
      <c r="K62" s="32" t="n">
        <v>0</v>
      </c>
      <c r="L62" s="31" t="n">
        <v>38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67.31999999999999</v>
      </c>
      <c r="P62" s="32" t="n">
        <v>28.18</v>
      </c>
      <c r="Q62" s="32" t="n">
        <v>1551.5</v>
      </c>
      <c r="R62" s="31" t="inlineStr">
        <is>
          <t>Near 52W High Breakout</t>
        </is>
      </c>
      <c r="S62" s="31" t="inlineStr">
        <is>
          <t>Nifty 50</t>
        </is>
      </c>
      <c r="T62" s="32" t="n">
        <v>-6.3</v>
      </c>
      <c r="U62" s="32" t="n">
        <v>9.109999999999999</v>
      </c>
      <c r="V62" s="32" t="n">
        <v>16.45</v>
      </c>
      <c r="W62" s="32" t="n">
        <v>13.2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HONASA</t>
        </is>
      </c>
      <c r="D63" s="31" t="inlineStr">
        <is>
          <t>Honasa Consumer Ltd</t>
        </is>
      </c>
      <c r="E63" s="31" t="inlineStr">
        <is>
          <t>services</t>
        </is>
      </c>
      <c r="F63" s="31" t="inlineStr">
        <is>
          <t>New age - Platform - E-Retail</t>
        </is>
      </c>
      <c r="G63" s="31" t="inlineStr">
        <is>
          <t>midcap</t>
        </is>
      </c>
      <c r="H63" s="32" t="n">
        <v>13589.07</v>
      </c>
      <c r="I63" s="32" t="n">
        <v>417.65</v>
      </c>
      <c r="J63" s="32" t="n">
        <v>0.74</v>
      </c>
      <c r="K63" s="32" t="n">
        <v>0</v>
      </c>
      <c r="L63" s="31" t="n">
        <v>62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76.65000000000001</v>
      </c>
      <c r="P63" s="32" t="n">
        <v>31.24</v>
      </c>
      <c r="Q63" s="32" t="n">
        <v>334.62</v>
      </c>
      <c r="R63" s="31" t="inlineStr">
        <is>
          <t>Near 52W High Breakout</t>
        </is>
      </c>
      <c r="S63" s="31" t="inlineStr">
        <is>
          <t>Nifty 50</t>
        </is>
      </c>
      <c r="T63" s="32" t="n">
        <v>-6.3</v>
      </c>
      <c r="U63" s="32" t="n">
        <v>36.02</v>
      </c>
      <c r="V63" s="32" t="n">
        <v>45.16</v>
      </c>
      <c r="W63" s="32" t="n">
        <v>19.66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18</t>
        </is>
      </c>
      <c r="CG63" s="31">
        <f>IF(CF63&gt;20,10,IF(CF63&gt;=10,5,2))</f>
        <v/>
      </c>
    </row>
    <row r="64">
      <c r="A64" s="31">
        <f>IF(B64=0,"",RANK(B64,$B$2:$B$95,0))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VINCOFE</t>
        </is>
      </c>
      <c r="D64" s="34" t="inlineStr">
        <is>
          <t>Vintage Coffee &amp; Beverages Ltd</t>
        </is>
      </c>
      <c r="E64" s="31" t="inlineStr">
        <is>
          <t>consumer discretionary</t>
        </is>
      </c>
      <c r="F64" s="31" t="inlineStr">
        <is>
          <t>FMCG - Coffee</t>
        </is>
      </c>
      <c r="G64" s="31" t="inlineStr">
        <is>
          <t>smallcap</t>
        </is>
      </c>
      <c r="H64" s="32" t="n">
        <v>2321.54</v>
      </c>
      <c r="I64" s="32" t="n">
        <v>159.35</v>
      </c>
      <c r="J64" s="32" t="n">
        <v>1.98</v>
      </c>
      <c r="K64" s="32" t="n">
        <v>0</v>
      </c>
      <c r="L64" s="31" t="n">
        <v>36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60.46</v>
      </c>
      <c r="P64" s="32" t="n">
        <v>12.75</v>
      </c>
      <c r="Q64" s="32" t="n">
        <v>117.84</v>
      </c>
      <c r="R64" s="31" t="inlineStr">
        <is>
          <t>Volume Spike / Accumulation</t>
        </is>
      </c>
      <c r="S64" s="31" t="inlineStr">
        <is>
          <t>Nifty 50</t>
        </is>
      </c>
      <c r="T64" s="32" t="n">
        <v>-6.3</v>
      </c>
      <c r="U64" s="32" t="n">
        <v>27.1</v>
      </c>
      <c r="V64" s="32" t="n">
        <v>35.65</v>
      </c>
      <c r="W64" s="32" t="n">
        <v>12.63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SUNSHIEL</t>
        </is>
      </c>
      <c r="D65" s="34" t="inlineStr">
        <is>
          <t>Sunshield Chemicals Ltd</t>
        </is>
      </c>
      <c r="E65" s="31" t="inlineStr">
        <is>
          <t>Basic Materials</t>
        </is>
      </c>
      <c r="F65" s="31" t="inlineStr">
        <is>
          <t>Speciality Chemicals</t>
        </is>
      </c>
      <c r="G65" s="31" t="inlineStr">
        <is>
          <t>smallcap</t>
        </is>
      </c>
      <c r="H65" s="32" t="n">
        <v>1072.97</v>
      </c>
      <c r="I65" s="32" t="n">
        <v>1220</v>
      </c>
      <c r="J65" s="32" t="n">
        <v>2.8</v>
      </c>
      <c r="K65" s="32" t="n">
        <v>0</v>
      </c>
      <c r="L65" s="31" t="n">
        <v>74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73.98</v>
      </c>
      <c r="P65" s="32" t="n">
        <v>23.1</v>
      </c>
      <c r="Q65" s="32" t="n">
        <v>874.89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-6.3</v>
      </c>
      <c r="U65" s="32" t="n">
        <v>59.89</v>
      </c>
      <c r="V65" s="32" t="n">
        <v>70.64</v>
      </c>
      <c r="W65" s="32" t="n">
        <v>24.42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SANDHAR</t>
        </is>
      </c>
      <c r="D66" s="31" t="inlineStr">
        <is>
          <t>Sandhar Technologies Limited</t>
        </is>
      </c>
      <c r="E66" s="31" t="inlineStr">
        <is>
          <t>auto</t>
        </is>
      </c>
      <c r="F66" s="31" t="inlineStr">
        <is>
          <t>Auto Ancillaries - 2&amp;3 Wheelers</t>
        </is>
      </c>
      <c r="G66" s="31" t="inlineStr">
        <is>
          <t>smallcap</t>
        </is>
      </c>
      <c r="H66" s="32" t="n">
        <v>4421.91</v>
      </c>
      <c r="I66" s="32" t="n">
        <v>734.65</v>
      </c>
      <c r="J66" s="32" t="n">
        <v>2.25</v>
      </c>
      <c r="K66" s="32" t="n">
        <v>0</v>
      </c>
      <c r="L66" s="31" t="n">
        <v>62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73.48999999999999</v>
      </c>
      <c r="P66" s="32" t="n">
        <v>19.29</v>
      </c>
      <c r="Q66" s="32" t="n">
        <v>553.91</v>
      </c>
      <c r="R66" s="31" t="inlineStr">
        <is>
          <t>Near 52W High Breakout</t>
        </is>
      </c>
      <c r="S66" s="31" t="inlineStr">
        <is>
          <t>Nifty Auto</t>
        </is>
      </c>
      <c r="T66" s="32" t="n">
        <v>10.56</v>
      </c>
      <c r="U66" s="32" t="n">
        <v>38.44</v>
      </c>
      <c r="V66" s="32" t="n">
        <v>25.22</v>
      </c>
      <c r="W66" s="32" t="n">
        <v>19.71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SFL</t>
        </is>
      </c>
      <c r="D67" s="34" t="inlineStr">
        <is>
          <t>Sheela Foam Ltd</t>
        </is>
      </c>
      <c r="E67" s="31" t="inlineStr">
        <is>
          <t>consumer discretionary</t>
        </is>
      </c>
      <c r="F67" s="31" t="inlineStr">
        <is>
          <t>Mattress</t>
        </is>
      </c>
      <c r="G67" s="31" t="inlineStr">
        <is>
          <t>midcap</t>
        </is>
      </c>
      <c r="H67" s="32" t="n">
        <v>7429.35</v>
      </c>
      <c r="I67" s="32" t="n">
        <v>680.35</v>
      </c>
      <c r="J67" s="32" t="n">
        <v>-2.33</v>
      </c>
      <c r="K67" s="32" t="n">
        <v>0</v>
      </c>
      <c r="L67" s="31" t="n">
        <v>20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63.87</v>
      </c>
      <c r="P67" s="32" t="n">
        <v>19.55</v>
      </c>
      <c r="Q67" s="32" t="n">
        <v>512.38</v>
      </c>
      <c r="R67" s="31" t="inlineStr">
        <is>
          <t>Volume Spike / Accumulation</t>
        </is>
      </c>
      <c r="S67" s="31" t="inlineStr">
        <is>
          <t>Nifty 50</t>
        </is>
      </c>
      <c r="T67" s="32" t="n">
        <v>-6.3</v>
      </c>
      <c r="U67" s="32" t="n">
        <v>1.97</v>
      </c>
      <c r="V67" s="32" t="n">
        <v>8.83</v>
      </c>
      <c r="W67" s="32" t="n">
        <v>8.43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ANTELOPUS</t>
        </is>
      </c>
      <c r="D68" s="31" t="inlineStr">
        <is>
          <t>Antelopus Selan Energy Ltd</t>
        </is>
      </c>
      <c r="E68" s="31" t="inlineStr">
        <is>
          <t>energy</t>
        </is>
      </c>
      <c r="F68" s="31" t="inlineStr">
        <is>
          <t>Oil Drilling &amp; Exploration</t>
        </is>
      </c>
      <c r="G68" s="31" t="inlineStr">
        <is>
          <t>smallcap</t>
        </is>
      </c>
      <c r="H68" s="32" t="n">
        <v>3022.73</v>
      </c>
      <c r="I68" s="32" t="n">
        <v>859.65</v>
      </c>
      <c r="J68" s="32" t="n">
        <v>4.99</v>
      </c>
      <c r="K68" s="32" t="n">
        <v>0</v>
      </c>
      <c r="L68" s="31" t="n">
        <v>63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67.48999999999999</v>
      </c>
      <c r="P68" s="32" t="n">
        <v>43.53</v>
      </c>
      <c r="Q68" s="32" t="n">
        <v>621.86</v>
      </c>
      <c r="R68" s="31" t="inlineStr">
        <is>
          <t>Near 52W High Breakout</t>
        </is>
      </c>
      <c r="S68" s="31" t="inlineStr">
        <is>
          <t>Nifty Energy</t>
        </is>
      </c>
      <c r="T68" s="32" t="n">
        <v>8.16</v>
      </c>
      <c r="U68" s="32" t="n">
        <v>17.53</v>
      </c>
      <c r="V68" s="32" t="n">
        <v>8.67</v>
      </c>
      <c r="W68" s="32" t="n">
        <v>20.19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DIFFNKG</t>
        </is>
      </c>
      <c r="D69" s="34" t="inlineStr">
        <is>
          <t>Diffusion Engineers Ltd</t>
        </is>
      </c>
      <c r="E69" s="31" t="inlineStr">
        <is>
          <t>industrials</t>
        </is>
      </c>
      <c r="F69" s="31" t="inlineStr">
        <is>
          <t>Welding Equipments</t>
        </is>
      </c>
      <c r="G69" s="31" t="inlineStr">
        <is>
          <t>smallcap</t>
        </is>
      </c>
      <c r="H69" s="32" t="n">
        <v>1356.33</v>
      </c>
      <c r="I69" s="32" t="n">
        <v>362.4</v>
      </c>
      <c r="J69" s="32" t="n">
        <v>4.59</v>
      </c>
      <c r="K69" s="32" t="n">
        <v>0</v>
      </c>
      <c r="L69" s="31" t="n">
        <v>59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65.23999999999999</v>
      </c>
      <c r="P69" s="32" t="n">
        <v>14.27</v>
      </c>
      <c r="Q69" s="32" t="n">
        <v>267.55</v>
      </c>
      <c r="R69" s="31" t="inlineStr">
        <is>
          <t>Volume Spike / Accumulation</t>
        </is>
      </c>
      <c r="S69" s="31" t="inlineStr">
        <is>
          <t>Nifty 50</t>
        </is>
      </c>
      <c r="T69" s="32" t="n">
        <v>-6.3</v>
      </c>
      <c r="U69" s="32" t="n">
        <v>20.74</v>
      </c>
      <c r="V69" s="32" t="n">
        <v>28.85</v>
      </c>
      <c r="W69" s="32" t="n">
        <v>18.21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INDNIPPON</t>
        </is>
      </c>
      <c r="D70" s="31" t="inlineStr">
        <is>
          <t>India Nippon Electricals Ltd</t>
        </is>
      </c>
      <c r="E70" s="31" t="inlineStr">
        <is>
          <t>Consumer Cyclical</t>
        </is>
      </c>
      <c r="F70" s="31" t="inlineStr">
        <is>
          <t>Auto Ancillaries - Engine Parts</t>
        </is>
      </c>
      <c r="G70" s="31" t="inlineStr">
        <is>
          <t>smallcap</t>
        </is>
      </c>
      <c r="H70" s="32" t="n">
        <v>1947.7</v>
      </c>
      <c r="I70" s="32" t="n">
        <v>861</v>
      </c>
      <c r="J70" s="32" t="n">
        <v>-1.71</v>
      </c>
      <c r="K70" s="32" t="n">
        <v>0</v>
      </c>
      <c r="L70" s="31" t="n">
        <v>17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55.68</v>
      </c>
      <c r="P70" s="32" t="n">
        <v>11.69</v>
      </c>
      <c r="Q70" s="32" t="n">
        <v>716.95</v>
      </c>
      <c r="R70" s="31" t="inlineStr">
        <is>
          <t>Earnings / Momentum Support</t>
        </is>
      </c>
      <c r="S70" s="31" t="inlineStr">
        <is>
          <t>Nifty Auto</t>
        </is>
      </c>
      <c r="T70" s="32" t="n">
        <v>10.56</v>
      </c>
      <c r="U70" s="32" t="n">
        <v>20.74</v>
      </c>
      <c r="V70" s="32" t="n">
        <v>9.210000000000001</v>
      </c>
      <c r="W70" s="32" t="n">
        <v>7.54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PREMIERENE</t>
        </is>
      </c>
      <c r="D71" s="31" t="inlineStr">
        <is>
          <t>Premier Energies Ltd</t>
        </is>
      </c>
      <c r="E71" s="31" t="inlineStr">
        <is>
          <t>services</t>
        </is>
      </c>
      <c r="F71" s="31" t="inlineStr">
        <is>
          <t>Capital Goods - Solar</t>
        </is>
      </c>
      <c r="G71" s="31" t="inlineStr">
        <is>
          <t>largecap</t>
        </is>
      </c>
      <c r="H71" s="32" t="n">
        <v>48028.07</v>
      </c>
      <c r="I71" s="32" t="n">
        <v>1058</v>
      </c>
      <c r="J71" s="32" t="n">
        <v>-0.74</v>
      </c>
      <c r="K71" s="32" t="n">
        <v>0</v>
      </c>
      <c r="L71" s="31" t="n">
        <v>25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62.4</v>
      </c>
      <c r="P71" s="32" t="n">
        <v>17.56</v>
      </c>
      <c r="Q71" s="32" t="n">
        <v>853.3099999999999</v>
      </c>
      <c r="R71" s="31" t="inlineStr">
        <is>
          <t>Near 52W High Breakout</t>
        </is>
      </c>
      <c r="S71" s="31" t="inlineStr">
        <is>
          <t>Nifty 50</t>
        </is>
      </c>
      <c r="T71" s="32" t="n">
        <v>-6.3</v>
      </c>
      <c r="U71" s="32" t="n">
        <v>4.71</v>
      </c>
      <c r="V71" s="32" t="n">
        <v>11.75</v>
      </c>
      <c r="W71" s="32" t="n">
        <v>9.470000000000001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IF(B72=0,"",RANK(B72,$B$2:$B$95,0))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SOTL</t>
        </is>
      </c>
      <c r="D72" s="31" t="inlineStr">
        <is>
          <t>Savita Oil Technologies Ltd</t>
        </is>
      </c>
      <c r="E72" s="31" t="inlineStr">
        <is>
          <t>energy</t>
        </is>
      </c>
      <c r="F72" s="31" t="inlineStr">
        <is>
          <t>Petrochem - Others</t>
        </is>
      </c>
      <c r="G72" s="31" t="inlineStr">
        <is>
          <t>smallcap</t>
        </is>
      </c>
      <c r="H72" s="32" t="n">
        <v>3726.94</v>
      </c>
      <c r="I72" s="32" t="n">
        <v>543.6</v>
      </c>
      <c r="J72" s="32" t="n">
        <v>-1.26</v>
      </c>
      <c r="K72" s="32" t="n">
        <v>0</v>
      </c>
      <c r="L72" s="31" t="n">
        <v>66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71.11</v>
      </c>
      <c r="P72" s="32" t="n">
        <v>27.95</v>
      </c>
      <c r="Q72" s="32" t="n">
        <v>420.5</v>
      </c>
      <c r="R72" s="31" t="inlineStr">
        <is>
          <t>Near 52W High Breakout</t>
        </is>
      </c>
      <c r="S72" s="31" t="inlineStr">
        <is>
          <t>Nifty Energy</t>
        </is>
      </c>
      <c r="T72" s="32" t="n">
        <v>8.16</v>
      </c>
      <c r="U72" s="32" t="n">
        <v>30.36</v>
      </c>
      <c r="V72" s="32" t="n">
        <v>20.53</v>
      </c>
      <c r="W72" s="32" t="n">
        <v>21.75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24</t>
        </is>
      </c>
      <c r="CG72" s="31">
        <f>IF(CF72&gt;20,10,IF(CF72&gt;=10,5,2))</f>
        <v/>
      </c>
    </row>
    <row r="73">
      <c r="A73" s="31">
        <f>IF(B73=0,"",RANK(B73,$B$2:$B$95,0))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JAYBARMARU</t>
        </is>
      </c>
      <c r="D73" s="31" t="inlineStr">
        <is>
          <t>Jay Bharat Maruti Ltd</t>
        </is>
      </c>
      <c r="E73" s="31" t="inlineStr">
        <is>
          <t>auto</t>
        </is>
      </c>
      <c r="F73" s="31" t="inlineStr">
        <is>
          <t>Auto Ancillaries - Diversified</t>
        </is>
      </c>
      <c r="G73" s="31" t="inlineStr">
        <is>
          <t>smallcap</t>
        </is>
      </c>
      <c r="H73" s="32" t="n">
        <v>1423.6</v>
      </c>
      <c r="I73" s="32" t="n">
        <v>131.51</v>
      </c>
      <c r="J73" s="32" t="n">
        <v>-1.25</v>
      </c>
      <c r="K73" s="32" t="n">
        <v>0</v>
      </c>
      <c r="L73" s="31" t="n">
        <v>69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66.61</v>
      </c>
      <c r="P73" s="32" t="n">
        <v>17.17</v>
      </c>
      <c r="Q73" s="32" t="n">
        <v>91.42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10.56</v>
      </c>
      <c r="U73" s="32" t="n">
        <v>69.39</v>
      </c>
      <c r="V73" s="32" t="n">
        <v>53.21</v>
      </c>
      <c r="W73" s="32" t="n">
        <v>22.57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23</t>
        </is>
      </c>
      <c r="CG73" s="31">
        <f>IF(CF73&gt;20,10,IF(CF73&gt;=10,5,2))</f>
        <v/>
      </c>
    </row>
    <row r="74">
      <c r="A74" s="31">
        <f>IF(B74=0,"",RANK(B74,$B$2:$B$95,0))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BMW</t>
        </is>
      </c>
      <c r="D74" s="33" t="inlineStr">
        <is>
          <t>BMW Industries Ltd</t>
        </is>
      </c>
      <c r="E74" s="31" t="inlineStr">
        <is>
          <t>Basic Materials</t>
        </is>
      </c>
      <c r="F74" s="31" t="inlineStr">
        <is>
          <t>Steel Products</t>
        </is>
      </c>
      <c r="G74" s="31" t="inlineStr">
        <is>
          <t>smallcap</t>
        </is>
      </c>
      <c r="H74" s="32" t="n">
        <v>1395.54</v>
      </c>
      <c r="I74" s="32" t="n">
        <v>62</v>
      </c>
      <c r="J74" s="32" t="n">
        <v>2.7</v>
      </c>
      <c r="K74" s="32" t="n">
        <v>0</v>
      </c>
      <c r="L74" s="31" t="n">
        <v>78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74</v>
      </c>
      <c r="P74" s="32" t="n">
        <v>35.59</v>
      </c>
      <c r="Q74" s="32" t="n">
        <v>45.57</v>
      </c>
      <c r="R74" s="31" t="inlineStr">
        <is>
          <t>Near 52W High Breakout</t>
        </is>
      </c>
      <c r="S74" s="31" t="inlineStr">
        <is>
          <t>Nifty Metal</t>
        </is>
      </c>
      <c r="T74" s="32" t="n">
        <v>37.53</v>
      </c>
      <c r="U74" s="32" t="n">
        <v>11.64</v>
      </c>
      <c r="V74" s="32" t="n">
        <v>-18.83</v>
      </c>
      <c r="W74" s="32" t="n">
        <v>26.75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22</t>
        </is>
      </c>
      <c r="CG74" s="31">
        <f>IF(CF74&gt;20,10,IF(CF74&gt;=10,5,2))</f>
        <v/>
      </c>
    </row>
    <row r="75">
      <c r="A75" s="31">
        <f>IF(B75=0,"",RANK(B75,$B$2:$B$95,0))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3" t="inlineStr">
        <is>
          <t>SPECTRUM</t>
        </is>
      </c>
      <c r="D75" s="33" t="inlineStr">
        <is>
          <t>Spectrum Electrical Industries Ltd</t>
        </is>
      </c>
      <c r="E75" s="31" t="inlineStr">
        <is>
          <t>industrials</t>
        </is>
      </c>
      <c r="F75" s="31" t="inlineStr">
        <is>
          <t>Capital Goods - Electric General</t>
        </is>
      </c>
      <c r="G75" s="31" t="inlineStr">
        <is>
          <t>smallcap</t>
        </is>
      </c>
      <c r="H75" s="32" t="n">
        <v>2495.99</v>
      </c>
      <c r="I75" s="32" t="n">
        <v>1588.4</v>
      </c>
      <c r="J75" s="32" t="n">
        <v>-2.01</v>
      </c>
      <c r="K75" s="32" t="n">
        <v>0</v>
      </c>
      <c r="L75" s="31" t="n">
        <v>2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57.84</v>
      </c>
      <c r="P75" s="32" t="n">
        <v>26.12</v>
      </c>
      <c r="Q75" s="32" t="n">
        <v>1202.83</v>
      </c>
      <c r="R75" s="31" t="inlineStr">
        <is>
          <t>Earnings / Momentum Support</t>
        </is>
      </c>
      <c r="S75" s="31" t="inlineStr">
        <is>
          <t>Nifty Infra</t>
        </is>
      </c>
      <c r="T75" s="32" t="n">
        <v>0.59</v>
      </c>
      <c r="U75" s="32" t="n">
        <v>-3.23</v>
      </c>
      <c r="V75" s="32" t="n">
        <v>-3.8</v>
      </c>
      <c r="W75" s="32" t="n">
        <v>1.9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SKMEGGPROD</t>
        </is>
      </c>
      <c r="D76" s="31" t="inlineStr">
        <is>
          <t>SKM Egg Products Export (India) Ltd</t>
        </is>
      </c>
      <c r="E76" s="31" t="inlineStr">
        <is>
          <t>fmcg</t>
        </is>
      </c>
      <c r="F76" s="31" t="inlineStr">
        <is>
          <t>FMCG - Animal/Polutry</t>
        </is>
      </c>
      <c r="G76" s="31" t="inlineStr">
        <is>
          <t>smallcap</t>
        </is>
      </c>
      <c r="H76" s="32" t="n">
        <v>1203.44</v>
      </c>
      <c r="I76" s="32" t="n">
        <v>228.53</v>
      </c>
      <c r="J76" s="32" t="n">
        <v>-5.27</v>
      </c>
      <c r="K76" s="32" t="n">
        <v>0</v>
      </c>
      <c r="L76" s="31" t="n">
        <v>76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64.09999999999999</v>
      </c>
      <c r="P76" s="32" t="n">
        <v>19.27</v>
      </c>
      <c r="Q76" s="32" t="n">
        <v>169.35</v>
      </c>
      <c r="R76" s="31" t="inlineStr">
        <is>
          <t>Earnings / Momentum Support</t>
        </is>
      </c>
      <c r="S76" s="31" t="inlineStr">
        <is>
          <t>Nifty FMCG</t>
        </is>
      </c>
      <c r="T76" s="32" t="n">
        <v>-11.01</v>
      </c>
      <c r="U76" s="32" t="n">
        <v>78.01000000000001</v>
      </c>
      <c r="V76" s="32" t="n">
        <v>100.05</v>
      </c>
      <c r="W76" s="32" t="n">
        <v>25.97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26</t>
        </is>
      </c>
      <c r="CG76" s="31">
        <f>IF(CF76&gt;20,10,IF(CF76&gt;=10,5,2))</f>
        <v/>
      </c>
    </row>
    <row r="77">
      <c r="A77" s="31">
        <f>IF(B77=0,"",RANK(B77,$B$2:$B$95,0))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ROBU</t>
        </is>
      </c>
      <c r="D77" s="31" t="inlineStr">
        <is>
          <t>Macfos Ltd</t>
        </is>
      </c>
      <c r="E77" s="31" t="inlineStr">
        <is>
          <t>Technology</t>
        </is>
      </c>
      <c r="F77" s="31" t="inlineStr">
        <is>
          <t>E-Commerce - Platform - Utility</t>
        </is>
      </c>
      <c r="G77" s="31" t="inlineStr">
        <is>
          <t>smallcap</t>
        </is>
      </c>
      <c r="H77" s="32" t="n">
        <v>1180.87</v>
      </c>
      <c r="I77" s="32" t="n">
        <v>1140</v>
      </c>
      <c r="J77" s="32" t="n">
        <v>0.34</v>
      </c>
      <c r="K77" s="32" t="n">
        <v>0</v>
      </c>
      <c r="L77" s="31" t="n">
        <v>60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69.47</v>
      </c>
      <c r="P77" s="32" t="n">
        <v>67.97</v>
      </c>
      <c r="Q77" s="32" t="n">
        <v>888.71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-6.3</v>
      </c>
      <c r="U77" s="32" t="n">
        <v>58.13</v>
      </c>
      <c r="V77" s="32" t="n">
        <v>68.76000000000001</v>
      </c>
      <c r="W77" s="32" t="n">
        <v>18.42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SASKEN</t>
        </is>
      </c>
      <c r="D78" s="31" t="inlineStr">
        <is>
          <t>Sasken Technologies Ltd</t>
        </is>
      </c>
      <c r="E78" s="31" t="inlineStr">
        <is>
          <t>i.t</t>
        </is>
      </c>
      <c r="F78" s="31" t="inlineStr">
        <is>
          <t>IT - Software</t>
        </is>
      </c>
      <c r="G78" s="31" t="inlineStr">
        <is>
          <t>smallcap</t>
        </is>
      </c>
      <c r="H78" s="32" t="n">
        <v>3148</v>
      </c>
      <c r="I78" s="32" t="n">
        <v>2072.9</v>
      </c>
      <c r="J78" s="32" t="n">
        <v>-8.34</v>
      </c>
      <c r="K78" s="32" t="n">
        <v>0</v>
      </c>
      <c r="L78" s="31" t="n">
        <v>88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69.41</v>
      </c>
      <c r="P78" s="32" t="n">
        <v>31.4</v>
      </c>
      <c r="Q78" s="32" t="n">
        <v>1645.99</v>
      </c>
      <c r="R78" s="31" t="inlineStr">
        <is>
          <t>Earnings / Momentum Support</t>
        </is>
      </c>
      <c r="S78" s="31" t="inlineStr">
        <is>
          <t>Nifty IT</t>
        </is>
      </c>
      <c r="T78" s="32" t="n">
        <v>-27.68</v>
      </c>
      <c r="U78" s="32" t="n">
        <v>44.01</v>
      </c>
      <c r="V78" s="32" t="n">
        <v>99.13</v>
      </c>
      <c r="W78" s="32" t="n">
        <v>35.87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IF(B79=0,"",RANK(B79,$B$2:$B$95,0))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JNKINDIA</t>
        </is>
      </c>
      <c r="D79" s="31" t="inlineStr">
        <is>
          <t>JNK India Ltd</t>
        </is>
      </c>
      <c r="E79" s="31" t="inlineStr">
        <is>
          <t>realty</t>
        </is>
      </c>
      <c r="F79" s="31" t="inlineStr">
        <is>
          <t>Capital Goods - Engineering Heavy</t>
        </is>
      </c>
      <c r="G79" s="31" t="inlineStr">
        <is>
          <t>smallcap</t>
        </is>
      </c>
      <c r="H79" s="32" t="n">
        <v>2629.83</v>
      </c>
      <c r="I79" s="32" t="n">
        <v>470</v>
      </c>
      <c r="J79" s="32" t="n">
        <v>-5.62</v>
      </c>
      <c r="K79" s="32" t="n">
        <v>0</v>
      </c>
      <c r="L79" s="31" t="n">
        <v>85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75.16</v>
      </c>
      <c r="P79" s="32" t="n">
        <v>29.06</v>
      </c>
      <c r="Q79" s="32" t="n">
        <v>322.02</v>
      </c>
      <c r="R79" s="31" t="inlineStr">
        <is>
          <t>Volume Spike &amp; Near 52W High Breakout</t>
        </is>
      </c>
      <c r="S79" s="31" t="inlineStr">
        <is>
          <t>Nifty Realty</t>
        </is>
      </c>
      <c r="T79" s="32" t="n">
        <v>-26.19</v>
      </c>
      <c r="U79" s="32" t="n">
        <v>29.71</v>
      </c>
      <c r="V79" s="32" t="n">
        <v>75.72</v>
      </c>
      <c r="W79" s="32" t="n">
        <v>32.58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32</t>
        </is>
      </c>
      <c r="CG79" s="31">
        <f>IF(CF79&gt;20,10,IF(CF79&gt;=10,5,2))</f>
        <v/>
      </c>
    </row>
    <row r="80">
      <c r="A80" s="31">
        <f>IF(B80=0,"",RANK(B80,$B$2:$B$95,0))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SHYAMMETL</t>
        </is>
      </c>
      <c r="D80" s="33" t="inlineStr">
        <is>
          <t>Shyam Metalics &amp; Energy Ltd</t>
        </is>
      </c>
      <c r="E80" s="31" t="inlineStr">
        <is>
          <t>metals &amp; mining</t>
        </is>
      </c>
      <c r="F80" s="31" t="inlineStr">
        <is>
          <t>Steel Products</t>
        </is>
      </c>
      <c r="G80" s="31" t="inlineStr">
        <is>
          <t>largecap</t>
        </is>
      </c>
      <c r="H80" s="32" t="n">
        <v>27060.44</v>
      </c>
      <c r="I80" s="32" t="n">
        <v>969.45</v>
      </c>
      <c r="J80" s="32" t="n">
        <v>0.06</v>
      </c>
      <c r="K80" s="32" t="n">
        <v>0</v>
      </c>
      <c r="L80" s="31" t="n">
        <v>24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61.11</v>
      </c>
      <c r="P80" s="32" t="n">
        <v>15.26</v>
      </c>
      <c r="Q80" s="32" t="n">
        <v>812.22</v>
      </c>
      <c r="R80" s="31" t="inlineStr">
        <is>
          <t>Near 52W High Breakout</t>
        </is>
      </c>
      <c r="S80" s="31" t="inlineStr">
        <is>
          <t>Nifty Metal</t>
        </is>
      </c>
      <c r="T80" s="32" t="n">
        <v>37.53</v>
      </c>
      <c r="U80" s="32" t="n">
        <v>16.39</v>
      </c>
      <c r="V80" s="32" t="n">
        <v>-15.37</v>
      </c>
      <c r="W80" s="32" t="n">
        <v>9.08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IF(B81=0,"",RANK(B81,$B$2:$B$95,0))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FIEMIND</t>
        </is>
      </c>
      <c r="D81" s="31" t="inlineStr">
        <is>
          <t>Fiem Industries Ltd</t>
        </is>
      </c>
      <c r="E81" s="31" t="inlineStr">
        <is>
          <t>Consumer Cyclical</t>
        </is>
      </c>
      <c r="F81" s="31" t="inlineStr">
        <is>
          <t>Auto Ancillaries - 2&amp;3 Wheelers</t>
        </is>
      </c>
      <c r="G81" s="31" t="inlineStr">
        <is>
          <t>midcap</t>
        </is>
      </c>
      <c r="H81" s="32" t="n">
        <v>5913.76</v>
      </c>
      <c r="I81" s="32" t="n">
        <v>2246.9</v>
      </c>
      <c r="J81" s="32" t="n">
        <v>0.4</v>
      </c>
      <c r="K81" s="32" t="n">
        <v>0</v>
      </c>
      <c r="L81" s="31" t="n">
        <v>14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54.62</v>
      </c>
      <c r="P81" s="32" t="n">
        <v>14.97</v>
      </c>
      <c r="Q81" s="32" t="n">
        <v>1844.66</v>
      </c>
      <c r="R81" s="31" t="inlineStr">
        <is>
          <t>Earnings / Momentum Support</t>
        </is>
      </c>
      <c r="S81" s="31" t="inlineStr">
        <is>
          <t>Nifty Auto</t>
        </is>
      </c>
      <c r="T81" s="32" t="n">
        <v>10.56</v>
      </c>
      <c r="U81" s="32" t="n">
        <v>20.54</v>
      </c>
      <c r="V81" s="32" t="n">
        <v>9.029999999999999</v>
      </c>
      <c r="W81" s="32" t="n">
        <v>6.15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17</t>
        </is>
      </c>
      <c r="CG81" s="31">
        <f>IF(CF81&gt;20,10,IF(CF81&gt;=10,5,2))</f>
        <v/>
      </c>
    </row>
    <row r="82">
      <c r="A82" s="31">
        <f>IF(B82=0,"",RANK(B82,$B$2:$B$95,0))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FCL</t>
        </is>
      </c>
      <c r="D82" s="31" t="inlineStr">
        <is>
          <t>Fineotex Chemical Ltd</t>
        </is>
      </c>
      <c r="E82" s="31" t="inlineStr">
        <is>
          <t>chemicals</t>
        </is>
      </c>
      <c r="F82" s="31" t="inlineStr">
        <is>
          <t>Speciality Chemicals</t>
        </is>
      </c>
      <c r="G82" s="31" t="inlineStr">
        <is>
          <t>smallcap</t>
        </is>
      </c>
      <c r="H82" s="32" t="n">
        <v>4312.15</v>
      </c>
      <c r="I82" s="32" t="n">
        <v>37.03</v>
      </c>
      <c r="J82" s="32" t="n">
        <v>-2.81</v>
      </c>
      <c r="K82" s="32" t="n">
        <v>0</v>
      </c>
      <c r="L82" s="31" t="n">
        <v>71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67.23999999999999</v>
      </c>
      <c r="P82" s="32" t="n">
        <v>30.44</v>
      </c>
      <c r="Q82" s="32" t="n">
        <v>29.76</v>
      </c>
      <c r="R82" s="31" t="inlineStr">
        <is>
          <t>Earnings / Momentum Support</t>
        </is>
      </c>
      <c r="S82" s="31" t="inlineStr">
        <is>
          <t>Nifty IT</t>
        </is>
      </c>
      <c r="T82" s="32" t="n">
        <v>-27.68</v>
      </c>
      <c r="U82" s="32" t="n">
        <v>39.93</v>
      </c>
      <c r="V82" s="32" t="n">
        <v>93.48</v>
      </c>
      <c r="W82" s="32" t="n">
        <v>23.88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IF(B83=0,"",RANK(B83,$B$2:$B$95,0))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TIPSMUSIC</t>
        </is>
      </c>
      <c r="D83" s="34" t="inlineStr">
        <is>
          <t>Tips Music Ltd</t>
        </is>
      </c>
      <c r="E83" s="31" t="inlineStr">
        <is>
          <t>Communication Services</t>
        </is>
      </c>
      <c r="F83" s="31" t="inlineStr">
        <is>
          <t>Music Licensing</t>
        </is>
      </c>
      <c r="G83" s="31" t="inlineStr">
        <is>
          <t>midcap</t>
        </is>
      </c>
      <c r="H83" s="32" t="n">
        <v>8123.7</v>
      </c>
      <c r="I83" s="32" t="n">
        <v>635.5</v>
      </c>
      <c r="J83" s="32" t="n">
        <v>-1.12</v>
      </c>
      <c r="K83" s="32" t="n">
        <v>0</v>
      </c>
      <c r="L83" s="31" t="n">
        <v>14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56.47</v>
      </c>
      <c r="P83" s="32" t="n">
        <v>26.34</v>
      </c>
      <c r="Q83" s="32" t="n">
        <v>531.8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-6.3</v>
      </c>
      <c r="U83" s="32" t="n">
        <v>-3.41</v>
      </c>
      <c r="V83" s="32" t="n">
        <v>3.08</v>
      </c>
      <c r="W83" s="32" t="n">
        <v>6.2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IF(B84=0,"",RANK(B84,$B$2:$B$95,0))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RHETAN</t>
        </is>
      </c>
      <c r="D84" s="34" t="inlineStr">
        <is>
          <t>Rhetan TMT Ltd</t>
        </is>
      </c>
      <c r="E84" s="31" t="inlineStr">
        <is>
          <t>Basic Materials</t>
        </is>
      </c>
      <c r="F84" s="31" t="inlineStr">
        <is>
          <t>Steel Products</t>
        </is>
      </c>
      <c r="G84" s="31" t="inlineStr">
        <is>
          <t>smallcap</t>
        </is>
      </c>
      <c r="H84" s="32" t="n">
        <v>2508.56</v>
      </c>
      <c r="I84" s="32" t="n">
        <v>31.48</v>
      </c>
      <c r="J84" s="32" t="n">
        <v>2.14</v>
      </c>
      <c r="K84" s="32" t="n">
        <v>0</v>
      </c>
      <c r="L84" s="31" t="n">
        <v>43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71.98999999999999</v>
      </c>
      <c r="P84" s="32" t="n">
        <v>20.8</v>
      </c>
      <c r="Q84" s="32" t="n">
        <v>24.39</v>
      </c>
      <c r="R84" s="31" t="inlineStr">
        <is>
          <t>Near 52W High Breakout</t>
        </is>
      </c>
      <c r="S84" s="31" t="inlineStr">
        <is>
          <t>Nifty Metal</t>
        </is>
      </c>
      <c r="T84" s="32" t="n">
        <v>28.78</v>
      </c>
      <c r="U84" s="32" t="n">
        <v>47.67</v>
      </c>
      <c r="V84" s="32" t="n">
        <v>14.68</v>
      </c>
      <c r="W84" s="32" t="n">
        <v>14.23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16</t>
        </is>
      </c>
      <c r="CG84" s="31">
        <f>IF(CF84&gt;20,10,IF(CF84&gt;=10,5,2))</f>
        <v/>
      </c>
    </row>
    <row r="85">
      <c r="A85" s="31">
        <f>IF(B85=0,"",RANK(B85,$B$2:$B$95,0))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PTCIL</t>
        </is>
      </c>
      <c r="D85" s="31" t="inlineStr">
        <is>
          <t>PTC Industries Ltd</t>
        </is>
      </c>
      <c r="E85" s="31" t="inlineStr">
        <is>
          <t>industrials</t>
        </is>
      </c>
      <c r="F85" s="31" t="inlineStr">
        <is>
          <t>Castings - Steel/Alloy</t>
        </is>
      </c>
      <c r="G85" s="31" t="inlineStr">
        <is>
          <t>largecap</t>
        </is>
      </c>
      <c r="H85" s="32" t="n">
        <v>27256.45</v>
      </c>
      <c r="I85" s="32" t="n">
        <v>18180</v>
      </c>
      <c r="J85" s="32" t="n">
        <v>-2.11</v>
      </c>
      <c r="K85" s="32" t="n">
        <v>0</v>
      </c>
      <c r="L85" s="31" t="n">
        <v>12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58.07</v>
      </c>
      <c r="P85" s="32" t="n">
        <v>14.22</v>
      </c>
      <c r="Q85" s="32" t="n">
        <v>14467.11</v>
      </c>
      <c r="R85" s="31" t="inlineStr">
        <is>
          <t>Near 52W High Breakout</t>
        </is>
      </c>
      <c r="S85" s="31" t="inlineStr">
        <is>
          <t>Nifty 50</t>
        </is>
      </c>
      <c r="T85" s="32" t="n">
        <v>-6.3</v>
      </c>
      <c r="U85" s="32" t="n">
        <v>19</v>
      </c>
      <c r="V85" s="32" t="n">
        <v>27</v>
      </c>
      <c r="W85" s="32" t="n">
        <v>5.71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23</t>
        </is>
      </c>
      <c r="CG85" s="31">
        <f>IF(CF85&gt;20,10,IF(CF85&gt;=10,5,2))</f>
        <v/>
      </c>
    </row>
    <row r="86">
      <c r="A86" s="31">
        <f>IF(B86=0,"",RANK(B86,$B$2:$B$95,0))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SIGNPOST</t>
        </is>
      </c>
      <c r="D86" s="34" t="inlineStr">
        <is>
          <t>Signpost India Ltd</t>
        </is>
      </c>
      <c r="E86" s="31" t="inlineStr">
        <is>
          <t>Communication Services</t>
        </is>
      </c>
      <c r="F86" s="31" t="inlineStr">
        <is>
          <t>Advertisement</t>
        </is>
      </c>
      <c r="G86" s="31" t="inlineStr">
        <is>
          <t>smallcap</t>
        </is>
      </c>
      <c r="H86" s="32" t="n">
        <v>1488.05</v>
      </c>
      <c r="I86" s="32" t="n">
        <v>278.4</v>
      </c>
      <c r="J86" s="32" t="n">
        <v>5.04</v>
      </c>
      <c r="K86" s="32" t="n">
        <v>0</v>
      </c>
      <c r="L86" s="31" t="n">
        <v>44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57.69</v>
      </c>
      <c r="P86" s="32" t="n">
        <v>27.65</v>
      </c>
      <c r="Q86" s="32" t="n">
        <v>211.41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-6.3</v>
      </c>
      <c r="U86" s="32" t="n">
        <v>45.58</v>
      </c>
      <c r="V86" s="32" t="n">
        <v>55.36</v>
      </c>
      <c r="W86" s="32" t="n">
        <v>14.56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IF(B87=0,"",RANK(B87,$B$2:$B$95,0))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PANAMAPET</t>
        </is>
      </c>
      <c r="D87" s="33" t="inlineStr">
        <is>
          <t>Panama Petrochem Ltd</t>
        </is>
      </c>
      <c r="E87" s="31" t="inlineStr">
        <is>
          <t>energy</t>
        </is>
      </c>
      <c r="F87" s="31" t="inlineStr">
        <is>
          <t>Speciality Chemicals</t>
        </is>
      </c>
      <c r="G87" s="31" t="inlineStr">
        <is>
          <t>smallcap</t>
        </is>
      </c>
      <c r="H87" s="32" t="n">
        <v>2273.65</v>
      </c>
      <c r="I87" s="32" t="n">
        <v>375.85</v>
      </c>
      <c r="J87" s="32" t="n">
        <v>-1.49</v>
      </c>
      <c r="K87" s="32" t="n">
        <v>0</v>
      </c>
      <c r="L87" s="31" t="n">
        <v>28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70.31</v>
      </c>
      <c r="P87" s="32" t="n">
        <v>20.35</v>
      </c>
      <c r="Q87" s="32" t="n">
        <v>277.61</v>
      </c>
      <c r="R87" s="31" t="inlineStr">
        <is>
          <t>Volume Spike &amp; Near 52W High Breakout</t>
        </is>
      </c>
      <c r="S87" s="31" t="inlineStr">
        <is>
          <t>Nifty Energy</t>
        </is>
      </c>
      <c r="T87" s="32" t="n">
        <v>8.16</v>
      </c>
      <c r="U87" s="32" t="n">
        <v>4.47</v>
      </c>
      <c r="V87" s="32" t="n">
        <v>-3.41</v>
      </c>
      <c r="W87" s="32" t="n">
        <v>10.35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25</t>
        </is>
      </c>
      <c r="CG87" s="31">
        <f>IF(CF87&gt;20,10,IF(CF87&gt;=10,5,2))</f>
        <v/>
      </c>
    </row>
    <row r="88">
      <c r="A88" s="31">
        <f>IF(B88=0,"",RANK(B88,$B$2:$B$95,0))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DEEPINDS</t>
        </is>
      </c>
      <c r="D88" s="34" t="inlineStr">
        <is>
          <t>Deep Industries Ltd</t>
        </is>
      </c>
      <c r="E88" s="31" t="inlineStr">
        <is>
          <t>energy</t>
        </is>
      </c>
      <c r="F88" s="31" t="inlineStr">
        <is>
          <t>Oil Drilling &amp; Exploration</t>
        </is>
      </c>
      <c r="G88" s="31" t="inlineStr">
        <is>
          <t>smallcap</t>
        </is>
      </c>
      <c r="H88" s="32" t="n">
        <v>3223.04</v>
      </c>
      <c r="I88" s="32" t="n">
        <v>503.6</v>
      </c>
      <c r="J88" s="32" t="n">
        <v>1.22</v>
      </c>
      <c r="K88" s="32" t="n">
        <v>0</v>
      </c>
      <c r="L88" s="31" t="n">
        <v>53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58.74</v>
      </c>
      <c r="P88" s="32" t="n">
        <v>15.98</v>
      </c>
      <c r="Q88" s="32" t="n">
        <v>390.85</v>
      </c>
      <c r="R88" s="31" t="inlineStr">
        <is>
          <t>Earnings / Momentum Support</t>
        </is>
      </c>
      <c r="S88" s="31" t="inlineStr">
        <is>
          <t>Nifty Energy</t>
        </is>
      </c>
      <c r="T88" s="32" t="n">
        <v>8.16</v>
      </c>
      <c r="U88" s="32" t="n">
        <v>14.33</v>
      </c>
      <c r="V88" s="32" t="n">
        <v>5.71</v>
      </c>
      <c r="W88" s="32" t="n">
        <v>16.55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17</t>
        </is>
      </c>
      <c r="CG88" s="31">
        <f>IF(CF88&gt;20,10,IF(CF88&gt;=10,5,2))</f>
        <v/>
      </c>
    </row>
    <row r="89">
      <c r="A89" s="31">
        <f>IF(B89=0,"",RANK(B89,$B$2:$B$95,0))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MSTCLTD</t>
        </is>
      </c>
      <c r="D89" s="34" t="inlineStr">
        <is>
          <t>MSTC Ltd</t>
        </is>
      </c>
      <c r="E89" s="31" t="inlineStr">
        <is>
          <t>i.t</t>
        </is>
      </c>
      <c r="F89" s="31" t="inlineStr">
        <is>
          <t>E-Commerce - Platform - Utility</t>
        </is>
      </c>
      <c r="G89" s="31" t="inlineStr">
        <is>
          <t>smallcap</t>
        </is>
      </c>
      <c r="H89" s="32" t="n">
        <v>3947.68</v>
      </c>
      <c r="I89" s="32" t="n">
        <v>560.75</v>
      </c>
      <c r="J89" s="32" t="n">
        <v>0.9</v>
      </c>
      <c r="K89" s="32" t="n">
        <v>0</v>
      </c>
      <c r="L89" s="31" t="n">
        <v>26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65.34</v>
      </c>
      <c r="P89" s="32" t="n">
        <v>18.16</v>
      </c>
      <c r="Q89" s="32" t="n">
        <v>427.74</v>
      </c>
      <c r="R89" s="31" t="inlineStr">
        <is>
          <t>Volume Spike &amp; Near 52W High Breakout</t>
        </is>
      </c>
      <c r="S89" s="31" t="inlineStr">
        <is>
          <t>Nifty IT</t>
        </is>
      </c>
      <c r="T89" s="32" t="n">
        <v>-27.68</v>
      </c>
      <c r="U89" s="32" t="n">
        <v>7.78</v>
      </c>
      <c r="V89" s="32" t="n">
        <v>49.04</v>
      </c>
      <c r="W89" s="32" t="n">
        <v>9.93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17</t>
        </is>
      </c>
      <c r="CG89" s="31">
        <f>IF(CF89&gt;20,10,IF(CF89&gt;=10,5,2))</f>
        <v/>
      </c>
    </row>
    <row r="90">
      <c r="A90" s="31">
        <f>IF(B90=0,"",RANK(B90,$B$2:$B$95,0))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DIACABS</t>
        </is>
      </c>
      <c r="D90" s="31" t="inlineStr">
        <is>
          <t>Diamond Power Infrastructure Ltd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midcap</t>
        </is>
      </c>
      <c r="H90" s="32" t="n">
        <v>10209.01</v>
      </c>
      <c r="I90" s="32" t="n">
        <v>193.73</v>
      </c>
      <c r="J90" s="32" t="n">
        <v>-1.66</v>
      </c>
      <c r="K90" s="32" t="n">
        <v>0</v>
      </c>
      <c r="L90" s="31" t="n">
        <v>79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69.06999999999999</v>
      </c>
      <c r="P90" s="32" t="n">
        <v>32.74</v>
      </c>
      <c r="Q90" s="32" t="n">
        <v>150.81</v>
      </c>
      <c r="R90" s="31" t="inlineStr">
        <is>
          <t>Near 52W High Breakout</t>
        </is>
      </c>
      <c r="S90" s="31" t="inlineStr">
        <is>
          <t>Nifty 50</t>
        </is>
      </c>
      <c r="T90" s="32" t="n">
        <v>-6.3</v>
      </c>
      <c r="U90" s="32" t="n">
        <v>92.63</v>
      </c>
      <c r="V90" s="32" t="n">
        <v>105.58</v>
      </c>
      <c r="W90" s="32" t="n">
        <v>27.05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17</t>
        </is>
      </c>
      <c r="CG90" s="31">
        <f>IF(CF90&gt;20,10,IF(CF90&gt;=10,5,2))</f>
        <v/>
      </c>
    </row>
    <row r="91">
      <c r="A91" s="31">
        <f>IF(B91=0,"",RANK(B91,$B$2:$B$95,0))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SILVERTUC</t>
        </is>
      </c>
      <c r="D91" s="33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2401.4</v>
      </c>
      <c r="I91" s="32" t="n">
        <v>189.37</v>
      </c>
      <c r="J91" s="32" t="n">
        <v>2.4</v>
      </c>
      <c r="K91" s="32" t="n">
        <v>0</v>
      </c>
      <c r="L91" s="31" t="n">
        <v>32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39.95</v>
      </c>
      <c r="P91" s="32" t="n">
        <v>43</v>
      </c>
      <c r="Q91" s="32" t="n">
        <v>69.55</v>
      </c>
      <c r="R91" s="31" t="inlineStr">
        <is>
          <t>Earnings / Momentum Support</t>
        </is>
      </c>
      <c r="S91" s="31" t="inlineStr">
        <is>
          <t>Nifty IT</t>
        </is>
      </c>
      <c r="T91" s="32" t="n">
        <v>-27.68</v>
      </c>
      <c r="U91" s="32" t="n">
        <v>-75.98999999999999</v>
      </c>
      <c r="V91" s="32" t="n">
        <v>-66.8</v>
      </c>
      <c r="W91" s="32" t="n">
        <v>11.73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IF(B92=0,"",RANK(B92,$B$2:$B$95,0))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META</t>
        </is>
      </c>
      <c r="D92" s="34" t="inlineStr">
        <is>
          <t>String Metaverse Ltd</t>
        </is>
      </c>
      <c r="E92" s="31" t="inlineStr">
        <is>
          <t>Technology</t>
        </is>
      </c>
      <c r="F92" s="31" t="inlineStr">
        <is>
          <t>IT - Software</t>
        </is>
      </c>
      <c r="G92" s="31" t="inlineStr">
        <is>
          <t>smallcap</t>
        </is>
      </c>
      <c r="H92" s="32" t="n">
        <v>1208.57</v>
      </c>
      <c r="I92" s="32" t="n">
        <v>10.38</v>
      </c>
      <c r="J92" s="32" t="n">
        <v>1.27</v>
      </c>
      <c r="K92" s="32" t="n">
        <v>0</v>
      </c>
      <c r="L92" s="31" t="n">
        <v>1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38.48</v>
      </c>
      <c r="P92" s="32" t="n">
        <v>33.95</v>
      </c>
      <c r="Q92" s="32" t="n">
        <v>8.35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-6.3</v>
      </c>
      <c r="U92" s="32" t="n">
        <v>-36.37</v>
      </c>
      <c r="V92" s="32" t="n">
        <v>-32.1</v>
      </c>
      <c r="W92" s="32" t="n">
        <v>-6.5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16</t>
        </is>
      </c>
      <c r="CG92" s="31">
        <f>IF(CF92&gt;20,10,IF(CF92&gt;=10,5,2))</f>
        <v/>
      </c>
    </row>
    <row r="93">
      <c r="A93" s="31">
        <f>IF(B93=0,"",RANK(B93,$B$2:$B$95,0))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ONIXSOLAR</t>
        </is>
      </c>
      <c r="D93" s="31" t="inlineStr">
        <is>
          <t>Onix Solar Energy Ltd</t>
        </is>
      </c>
      <c r="E93" s="31" t="inlineStr">
        <is>
          <t>Technology</t>
        </is>
      </c>
      <c r="F93" s="31" t="inlineStr">
        <is>
          <t>Trading</t>
        </is>
      </c>
      <c r="G93" s="31" t="inlineStr">
        <is>
          <t>smallcap</t>
        </is>
      </c>
      <c r="H93" s="32" t="n">
        <v>2463.51</v>
      </c>
      <c r="I93" s="32" t="n">
        <v>668.2</v>
      </c>
      <c r="J93" s="32" t="n">
        <v>-1.99</v>
      </c>
      <c r="K93" s="32" t="n">
        <v>0</v>
      </c>
      <c r="L93" s="31" t="n">
        <v>76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47.83</v>
      </c>
      <c r="P93" s="32" t="n">
        <v>44.85</v>
      </c>
      <c r="Q93" s="32" t="n">
        <v>936.67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-6.3</v>
      </c>
      <c r="U93" s="32" t="n">
        <v>114</v>
      </c>
      <c r="V93" s="32" t="n">
        <v>128.38</v>
      </c>
      <c r="W93" s="32" t="n">
        <v>25.49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Below 45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No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Negative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17</t>
        </is>
      </c>
      <c r="CG93" s="31">
        <f>IF(CF93&gt;20,10,IF(CF93&gt;=10,5,2))</f>
        <v/>
      </c>
    </row>
    <row r="94">
      <c r="A94" s="31">
        <f>IF(B94=0,"",RANK(B94,$B$2:$B$95,0))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LLOYDSME</t>
        </is>
      </c>
      <c r="D94" s="33" t="inlineStr">
        <is>
          <t>Lloyds Metals &amp; Energy Ltd</t>
        </is>
      </c>
      <c r="E94" s="31" t="inlineStr">
        <is>
          <t>Basic Materials</t>
        </is>
      </c>
      <c r="F94" s="31" t="inlineStr">
        <is>
          <t>Mining/Minerals - Iron Ore</t>
        </is>
      </c>
      <c r="G94" s="31" t="inlineStr">
        <is>
          <t>largecap</t>
        </is>
      </c>
      <c r="H94" s="32" t="n">
        <v>94221.48</v>
      </c>
      <c r="I94" s="32" t="n">
        <v>1674.2</v>
      </c>
      <c r="J94" s="32" t="n">
        <v>-1.74</v>
      </c>
      <c r="K94" s="32" t="n">
        <v>0</v>
      </c>
      <c r="L94" s="31" t="n">
        <v>41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61.57</v>
      </c>
      <c r="P94" s="32" t="n">
        <v>38.11</v>
      </c>
      <c r="Q94" s="32" t="n">
        <v>1451.04</v>
      </c>
      <c r="R94" s="31" t="inlineStr">
        <is>
          <t>Earnings / Momentum Support</t>
        </is>
      </c>
      <c r="S94" s="31" t="inlineStr">
        <is>
          <t>Nifty Metal</t>
        </is>
      </c>
      <c r="T94" s="32" t="n">
        <v>37.53</v>
      </c>
      <c r="U94" s="32" t="n">
        <v>12.6</v>
      </c>
      <c r="V94" s="32" t="n">
        <v>-18.13</v>
      </c>
      <c r="W94" s="32" t="n">
        <v>13.73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Less than 50% and Borrowings are increasing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IF(B95=0,"",RANK(B95,$B$2:$B$95,0))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OBSCP</t>
        </is>
      </c>
      <c r="D95" s="31" t="inlineStr">
        <is>
          <t>OBSC Perfection Ltd</t>
        </is>
      </c>
      <c r="E95" s="31" t="inlineStr">
        <is>
          <t>unknown</t>
        </is>
      </c>
      <c r="F95" s="31" t="inlineStr">
        <is>
          <t>Auto Ancillaries - Diversified</t>
        </is>
      </c>
      <c r="G95" s="31" t="inlineStr">
        <is>
          <t>smallcap</t>
        </is>
      </c>
      <c r="H95" s="32" t="n">
        <v>1318.64</v>
      </c>
      <c r="I95" s="32" t="n">
        <v>510.2</v>
      </c>
      <c r="J95" s="32" t="n">
        <v>-0.89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9">
      <c r="A99" s="25" t="inlineStr">
        <is>
          <t>❌ REMOVED SCAN MATCH STOCKS (THIS WEEK)</t>
        </is>
      </c>
    </row>
    <row r="100">
      <c r="A100" s="35" t="inlineStr">
        <is>
          <t>Symbol</t>
        </is>
      </c>
      <c r="B100" s="35" t="inlineStr">
        <is>
          <t>Company Name</t>
        </is>
      </c>
      <c r="C100" s="35" t="inlineStr">
        <is>
          <t>Sector</t>
        </is>
      </c>
      <c r="D100" s="35" t="inlineStr">
        <is>
          <t>Date of Removal</t>
        </is>
      </c>
    </row>
    <row r="101">
      <c r="A101" s="36" t="inlineStr">
        <is>
          <t>ACGL</t>
        </is>
      </c>
      <c r="B101" s="37" t="inlineStr">
        <is>
          <t>ACGL</t>
        </is>
      </c>
      <c r="C101" s="37" t="inlineStr">
        <is>
          <t>unknown</t>
        </is>
      </c>
      <c r="D101" s="38" t="inlineStr">
        <is>
          <t>2026-06-11</t>
        </is>
      </c>
    </row>
    <row r="102">
      <c r="A102" s="36" t="inlineStr">
        <is>
          <t>AEROFLEX</t>
        </is>
      </c>
      <c r="B102" s="37" t="inlineStr">
        <is>
          <t>Aeroflex Industries Limited</t>
        </is>
      </c>
      <c r="C102" s="37" t="inlineStr">
        <is>
          <t>Industrials</t>
        </is>
      </c>
      <c r="D102" s="38" t="inlineStr">
        <is>
          <t>2026-06-11</t>
        </is>
      </c>
    </row>
    <row r="103">
      <c r="A103" s="36" t="inlineStr">
        <is>
          <t>ANGELONE</t>
        </is>
      </c>
      <c r="B103" s="37" t="inlineStr">
        <is>
          <t>ANGELONE</t>
        </is>
      </c>
      <c r="C103" s="37" t="inlineStr">
        <is>
          <t>unknown</t>
        </is>
      </c>
      <c r="D103" s="38" t="inlineStr">
        <is>
          <t>2026-06-10</t>
        </is>
      </c>
    </row>
    <row r="104">
      <c r="A104" s="36" t="inlineStr">
        <is>
          <t>ASIANENE</t>
        </is>
      </c>
      <c r="B104" s="37" t="inlineStr">
        <is>
          <t>Asian Energy Services Limited</t>
        </is>
      </c>
      <c r="C104" s="37" t="inlineStr">
        <is>
          <t>Energy</t>
        </is>
      </c>
      <c r="D104" s="38" t="inlineStr">
        <is>
          <t>2026-06-11</t>
        </is>
      </c>
    </row>
    <row r="105">
      <c r="A105" s="36" t="inlineStr">
        <is>
          <t>ASTRAMICRO</t>
        </is>
      </c>
      <c r="B105" s="37" t="inlineStr">
        <is>
          <t>Astra Microwave Products Limited</t>
        </is>
      </c>
      <c r="C105" s="37" t="inlineStr">
        <is>
          <t>Technology</t>
        </is>
      </c>
      <c r="D105" s="38" t="inlineStr">
        <is>
          <t>2026-06-11</t>
        </is>
      </c>
    </row>
    <row r="106">
      <c r="A106" s="36" t="inlineStr">
        <is>
          <t>BALAMINES</t>
        </is>
      </c>
      <c r="B106" s="37" t="inlineStr">
        <is>
          <t>Balaji Amines Limited</t>
        </is>
      </c>
      <c r="C106" s="37" t="inlineStr">
        <is>
          <t>Basic Materials</t>
        </is>
      </c>
      <c r="D106" s="38" t="inlineStr">
        <is>
          <t>2026-06-10</t>
        </is>
      </c>
    </row>
    <row r="107">
      <c r="A107" s="36" t="inlineStr">
        <is>
          <t>BHAGYANGR</t>
        </is>
      </c>
      <c r="B107" s="37" t="inlineStr">
        <is>
          <t>BHAGYANGR</t>
        </is>
      </c>
      <c r="C107" s="37" t="inlineStr">
        <is>
          <t>unknown</t>
        </is>
      </c>
      <c r="D107" s="38" t="inlineStr">
        <is>
          <t>2026-06-11</t>
        </is>
      </c>
    </row>
    <row r="108">
      <c r="A108" s="36" t="inlineStr">
        <is>
          <t>BRRL</t>
        </is>
      </c>
      <c r="B108" s="37" t="inlineStr">
        <is>
          <t>BRRL</t>
        </is>
      </c>
      <c r="C108" s="37" t="inlineStr">
        <is>
          <t>unknown</t>
        </is>
      </c>
      <c r="D108" s="38" t="inlineStr">
        <is>
          <t>2026-06-09</t>
        </is>
      </c>
    </row>
    <row r="109">
      <c r="A109" s="36" t="inlineStr">
        <is>
          <t>CNCRD</t>
        </is>
      </c>
      <c r="B109" s="37" t="inlineStr">
        <is>
          <t>CNCRD</t>
        </is>
      </c>
      <c r="C109" s="37" t="inlineStr">
        <is>
          <t>unknown</t>
        </is>
      </c>
      <c r="D109" s="38" t="inlineStr">
        <is>
          <t>2026-06-10</t>
        </is>
      </c>
    </row>
    <row r="110">
      <c r="A110" s="36" t="inlineStr">
        <is>
          <t>CPPLUS</t>
        </is>
      </c>
      <c r="B110" s="37" t="inlineStr">
        <is>
          <t>CPPLUS</t>
        </is>
      </c>
      <c r="C110" s="37" t="inlineStr">
        <is>
          <t>unknown</t>
        </is>
      </c>
      <c r="D110" s="38" t="inlineStr">
        <is>
          <t>2026-06-10</t>
        </is>
      </c>
    </row>
    <row r="111">
      <c r="A111" s="36" t="inlineStr">
        <is>
          <t>DIVGIITTS</t>
        </is>
      </c>
      <c r="B111" s="37" t="inlineStr">
        <is>
          <t>Divgi TorqTransfer Systems Limited</t>
        </is>
      </c>
      <c r="C111" s="37" t="inlineStr">
        <is>
          <t>Consumer Cyclical</t>
        </is>
      </c>
      <c r="D111" s="38" t="inlineStr">
        <is>
          <t>2026-06-10</t>
        </is>
      </c>
    </row>
    <row r="112">
      <c r="A112" s="36" t="inlineStr">
        <is>
          <t>EMMVEE</t>
        </is>
      </c>
      <c r="B112" s="37" t="inlineStr">
        <is>
          <t>EMMVEE</t>
        </is>
      </c>
      <c r="C112" s="37" t="inlineStr">
        <is>
          <t>unknown</t>
        </is>
      </c>
      <c r="D112" s="38" t="inlineStr">
        <is>
          <t>2026-06-11</t>
        </is>
      </c>
    </row>
    <row r="113">
      <c r="A113" s="36" t="inlineStr">
        <is>
          <t>GAYAPROJ</t>
        </is>
      </c>
      <c r="B113" s="37" t="inlineStr">
        <is>
          <t>Gayatri Projects Limited</t>
        </is>
      </c>
      <c r="C113" s="37" t="inlineStr">
        <is>
          <t>Industrials</t>
        </is>
      </c>
      <c r="D113" s="38" t="inlineStr">
        <is>
          <t>2026-06-11</t>
        </is>
      </c>
    </row>
    <row r="114">
      <c r="A114" s="36" t="inlineStr">
        <is>
          <t>GUFICBIO</t>
        </is>
      </c>
      <c r="B114" s="37" t="inlineStr">
        <is>
          <t>Gufic Biosciences Limited</t>
        </is>
      </c>
      <c r="C114" s="37" t="inlineStr">
        <is>
          <t>Healthcare</t>
        </is>
      </c>
      <c r="D114" s="38" t="inlineStr">
        <is>
          <t>2026-06-11</t>
        </is>
      </c>
    </row>
    <row r="115">
      <c r="A115" s="36" t="inlineStr">
        <is>
          <t>IDEAFORGE</t>
        </is>
      </c>
      <c r="B115" s="37" t="inlineStr">
        <is>
          <t>ideaForge Technology Limited</t>
        </is>
      </c>
      <c r="C115" s="37" t="inlineStr">
        <is>
          <t>Technology</t>
        </is>
      </c>
      <c r="D115" s="38" t="inlineStr">
        <is>
          <t>2026-06-11</t>
        </is>
      </c>
    </row>
    <row r="116">
      <c r="A116" s="36" t="inlineStr">
        <is>
          <t>IOLCP</t>
        </is>
      </c>
      <c r="B116" s="37" t="inlineStr">
        <is>
          <t>IOL Chemicals and Pharmaceuticals Limited</t>
        </is>
      </c>
      <c r="C116" s="37" t="inlineStr">
        <is>
          <t>Healthcare</t>
        </is>
      </c>
      <c r="D116" s="38" t="inlineStr">
        <is>
          <t>2026-06-10</t>
        </is>
      </c>
    </row>
    <row r="117">
      <c r="A117" s="36" t="inlineStr">
        <is>
          <t>KINGFA</t>
        </is>
      </c>
      <c r="B117" s="37" t="inlineStr">
        <is>
          <t>KINGFA</t>
        </is>
      </c>
      <c r="C117" s="37" t="inlineStr">
        <is>
          <t>unknown</t>
        </is>
      </c>
      <c r="D117" s="38" t="inlineStr">
        <is>
          <t>2026-06-10</t>
        </is>
      </c>
    </row>
    <row r="118">
      <c r="A118" s="36" t="inlineStr">
        <is>
          <t>KIRLPNU</t>
        </is>
      </c>
      <c r="B118" s="37" t="inlineStr">
        <is>
          <t>KIRLPNU</t>
        </is>
      </c>
      <c r="C118" s="37" t="inlineStr">
        <is>
          <t>unknown</t>
        </is>
      </c>
      <c r="D118" s="38" t="inlineStr">
        <is>
          <t>2026-06-11</t>
        </is>
      </c>
    </row>
    <row r="119">
      <c r="A119" s="36" t="inlineStr">
        <is>
          <t>MOBAVENUE</t>
        </is>
      </c>
      <c r="B119" s="37" t="inlineStr">
        <is>
          <t>MOBAVENUE</t>
        </is>
      </c>
      <c r="C119" s="37" t="inlineStr">
        <is>
          <t>unknown</t>
        </is>
      </c>
      <c r="D119" s="38" t="inlineStr">
        <is>
          <t>2026-06-11</t>
        </is>
      </c>
    </row>
    <row r="120">
      <c r="A120" s="36" t="inlineStr">
        <is>
          <t>MTARTECH</t>
        </is>
      </c>
      <c r="B120" s="37" t="inlineStr">
        <is>
          <t>MTARTECH</t>
        </is>
      </c>
      <c r="C120" s="37" t="inlineStr">
        <is>
          <t>unknown</t>
        </is>
      </c>
      <c r="D120" s="38" t="inlineStr">
        <is>
          <t>2026-06-10</t>
        </is>
      </c>
    </row>
    <row r="121">
      <c r="A121" s="36" t="inlineStr">
        <is>
          <t>NETWEB</t>
        </is>
      </c>
      <c r="B121" s="37" t="inlineStr">
        <is>
          <t>NETWEB</t>
        </is>
      </c>
      <c r="C121" s="37" t="inlineStr">
        <is>
          <t>unknown</t>
        </is>
      </c>
      <c r="D121" s="38" t="inlineStr">
        <is>
          <t>2026-06-11</t>
        </is>
      </c>
    </row>
    <row r="122">
      <c r="A122" s="36" t="inlineStr">
        <is>
          <t>NSLNISP</t>
        </is>
      </c>
      <c r="B122" s="37" t="inlineStr">
        <is>
          <t>NSLNISP</t>
        </is>
      </c>
      <c r="C122" s="37" t="inlineStr">
        <is>
          <t>unknown</t>
        </is>
      </c>
      <c r="D122" s="38" t="inlineStr">
        <is>
          <t>2026-06-10</t>
        </is>
      </c>
    </row>
    <row r="123">
      <c r="A123" s="36" t="inlineStr">
        <is>
          <t>PGHL</t>
        </is>
      </c>
      <c r="B123" s="37" t="inlineStr">
        <is>
          <t>Procter &amp; Gamble Health Limited</t>
        </is>
      </c>
      <c r="C123" s="37" t="inlineStr">
        <is>
          <t>Healthcare</t>
        </is>
      </c>
      <c r="D123" s="38" t="inlineStr">
        <is>
          <t>2026-06-11</t>
        </is>
      </c>
    </row>
    <row r="124">
      <c r="A124" s="36" t="inlineStr">
        <is>
          <t>POWERINDIA</t>
        </is>
      </c>
      <c r="B124" s="37" t="inlineStr">
        <is>
          <t>POWERINDIA</t>
        </is>
      </c>
      <c r="C124" s="37" t="inlineStr">
        <is>
          <t>unknown</t>
        </is>
      </c>
      <c r="D124" s="38" t="inlineStr">
        <is>
          <t>2026-06-10</t>
        </is>
      </c>
    </row>
    <row r="125">
      <c r="A125" s="36" t="inlineStr">
        <is>
          <t>PREMEXPLN</t>
        </is>
      </c>
      <c r="B125" s="37" t="inlineStr">
        <is>
          <t>Premier Explosives Limited</t>
        </is>
      </c>
      <c r="C125" s="37" t="inlineStr">
        <is>
          <t>Basic Materials</t>
        </is>
      </c>
      <c r="D125" s="38" t="inlineStr">
        <is>
          <t>2026-06-11</t>
        </is>
      </c>
    </row>
    <row r="126">
      <c r="A126" s="36" t="inlineStr">
        <is>
          <t>REFEX</t>
        </is>
      </c>
      <c r="B126" s="37" t="inlineStr">
        <is>
          <t>REFEX</t>
        </is>
      </c>
      <c r="C126" s="37" t="inlineStr">
        <is>
          <t>unknown</t>
        </is>
      </c>
      <c r="D126" s="38" t="inlineStr">
        <is>
          <t>2026-06-09</t>
        </is>
      </c>
    </row>
    <row r="127">
      <c r="A127" s="36" t="inlineStr">
        <is>
          <t>SHAILY</t>
        </is>
      </c>
      <c r="B127" s="37" t="inlineStr">
        <is>
          <t>Shaily Engineering Plastics Limited</t>
        </is>
      </c>
      <c r="C127" s="37" t="inlineStr">
        <is>
          <t>Basic Materials</t>
        </is>
      </c>
      <c r="D127" s="38" t="inlineStr">
        <is>
          <t>2026-06-09</t>
        </is>
      </c>
    </row>
    <row r="128">
      <c r="A128" s="36" t="inlineStr">
        <is>
          <t>SKYGOLD</t>
        </is>
      </c>
      <c r="B128" s="37" t="inlineStr">
        <is>
          <t>SKYGOLD</t>
        </is>
      </c>
      <c r="C128" s="37" t="inlineStr">
        <is>
          <t>unknown</t>
        </is>
      </c>
      <c r="D128" s="38" t="inlineStr">
        <is>
          <t>2026-06-11</t>
        </is>
      </c>
    </row>
    <row r="129">
      <c r="A129" s="36" t="inlineStr">
        <is>
          <t>STLTECH</t>
        </is>
      </c>
      <c r="B129" s="37" t="inlineStr">
        <is>
          <t>Sterlite Technologies Limited</t>
        </is>
      </c>
      <c r="C129" s="37" t="inlineStr">
        <is>
          <t>Technology</t>
        </is>
      </c>
      <c r="D129" s="38" t="inlineStr">
        <is>
          <t>2026-06-10</t>
        </is>
      </c>
    </row>
    <row r="130">
      <c r="A130" s="36" t="inlineStr">
        <is>
          <t>SURYODAY</t>
        </is>
      </c>
      <c r="B130" s="37" t="inlineStr">
        <is>
          <t>SURYODAY</t>
        </is>
      </c>
      <c r="C130" s="37" t="inlineStr">
        <is>
          <t>unknown</t>
        </is>
      </c>
      <c r="D130" s="38" t="inlineStr">
        <is>
          <t>2026-06-09</t>
        </is>
      </c>
    </row>
    <row r="131">
      <c r="A131" s="36" t="inlineStr">
        <is>
          <t>THYROCARE</t>
        </is>
      </c>
      <c r="B131" s="37" t="inlineStr">
        <is>
          <t>Thyrocare Technologies Limited</t>
        </is>
      </c>
      <c r="C131" s="37" t="inlineStr">
        <is>
          <t>Healthcare</t>
        </is>
      </c>
      <c r="D131" s="38" t="inlineStr">
        <is>
          <t>2026-06-09</t>
        </is>
      </c>
    </row>
    <row r="132">
      <c r="A132" s="36" t="inlineStr">
        <is>
          <t>USHAMART</t>
        </is>
      </c>
      <c r="B132" s="37" t="inlineStr">
        <is>
          <t>USHAMART</t>
        </is>
      </c>
      <c r="C132" s="37" t="inlineStr">
        <is>
          <t>unknown</t>
        </is>
      </c>
      <c r="D132" s="38" t="inlineStr">
        <is>
          <t>2026-06-10</t>
        </is>
      </c>
    </row>
    <row r="133">
      <c r="A133" s="36" t="inlineStr">
        <is>
          <t>V2RETAIL</t>
        </is>
      </c>
      <c r="B133" s="37" t="inlineStr">
        <is>
          <t>V2RETAIL</t>
        </is>
      </c>
      <c r="C133" s="37" t="inlineStr">
        <is>
          <t>unknown</t>
        </is>
      </c>
      <c r="D133" s="38" t="inlineStr">
        <is>
          <t>2026-06-11</t>
        </is>
      </c>
    </row>
    <row r="134">
      <c r="A134" s="36" t="inlineStr">
        <is>
          <t>VIJAYA</t>
        </is>
      </c>
      <c r="B134" s="37" t="inlineStr">
        <is>
          <t>VIJAYA</t>
        </is>
      </c>
      <c r="C134" s="37" t="inlineStr">
        <is>
          <t>unknown</t>
        </is>
      </c>
      <c r="D134" s="38" t="inlineStr">
        <is>
          <t>2026-06-09</t>
        </is>
      </c>
    </row>
    <row r="135">
      <c r="A135" s="36" t="inlineStr">
        <is>
          <t>WELSPLSOL</t>
        </is>
      </c>
      <c r="B135" s="37" t="inlineStr">
        <is>
          <t>WELSPLSOL</t>
        </is>
      </c>
      <c r="C135" s="37" t="inlineStr">
        <is>
          <t>unknown</t>
        </is>
      </c>
      <c r="D135" s="38" t="inlineStr">
        <is>
          <t>2026-06-11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IF(B2=0,"",RANK(B2,$B$2:$B$7,0))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TMB</t>
        </is>
      </c>
      <c r="D2" s="34" t="inlineStr">
        <is>
          <t>Tamilnad Mercantile Bank Ltd</t>
        </is>
      </c>
      <c r="E2" s="31" t="inlineStr">
        <is>
          <t>bank</t>
        </is>
      </c>
      <c r="F2" s="31" t="inlineStr">
        <is>
          <t>Banks - Private</t>
        </is>
      </c>
      <c r="G2" s="31" t="inlineStr">
        <is>
          <t>midcap</t>
        </is>
      </c>
      <c r="H2" s="32" t="n">
        <v>12151.89</v>
      </c>
      <c r="I2" s="32" t="n">
        <v>767.4</v>
      </c>
      <c r="J2" s="32" t="n">
        <v>-0.93</v>
      </c>
      <c r="K2" s="32" t="n">
        <v>0</v>
      </c>
      <c r="L2" s="31" t="n">
        <v>56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68.06</v>
      </c>
      <c r="P2" s="32" t="n">
        <v>29.41</v>
      </c>
      <c r="Q2" s="32" t="n">
        <v>607.53</v>
      </c>
      <c r="R2" s="31" t="inlineStr">
        <is>
          <t>Near 52W High Breakout</t>
        </is>
      </c>
      <c r="S2" s="31" t="inlineStr">
        <is>
          <t>Nifty Bank</t>
        </is>
      </c>
      <c r="T2" s="32" t="n">
        <v>-0.63</v>
      </c>
      <c r="U2" s="32" t="n">
        <v>73.75</v>
      </c>
      <c r="V2" s="32" t="n">
        <v>74.84999999999999</v>
      </c>
      <c r="W2" s="32" t="n">
        <v>17.84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IF(B3=0,"",RANK(B3,$B$2:$B$7,0))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SGFIN</t>
        </is>
      </c>
      <c r="D3" s="34" t="inlineStr">
        <is>
          <t>SG Finserve Ltd</t>
        </is>
      </c>
      <c r="E3" s="31" t="inlineStr">
        <is>
          <t>Financial Services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3767.88</v>
      </c>
      <c r="I3" s="32" t="n">
        <v>571.8</v>
      </c>
      <c r="J3" s="32" t="n">
        <v>-2.85</v>
      </c>
      <c r="K3" s="32" t="n">
        <v>0</v>
      </c>
      <c r="L3" s="31" t="n">
        <v>40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69.28</v>
      </c>
      <c r="P3" s="32" t="n">
        <v>47.64</v>
      </c>
      <c r="Q3" s="32" t="n">
        <v>460.78</v>
      </c>
      <c r="R3" s="31" t="inlineStr">
        <is>
          <t>Near 52W High Breakout</t>
        </is>
      </c>
      <c r="S3" s="31" t="inlineStr">
        <is>
          <t>Nifty Bank</t>
        </is>
      </c>
      <c r="T3" s="32" t="n">
        <v>0.31</v>
      </c>
      <c r="U3" s="32" t="n">
        <v>45.56</v>
      </c>
      <c r="V3" s="32" t="n">
        <v>45.1</v>
      </c>
      <c r="W3" s="32" t="n">
        <v>13.32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5321.61</v>
      </c>
      <c r="I4" s="32" t="n">
        <v>58.51</v>
      </c>
      <c r="J4" s="32" t="n">
        <v>-1.68</v>
      </c>
      <c r="K4" s="32" t="n">
        <v>0</v>
      </c>
      <c r="L4" s="31" t="n">
        <v>89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76.78</v>
      </c>
      <c r="P4" s="32" t="n">
        <v>32.77</v>
      </c>
      <c r="Q4" s="32" t="n">
        <v>45.7</v>
      </c>
      <c r="R4" s="31" t="inlineStr">
        <is>
          <t>Near 52W High Breakout</t>
        </is>
      </c>
      <c r="S4" s="31" t="inlineStr">
        <is>
          <t>Nifty Bank</t>
        </is>
      </c>
      <c r="T4" s="32" t="n">
        <v>-0.63</v>
      </c>
      <c r="U4" s="32" t="n">
        <v>87.17</v>
      </c>
      <c r="V4" s="32" t="n">
        <v>88.36</v>
      </c>
      <c r="W4" s="32" t="n">
        <v>36.16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less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SATIN</t>
        </is>
      </c>
      <c r="D5" s="31" t="inlineStr">
        <is>
          <t>Satin Creditcare Network Ltd</t>
        </is>
      </c>
      <c r="E5" s="31" t="inlineStr">
        <is>
          <t>Financial Services</t>
        </is>
      </c>
      <c r="F5" s="31" t="inlineStr">
        <is>
          <t>Finance &amp; Investments - Microfinance</t>
        </is>
      </c>
      <c r="G5" s="31" t="inlineStr">
        <is>
          <t>smallcap</t>
        </is>
      </c>
      <c r="H5" s="32" t="n">
        <v>2426.94</v>
      </c>
      <c r="I5" s="32" t="n">
        <v>219.69</v>
      </c>
      <c r="J5" s="32" t="n">
        <v>-6.05</v>
      </c>
      <c r="K5" s="32" t="n">
        <v>0</v>
      </c>
      <c r="L5" s="31" t="n">
        <v>60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65.44</v>
      </c>
      <c r="P5" s="32" t="n">
        <v>41.38</v>
      </c>
      <c r="Q5" s="32" t="n">
        <v>187.05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-0.63</v>
      </c>
      <c r="U5" s="32" t="n">
        <v>38.06</v>
      </c>
      <c r="V5" s="32" t="n">
        <v>38.93</v>
      </c>
      <c r="W5" s="32" t="n">
        <v>19.08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IF(B6=0,"",RANK(B6,$B$2:$B$7,0))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BSE</t>
        </is>
      </c>
      <c r="D6" s="34" t="inlineStr">
        <is>
          <t>BSE Ltd</t>
        </is>
      </c>
      <c r="E6" s="31" t="inlineStr">
        <is>
          <t>Financial Services</t>
        </is>
      </c>
      <c r="F6" s="31" t="inlineStr">
        <is>
          <t>Exchanges</t>
        </is>
      </c>
      <c r="G6" s="31" t="inlineStr">
        <is>
          <t>largecap</t>
        </is>
      </c>
      <c r="H6" s="32" t="n">
        <v>158370.1</v>
      </c>
      <c r="I6" s="32" t="n">
        <v>3888.3</v>
      </c>
      <c r="J6" s="32" t="n">
        <v>-1.05</v>
      </c>
      <c r="K6" s="32" t="n">
        <v>0</v>
      </c>
      <c r="L6" s="31" t="n">
        <v>54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67.5</v>
      </c>
      <c r="P6" s="32" t="n">
        <v>30.7</v>
      </c>
      <c r="Q6" s="32" t="n">
        <v>3365.83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-0.63</v>
      </c>
      <c r="U6" s="32" t="n">
        <v>43.42</v>
      </c>
      <c r="V6" s="32" t="n">
        <v>44.33</v>
      </c>
      <c r="W6" s="32" t="n">
        <v>17.15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17</t>
        </is>
      </c>
      <c r="CC6" s="31">
        <f>IF(CB6&gt;20,10,IF(CB6&gt;=10,5,2))</f>
        <v/>
      </c>
    </row>
    <row r="7">
      <c r="A7" s="31">
        <f>IF(B7=0,"",RANK(B7,$B$2:$B$7,0))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NAM-INDIA</t>
        </is>
      </c>
      <c r="D7" s="31" t="inlineStr">
        <is>
          <t>Nippon Life India Asset Management Ltd</t>
        </is>
      </c>
      <c r="E7" s="31" t="inlineStr">
        <is>
          <t>Financial Services</t>
        </is>
      </c>
      <c r="F7" s="31" t="inlineStr">
        <is>
          <t>Finance - AMC</t>
        </is>
      </c>
      <c r="G7" s="31" t="inlineStr">
        <is>
          <t>largecap</t>
        </is>
      </c>
      <c r="H7" s="32" t="n">
        <v>66504.38</v>
      </c>
      <c r="I7" s="32" t="n">
        <v>1041.6</v>
      </c>
      <c r="J7" s="32" t="n">
        <v>-1.87</v>
      </c>
      <c r="K7" s="32" t="n">
        <v>0</v>
      </c>
      <c r="L7" s="31" t="n">
        <v>40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58.61</v>
      </c>
      <c r="P7" s="32" t="n">
        <v>26.96</v>
      </c>
      <c r="Q7" s="32" t="n">
        <v>871.89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-0.63</v>
      </c>
      <c r="U7" s="32" t="n">
        <v>44.88</v>
      </c>
      <c r="V7" s="32" t="n">
        <v>45.8</v>
      </c>
      <c r="W7" s="32" t="n">
        <v>13.55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11">
      <c r="A11" s="25" t="inlineStr">
        <is>
          <t>❌ REMOVED SCAN MATCH STOCKS (THIS WEEK)</t>
        </is>
      </c>
    </row>
    <row r="12">
      <c r="A12" s="35" t="inlineStr">
        <is>
          <t>Symbol</t>
        </is>
      </c>
      <c r="B12" s="35" t="inlineStr">
        <is>
          <t>Company Name</t>
        </is>
      </c>
      <c r="C12" s="35" t="inlineStr">
        <is>
          <t>Sector</t>
        </is>
      </c>
      <c r="D12" s="35" t="inlineStr">
        <is>
          <t>Date of Removal</t>
        </is>
      </c>
    </row>
    <row r="13">
      <c r="A13" s="36" t="inlineStr">
        <is>
          <t>DHANBANK</t>
        </is>
      </c>
      <c r="B13" s="37" t="inlineStr">
        <is>
          <t>DHANBANK</t>
        </is>
      </c>
      <c r="C13" s="37" t="inlineStr">
        <is>
          <t>unknown</t>
        </is>
      </c>
      <c r="D13" s="38" t="inlineStr">
        <is>
          <t>2026-06-09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2026-06-11T14:14:27Z</dcterms:created>
  <dcterms:modified xmlns:dcterms="http://purl.org/dc/terms/" xmlns:xsi="http://www.w3.org/2001/XMLSchema-instance" xsi:type="dcterms:W3CDTF">2026-06-11T14:15:13Z</dcterms:modified>
</cp:coreProperties>
</file>