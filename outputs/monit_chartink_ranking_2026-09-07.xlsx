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Universe'!$A$1:$J$397</definedName>
    <definedName name="_xlnm._FilterDatabase" localSheetId="3" hidden="1">'Confluence Overlap'!$A$1:$K$92</definedName>
    <definedName name="_xlnm._FilterDatabase" localSheetId="4" hidden="1">'Monit Non Financial'!$A$1:$CE$358</definedName>
    <definedName name="_xlnm._FilterDatabase" localSheetId="5" hidden="1">'Monit Banks NBFC'!$A$1:$CA$40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Financial'!$A$1:$CG$93</definedName>
    <definedName name="_xlnm._FilterDatabase" localSheetId="9" hidden="1">'Scan Match Banks NBFC'!$A$1:$CC$9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07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15" customWidth="1" min="3" max="3"/>
    <col width="47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696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101</v>
      </c>
      <c r="G6" s="19" t="n">
        <v>68337.60000000001</v>
      </c>
      <c r="H6" s="18" t="inlineStr">
        <is>
          <t>Potential Leader</t>
        </is>
      </c>
      <c r="J6" s="18" t="inlineStr">
        <is>
          <t>energy</t>
        </is>
      </c>
      <c r="K6" s="16" t="n">
        <v>73</v>
      </c>
      <c r="L6" s="16" t="n">
        <v>48</v>
      </c>
      <c r="M6" s="20" t="inlineStr">
        <is>
          <t>52.1%</t>
        </is>
      </c>
    </row>
    <row r="7">
      <c r="A7" s="16" t="n">
        <v>2</v>
      </c>
      <c r="B7" s="17" t="n">
        <v>588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83</v>
      </c>
      <c r="G7" s="19" t="n">
        <v>2907.86</v>
      </c>
      <c r="H7" s="18" t="inlineStr">
        <is>
          <t>Potential Leader</t>
        </is>
      </c>
      <c r="J7" s="18" t="inlineStr">
        <is>
          <t>textiles</t>
        </is>
      </c>
      <c r="K7" s="16" t="n">
        <v>81</v>
      </c>
      <c r="L7" s="16" t="n">
        <v>58</v>
      </c>
      <c r="M7" s="20" t="inlineStr">
        <is>
          <t>39.7%</t>
        </is>
      </c>
    </row>
    <row r="8">
      <c r="A8" s="16" t="n">
        <v>3</v>
      </c>
      <c r="B8" s="17" t="n">
        <v>510</v>
      </c>
      <c r="C8" s="17" t="inlineStr">
        <is>
          <t>CUPID</t>
        </is>
      </c>
      <c r="D8" s="18" t="inlineStr">
        <is>
          <t>Cupid Limited</t>
        </is>
      </c>
      <c r="E8" s="18" t="inlineStr">
        <is>
          <t>fmcg</t>
        </is>
      </c>
      <c r="F8" s="16" t="n">
        <v>70</v>
      </c>
      <c r="G8" s="19" t="n">
        <v>38074.07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8</v>
      </c>
      <c r="L8" s="16" t="n">
        <v>6</v>
      </c>
      <c r="M8" s="20" t="inlineStr">
        <is>
          <t>33.3%</t>
        </is>
      </c>
    </row>
    <row r="9">
      <c r="A9" s="16" t="n">
        <v>4</v>
      </c>
      <c r="B9" s="17" t="n">
        <v>432</v>
      </c>
      <c r="C9" s="17" t="inlineStr">
        <is>
          <t>HITECHCORP</t>
        </is>
      </c>
      <c r="D9" s="18" t="inlineStr">
        <is>
          <t>Hitech Corporation</t>
        </is>
      </c>
      <c r="E9" s="18" t="inlineStr">
        <is>
          <t>industrials</t>
        </is>
      </c>
      <c r="F9" s="16" t="n">
        <v>57</v>
      </c>
      <c r="G9" s="19" t="n">
        <v>578.8200000000001</v>
      </c>
      <c r="H9" s="18" t="inlineStr">
        <is>
          <t>Potential Leader</t>
        </is>
      </c>
      <c r="J9" s="18" t="inlineStr">
        <is>
          <t>building materials</t>
        </is>
      </c>
      <c r="K9" s="16" t="n">
        <v>63</v>
      </c>
      <c r="L9" s="16" t="n">
        <v>50</v>
      </c>
      <c r="M9" s="20" t="inlineStr">
        <is>
          <t>26.0%</t>
        </is>
      </c>
    </row>
    <row r="10">
      <c r="A10" s="16" t="n">
        <v>5</v>
      </c>
      <c r="B10" s="17" t="n">
        <v>384</v>
      </c>
      <c r="C10" s="17" t="inlineStr">
        <is>
          <t>CYIENTDLM</t>
        </is>
      </c>
      <c r="D10" s="18" t="inlineStr">
        <is>
          <t>Cyient DLM Ltd</t>
        </is>
      </c>
      <c r="E10" s="18" t="inlineStr">
        <is>
          <t>aerospace &amp; defence</t>
        </is>
      </c>
      <c r="F10" s="16" t="n">
        <v>49</v>
      </c>
      <c r="G10" s="19" t="n">
        <v>6802.76</v>
      </c>
      <c r="H10" s="18" t="inlineStr">
        <is>
          <t>Potential Leader</t>
        </is>
      </c>
      <c r="J10" s="18" t="inlineStr">
        <is>
          <t>co-working</t>
        </is>
      </c>
      <c r="K10" s="16" t="n">
        <v>6</v>
      </c>
      <c r="L10" s="16" t="n">
        <v>5</v>
      </c>
      <c r="M10" s="20" t="inlineStr">
        <is>
          <t>20.0%</t>
        </is>
      </c>
    </row>
    <row r="11">
      <c r="A11" s="16" t="n">
        <v>6</v>
      </c>
      <c r="B11" s="17" t="n">
        <v>384</v>
      </c>
      <c r="C11" s="17" t="inlineStr">
        <is>
          <t>IRISDOREME</t>
        </is>
      </c>
      <c r="D11" s="18" t="inlineStr">
        <is>
          <t>Iris Clothings Ltd</t>
        </is>
      </c>
      <c r="E11" s="18" t="inlineStr">
        <is>
          <t>consumer discretionary</t>
        </is>
      </c>
      <c r="F11" s="16" t="n">
        <v>49</v>
      </c>
      <c r="G11" s="19" t="n">
        <v>1210.13</v>
      </c>
      <c r="H11" s="18" t="inlineStr">
        <is>
          <t>Potential Leader</t>
        </is>
      </c>
      <c r="J11" s="18" t="inlineStr">
        <is>
          <t>transportation</t>
        </is>
      </c>
      <c r="K11" s="16" t="n">
        <v>37</v>
      </c>
      <c r="L11" s="16" t="n">
        <v>31</v>
      </c>
      <c r="M11" s="20" t="inlineStr">
        <is>
          <t>19.4%</t>
        </is>
      </c>
    </row>
    <row r="12">
      <c r="A12" s="16" t="n">
        <v>7</v>
      </c>
      <c r="B12" s="17" t="n">
        <v>378</v>
      </c>
      <c r="C12" s="17" t="inlineStr">
        <is>
          <t>SETL</t>
        </is>
      </c>
      <c r="D12" s="18" t="inlineStr">
        <is>
          <t>Standard Enginnering Technology Ltd</t>
        </is>
      </c>
      <c r="E12" s="18" t="inlineStr">
        <is>
          <t>industrials</t>
        </is>
      </c>
      <c r="F12" s="16" t="n">
        <v>48</v>
      </c>
      <c r="G12" s="19" t="n">
        <v>8158.21</v>
      </c>
      <c r="H12" s="18" t="inlineStr">
        <is>
          <t>Potential Leader</t>
        </is>
      </c>
      <c r="J12" s="18" t="inlineStr">
        <is>
          <t>miscellaneous</t>
        </is>
      </c>
      <c r="K12" s="16" t="n">
        <v>47</v>
      </c>
      <c r="L12" s="16" t="n">
        <v>41</v>
      </c>
      <c r="M12" s="20" t="inlineStr">
        <is>
          <t>14.6%</t>
        </is>
      </c>
    </row>
    <row r="13">
      <c r="A13" s="16" t="n">
        <v>8</v>
      </c>
      <c r="B13" s="17" t="n">
        <v>366</v>
      </c>
      <c r="C13" s="17" t="inlineStr">
        <is>
          <t>HAPPYFORGE</t>
        </is>
      </c>
      <c r="D13" s="18" t="inlineStr">
        <is>
          <t>Happy Forgings Ltd</t>
        </is>
      </c>
      <c r="E13" s="18" t="inlineStr">
        <is>
          <t>industrials</t>
        </is>
      </c>
      <c r="F13" s="16" t="n">
        <v>46</v>
      </c>
      <c r="G13" s="19" t="n">
        <v>21126.68</v>
      </c>
      <c r="H13" s="18" t="inlineStr">
        <is>
          <t>Potential Leader</t>
        </is>
      </c>
      <c r="J13" s="18" t="inlineStr">
        <is>
          <t>healthcare</t>
        </is>
      </c>
      <c r="K13" s="16" t="n">
        <v>253</v>
      </c>
      <c r="L13" s="16" t="n">
        <v>231</v>
      </c>
      <c r="M13" s="20" t="inlineStr">
        <is>
          <t>9.5%</t>
        </is>
      </c>
    </row>
    <row r="14">
      <c r="A14" s="16" t="n">
        <v>9</v>
      </c>
      <c r="B14" s="17" t="n">
        <v>336</v>
      </c>
      <c r="C14" s="17" t="inlineStr">
        <is>
          <t>SUNDRMFAST</t>
        </is>
      </c>
      <c r="D14" s="18" t="inlineStr">
        <is>
          <t>Sundram Fasteners Limited</t>
        </is>
      </c>
      <c r="E14" s="18" t="inlineStr">
        <is>
          <t>auto</t>
        </is>
      </c>
      <c r="F14" s="16" t="n">
        <v>41</v>
      </c>
      <c r="G14" s="19" t="n">
        <v>25473.86</v>
      </c>
      <c r="H14" s="18" t="inlineStr">
        <is>
          <t>Potential Leader</t>
        </is>
      </c>
      <c r="J14" s="18" t="inlineStr">
        <is>
          <t>metals &amp; mining</t>
        </is>
      </c>
      <c r="K14" s="16" t="n">
        <v>139</v>
      </c>
      <c r="L14" s="16" t="n">
        <v>129</v>
      </c>
      <c r="M14" s="20" t="inlineStr">
        <is>
          <t>7.8%</t>
        </is>
      </c>
    </row>
    <row r="15">
      <c r="A15" s="16" t="n">
        <v>10</v>
      </c>
      <c r="B15" s="17" t="n">
        <v>312</v>
      </c>
      <c r="C15" s="17" t="inlineStr">
        <is>
          <t>KABRAEXTRU</t>
        </is>
      </c>
      <c r="D15" s="18" t="inlineStr">
        <is>
          <t>Kabra Extrusion Technik Limited</t>
        </is>
      </c>
      <c r="E15" s="18" t="inlineStr">
        <is>
          <t>industrials</t>
        </is>
      </c>
      <c r="F15" s="16" t="n">
        <v>37</v>
      </c>
      <c r="G15" s="19" t="n">
        <v>2025.45</v>
      </c>
      <c r="H15" s="18" t="inlineStr">
        <is>
          <t>Potential Leader</t>
        </is>
      </c>
      <c r="J15" s="18" t="inlineStr">
        <is>
          <t>media</t>
        </is>
      </c>
      <c r="K15" s="16" t="n">
        <v>13</v>
      </c>
      <c r="L15" s="16" t="n">
        <v>13</v>
      </c>
      <c r="M15" s="20" t="inlineStr">
        <is>
          <t>0.0%</t>
        </is>
      </c>
    </row>
    <row r="16">
      <c r="A16" s="16" t="n">
        <v>11</v>
      </c>
      <c r="B16" s="17" t="n">
        <v>300</v>
      </c>
      <c r="C16" s="17" t="inlineStr">
        <is>
          <t>DIVISLAB</t>
        </is>
      </c>
      <c r="D16" s="18" t="inlineStr">
        <is>
          <t>Divi's Laboratories Limited</t>
        </is>
      </c>
      <c r="E16" s="18" t="inlineStr">
        <is>
          <t>healthcare</t>
        </is>
      </c>
      <c r="F16" s="16" t="n">
        <v>35</v>
      </c>
      <c r="G16" s="19" t="n">
        <v>241576.41</v>
      </c>
      <c r="H16" s="18" t="inlineStr">
        <is>
          <t>Potential Leader</t>
        </is>
      </c>
      <c r="J16" s="18" t="inlineStr">
        <is>
          <t>financials</t>
        </is>
      </c>
      <c r="K16" s="16" t="n">
        <v>128</v>
      </c>
      <c r="L16" s="16" t="n">
        <v>132</v>
      </c>
      <c r="M16" s="21" t="inlineStr">
        <is>
          <t>-3.0%</t>
        </is>
      </c>
    </row>
    <row r="17">
      <c r="A17" s="16" t="n">
        <v>12</v>
      </c>
      <c r="B17" s="17" t="n">
        <v>300</v>
      </c>
      <c r="C17" s="17" t="inlineStr">
        <is>
          <t>MENONBE</t>
        </is>
      </c>
      <c r="D17" s="18" t="inlineStr">
        <is>
          <t>Menon Bearings Limited</t>
        </is>
      </c>
      <c r="E17" s="18" t="inlineStr">
        <is>
          <t>auto</t>
        </is>
      </c>
      <c r="F17" s="16" t="n">
        <v>35</v>
      </c>
      <c r="G17" s="19" t="n">
        <v>1801.13</v>
      </c>
      <c r="H17" s="18" t="inlineStr">
        <is>
          <t>Potential Leader</t>
        </is>
      </c>
      <c r="J17" s="18" t="inlineStr">
        <is>
          <t>industrials</t>
        </is>
      </c>
      <c r="K17" s="16" t="n">
        <v>274</v>
      </c>
      <c r="L17" s="16" t="n">
        <v>289</v>
      </c>
      <c r="M17" s="21" t="inlineStr">
        <is>
          <t>-5.2%</t>
        </is>
      </c>
    </row>
    <row r="18">
      <c r="A18" s="16" t="n">
        <v>13</v>
      </c>
      <c r="B18" s="17" t="n">
        <v>300</v>
      </c>
      <c r="C18" s="17" t="inlineStr">
        <is>
          <t>TFCILTD</t>
        </is>
      </c>
      <c r="D18" s="18" t="inlineStr">
        <is>
          <t>Tourism Finance Corporation Of India Limited</t>
        </is>
      </c>
      <c r="E18" s="18" t="inlineStr">
        <is>
          <t>financials</t>
        </is>
      </c>
      <c r="F18" s="16" t="n">
        <v>35</v>
      </c>
      <c r="G18" s="19" t="n">
        <v>6632.61</v>
      </c>
      <c r="H18" s="18" t="inlineStr">
        <is>
          <t>Potential Leader</t>
        </is>
      </c>
      <c r="J18" s="18" t="inlineStr">
        <is>
          <t>consumer discretionary</t>
        </is>
      </c>
      <c r="K18" s="16" t="n">
        <v>123</v>
      </c>
      <c r="L18" s="16" t="n">
        <v>132</v>
      </c>
      <c r="M18" s="21" t="inlineStr">
        <is>
          <t>-6.8%</t>
        </is>
      </c>
    </row>
    <row r="19">
      <c r="A19" s="16" t="n">
        <v>14</v>
      </c>
      <c r="B19" s="17" t="n">
        <v>300</v>
      </c>
      <c r="C19" s="17" t="inlineStr">
        <is>
          <t>VSSL</t>
        </is>
      </c>
      <c r="D19" s="18" t="inlineStr">
        <is>
          <t>Vardhman Special Steels Limited</t>
        </is>
      </c>
      <c r="E19" s="18" t="inlineStr">
        <is>
          <t>metals &amp; mining</t>
        </is>
      </c>
      <c r="F19" s="16" t="n">
        <v>35</v>
      </c>
      <c r="G19" s="19" t="n">
        <v>3520.81</v>
      </c>
      <c r="H19" s="18" t="inlineStr">
        <is>
          <t>Potential Leader</t>
        </is>
      </c>
      <c r="J19" s="18" t="inlineStr">
        <is>
          <t>services</t>
        </is>
      </c>
      <c r="K19" s="16" t="n">
        <v>38</v>
      </c>
      <c r="L19" s="16" t="n">
        <v>43</v>
      </c>
      <c r="M19" s="21" t="inlineStr">
        <is>
          <t>-11.6%</t>
        </is>
      </c>
    </row>
    <row r="20">
      <c r="A20" s="16" t="n">
        <v>15</v>
      </c>
      <c r="B20" s="17" t="n">
        <v>294</v>
      </c>
      <c r="C20" s="17" t="inlineStr">
        <is>
          <t>NILKAMAL</t>
        </is>
      </c>
      <c r="D20" s="18" t="inlineStr">
        <is>
          <t>Nilkamal Limited</t>
        </is>
      </c>
      <c r="E20" s="18" t="inlineStr">
        <is>
          <t>plastic products</t>
        </is>
      </c>
      <c r="F20" s="16" t="n">
        <v>34</v>
      </c>
      <c r="G20" s="19" t="n">
        <v>3158.35</v>
      </c>
      <c r="H20" s="18" t="inlineStr">
        <is>
          <t>Potential Leader</t>
        </is>
      </c>
      <c r="J20" s="18" t="inlineStr">
        <is>
          <t>bank</t>
        </is>
      </c>
      <c r="K20" s="16" t="n">
        <v>52</v>
      </c>
      <c r="L20" s="16" t="n">
        <v>59</v>
      </c>
      <c r="M20" s="21" t="inlineStr">
        <is>
          <t>-11.9%</t>
        </is>
      </c>
    </row>
    <row r="21">
      <c r="A21" s="16" t="n">
        <v>16</v>
      </c>
      <c r="B21" s="17" t="n">
        <v>288</v>
      </c>
      <c r="C21" s="17" t="inlineStr">
        <is>
          <t>WSTCSTPAPR</t>
        </is>
      </c>
      <c r="D21" s="18" t="inlineStr">
        <is>
          <t>West Coast Paper Mills Limited</t>
        </is>
      </c>
      <c r="E21" s="18" t="inlineStr">
        <is>
          <t>building materials</t>
        </is>
      </c>
      <c r="F21" s="16" t="n">
        <v>33</v>
      </c>
      <c r="G21" s="19" t="n">
        <v>4294.83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PPLPHARMA</t>
        </is>
      </c>
      <c r="D22" s="18" t="inlineStr">
        <is>
          <t>Piramal Pharma Ltd</t>
        </is>
      </c>
      <c r="E22" s="18" t="inlineStr">
        <is>
          <t>healthcare</t>
        </is>
      </c>
      <c r="F22" s="16" t="n">
        <v>32</v>
      </c>
      <c r="G22" s="19" t="n">
        <v>28520.14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UNIPARTS</t>
        </is>
      </c>
      <c r="D23" s="18" t="inlineStr">
        <is>
          <t>Uniparts India Ltd</t>
        </is>
      </c>
      <c r="E23" s="18" t="inlineStr">
        <is>
          <t>industrials</t>
        </is>
      </c>
      <c r="F23" s="16" t="n">
        <v>32</v>
      </c>
      <c r="G23" s="19" t="n">
        <v>3945.73</v>
      </c>
      <c r="H23" s="18" t="inlineStr">
        <is>
          <t>Potential Leader</t>
        </is>
      </c>
    </row>
    <row r="24">
      <c r="A24" s="16" t="n">
        <v>19</v>
      </c>
      <c r="B24" s="17" t="n">
        <v>276</v>
      </c>
      <c r="C24" s="17" t="inlineStr">
        <is>
          <t>ARTEMISMED</t>
        </is>
      </c>
      <c r="D24" s="18" t="inlineStr">
        <is>
          <t>Artemis Medicare Services Ltd</t>
        </is>
      </c>
      <c r="E24" s="18" t="inlineStr">
        <is>
          <t>healthcare</t>
        </is>
      </c>
      <c r="F24" s="16" t="n">
        <v>31</v>
      </c>
      <c r="G24" s="19" t="n">
        <v>5268.43</v>
      </c>
      <c r="H24" s="18" t="inlineStr">
        <is>
          <t>Potential Leader</t>
        </is>
      </c>
    </row>
    <row r="25">
      <c r="A25" s="16" t="n">
        <v>20</v>
      </c>
      <c r="B25" s="17" t="n">
        <v>276</v>
      </c>
      <c r="C25" s="17" t="inlineStr">
        <is>
          <t>KMEW</t>
        </is>
      </c>
      <c r="D25" s="18" t="inlineStr">
        <is>
          <t>Knowledge Marine &amp; Engineering Works Ltd</t>
        </is>
      </c>
      <c r="E25" s="18" t="inlineStr">
        <is>
          <t>transportation</t>
        </is>
      </c>
      <c r="F25" s="16" t="n">
        <v>31</v>
      </c>
      <c r="G25" s="19" t="n">
        <v>7414.88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CHALET</t>
        </is>
      </c>
      <c r="B30" s="18" t="inlineStr">
        <is>
          <t>Chalet Hotels Ltd</t>
        </is>
      </c>
      <c r="C30" s="18" t="inlineStr">
        <is>
          <t>services</t>
        </is>
      </c>
      <c r="D30" s="16" t="n">
        <v>10</v>
      </c>
      <c r="E30" s="16" t="n">
        <v>2</v>
      </c>
      <c r="F30" s="19" t="n">
        <v>19638.3</v>
      </c>
      <c r="J30" s="17" t="inlineStr">
        <is>
          <t>ARTEMISMED</t>
        </is>
      </c>
      <c r="K30" s="18" t="inlineStr">
        <is>
          <t>healthcare</t>
        </is>
      </c>
      <c r="L30" s="19" t="n">
        <v>260</v>
      </c>
      <c r="M30" s="19" t="n">
        <v>5268.43</v>
      </c>
      <c r="N30" s="16" t="n">
        <v>30</v>
      </c>
    </row>
    <row r="31">
      <c r="A31" s="17" t="inlineStr">
        <is>
          <t>VIDHIING</t>
        </is>
      </c>
      <c r="B31" s="18" t="inlineStr">
        <is>
          <t>Vidhi Specialty Food Ingredients</t>
        </is>
      </c>
      <c r="C31" s="18" t="inlineStr">
        <is>
          <t>chemicals</t>
        </is>
      </c>
      <c r="D31" s="16" t="n">
        <v>10</v>
      </c>
      <c r="E31" s="16" t="n">
        <v>1</v>
      </c>
      <c r="F31" s="19" t="n">
        <v>1736.84</v>
      </c>
      <c r="J31" s="17" t="inlineStr">
        <is>
          <t>SBCL</t>
        </is>
      </c>
      <c r="K31" s="18" t="inlineStr">
        <is>
          <t>metals &amp; mining</t>
        </is>
      </c>
      <c r="L31" s="19" t="n">
        <v>245</v>
      </c>
      <c r="M31" s="19" t="n">
        <v>6458.01</v>
      </c>
      <c r="N31" s="16" t="n">
        <v>26</v>
      </c>
    </row>
    <row r="32">
      <c r="A32" s="17" t="inlineStr">
        <is>
          <t>SHANTIGEAR</t>
        </is>
      </c>
      <c r="B32" s="18" t="inlineStr">
        <is>
          <t>Shanthi Gears Limited</t>
        </is>
      </c>
      <c r="C32" s="18" t="inlineStr">
        <is>
          <t>industrials</t>
        </is>
      </c>
      <c r="D32" s="16" t="n">
        <v>10</v>
      </c>
      <c r="E32" s="16" t="n">
        <v>1</v>
      </c>
      <c r="F32" s="19" t="n">
        <v>4769.81</v>
      </c>
      <c r="J32" s="17" t="inlineStr">
        <is>
          <t>APOLLOPIPE</t>
        </is>
      </c>
      <c r="K32" s="18" t="inlineStr">
        <is>
          <t>plastic products</t>
        </is>
      </c>
      <c r="L32" s="19" t="n">
        <v>240</v>
      </c>
      <c r="M32" s="19" t="n">
        <v>2665.36</v>
      </c>
      <c r="N32" s="16" t="n">
        <v>23</v>
      </c>
    </row>
    <row r="33">
      <c r="A33" s="17" t="inlineStr">
        <is>
          <t>IMAGICAA</t>
        </is>
      </c>
      <c r="B33" s="18" t="inlineStr">
        <is>
          <t>Imagicaaworld Entertainment Ltd</t>
        </is>
      </c>
      <c r="C33" s="18" t="inlineStr">
        <is>
          <t>media</t>
        </is>
      </c>
      <c r="D33" s="16" t="n">
        <v>10</v>
      </c>
      <c r="E33" s="16" t="n">
        <v>1</v>
      </c>
      <c r="F33" s="19" t="n">
        <v>3133.74</v>
      </c>
      <c r="J33" s="17" t="inlineStr">
        <is>
          <t>APOLLO</t>
        </is>
      </c>
      <c r="K33" s="18" t="inlineStr">
        <is>
          <t>aerospace &amp; defence</t>
        </is>
      </c>
      <c r="L33" s="19" t="n">
        <v>240</v>
      </c>
      <c r="M33" s="19" t="n">
        <v>14451.51</v>
      </c>
      <c r="N33" s="16" t="n">
        <v>1</v>
      </c>
    </row>
    <row r="34">
      <c r="A34" s="17" t="inlineStr">
        <is>
          <t>ALEMBICLTD</t>
        </is>
      </c>
      <c r="B34" s="18" t="inlineStr">
        <is>
          <t>Alembic Limited</t>
        </is>
      </c>
      <c r="C34" s="18" t="inlineStr">
        <is>
          <t>realty</t>
        </is>
      </c>
      <c r="D34" s="16" t="n">
        <v>10</v>
      </c>
      <c r="E34" s="16" t="n">
        <v>1</v>
      </c>
      <c r="F34" s="19" t="n">
        <v>2860.81</v>
      </c>
      <c r="J34" s="17" t="inlineStr">
        <is>
          <t>ARMANFIN</t>
        </is>
      </c>
      <c r="K34" s="18" t="inlineStr">
        <is>
          <t>financials</t>
        </is>
      </c>
      <c r="L34" s="19" t="n">
        <v>235</v>
      </c>
      <c r="M34" s="19" t="n">
        <v>2175.82</v>
      </c>
      <c r="N34" s="16" t="n">
        <v>15</v>
      </c>
    </row>
    <row r="35">
      <c r="A35" s="17" t="inlineStr">
        <is>
          <t>THEMISMED</t>
        </is>
      </c>
      <c r="B35" s="18" t="inlineStr">
        <is>
          <t>Themis Medicare Limited</t>
        </is>
      </c>
      <c r="C35" s="18" t="inlineStr">
        <is>
          <t>healthcare</t>
        </is>
      </c>
      <c r="D35" s="16" t="n">
        <v>10</v>
      </c>
      <c r="E35" s="16" t="n">
        <v>2</v>
      </c>
      <c r="F35" s="19" t="n">
        <v>1109.07</v>
      </c>
      <c r="J35" s="17" t="inlineStr">
        <is>
          <t>TMB</t>
        </is>
      </c>
      <c r="K35" s="18" t="inlineStr">
        <is>
          <t>bank</t>
        </is>
      </c>
      <c r="L35" s="19" t="n">
        <v>230</v>
      </c>
      <c r="M35" s="19" t="n">
        <v>14765.48</v>
      </c>
      <c r="N35" s="16" t="n">
        <v>25</v>
      </c>
    </row>
    <row r="36">
      <c r="A36" s="17" t="inlineStr">
        <is>
          <t>BALUFORGE</t>
        </is>
      </c>
      <c r="B36" s="18" t="inlineStr">
        <is>
          <t>Balu Forge Industries Limited</t>
        </is>
      </c>
      <c r="C36" s="18" t="inlineStr">
        <is>
          <t>Industrials</t>
        </is>
      </c>
      <c r="D36" s="16" t="n">
        <v>9</v>
      </c>
      <c r="E36" s="16" t="n">
        <v>1</v>
      </c>
      <c r="F36" s="19" t="n">
        <v>6411.95</v>
      </c>
      <c r="J36" s="17" t="inlineStr">
        <is>
          <t>APCOTEXIND</t>
        </is>
      </c>
      <c r="K36" s="18" t="inlineStr">
        <is>
          <t>chemicals</t>
        </is>
      </c>
      <c r="L36" s="19" t="n">
        <v>230</v>
      </c>
      <c r="M36" s="19" t="n">
        <v>3294.75</v>
      </c>
      <c r="N36" s="16" t="n">
        <v>24</v>
      </c>
    </row>
    <row r="37">
      <c r="A37" s="17" t="inlineStr">
        <is>
          <t>LGBBROSLTD</t>
        </is>
      </c>
      <c r="B37" s="18" t="inlineStr">
        <is>
          <t>Lg Balakrishnan &amp; Bros Limited</t>
        </is>
      </c>
      <c r="C37" s="18" t="inlineStr">
        <is>
          <t>auto</t>
        </is>
      </c>
      <c r="D37" s="16" t="n">
        <v>9</v>
      </c>
      <c r="E37" s="16" t="n">
        <v>0</v>
      </c>
      <c r="F37" s="19" t="n">
        <v>5430.64</v>
      </c>
      <c r="J37" s="17" t="inlineStr">
        <is>
          <t>SCPL</t>
        </is>
      </c>
      <c r="K37" s="18" t="inlineStr">
        <is>
          <t>fmcg</t>
        </is>
      </c>
      <c r="L37" s="19" t="n">
        <v>230</v>
      </c>
      <c r="M37" s="19" t="n">
        <v>678.77</v>
      </c>
      <c r="N37" s="16" t="n">
        <v>26</v>
      </c>
    </row>
    <row r="38">
      <c r="A38" s="17" t="inlineStr">
        <is>
          <t>CYIENT</t>
        </is>
      </c>
      <c r="B38" s="18" t="inlineStr">
        <is>
          <t>Cyient Limited</t>
        </is>
      </c>
      <c r="C38" s="18" t="inlineStr">
        <is>
          <t>i.t</t>
        </is>
      </c>
      <c r="D38" s="16" t="n">
        <v>9</v>
      </c>
      <c r="E38" s="16" t="n">
        <v>0</v>
      </c>
      <c r="F38" s="19" t="n">
        <v>11540.45</v>
      </c>
      <c r="J38" s="17" t="inlineStr">
        <is>
          <t>PGIL</t>
        </is>
      </c>
      <c r="K38" s="18" t="inlineStr">
        <is>
          <t>Consumer Cyclical</t>
        </is>
      </c>
      <c r="L38" s="19" t="n">
        <v>230</v>
      </c>
      <c r="M38" s="19" t="n">
        <v>10426.13</v>
      </c>
      <c r="N38" s="16" t="n">
        <v>23</v>
      </c>
    </row>
    <row r="39">
      <c r="A39" s="17" t="inlineStr">
        <is>
          <t>SBFC</t>
        </is>
      </c>
      <c r="B39" s="18" t="inlineStr">
        <is>
          <t>SBFC Finance Ltd</t>
        </is>
      </c>
      <c r="C39" s="18" t="inlineStr">
        <is>
          <t>financials</t>
        </is>
      </c>
      <c r="D39" s="16" t="n">
        <v>9</v>
      </c>
      <c r="E39" s="16" t="n">
        <v>0</v>
      </c>
      <c r="F39" s="19" t="n">
        <v>11081.93</v>
      </c>
      <c r="J39" s="17" t="inlineStr">
        <is>
          <t>RPTECH</t>
        </is>
      </c>
      <c r="K39" s="18" t="inlineStr">
        <is>
          <t>i.t</t>
        </is>
      </c>
      <c r="L39" s="19" t="n">
        <v>230</v>
      </c>
      <c r="M39" s="19" t="n">
        <v>5427.83</v>
      </c>
      <c r="N39" s="16" t="n">
        <v>19</v>
      </c>
    </row>
    <row r="40">
      <c r="A40" s="17" t="inlineStr">
        <is>
          <t>BRIGADE</t>
        </is>
      </c>
      <c r="B40" s="18" t="inlineStr">
        <is>
          <t>Brigade Enterprises Limited</t>
        </is>
      </c>
      <c r="C40" s="18" t="inlineStr">
        <is>
          <t>realty</t>
        </is>
      </c>
      <c r="D40" s="16" t="n">
        <v>9</v>
      </c>
      <c r="E40" s="16" t="n">
        <v>1</v>
      </c>
      <c r="F40" s="19" t="n">
        <v>22704.16</v>
      </c>
      <c r="J40" s="17" t="inlineStr">
        <is>
          <t>PREMIERPOL</t>
        </is>
      </c>
      <c r="K40" s="18" t="inlineStr">
        <is>
          <t>plastic products</t>
        </is>
      </c>
      <c r="L40" s="19" t="n">
        <v>228</v>
      </c>
      <c r="M40" s="19" t="n">
        <v>998.8200000000001</v>
      </c>
      <c r="N40" s="16" t="n">
        <v>21</v>
      </c>
    </row>
    <row r="41">
      <c r="A41" s="17" t="inlineStr">
        <is>
          <t>CDSL</t>
        </is>
      </c>
      <c r="B41" s="18" t="inlineStr">
        <is>
          <t>Central Depository Services Ltd</t>
        </is>
      </c>
      <c r="C41" s="18" t="inlineStr">
        <is>
          <t>financials</t>
        </is>
      </c>
      <c r="D41" s="16" t="n">
        <v>9</v>
      </c>
      <c r="E41" s="16" t="n">
        <v>2</v>
      </c>
      <c r="F41" s="19" t="n">
        <v>29147.14</v>
      </c>
      <c r="J41" s="17" t="inlineStr">
        <is>
          <t>TALBROAUTO</t>
        </is>
      </c>
      <c r="K41" s="18" t="inlineStr">
        <is>
          <t>auto</t>
        </is>
      </c>
      <c r="L41" s="19" t="n">
        <v>228</v>
      </c>
      <c r="M41" s="19" t="n">
        <v>2516.97</v>
      </c>
      <c r="N41" s="16" t="n">
        <v>13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76.51000000000001</v>
      </c>
      <c r="D47" s="28" t="n">
        <v>217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38074.07</v>
      </c>
    </row>
    <row r="48">
      <c r="A48" s="16" t="n">
        <v>2</v>
      </c>
      <c r="B48" s="27" t="n">
        <v>99</v>
      </c>
      <c r="C48" s="28" t="n">
        <v>74.81</v>
      </c>
      <c r="D48" s="28" t="n">
        <v>215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3208.74</v>
      </c>
    </row>
    <row r="49">
      <c r="A49" s="16" t="n">
        <v>3</v>
      </c>
      <c r="B49" s="27" t="n">
        <v>99</v>
      </c>
      <c r="C49" s="28" t="n">
        <v>71.36</v>
      </c>
      <c r="D49" s="28" t="n">
        <v>190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38485.68</v>
      </c>
    </row>
    <row r="50">
      <c r="A50" s="16" t="n">
        <v>4</v>
      </c>
      <c r="B50" s="27" t="n">
        <v>98</v>
      </c>
      <c r="C50" s="28" t="n">
        <v>68.25</v>
      </c>
      <c r="D50" s="28" t="n">
        <v>188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14447.19</v>
      </c>
    </row>
    <row r="51">
      <c r="A51" s="16" t="n">
        <v>5</v>
      </c>
      <c r="B51" s="27" t="n">
        <v>98</v>
      </c>
      <c r="C51" s="28" t="n">
        <v>61.94</v>
      </c>
      <c r="D51" s="28" t="n">
        <v>207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6232.43</v>
      </c>
    </row>
    <row r="52">
      <c r="A52" s="16" t="n">
        <v>6</v>
      </c>
      <c r="B52" s="27" t="n">
        <v>98</v>
      </c>
      <c r="C52" s="28" t="n">
        <v>60.54</v>
      </c>
      <c r="D52" s="28" t="n">
        <v>207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3095.4</v>
      </c>
    </row>
    <row r="53">
      <c r="A53" s="16" t="n">
        <v>7</v>
      </c>
      <c r="B53" s="27" t="n">
        <v>98</v>
      </c>
      <c r="C53" s="28" t="n">
        <v>53.93</v>
      </c>
      <c r="D53" s="28" t="n">
        <v>215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35424.26</v>
      </c>
    </row>
    <row r="54">
      <c r="A54" s="16" t="n">
        <v>8</v>
      </c>
      <c r="B54" s="27" t="n">
        <v>97</v>
      </c>
      <c r="C54" s="28" t="n">
        <v>52.41</v>
      </c>
      <c r="D54" s="28" t="n">
        <v>195</v>
      </c>
      <c r="E54" s="17" t="inlineStr">
        <is>
          <t>BODALCHEM</t>
        </is>
      </c>
      <c r="F54" s="18" t="inlineStr">
        <is>
          <t>Bodal Chemicals Limited</t>
        </is>
      </c>
      <c r="G54" s="18" t="inlineStr">
        <is>
          <t>chemicals</t>
        </is>
      </c>
      <c r="H54" s="19" t="n">
        <v>1959.94</v>
      </c>
    </row>
    <row r="55">
      <c r="A55" s="16" t="n">
        <v>9</v>
      </c>
      <c r="B55" s="27" t="n">
        <v>97</v>
      </c>
      <c r="C55" s="28" t="n">
        <v>51.86</v>
      </c>
      <c r="D55" s="28" t="n">
        <v>213</v>
      </c>
      <c r="E55" s="17" t="inlineStr">
        <is>
          <t>SWANDEF</t>
        </is>
      </c>
      <c r="F55" s="18" t="inlineStr">
        <is>
          <t>Swan Defence and Heavy Industries Ltd</t>
        </is>
      </c>
      <c r="G55" s="18" t="inlineStr">
        <is>
          <t>transportation</t>
        </is>
      </c>
      <c r="H55" s="19" t="n">
        <v>13276.96</v>
      </c>
    </row>
    <row r="56">
      <c r="A56" s="16" t="n">
        <v>10</v>
      </c>
      <c r="B56" s="27" t="n">
        <v>97</v>
      </c>
      <c r="C56" s="28" t="n">
        <v>49.34</v>
      </c>
      <c r="D56" s="28" t="n">
        <v>200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7116.37</v>
      </c>
    </row>
    <row r="57">
      <c r="A57" s="16" t="n">
        <v>11</v>
      </c>
      <c r="B57" s="27" t="n">
        <v>97</v>
      </c>
      <c r="C57" s="28" t="n">
        <v>46.25</v>
      </c>
      <c r="D57" s="28" t="n">
        <v>213</v>
      </c>
      <c r="E57" s="17" t="inlineStr">
        <is>
          <t>ATHERENERG</t>
        </is>
      </c>
      <c r="F57" s="18" t="inlineStr">
        <is>
          <t>Ather Energy Ltd</t>
        </is>
      </c>
      <c r="G57" s="18" t="inlineStr">
        <is>
          <t>auto</t>
        </is>
      </c>
      <c r="H57" s="19" t="n">
        <v>62429.45</v>
      </c>
    </row>
    <row r="58">
      <c r="A58" s="16" t="n">
        <v>12</v>
      </c>
      <c r="B58" s="27" t="n">
        <v>96</v>
      </c>
      <c r="C58" s="28" t="n">
        <v>44.65</v>
      </c>
      <c r="D58" s="28" t="n">
        <v>210</v>
      </c>
      <c r="E58" s="17" t="inlineStr">
        <is>
          <t>KMEW</t>
        </is>
      </c>
      <c r="F58" s="18" t="inlineStr">
        <is>
          <t>Knowledge Marine &amp; Engineering Works Ltd</t>
        </is>
      </c>
      <c r="G58" s="18" t="inlineStr">
        <is>
          <t>transportation</t>
        </is>
      </c>
      <c r="H58" s="19" t="n">
        <v>7414.88</v>
      </c>
    </row>
    <row r="59">
      <c r="A59" s="16" t="n">
        <v>13</v>
      </c>
      <c r="B59" s="27" t="n">
        <v>96</v>
      </c>
      <c r="C59" s="28" t="n">
        <v>44.05</v>
      </c>
      <c r="D59" s="28" t="n">
        <v>210</v>
      </c>
      <c r="E59" s="17" t="inlineStr">
        <is>
          <t>MODISONLTD</t>
        </is>
      </c>
      <c r="F59" s="18" t="inlineStr">
        <is>
          <t>Modison Ltd</t>
        </is>
      </c>
      <c r="G59" s="18" t="inlineStr">
        <is>
          <t>industrials</t>
        </is>
      </c>
      <c r="H59" s="19" t="n">
        <v>1524.99</v>
      </c>
    </row>
    <row r="60">
      <c r="A60" s="16" t="n">
        <v>14</v>
      </c>
      <c r="B60" s="27" t="n">
        <v>96</v>
      </c>
      <c r="C60" s="28" t="n">
        <v>43.59</v>
      </c>
      <c r="D60" s="28" t="n">
        <v>183</v>
      </c>
      <c r="E60" s="17" t="inlineStr">
        <is>
          <t>DEEDEV</t>
        </is>
      </c>
      <c r="F60" s="18" t="inlineStr">
        <is>
          <t>DEE Development Engineers Ltd</t>
        </is>
      </c>
      <c r="G60" s="18" t="inlineStr">
        <is>
          <t>metals &amp; mining</t>
        </is>
      </c>
      <c r="H60" s="19" t="n">
        <v>4952.64</v>
      </c>
    </row>
    <row r="61">
      <c r="A61" s="16" t="n">
        <v>15</v>
      </c>
      <c r="B61" s="27" t="n">
        <v>96</v>
      </c>
      <c r="C61" s="28" t="n">
        <v>43.45</v>
      </c>
      <c r="D61" s="28" t="n">
        <v>210</v>
      </c>
      <c r="E61" s="17" t="inlineStr">
        <is>
          <t>MTARTECH</t>
        </is>
      </c>
      <c r="F61" s="18" t="inlineStr">
        <is>
          <t>MTAR Technologies Ltd</t>
        </is>
      </c>
      <c r="G61" s="18" t="inlineStr">
        <is>
          <t>aerospace &amp; defence</t>
        </is>
      </c>
      <c r="H61" s="19" t="n">
        <v>22026.94</v>
      </c>
    </row>
    <row r="62">
      <c r="A62" s="16" t="n">
        <v>16</v>
      </c>
      <c r="B62" s="27" t="n">
        <v>96</v>
      </c>
      <c r="C62" s="28" t="n">
        <v>42.64</v>
      </c>
      <c r="D62" s="28" t="n">
        <v>205</v>
      </c>
      <c r="E62" s="17" t="inlineStr">
        <is>
          <t>BAFNAPH</t>
        </is>
      </c>
      <c r="F62" s="18" t="inlineStr">
        <is>
          <t>Bafna Pharmaceuticals Ltd</t>
        </is>
      </c>
      <c r="G62" s="18" t="inlineStr">
        <is>
          <t>healthcare</t>
        </is>
      </c>
      <c r="H62" s="19" t="n">
        <v>699.87</v>
      </c>
    </row>
    <row r="63">
      <c r="A63" s="16" t="n">
        <v>17</v>
      </c>
      <c r="B63" s="27" t="n">
        <v>95</v>
      </c>
      <c r="C63" s="28" t="n">
        <v>40.25</v>
      </c>
      <c r="D63" s="28" t="n">
        <v>215</v>
      </c>
      <c r="E63" s="17" t="inlineStr">
        <is>
          <t>MACPOWER</t>
        </is>
      </c>
      <c r="F63" s="18" t="inlineStr">
        <is>
          <t>Macpower CNC Machines Limited</t>
        </is>
      </c>
      <c r="G63" s="18" t="inlineStr">
        <is>
          <t>Industrials</t>
        </is>
      </c>
      <c r="H63" s="19" t="n">
        <v>1814.45</v>
      </c>
    </row>
    <row r="64">
      <c r="A64" s="16" t="n">
        <v>18</v>
      </c>
      <c r="B64" s="27" t="n">
        <v>95</v>
      </c>
      <c r="C64" s="28" t="n">
        <v>39.84</v>
      </c>
      <c r="D64" s="28" t="n">
        <v>207</v>
      </c>
      <c r="E64" s="17" t="inlineStr">
        <is>
          <t>SHILPAMED</t>
        </is>
      </c>
      <c r="F64" s="18" t="inlineStr">
        <is>
          <t>Shilpa Medicare Limited</t>
        </is>
      </c>
      <c r="G64" s="18" t="inlineStr">
        <is>
          <t>healthcare</t>
        </is>
      </c>
      <c r="H64" s="19" t="n">
        <v>18857.02</v>
      </c>
    </row>
    <row r="65">
      <c r="A65" s="16" t="n">
        <v>19</v>
      </c>
      <c r="B65" s="27" t="n">
        <v>95</v>
      </c>
      <c r="C65" s="28" t="n">
        <v>39.77</v>
      </c>
      <c r="D65" s="28" t="n">
        <v>217</v>
      </c>
      <c r="E65" s="17" t="inlineStr">
        <is>
          <t>KPL</t>
        </is>
      </c>
      <c r="F65" s="18" t="inlineStr">
        <is>
          <t>Kwality Pharmaceuticals Limited</t>
        </is>
      </c>
      <c r="G65" s="18" t="inlineStr">
        <is>
          <t>Healthcare</t>
        </is>
      </c>
      <c r="H65" s="19" t="n">
        <v>3540.15</v>
      </c>
    </row>
    <row r="66">
      <c r="A66" s="16" t="n">
        <v>20</v>
      </c>
      <c r="B66" s="27" t="n">
        <v>95</v>
      </c>
      <c r="C66" s="28" t="n">
        <v>38.81</v>
      </c>
      <c r="D66" s="28" t="n">
        <v>203</v>
      </c>
      <c r="E66" s="17" t="inlineStr">
        <is>
          <t>COMSYN</t>
        </is>
      </c>
      <c r="F66" s="18" t="inlineStr">
        <is>
          <t>Commercial Syn Bags Ltd</t>
        </is>
      </c>
      <c r="G66" s="18" t="inlineStr">
        <is>
          <t>industrials</t>
        </is>
      </c>
      <c r="H66" s="19" t="n">
        <v>1215.42</v>
      </c>
    </row>
    <row r="67">
      <c r="A67" s="16" t="n">
        <v>21</v>
      </c>
      <c r="B67" s="29" t="n">
        <v>94</v>
      </c>
      <c r="C67" s="28" t="n">
        <v>38.42</v>
      </c>
      <c r="D67" s="28" t="n">
        <v>217</v>
      </c>
      <c r="E67" s="17" t="inlineStr">
        <is>
          <t>TFCILTD</t>
        </is>
      </c>
      <c r="F67" s="18" t="inlineStr">
        <is>
          <t>Tourism Finance Corporation Of India Limited</t>
        </is>
      </c>
      <c r="G67" s="18" t="inlineStr">
        <is>
          <t>financials</t>
        </is>
      </c>
      <c r="H67" s="19" t="n">
        <v>6632.61</v>
      </c>
    </row>
    <row r="68">
      <c r="A68" s="16" t="n">
        <v>22</v>
      </c>
      <c r="B68" s="29" t="n">
        <v>94</v>
      </c>
      <c r="C68" s="28" t="n">
        <v>37.67</v>
      </c>
      <c r="D68" s="28" t="n">
        <v>203</v>
      </c>
      <c r="E68" s="17" t="inlineStr">
        <is>
          <t>MARINE</t>
        </is>
      </c>
      <c r="F68" s="18" t="inlineStr">
        <is>
          <t>Marine Electricals (India) Ltd</t>
        </is>
      </c>
      <c r="G68" s="18" t="inlineStr">
        <is>
          <t>industrials</t>
        </is>
      </c>
      <c r="H68" s="19" t="n">
        <v>6047.7</v>
      </c>
    </row>
    <row r="69">
      <c r="A69" s="16" t="n">
        <v>23</v>
      </c>
      <c r="B69" s="29" t="n">
        <v>94</v>
      </c>
      <c r="C69" s="28" t="n">
        <v>37.4</v>
      </c>
      <c r="D69" s="28" t="n">
        <v>198</v>
      </c>
      <c r="E69" s="17" t="inlineStr">
        <is>
          <t>SETL</t>
        </is>
      </c>
      <c r="F69" s="18" t="inlineStr">
        <is>
          <t>Standard Enginnering Technology Ltd</t>
        </is>
      </c>
      <c r="G69" s="18" t="inlineStr">
        <is>
          <t>industrials</t>
        </is>
      </c>
      <c r="H69" s="19" t="n">
        <v>8158.21</v>
      </c>
    </row>
    <row r="70">
      <c r="A70" s="16" t="n">
        <v>24</v>
      </c>
      <c r="B70" s="29" t="n">
        <v>94</v>
      </c>
      <c r="C70" s="28" t="n">
        <v>36.82</v>
      </c>
      <c r="D70" s="28" t="n">
        <v>193</v>
      </c>
      <c r="E70" s="17" t="inlineStr">
        <is>
          <t>KAPSTON</t>
        </is>
      </c>
      <c r="F70" s="18" t="inlineStr">
        <is>
          <t>Kapston Services Ltd</t>
        </is>
      </c>
      <c r="G70" s="18" t="inlineStr">
        <is>
          <t>miscellaneous</t>
        </is>
      </c>
      <c r="H70" s="19" t="n">
        <v>1777.39</v>
      </c>
    </row>
    <row r="71">
      <c r="A71" s="16" t="n">
        <v>25</v>
      </c>
      <c r="B71" s="29" t="n">
        <v>93</v>
      </c>
      <c r="C71" s="28" t="n">
        <v>35.98</v>
      </c>
      <c r="D71" s="28" t="n">
        <v>203</v>
      </c>
      <c r="E71" s="17" t="inlineStr">
        <is>
          <t>UEL</t>
        </is>
      </c>
      <c r="F71" s="18" t="inlineStr">
        <is>
          <t>Ujaas Energy Ltd</t>
        </is>
      </c>
      <c r="G71" s="18" t="inlineStr">
        <is>
          <t>power &amp; utilities</t>
        </is>
      </c>
      <c r="H71" s="19" t="n">
        <v>3222.89</v>
      </c>
    </row>
    <row r="72">
      <c r="A72" s="16" t="n">
        <v>26</v>
      </c>
      <c r="B72" s="29" t="n">
        <v>93</v>
      </c>
      <c r="C72" s="28" t="n">
        <v>35.95</v>
      </c>
      <c r="D72" s="28" t="n">
        <v>213</v>
      </c>
      <c r="E72" s="17" t="inlineStr">
        <is>
          <t>JINDWORLD</t>
        </is>
      </c>
      <c r="F72" s="18" t="inlineStr">
        <is>
          <t>Jindal Worldwide Limited</t>
        </is>
      </c>
      <c r="G72" s="18" t="inlineStr">
        <is>
          <t>textiles</t>
        </is>
      </c>
      <c r="H72" s="19" t="n">
        <v>5765.96</v>
      </c>
    </row>
    <row r="73">
      <c r="A73" s="16" t="n">
        <v>27</v>
      </c>
      <c r="B73" s="29" t="n">
        <v>93</v>
      </c>
      <c r="C73" s="28" t="n">
        <v>35.12</v>
      </c>
      <c r="D73" s="28" t="n">
        <v>230</v>
      </c>
      <c r="E73" s="17" t="inlineStr">
        <is>
          <t>RPTECH</t>
        </is>
      </c>
      <c r="F73" s="18" t="inlineStr">
        <is>
          <t>Rashi Peripherals Ltd</t>
        </is>
      </c>
      <c r="G73" s="18" t="inlineStr">
        <is>
          <t>i.t</t>
        </is>
      </c>
      <c r="H73" s="19" t="n">
        <v>5427.83</v>
      </c>
    </row>
    <row r="74">
      <c r="A74" s="16" t="n">
        <v>28</v>
      </c>
      <c r="B74" s="29" t="n">
        <v>93</v>
      </c>
      <c r="C74" s="28" t="n">
        <v>35.04</v>
      </c>
      <c r="D74" s="28" t="n">
        <v>208</v>
      </c>
      <c r="E74" s="17" t="inlineStr">
        <is>
          <t>RPEL</t>
        </is>
      </c>
      <c r="F74" s="18" t="inlineStr">
        <is>
          <t>Raghav Productivity Enhancers Ltd</t>
        </is>
      </c>
      <c r="G74" s="18" t="inlineStr">
        <is>
          <t>building materials</t>
        </is>
      </c>
      <c r="H74" s="19" t="n">
        <v>8299.01</v>
      </c>
    </row>
    <row r="75">
      <c r="A75" s="16" t="n">
        <v>29</v>
      </c>
      <c r="B75" s="29" t="n">
        <v>93</v>
      </c>
      <c r="C75" s="28" t="n">
        <v>34.61</v>
      </c>
      <c r="D75" s="28" t="n">
        <v>200</v>
      </c>
      <c r="E75" s="17" t="inlineStr">
        <is>
          <t>SKYGOLD</t>
        </is>
      </c>
      <c r="F75" s="18" t="inlineStr">
        <is>
          <t>Sky Gold Ltd</t>
        </is>
      </c>
      <c r="G75" s="18" t="inlineStr">
        <is>
          <t>consumer discretionary</t>
        </is>
      </c>
      <c r="H75" s="19" t="n">
        <v>12102.62</v>
      </c>
    </row>
    <row r="76">
      <c r="A76" s="16" t="n">
        <v>30</v>
      </c>
      <c r="B76" s="29" t="n">
        <v>92</v>
      </c>
      <c r="C76" s="28" t="n">
        <v>34.41</v>
      </c>
      <c r="D76" s="28" t="n">
        <v>203</v>
      </c>
      <c r="E76" s="17" t="inlineStr">
        <is>
          <t>HAPPYFORGE</t>
        </is>
      </c>
      <c r="F76" s="18" t="inlineStr">
        <is>
          <t>Happy Forgings Ltd</t>
        </is>
      </c>
      <c r="G76" s="18" t="inlineStr">
        <is>
          <t>industrials</t>
        </is>
      </c>
      <c r="H76" s="19" t="n">
        <v>21126.68</v>
      </c>
    </row>
    <row r="77">
      <c r="A77" s="16" t="n">
        <v>31</v>
      </c>
      <c r="B77" s="29" t="n">
        <v>92</v>
      </c>
      <c r="C77" s="28" t="n">
        <v>33.43</v>
      </c>
      <c r="D77" s="28" t="n">
        <v>213</v>
      </c>
      <c r="E77" s="17" t="inlineStr">
        <is>
          <t>NRL</t>
        </is>
      </c>
      <c r="F77" s="18" t="inlineStr">
        <is>
          <t>Nupur Recyclers Ltd</t>
        </is>
      </c>
      <c r="G77" s="18" t="inlineStr">
        <is>
          <t>services</t>
        </is>
      </c>
      <c r="H77" s="19" t="n">
        <v>876.62</v>
      </c>
    </row>
    <row r="78">
      <c r="A78" s="16" t="n">
        <v>32</v>
      </c>
      <c r="B78" s="29" t="n">
        <v>92</v>
      </c>
      <c r="C78" s="28" t="n">
        <v>32.74</v>
      </c>
      <c r="D78" s="28" t="n">
        <v>228</v>
      </c>
      <c r="E78" s="17" t="inlineStr">
        <is>
          <t>PREMIERPOL</t>
        </is>
      </c>
      <c r="F78" s="18" t="inlineStr">
        <is>
          <t>Premier Polyfilm Limited</t>
        </is>
      </c>
      <c r="G78" s="18" t="inlineStr">
        <is>
          <t>plastic products</t>
        </is>
      </c>
      <c r="H78" s="19" t="n">
        <v>998.8200000000001</v>
      </c>
    </row>
    <row r="79">
      <c r="A79" s="16" t="n">
        <v>33</v>
      </c>
      <c r="B79" s="29" t="n">
        <v>92</v>
      </c>
      <c r="C79" s="28" t="n">
        <v>32.45</v>
      </c>
      <c r="D79" s="28" t="n">
        <v>212</v>
      </c>
      <c r="E79" s="17" t="inlineStr">
        <is>
          <t>SAKAR</t>
        </is>
      </c>
      <c r="F79" s="18" t="inlineStr">
        <is>
          <t>Sakar Healthcare Ltd</t>
        </is>
      </c>
      <c r="G79" s="18" t="inlineStr">
        <is>
          <t>healthcare</t>
        </is>
      </c>
      <c r="H79" s="19" t="n">
        <v>2255.92</v>
      </c>
    </row>
    <row r="80">
      <c r="A80" s="16" t="n">
        <v>34</v>
      </c>
      <c r="B80" s="29" t="n">
        <v>91</v>
      </c>
      <c r="C80" s="28" t="n">
        <v>32.4</v>
      </c>
      <c r="D80" s="28" t="n">
        <v>205</v>
      </c>
      <c r="E80" s="17" t="inlineStr">
        <is>
          <t>AFCOM</t>
        </is>
      </c>
      <c r="F80" s="18" t="inlineStr">
        <is>
          <t>Afcom Holdings Limited</t>
        </is>
      </c>
      <c r="G80" s="18" t="inlineStr">
        <is>
          <t>Industrials</t>
        </is>
      </c>
      <c r="H80" s="19" t="n">
        <v>4629.78</v>
      </c>
    </row>
    <row r="81">
      <c r="A81" s="16" t="n">
        <v>35</v>
      </c>
      <c r="B81" s="29" t="n">
        <v>91</v>
      </c>
      <c r="C81" s="28" t="n">
        <v>32.31</v>
      </c>
      <c r="D81" s="28" t="n">
        <v>215</v>
      </c>
      <c r="E81" s="17" t="inlineStr">
        <is>
          <t>IRISDOREME</t>
        </is>
      </c>
      <c r="F81" s="18" t="inlineStr">
        <is>
          <t>Iris Clothings Ltd</t>
        </is>
      </c>
      <c r="G81" s="18" t="inlineStr">
        <is>
          <t>consumer discretionary</t>
        </is>
      </c>
      <c r="H81" s="19" t="n">
        <v>1210.13</v>
      </c>
    </row>
    <row r="82">
      <c r="A82" s="16" t="n">
        <v>36</v>
      </c>
      <c r="B82" s="29" t="n">
        <v>91</v>
      </c>
      <c r="C82" s="28" t="n">
        <v>31.62</v>
      </c>
      <c r="D82" s="28" t="n">
        <v>218</v>
      </c>
      <c r="E82" s="17" t="inlineStr">
        <is>
          <t>INDOBORAX</t>
        </is>
      </c>
      <c r="F82" s="18" t="inlineStr">
        <is>
          <t>Indo Borax &amp; Chemicals Ltd</t>
        </is>
      </c>
      <c r="G82" s="18" t="inlineStr">
        <is>
          <t>chemicals</t>
        </is>
      </c>
      <c r="H82" s="19" t="n">
        <v>1652.31</v>
      </c>
    </row>
    <row r="83">
      <c r="A83" s="16" t="n">
        <v>37</v>
      </c>
      <c r="B83" s="29" t="n">
        <v>91</v>
      </c>
      <c r="C83" s="28" t="n">
        <v>31.56</v>
      </c>
      <c r="D83" s="28" t="n">
        <v>193</v>
      </c>
      <c r="E83" s="17" t="inlineStr">
        <is>
          <t>SHREEJISPG</t>
        </is>
      </c>
      <c r="F83" s="18" t="inlineStr">
        <is>
          <t>Shreeji Shipping Global Ltd</t>
        </is>
      </c>
      <c r="G83" s="18" t="inlineStr">
        <is>
          <t>transportation</t>
        </is>
      </c>
      <c r="H83" s="19" t="n">
        <v>11080.89</v>
      </c>
    </row>
    <row r="84">
      <c r="A84" s="16" t="n">
        <v>38</v>
      </c>
      <c r="B84" s="29" t="n">
        <v>90</v>
      </c>
      <c r="C84" s="28" t="n">
        <v>31.52</v>
      </c>
      <c r="D84" s="28" t="n">
        <v>217</v>
      </c>
      <c r="E84" s="17" t="inlineStr">
        <is>
          <t>IOLCP</t>
        </is>
      </c>
      <c r="F84" s="18" t="inlineStr">
        <is>
          <t>Iol Chemicals And Pharmaceuticals Limited</t>
        </is>
      </c>
      <c r="G84" s="18" t="inlineStr">
        <is>
          <t>healthcare</t>
        </is>
      </c>
      <c r="H84" s="19" t="n">
        <v>5869.08</v>
      </c>
    </row>
    <row r="85">
      <c r="A85" s="16" t="n">
        <v>39</v>
      </c>
      <c r="B85" s="29" t="n">
        <v>90</v>
      </c>
      <c r="C85" s="28" t="n">
        <v>31.49</v>
      </c>
      <c r="D85" s="28" t="n">
        <v>230</v>
      </c>
      <c r="E85" s="17" t="inlineStr">
        <is>
          <t>TIMEX</t>
        </is>
      </c>
      <c r="F85" s="18" t="inlineStr">
        <is>
          <t>Timex Group India Limited</t>
        </is>
      </c>
      <c r="G85" s="18" t="inlineStr">
        <is>
          <t>Consumer Cyclical</t>
        </is>
      </c>
      <c r="H85" s="19" t="n">
        <v>6341.17</v>
      </c>
    </row>
    <row r="86">
      <c r="A86" s="16" t="n">
        <v>40</v>
      </c>
      <c r="B86" s="29" t="n">
        <v>90</v>
      </c>
      <c r="C86" s="28" t="n">
        <v>30.83</v>
      </c>
      <c r="D86" s="28" t="n">
        <v>218</v>
      </c>
      <c r="E86" s="17" t="inlineStr">
        <is>
          <t>KANORICHEM</t>
        </is>
      </c>
      <c r="F86" s="18" t="inlineStr">
        <is>
          <t>Kanoria Chemicals &amp; Industries Limited</t>
        </is>
      </c>
      <c r="G86" s="18" t="inlineStr">
        <is>
          <t>chemicals</t>
        </is>
      </c>
      <c r="H86" s="19" t="n">
        <v>679.6900000000001</v>
      </c>
    </row>
    <row r="87">
      <c r="A87" s="16" t="n">
        <v>41</v>
      </c>
      <c r="B87" s="29" t="n">
        <v>90</v>
      </c>
      <c r="C87" s="28" t="n">
        <v>29.67</v>
      </c>
      <c r="D87" s="28" t="n">
        <v>225</v>
      </c>
      <c r="E87" s="17" t="inlineStr">
        <is>
          <t>SUVEN</t>
        </is>
      </c>
      <c r="F87" s="18" t="inlineStr">
        <is>
          <t>Suven Life Sciences Limited</t>
        </is>
      </c>
      <c r="G87" s="18" t="inlineStr">
        <is>
          <t>healthcare</t>
        </is>
      </c>
      <c r="H87" s="19" t="n">
        <v>730.25</v>
      </c>
    </row>
    <row r="8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MVGJL</t>
        </is>
      </c>
      <c r="B2" s="31" t="inlineStr">
        <is>
          <t>Manoj Vaibhav Gems N Jewellers Ltd</t>
        </is>
      </c>
      <c r="C2" s="31" t="inlineStr">
        <is>
          <t>consumer discretionary</t>
        </is>
      </c>
      <c r="D2" s="31" t="inlineStr">
        <is>
          <t>diamond cutting / jewellery</t>
        </is>
      </c>
      <c r="E2" s="31" t="inlineStr">
        <is>
          <t>smallcap</t>
        </is>
      </c>
      <c r="F2" s="31" t="n">
        <v>878.77</v>
      </c>
      <c r="G2" s="31" t="n">
        <v>215.88</v>
      </c>
      <c r="H2" s="31" t="n">
        <v>20</v>
      </c>
      <c r="I2" s="31" t="n">
        <v>3202765</v>
      </c>
      <c r="J2" s="31" t="inlineStr">
        <is>
          <t>543995</t>
        </is>
      </c>
    </row>
    <row r="3">
      <c r="A3" s="31" t="inlineStr">
        <is>
          <t>PCJEWELLER</t>
        </is>
      </c>
      <c r="B3" s="31" t="inlineStr">
        <is>
          <t>Pc Jeweller Limited</t>
        </is>
      </c>
      <c r="C3" s="31" t="inlineStr">
        <is>
          <t>consumer discretionary</t>
        </is>
      </c>
      <c r="D3" s="31" t="inlineStr">
        <is>
          <t>diamond cutting / jewellery</t>
        </is>
      </c>
      <c r="E3" s="31" t="inlineStr">
        <is>
          <t>midcap</t>
        </is>
      </c>
      <c r="F3" s="31" t="n">
        <v>11516.69</v>
      </c>
      <c r="G3" s="31" t="n">
        <v>13.93</v>
      </c>
      <c r="H3" s="31" t="n">
        <v>17.45</v>
      </c>
      <c r="I3" s="31" t="n">
        <v>2196523618</v>
      </c>
      <c r="J3" s="31" t="inlineStr">
        <is>
          <t>534809</t>
        </is>
      </c>
    </row>
    <row r="4">
      <c r="A4" s="31" t="inlineStr">
        <is>
          <t>CENTUM</t>
        </is>
      </c>
      <c r="B4" s="31" t="inlineStr">
        <is>
          <t>Centum Electronics Limited</t>
        </is>
      </c>
      <c r="C4" s="31" t="inlineStr">
        <is>
          <t>aerospace &amp; defence</t>
        </is>
      </c>
      <c r="D4" s="31" t="inlineStr">
        <is>
          <t>electronics - components</t>
        </is>
      </c>
      <c r="E4" s="31" t="inlineStr">
        <is>
          <t>midcap</t>
        </is>
      </c>
      <c r="F4" s="31" t="n">
        <v>5560.16</v>
      </c>
      <c r="G4" s="31" t="n">
        <v>4376.9</v>
      </c>
      <c r="H4" s="31" t="n">
        <v>16.18</v>
      </c>
      <c r="I4" s="31" t="n">
        <v>827315</v>
      </c>
      <c r="J4" s="31" t="inlineStr">
        <is>
          <t>517544</t>
        </is>
      </c>
    </row>
    <row r="5">
      <c r="A5" s="31" t="inlineStr">
        <is>
          <t>RADHIKAJWE</t>
        </is>
      </c>
      <c r="B5" s="31" t="inlineStr">
        <is>
          <t>Radhika Jeweltech Ltd</t>
        </is>
      </c>
      <c r="C5" s="31" t="inlineStr">
        <is>
          <t>consumer discretionary</t>
        </is>
      </c>
      <c r="D5" s="31" t="inlineStr">
        <is>
          <t>diamond cutting / jewellery</t>
        </is>
      </c>
      <c r="E5" s="31" t="inlineStr">
        <is>
          <t>smallcap</t>
        </is>
      </c>
      <c r="F5" s="31" t="n">
        <v>981.29</v>
      </c>
      <c r="G5" s="31" t="n">
        <v>94.28</v>
      </c>
      <c r="H5" s="31" t="n">
        <v>13.37</v>
      </c>
      <c r="I5" s="31" t="n">
        <v>31907643</v>
      </c>
      <c r="J5" s="31" t="inlineStr">
        <is>
          <t>540125</t>
        </is>
      </c>
    </row>
    <row r="6">
      <c r="A6" s="31" t="inlineStr">
        <is>
          <t>SYRMA</t>
        </is>
      </c>
      <c r="B6" s="31" t="inlineStr">
        <is>
          <t>Syrma SGS Technology Ltd</t>
        </is>
      </c>
      <c r="C6" s="31" t="inlineStr">
        <is>
          <t>consumer discretionary</t>
        </is>
      </c>
      <c r="D6" s="31" t="inlineStr">
        <is>
          <t>electronics - components</t>
        </is>
      </c>
      <c r="E6" s="31" t="inlineStr">
        <is>
          <t>largecap</t>
        </is>
      </c>
      <c r="F6" s="31" t="n">
        <v>28101.19</v>
      </c>
      <c r="G6" s="31" t="n">
        <v>1634.8</v>
      </c>
      <c r="H6" s="31" t="n">
        <v>12.18</v>
      </c>
      <c r="I6" s="31" t="n">
        <v>13079561</v>
      </c>
      <c r="J6" s="31" t="inlineStr">
        <is>
          <t>543573</t>
        </is>
      </c>
    </row>
    <row r="7">
      <c r="A7" s="31" t="inlineStr">
        <is>
          <t>ANDHRAPAP</t>
        </is>
      </c>
      <c r="B7" s="31" t="inlineStr">
        <is>
          <t>Andhra Paper Ltd</t>
        </is>
      </c>
      <c r="C7" s="31" t="inlineStr">
        <is>
          <t>building materials</t>
        </is>
      </c>
      <c r="D7" s="31" t="inlineStr">
        <is>
          <t>paper</t>
        </is>
      </c>
      <c r="E7" s="31" t="inlineStr">
        <is>
          <t>smallcap</t>
        </is>
      </c>
      <c r="F7" s="31" t="n">
        <v>1281.59</v>
      </c>
      <c r="G7" s="31" t="n">
        <v>72.2</v>
      </c>
      <c r="H7" s="31" t="n">
        <v>12.02</v>
      </c>
      <c r="I7" s="31" t="n">
        <v>27336653</v>
      </c>
      <c r="J7" s="31" t="inlineStr">
        <is>
          <t>502330</t>
        </is>
      </c>
    </row>
    <row r="8">
      <c r="A8" s="31" t="inlineStr">
        <is>
          <t>ANUHPHR</t>
        </is>
      </c>
      <c r="B8" s="31" t="inlineStr">
        <is>
          <t>Anuh Pharma Ltd</t>
        </is>
      </c>
      <c r="C8" s="31" t="inlineStr">
        <is>
          <t>healthcare</t>
        </is>
      </c>
      <c r="D8" s="31" t="inlineStr">
        <is>
          <t>pharmaceuticals - indian - bulk drugs</t>
        </is>
      </c>
      <c r="E8" s="31" t="inlineStr">
        <is>
          <t>smallcap</t>
        </is>
      </c>
      <c r="F8" s="31" t="n">
        <v>812.8200000000001</v>
      </c>
      <c r="G8" s="31" t="n">
        <v>90.29000000000001</v>
      </c>
      <c r="H8" s="31" t="n">
        <v>11.33</v>
      </c>
      <c r="I8" s="31" t="n">
        <v>1069062</v>
      </c>
      <c r="J8" s="31" t="inlineStr">
        <is>
          <t>506260</t>
        </is>
      </c>
    </row>
    <row r="9">
      <c r="A9" s="31" t="inlineStr">
        <is>
          <t>STAR</t>
        </is>
      </c>
      <c r="B9" s="31" t="inlineStr">
        <is>
          <t>Strides Shasun Limited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midcap</t>
        </is>
      </c>
      <c r="F9" s="31" t="n">
        <v>9766.620000000001</v>
      </c>
      <c r="G9" s="31" t="n">
        <v>1178.8</v>
      </c>
      <c r="H9" s="31" t="n">
        <v>11.25</v>
      </c>
      <c r="I9" s="31" t="n">
        <v>2617272</v>
      </c>
      <c r="J9" s="31" t="inlineStr">
        <is>
          <t>532531</t>
        </is>
      </c>
    </row>
    <row r="10">
      <c r="A10" s="31" t="inlineStr">
        <is>
          <t>VENUSPIPES</t>
        </is>
      </c>
      <c r="B10" s="31" t="inlineStr">
        <is>
          <t>Venus Pipes &amp; Tubes Ltd</t>
        </is>
      </c>
      <c r="C10" s="31" t="inlineStr">
        <is>
          <t>metals &amp; mining</t>
        </is>
      </c>
      <c r="D10" s="31" t="inlineStr">
        <is>
          <t>steel - medium / small</t>
        </is>
      </c>
      <c r="E10" s="31" t="inlineStr">
        <is>
          <t>smallcap</t>
        </is>
      </c>
      <c r="F10" s="31" t="n">
        <v>3378.8</v>
      </c>
      <c r="G10" s="31" t="n">
        <v>1805.4</v>
      </c>
      <c r="H10" s="31" t="n">
        <v>10.69</v>
      </c>
      <c r="I10" s="31" t="n">
        <v>603283</v>
      </c>
      <c r="J10" s="31" t="inlineStr">
        <is>
          <t>543528</t>
        </is>
      </c>
    </row>
    <row r="11">
      <c r="A11" s="31" t="inlineStr">
        <is>
          <t>THEMISMED</t>
        </is>
      </c>
      <c r="B11" s="31" t="inlineStr">
        <is>
          <t>Themis Medicare Limited</t>
        </is>
      </c>
      <c r="C11" s="31" t="inlineStr">
        <is>
          <t>healthcare</t>
        </is>
      </c>
      <c r="D11" s="31" t="inlineStr">
        <is>
          <t>pharmaceuticals - indian - bulk drugs &amp; formln</t>
        </is>
      </c>
      <c r="E11" s="31" t="inlineStr">
        <is>
          <t>smallcap</t>
        </is>
      </c>
      <c r="F11" s="31" t="n">
        <v>1109.07</v>
      </c>
      <c r="G11" s="31" t="n">
        <v>133.07</v>
      </c>
      <c r="H11" s="31" t="n">
        <v>10.5</v>
      </c>
      <c r="I11" s="31" t="n">
        <v>4732951</v>
      </c>
      <c r="J11" s="31" t="inlineStr">
        <is>
          <t>530199</t>
        </is>
      </c>
    </row>
    <row r="12">
      <c r="A12" s="31" t="inlineStr">
        <is>
          <t>MMP</t>
        </is>
      </c>
      <c r="B12" s="31" t="inlineStr">
        <is>
          <t>MMP Industries Ltd</t>
        </is>
      </c>
      <c r="C12" s="31" t="inlineStr">
        <is>
          <t>metals &amp; mining</t>
        </is>
      </c>
      <c r="D12" s="31" t="inlineStr">
        <is>
          <t>aluminium and aluminium products</t>
        </is>
      </c>
      <c r="E12" s="31" t="inlineStr">
        <is>
          <t>smallcap</t>
        </is>
      </c>
      <c r="F12" s="31" t="n">
        <v>764.6799999999999</v>
      </c>
      <c r="G12" s="31" t="n">
        <v>444.95</v>
      </c>
      <c r="H12" s="31" t="n">
        <v>10.1</v>
      </c>
      <c r="I12" s="31" t="n">
        <v>388765</v>
      </c>
      <c r="J12" s="31" t="inlineStr">
        <is>
          <t>535071</t>
        </is>
      </c>
    </row>
    <row r="13">
      <c r="A13" s="31" t="inlineStr">
        <is>
          <t>FCL</t>
        </is>
      </c>
      <c r="B13" s="31" t="inlineStr">
        <is>
          <t>Fineotex Chemical Limited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midcap</t>
        </is>
      </c>
      <c r="F13" s="31" t="n">
        <v>5998.34</v>
      </c>
      <c r="G13" s="31" t="n">
        <v>56.66</v>
      </c>
      <c r="H13" s="31" t="n">
        <v>10</v>
      </c>
      <c r="I13" s="31" t="n">
        <v>42019821</v>
      </c>
      <c r="J13" s="31" t="inlineStr">
        <is>
          <t>533333</t>
        </is>
      </c>
    </row>
    <row r="14">
      <c r="A14" s="31" t="inlineStr">
        <is>
          <t>BODALCHEM</t>
        </is>
      </c>
      <c r="B14" s="31" t="inlineStr">
        <is>
          <t>Bodal Chemicals Limited</t>
        </is>
      </c>
      <c r="C14" s="31" t="inlineStr">
        <is>
          <t>chemicals</t>
        </is>
      </c>
      <c r="D14" s="31" t="inlineStr">
        <is>
          <t>dyes and pigments</t>
        </is>
      </c>
      <c r="E14" s="31" t="inlineStr">
        <is>
          <t>smallcap</t>
        </is>
      </c>
      <c r="F14" s="31" t="n">
        <v>1959.94</v>
      </c>
      <c r="G14" s="31" t="n">
        <v>171.18</v>
      </c>
      <c r="H14" s="31" t="n">
        <v>10</v>
      </c>
      <c r="I14" s="31" t="n">
        <v>4910182</v>
      </c>
      <c r="J14" s="31" t="inlineStr">
        <is>
          <t>524370</t>
        </is>
      </c>
    </row>
    <row r="15">
      <c r="A15" s="31" t="inlineStr">
        <is>
          <t>TBZ</t>
        </is>
      </c>
      <c r="B15" s="31" t="inlineStr">
        <is>
          <t>Tribhovandas Bhimji Zaveri Limited</t>
        </is>
      </c>
      <c r="C15" s="31" t="inlineStr">
        <is>
          <t>consumer discretionary</t>
        </is>
      </c>
      <c r="D15" s="31" t="inlineStr">
        <is>
          <t>diamond cutting / jewellery</t>
        </is>
      </c>
      <c r="E15" s="31" t="inlineStr">
        <is>
          <t>smallcap</t>
        </is>
      </c>
      <c r="F15" s="31" t="n">
        <v>3208.74</v>
      </c>
      <c r="G15" s="31" t="n">
        <v>528.9</v>
      </c>
      <c r="H15" s="31" t="n">
        <v>9.99</v>
      </c>
      <c r="I15" s="31" t="n">
        <v>318752</v>
      </c>
      <c r="J15" s="31" t="inlineStr">
        <is>
          <t>534369</t>
        </is>
      </c>
    </row>
    <row r="16">
      <c r="A16" s="31" t="inlineStr">
        <is>
          <t>RISHABH</t>
        </is>
      </c>
      <c r="B16" s="31" t="inlineStr">
        <is>
          <t>Rishabh Instruments Ltd</t>
        </is>
      </c>
      <c r="C16" s="31" t="inlineStr">
        <is>
          <t>industrials</t>
        </is>
      </c>
      <c r="D16" s="31" t="inlineStr">
        <is>
          <t>electric equipment</t>
        </is>
      </c>
      <c r="E16" s="31" t="inlineStr">
        <is>
          <t>smallcap</t>
        </is>
      </c>
      <c r="F16" s="31" t="n">
        <v>2846.43</v>
      </c>
      <c r="G16" s="31" t="n">
        <v>809.95</v>
      </c>
      <c r="H16" s="31" t="n">
        <v>9.68</v>
      </c>
      <c r="I16" s="31" t="n">
        <v>774109</v>
      </c>
      <c r="J16" s="31" t="inlineStr">
        <is>
          <t>543977</t>
        </is>
      </c>
    </row>
    <row r="17">
      <c r="A17" s="31" t="inlineStr">
        <is>
          <t>KABRAEXTRU</t>
        </is>
      </c>
      <c r="B17" s="31" t="inlineStr">
        <is>
          <t>Kabra Extrusion Technik Limited</t>
        </is>
      </c>
      <c r="C17" s="31" t="inlineStr">
        <is>
          <t>industrials</t>
        </is>
      </c>
      <c r="D17" s="31" t="inlineStr">
        <is>
          <t>engineering</t>
        </is>
      </c>
      <c r="E17" s="31" t="inlineStr">
        <is>
          <t>smallcap</t>
        </is>
      </c>
      <c r="F17" s="31" t="n">
        <v>2025.45</v>
      </c>
      <c r="G17" s="31" t="n">
        <v>634.5</v>
      </c>
      <c r="H17" s="31" t="n">
        <v>9.56</v>
      </c>
      <c r="I17" s="31" t="n">
        <v>759426</v>
      </c>
      <c r="J17" s="31" t="inlineStr">
        <is>
          <t>524109</t>
        </is>
      </c>
    </row>
    <row r="18">
      <c r="A18" s="31" t="inlineStr">
        <is>
          <t>SAKAR</t>
        </is>
      </c>
      <c r="B18" s="31" t="inlineStr">
        <is>
          <t>Sakar Healthcare Ltd</t>
        </is>
      </c>
      <c r="C18" s="31" t="inlineStr">
        <is>
          <t>healthcare</t>
        </is>
      </c>
      <c r="D18" s="31" t="inlineStr">
        <is>
          <t>pharmaceuticals - indian - bulk drugs &amp; formln</t>
        </is>
      </c>
      <c r="E18" s="31" t="inlineStr">
        <is>
          <t>smallcap</t>
        </is>
      </c>
      <c r="F18" s="31" t="n">
        <v>2255.92</v>
      </c>
      <c r="G18" s="31" t="n">
        <v>1109.2</v>
      </c>
      <c r="H18" s="31" t="n">
        <v>9.4</v>
      </c>
      <c r="I18" s="31" t="n">
        <v>339553</v>
      </c>
      <c r="J18" s="31" t="inlineStr">
        <is>
          <t>538377</t>
        </is>
      </c>
    </row>
    <row r="19">
      <c r="A19" s="31" t="inlineStr">
        <is>
          <t>HIKAL</t>
        </is>
      </c>
      <c r="B19" s="31" t="inlineStr">
        <is>
          <t>Hikal Limited</t>
        </is>
      </c>
      <c r="C19" s="31" t="inlineStr">
        <is>
          <t>healthcare</t>
        </is>
      </c>
      <c r="D19" s="31" t="inlineStr">
        <is>
          <t>pharmaceuticals - indian - bulk drugs</t>
        </is>
      </c>
      <c r="E19" s="31" t="inlineStr">
        <is>
          <t>smallcap</t>
        </is>
      </c>
      <c r="F19" s="31" t="n">
        <v>2740.98</v>
      </c>
      <c r="G19" s="31" t="n">
        <v>243</v>
      </c>
      <c r="H19" s="31" t="n">
        <v>9.31</v>
      </c>
      <c r="I19" s="31" t="n">
        <v>31089358</v>
      </c>
      <c r="J19" s="31" t="inlineStr">
        <is>
          <t>524735</t>
        </is>
      </c>
    </row>
    <row r="20">
      <c r="A20" s="31" t="inlineStr">
        <is>
          <t>ARFIN</t>
        </is>
      </c>
      <c r="B20" s="31" t="inlineStr">
        <is>
          <t>Arfin India Ltd</t>
        </is>
      </c>
      <c r="C20" s="31" t="inlineStr">
        <is>
          <t>metals &amp; mining</t>
        </is>
      </c>
      <c r="D20" s="31" t="inlineStr">
        <is>
          <t>aluminium and aluminium products</t>
        </is>
      </c>
      <c r="E20" s="31" t="inlineStr">
        <is>
          <t>smallcap</t>
        </is>
      </c>
      <c r="F20" s="31" t="n">
        <v>1471.93</v>
      </c>
      <c r="G20" s="31" t="n">
        <v>95.27</v>
      </c>
      <c r="H20" s="31" t="n">
        <v>9.199999999999999</v>
      </c>
      <c r="I20" s="31" t="n">
        <v>4760846</v>
      </c>
      <c r="J20" s="31" t="inlineStr">
        <is>
          <t>539151</t>
        </is>
      </c>
    </row>
    <row r="21">
      <c r="A21" s="31" t="inlineStr">
        <is>
          <t>AEROENTER</t>
        </is>
      </c>
      <c r="B21" s="31" t="inlineStr">
        <is>
          <t>Aeroflex Enterprises Ltd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1604.78</v>
      </c>
      <c r="G21" s="31" t="n">
        <v>154.73</v>
      </c>
      <c r="H21" s="31" t="n">
        <v>9.109999999999999</v>
      </c>
      <c r="I21" s="31" t="n">
        <v>3260028</v>
      </c>
      <c r="J21" s="31" t="inlineStr">
        <is>
          <t>511076</t>
        </is>
      </c>
    </row>
    <row r="22">
      <c r="A22" s="31" t="inlineStr">
        <is>
          <t>SOLARA</t>
        </is>
      </c>
      <c r="B22" s="31" t="inlineStr">
        <is>
          <t>Solara Active Pharma Sciences Ltd</t>
        </is>
      </c>
      <c r="C22" s="31" t="inlineStr">
        <is>
          <t>healthcare</t>
        </is>
      </c>
      <c r="D22" s="31" t="inlineStr">
        <is>
          <t>pharmaceuticals - indian - bulk drugs &amp; formln</t>
        </is>
      </c>
      <c r="E22" s="31" t="inlineStr">
        <is>
          <t>smallcap</t>
        </is>
      </c>
      <c r="F22" s="31" t="n">
        <v>3083.64</v>
      </c>
      <c r="G22" s="31" t="n">
        <v>697.05</v>
      </c>
      <c r="H22" s="31" t="n">
        <v>9.06</v>
      </c>
      <c r="I22" s="31" t="n">
        <v>2187893</v>
      </c>
      <c r="J22" s="31" t="inlineStr">
        <is>
          <t>541540</t>
        </is>
      </c>
    </row>
    <row r="23">
      <c r="A23" s="31" t="inlineStr">
        <is>
          <t>PITTIENG</t>
        </is>
      </c>
      <c r="B23" s="31" t="inlineStr">
        <is>
          <t>Pitti Engineering Ltd</t>
        </is>
      </c>
      <c r="C23" s="31" t="inlineStr">
        <is>
          <t>industrials</t>
        </is>
      </c>
      <c r="D23" s="31" t="inlineStr">
        <is>
          <t>engineering</t>
        </is>
      </c>
      <c r="E23" s="31" t="inlineStr">
        <is>
          <t>smallcap</t>
        </is>
      </c>
      <c r="F23" s="31" t="n">
        <v>4085.04</v>
      </c>
      <c r="G23" s="31" t="n">
        <v>1176.2</v>
      </c>
      <c r="H23" s="31" t="n">
        <v>8.42</v>
      </c>
      <c r="I23" s="31" t="n">
        <v>1699396</v>
      </c>
      <c r="J23" s="31" t="inlineStr">
        <is>
          <t>513519</t>
        </is>
      </c>
    </row>
    <row r="24">
      <c r="A24" s="31" t="inlineStr">
        <is>
          <t>SHREEPUSHK</t>
        </is>
      </c>
      <c r="B24" s="31" t="inlineStr">
        <is>
          <t>Shree Pushkar Chemicals &amp; Fertilisers Limited</t>
        </is>
      </c>
      <c r="C24" s="31" t="inlineStr">
        <is>
          <t>chemicals</t>
        </is>
      </c>
      <c r="D24" s="31" t="inlineStr">
        <is>
          <t>dyes and pigments</t>
        </is>
      </c>
      <c r="E24" s="31" t="inlineStr">
        <is>
          <t>smallcap</t>
        </is>
      </c>
      <c r="F24" s="31" t="n">
        <v>1536.85</v>
      </c>
      <c r="G24" s="31" t="n">
        <v>514.9</v>
      </c>
      <c r="H24" s="31" t="n">
        <v>8.34</v>
      </c>
      <c r="I24" s="31" t="n">
        <v>399174</v>
      </c>
      <c r="J24" s="31" t="inlineStr">
        <is>
          <t>539334</t>
        </is>
      </c>
    </row>
    <row r="25">
      <c r="A25" s="31" t="inlineStr">
        <is>
          <t>NRBBEARING</t>
        </is>
      </c>
      <c r="B25" s="31" t="inlineStr">
        <is>
          <t>Nrb Bearing Limited</t>
        </is>
      </c>
      <c r="C25" s="31" t="inlineStr">
        <is>
          <t>industrials</t>
        </is>
      </c>
      <c r="D25" s="31" t="inlineStr">
        <is>
          <t>bearings</t>
        </is>
      </c>
      <c r="E25" s="31" t="inlineStr">
        <is>
          <t>smallcap</t>
        </is>
      </c>
      <c r="F25" s="31" t="n">
        <v>4332.44</v>
      </c>
      <c r="G25" s="31" t="n">
        <v>483</v>
      </c>
      <c r="H25" s="31" t="n">
        <v>8.050000000000001</v>
      </c>
      <c r="I25" s="31" t="n">
        <v>1028877</v>
      </c>
      <c r="J25" s="31" t="inlineStr">
        <is>
          <t>530367</t>
        </is>
      </c>
    </row>
    <row r="26">
      <c r="A26" s="31" t="inlineStr">
        <is>
          <t>GMMPFAUDLR</t>
        </is>
      </c>
      <c r="B26" s="31" t="inlineStr">
        <is>
          <t>GMM Pfaudler Ltd</t>
        </is>
      </c>
      <c r="C26" s="31" t="inlineStr">
        <is>
          <t>industrials</t>
        </is>
      </c>
      <c r="D26" s="31" t="inlineStr">
        <is>
          <t>engineering</t>
        </is>
      </c>
      <c r="E26" s="31" t="inlineStr">
        <is>
          <t>midcap</t>
        </is>
      </c>
      <c r="F26" s="31" t="n">
        <v>5160.64</v>
      </c>
      <c r="G26" s="31" t="n">
        <v>1235.7</v>
      </c>
      <c r="H26" s="31" t="n">
        <v>7.65</v>
      </c>
      <c r="I26" s="31" t="n">
        <v>1280855</v>
      </c>
      <c r="J26" s="31" t="inlineStr">
        <is>
          <t>505255</t>
        </is>
      </c>
    </row>
    <row r="27">
      <c r="A27" s="31" t="inlineStr">
        <is>
          <t>IONEXCHANG</t>
        </is>
      </c>
      <c r="B27" s="31" t="inlineStr">
        <is>
          <t>Ion Exchange (India) Ltd</t>
        </is>
      </c>
      <c r="C27" s="31" t="inlineStr">
        <is>
          <t>realty</t>
        </is>
      </c>
      <c r="D27" s="31" t="inlineStr">
        <is>
          <t>engineering - turnkey services</t>
        </is>
      </c>
      <c r="E27" s="31" t="inlineStr">
        <is>
          <t>midcap</t>
        </is>
      </c>
      <c r="F27" s="31" t="n">
        <v>6001.6</v>
      </c>
      <c r="G27" s="31" t="n">
        <v>439.1</v>
      </c>
      <c r="H27" s="31" t="n">
        <v>7.31</v>
      </c>
      <c r="I27" s="31" t="n">
        <v>4902160</v>
      </c>
      <c r="J27" s="31" t="inlineStr">
        <is>
          <t>500214</t>
        </is>
      </c>
    </row>
    <row r="28">
      <c r="A28" s="31" t="inlineStr">
        <is>
          <t>PAISALO</t>
        </is>
      </c>
      <c r="B28" s="31" t="inlineStr">
        <is>
          <t>Paisalo Digital Ltd</t>
        </is>
      </c>
      <c r="C28" s="31" t="inlineStr">
        <is>
          <t>financials</t>
        </is>
      </c>
      <c r="D28" s="31" t="inlineStr">
        <is>
          <t>finance &amp; investments</t>
        </is>
      </c>
      <c r="E28" s="31" t="inlineStr">
        <is>
          <t>midcap</t>
        </is>
      </c>
      <c r="F28" s="31" t="n">
        <v>6739.56</v>
      </c>
      <c r="G28" s="31" t="n">
        <v>79.41</v>
      </c>
      <c r="H28" s="31" t="n">
        <v>7.17</v>
      </c>
      <c r="I28" s="31" t="n">
        <v>35087813</v>
      </c>
      <c r="J28" s="31" t="inlineStr">
        <is>
          <t>532900</t>
        </is>
      </c>
    </row>
    <row r="29">
      <c r="A29" s="31" t="inlineStr">
        <is>
          <t>RML</t>
        </is>
      </c>
      <c r="B29" s="31" t="inlineStr">
        <is>
          <t>Rane (madras) Limited</t>
        </is>
      </c>
      <c r="C29" s="31" t="inlineStr">
        <is>
          <t>auto</t>
        </is>
      </c>
      <c r="D29" s="31" t="inlineStr">
        <is>
          <t>auto ancillaries</t>
        </is>
      </c>
      <c r="E29" s="31" t="inlineStr">
        <is>
          <t>smallcap</t>
        </is>
      </c>
      <c r="F29" s="31" t="n">
        <v>3581.5</v>
      </c>
      <c r="G29" s="31" t="n">
        <v>1388.2</v>
      </c>
      <c r="H29" s="31" t="n">
        <v>7.12</v>
      </c>
      <c r="I29" s="31" t="n">
        <v>976998</v>
      </c>
      <c r="J29" s="31" t="inlineStr">
        <is>
          <t>532661</t>
        </is>
      </c>
    </row>
    <row r="30">
      <c r="A30" s="31" t="inlineStr">
        <is>
          <t>AVALON</t>
        </is>
      </c>
      <c r="B30" s="31" t="inlineStr">
        <is>
          <t>Avalon Technologies Ltd</t>
        </is>
      </c>
      <c r="C30" s="31" t="inlineStr">
        <is>
          <t>consumer discretionary</t>
        </is>
      </c>
      <c r="D30" s="31" t="inlineStr">
        <is>
          <t>electronics - components</t>
        </is>
      </c>
      <c r="E30" s="31" t="inlineStr">
        <is>
          <t>midcap</t>
        </is>
      </c>
      <c r="F30" s="31" t="n">
        <v>14675.87</v>
      </c>
      <c r="G30" s="31" t="n">
        <v>2352.5</v>
      </c>
      <c r="H30" s="31" t="n">
        <v>7.1</v>
      </c>
      <c r="I30" s="31" t="n">
        <v>1652753</v>
      </c>
      <c r="J30" s="31" t="inlineStr">
        <is>
          <t>543896</t>
        </is>
      </c>
    </row>
    <row r="31">
      <c r="A31" s="31" t="inlineStr">
        <is>
          <t>MSTCLTD</t>
        </is>
      </c>
      <c r="B31" s="31" t="inlineStr">
        <is>
          <t>MSTC Ltd</t>
        </is>
      </c>
      <c r="C31" s="31" t="inlineStr">
        <is>
          <t>i.t</t>
        </is>
      </c>
      <c r="D31" s="31" t="inlineStr">
        <is>
          <t>trading</t>
        </is>
      </c>
      <c r="E31" s="31" t="inlineStr">
        <is>
          <t>midcap</t>
        </is>
      </c>
      <c r="F31" s="31" t="n">
        <v>5168.77</v>
      </c>
      <c r="G31" s="31" t="n">
        <v>785.65</v>
      </c>
      <c r="H31" s="31" t="n">
        <v>7.01</v>
      </c>
      <c r="I31" s="31" t="n">
        <v>1016067</v>
      </c>
      <c r="J31" s="31" t="inlineStr">
        <is>
          <t>542597</t>
        </is>
      </c>
    </row>
    <row r="32">
      <c r="A32" s="31" t="inlineStr">
        <is>
          <t>DOLPHIN</t>
        </is>
      </c>
      <c r="B32" s="31" t="inlineStr">
        <is>
          <t>Dolphin Offshore Enterprises (India) Ltd</t>
        </is>
      </c>
      <c r="C32" s="31" t="inlineStr">
        <is>
          <t>energy</t>
        </is>
      </c>
      <c r="D32" s="31" t="inlineStr">
        <is>
          <t>oil drilling / allied services</t>
        </is>
      </c>
      <c r="E32" s="31" t="inlineStr">
        <is>
          <t>smallcap</t>
        </is>
      </c>
      <c r="F32" s="31" t="n">
        <v>2696.31</v>
      </c>
      <c r="G32" s="31" t="n">
        <v>720.4</v>
      </c>
      <c r="H32" s="31" t="n">
        <v>6.88</v>
      </c>
      <c r="I32" s="31" t="n">
        <v>400551</v>
      </c>
      <c r="J32" s="31" t="inlineStr">
        <is>
          <t>522261</t>
        </is>
      </c>
    </row>
    <row r="33">
      <c r="A33" s="31" t="inlineStr">
        <is>
          <t>JASH</t>
        </is>
      </c>
      <c r="B33" s="31" t="inlineStr">
        <is>
          <t>Jash Engineering Ltd</t>
        </is>
      </c>
      <c r="C33" s="31" t="inlineStr">
        <is>
          <t>industrials</t>
        </is>
      </c>
      <c r="D33" s="31" t="inlineStr">
        <is>
          <t>engineering</t>
        </is>
      </c>
      <c r="E33" s="31" t="inlineStr">
        <is>
          <t>smallcap</t>
        </is>
      </c>
      <c r="F33" s="31" t="n">
        <v>3023.82</v>
      </c>
      <c r="G33" s="31" t="n">
        <v>511.15</v>
      </c>
      <c r="H33" s="31" t="n">
        <v>6.82</v>
      </c>
      <c r="I33" s="31" t="n">
        <v>484422</v>
      </c>
      <c r="J33" s="31" t="inlineStr">
        <is>
          <t>535019</t>
        </is>
      </c>
    </row>
    <row r="34">
      <c r="A34" s="31" t="inlineStr">
        <is>
          <t>RUBYMILLS</t>
        </is>
      </c>
      <c r="B34" s="31" t="inlineStr">
        <is>
          <t>The Ruby Mills Limited</t>
        </is>
      </c>
      <c r="C34" s="31" t="inlineStr">
        <is>
          <t>textiles</t>
        </is>
      </c>
      <c r="D34" s="31" t="inlineStr">
        <is>
          <t>textiles - composite</t>
        </is>
      </c>
      <c r="E34" s="31" t="inlineStr">
        <is>
          <t>smallcap</t>
        </is>
      </c>
      <c r="F34" s="31" t="n">
        <v>1432.24</v>
      </c>
      <c r="G34" s="31" t="n">
        <v>457</v>
      </c>
      <c r="H34" s="31" t="n">
        <v>6.7</v>
      </c>
      <c r="I34" s="31" t="n">
        <v>175583</v>
      </c>
      <c r="J34" s="31" t="inlineStr">
        <is>
          <t>503169</t>
        </is>
      </c>
    </row>
    <row r="35">
      <c r="A35" s="31" t="inlineStr">
        <is>
          <t>SUPRIYA</t>
        </is>
      </c>
      <c r="B35" s="31" t="inlineStr">
        <is>
          <t>Supriya Lifescience Ltd</t>
        </is>
      </c>
      <c r="C35" s="31" t="inlineStr">
        <is>
          <t>healthcare</t>
        </is>
      </c>
      <c r="D35" s="31" t="inlineStr">
        <is>
          <t>pharmaceuticals - indian - bulk drugs &amp; formln</t>
        </is>
      </c>
      <c r="E35" s="31" t="inlineStr">
        <is>
          <t>midcap</t>
        </is>
      </c>
      <c r="F35" s="31" t="n">
        <v>6863.98</v>
      </c>
      <c r="G35" s="31" t="n">
        <v>909.1</v>
      </c>
      <c r="H35" s="31" t="n">
        <v>6.6</v>
      </c>
      <c r="I35" s="31" t="n">
        <v>1225649</v>
      </c>
      <c r="J35" s="31" t="inlineStr">
        <is>
          <t>543434</t>
        </is>
      </c>
    </row>
    <row r="36">
      <c r="A36" s="31" t="inlineStr">
        <is>
          <t>IOLCP</t>
        </is>
      </c>
      <c r="B36" s="31" t="inlineStr">
        <is>
          <t>Iol Chemicals And Pharmaceuticals Limited</t>
        </is>
      </c>
      <c r="C36" s="31" t="inlineStr">
        <is>
          <t>healthcare</t>
        </is>
      </c>
      <c r="D36" s="31" t="inlineStr">
        <is>
          <t>pharmaceuticals - indian - bulk drugs &amp; formln</t>
        </is>
      </c>
      <c r="E36" s="31" t="inlineStr">
        <is>
          <t>midcap</t>
        </is>
      </c>
      <c r="F36" s="31" t="n">
        <v>5869.08</v>
      </c>
      <c r="G36" s="31" t="n">
        <v>213.04</v>
      </c>
      <c r="H36" s="31" t="n">
        <v>6.55</v>
      </c>
      <c r="I36" s="31" t="n">
        <v>10023570</v>
      </c>
      <c r="J36" s="31" t="inlineStr">
        <is>
          <t>524164</t>
        </is>
      </c>
    </row>
    <row r="37">
      <c r="A37" s="31" t="inlineStr">
        <is>
          <t>CARTRADE</t>
        </is>
      </c>
      <c r="B37" s="31" t="inlineStr">
        <is>
          <t>Cartrade Tech Ltd</t>
        </is>
      </c>
      <c r="C37" s="31" t="inlineStr">
        <is>
          <t>consumer discretionary</t>
        </is>
      </c>
      <c r="D37" s="31" t="inlineStr">
        <is>
          <t>miscellaneous</t>
        </is>
      </c>
      <c r="E37" s="31" t="inlineStr">
        <is>
          <t>midcap</t>
        </is>
      </c>
      <c r="F37" s="31" t="n">
        <v>14407.87</v>
      </c>
      <c r="G37" s="31" t="n">
        <v>3179.9</v>
      </c>
      <c r="H37" s="31" t="n">
        <v>5.99</v>
      </c>
      <c r="I37" s="31" t="n">
        <v>1233314</v>
      </c>
      <c r="J37" s="31" t="inlineStr">
        <is>
          <t>543333</t>
        </is>
      </c>
    </row>
    <row r="38">
      <c r="A38" s="31" t="inlineStr">
        <is>
          <t>RITCO</t>
        </is>
      </c>
      <c r="B38" s="31" t="inlineStr">
        <is>
          <t>Ritco Logistics Ltd</t>
        </is>
      </c>
      <c r="C38" s="31" t="inlineStr">
        <is>
          <t>transportation</t>
        </is>
      </c>
      <c r="D38" s="31" t="inlineStr">
        <is>
          <t>miscellaneous</t>
        </is>
      </c>
      <c r="E38" s="31" t="inlineStr">
        <is>
          <t>smallcap</t>
        </is>
      </c>
      <c r="F38" s="31" t="n">
        <v>863.83</v>
      </c>
      <c r="G38" s="31" t="n">
        <v>319.8</v>
      </c>
      <c r="H38" s="31" t="n">
        <v>5.96</v>
      </c>
      <c r="I38" s="31" t="n">
        <v>574280</v>
      </c>
      <c r="J38" s="31" t="inlineStr">
        <is>
          <t>542383</t>
        </is>
      </c>
    </row>
    <row r="39">
      <c r="A39" s="31" t="inlineStr">
        <is>
          <t>TALBROAUTO</t>
        </is>
      </c>
      <c r="B39" s="31" t="inlineStr">
        <is>
          <t>Talbros Automotive Components Limited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smallcap</t>
        </is>
      </c>
      <c r="F39" s="31" t="n">
        <v>2516.97</v>
      </c>
      <c r="G39" s="31" t="n">
        <v>431.8</v>
      </c>
      <c r="H39" s="31" t="n">
        <v>5.9</v>
      </c>
      <c r="I39" s="31" t="n">
        <v>1798087</v>
      </c>
      <c r="J39" s="31" t="inlineStr">
        <is>
          <t>505160</t>
        </is>
      </c>
    </row>
    <row r="40">
      <c r="A40" s="31" t="inlineStr">
        <is>
          <t>WSTCSTPAPR</t>
        </is>
      </c>
      <c r="B40" s="31" t="inlineStr">
        <is>
          <t>West Coast Paper Mills Limited</t>
        </is>
      </c>
      <c r="C40" s="31" t="inlineStr">
        <is>
          <t>building materials</t>
        </is>
      </c>
      <c r="D40" s="31" t="inlineStr">
        <is>
          <t>paper</t>
        </is>
      </c>
      <c r="E40" s="31" t="inlineStr">
        <is>
          <t>smallcap</t>
        </is>
      </c>
      <c r="F40" s="31" t="n">
        <v>4294.83</v>
      </c>
      <c r="G40" s="31" t="n">
        <v>687.5</v>
      </c>
      <c r="H40" s="31" t="n">
        <v>5.73</v>
      </c>
      <c r="I40" s="31" t="n">
        <v>605527</v>
      </c>
      <c r="J40" s="31" t="inlineStr">
        <is>
          <t>500444</t>
        </is>
      </c>
    </row>
    <row r="41">
      <c r="A41" s="31" t="inlineStr">
        <is>
          <t>KOPRAN</t>
        </is>
      </c>
      <c r="B41" s="31" t="inlineStr">
        <is>
          <t>Kopran Limited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smallcap</t>
        </is>
      </c>
      <c r="F41" s="31" t="n">
        <v>1122.83</v>
      </c>
      <c r="G41" s="31" t="n">
        <v>245.87</v>
      </c>
      <c r="H41" s="31" t="n">
        <v>5.73</v>
      </c>
      <c r="I41" s="31" t="n">
        <v>2037485</v>
      </c>
      <c r="J41" s="31" t="inlineStr">
        <is>
          <t>524280</t>
        </is>
      </c>
    </row>
    <row r="42">
      <c r="A42" s="31" t="inlineStr">
        <is>
          <t>WOCKPHARMA</t>
        </is>
      </c>
      <c r="B42" s="31" t="inlineStr">
        <is>
          <t>Wockhardt Limited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largecap</t>
        </is>
      </c>
      <c r="F42" s="31" t="n">
        <v>33939.74</v>
      </c>
      <c r="G42" s="31" t="n">
        <v>2208</v>
      </c>
      <c r="H42" s="31" t="n">
        <v>5.71</v>
      </c>
      <c r="I42" s="31" t="n">
        <v>4319658</v>
      </c>
      <c r="J42" s="31" t="inlineStr">
        <is>
          <t>532300</t>
        </is>
      </c>
    </row>
    <row r="43">
      <c r="A43" s="31" t="inlineStr">
        <is>
          <t>SHANTIGOLD</t>
        </is>
      </c>
      <c r="B43" s="31" t="inlineStr">
        <is>
          <t>Shanti Gold International Ltd</t>
        </is>
      </c>
      <c r="C43" s="31" t="inlineStr">
        <is>
          <t>consumer discretionary</t>
        </is>
      </c>
      <c r="D43" s="31" t="inlineStr">
        <is>
          <t>diamond cutting / jewellery</t>
        </is>
      </c>
      <c r="E43" s="31" t="inlineStr">
        <is>
          <t>smallcap</t>
        </is>
      </c>
      <c r="F43" s="31" t="n">
        <v>1967.14</v>
      </c>
      <c r="G43" s="31" t="n">
        <v>270.72</v>
      </c>
      <c r="H43" s="31" t="n">
        <v>5.61</v>
      </c>
      <c r="I43" s="31" t="n">
        <v>4067799</v>
      </c>
      <c r="J43" s="31" t="inlineStr">
        <is>
          <t>544459</t>
        </is>
      </c>
    </row>
    <row r="44">
      <c r="A44" s="31" t="inlineStr">
        <is>
          <t>PRABHA</t>
        </is>
      </c>
      <c r="B44" s="31" t="inlineStr">
        <is>
          <t>Prabha Energy Ltd</t>
        </is>
      </c>
      <c r="C44" s="31" t="inlineStr">
        <is>
          <t>energy</t>
        </is>
      </c>
      <c r="D44" s="31" t="inlineStr">
        <is>
          <t>oil drilling / allied services</t>
        </is>
      </c>
      <c r="E44" s="31" t="inlineStr">
        <is>
          <t>smallcap</t>
        </is>
      </c>
      <c r="F44" s="31" t="n">
        <v>3379.97</v>
      </c>
      <c r="G44" s="31" t="n">
        <v>243.39</v>
      </c>
      <c r="H44" s="31" t="n">
        <v>5.55</v>
      </c>
      <c r="I44" s="31" t="n">
        <v>1535655</v>
      </c>
      <c r="J44" s="31" t="inlineStr">
        <is>
          <t>544379</t>
        </is>
      </c>
    </row>
    <row r="45">
      <c r="A45" s="31" t="inlineStr">
        <is>
          <t>PARAS</t>
        </is>
      </c>
      <c r="B45" s="31" t="inlineStr">
        <is>
          <t>Paras Defence and Space Technologies Ltd</t>
        </is>
      </c>
      <c r="C45" s="31" t="inlineStr">
        <is>
          <t>aerospace &amp; defence</t>
        </is>
      </c>
      <c r="D45" s="31" t="inlineStr">
        <is>
          <t>engineering</t>
        </is>
      </c>
      <c r="E45" s="31" t="inlineStr">
        <is>
          <t>midcap</t>
        </is>
      </c>
      <c r="F45" s="31" t="n">
        <v>11402.3</v>
      </c>
      <c r="G45" s="31" t="n">
        <v>1489.4</v>
      </c>
      <c r="H45" s="31" t="n">
        <v>5.27</v>
      </c>
      <c r="I45" s="31" t="n">
        <v>1794488</v>
      </c>
      <c r="J45" s="31" t="inlineStr">
        <is>
          <t>543367</t>
        </is>
      </c>
    </row>
    <row r="46">
      <c r="A46" s="31" t="inlineStr">
        <is>
          <t>SREEL</t>
        </is>
      </c>
      <c r="B46" s="31" t="inlineStr">
        <is>
          <t>Sreeleathers Limited</t>
        </is>
      </c>
      <c r="C46" s="31" t="inlineStr">
        <is>
          <t>consumer discretionary</t>
        </is>
      </c>
      <c r="D46" s="31" t="inlineStr">
        <is>
          <t>trading</t>
        </is>
      </c>
      <c r="E46" s="31" t="inlineStr">
        <is>
          <t>smallcap</t>
        </is>
      </c>
      <c r="F46" s="31" t="n">
        <v>614.8099999999999</v>
      </c>
      <c r="G46" s="31" t="n">
        <v>279.4</v>
      </c>
      <c r="H46" s="31" t="n">
        <v>5.23</v>
      </c>
      <c r="I46" s="31" t="n">
        <v>72657</v>
      </c>
      <c r="J46" s="31" t="inlineStr">
        <is>
          <t>535601</t>
        </is>
      </c>
    </row>
    <row r="47">
      <c r="A47" s="31" t="inlineStr">
        <is>
          <t>HFCL</t>
        </is>
      </c>
      <c r="B47" s="31" t="inlineStr">
        <is>
          <t>HFCL Ltd</t>
        </is>
      </c>
      <c r="C47" s="31" t="inlineStr">
        <is>
          <t>telecom</t>
        </is>
      </c>
      <c r="D47" s="31" t="inlineStr">
        <is>
          <t>cables - telephone</t>
        </is>
      </c>
      <c r="E47" s="31" t="inlineStr">
        <is>
          <t>largecap</t>
        </is>
      </c>
      <c r="F47" s="31" t="n">
        <v>35424.26</v>
      </c>
      <c r="G47" s="31" t="n">
        <v>243.01</v>
      </c>
      <c r="H47" s="31" t="n">
        <v>5</v>
      </c>
      <c r="I47" s="31" t="n">
        <v>4679636</v>
      </c>
      <c r="J47" s="31" t="inlineStr">
        <is>
          <t>500183</t>
        </is>
      </c>
    </row>
    <row r="48">
      <c r="A48" s="31" t="inlineStr">
        <is>
          <t>MTARTECH</t>
        </is>
      </c>
      <c r="B48" s="31" t="inlineStr">
        <is>
          <t>MTAR Technologies Ltd</t>
        </is>
      </c>
      <c r="C48" s="31" t="inlineStr">
        <is>
          <t>aerospace &amp; defence</t>
        </is>
      </c>
      <c r="D48" s="31" t="inlineStr">
        <is>
          <t>engineering</t>
        </is>
      </c>
      <c r="E48" s="31" t="inlineStr">
        <is>
          <t>largecap</t>
        </is>
      </c>
      <c r="F48" s="31" t="n">
        <v>22026.94</v>
      </c>
      <c r="G48" s="31" t="n">
        <v>7519</v>
      </c>
      <c r="H48" s="31" t="n">
        <v>5</v>
      </c>
      <c r="I48" s="31" t="n">
        <v>176047</v>
      </c>
      <c r="J48" s="31" t="inlineStr">
        <is>
          <t>543270</t>
        </is>
      </c>
    </row>
    <row r="49">
      <c r="A49" s="31" t="inlineStr">
        <is>
          <t>UNIVPHOTO</t>
        </is>
      </c>
      <c r="B49" s="31" t="inlineStr">
        <is>
          <t>Universus Photo Imagings Ltd</t>
        </is>
      </c>
      <c r="C49" s="31" t="inlineStr">
        <is>
          <t>consumer discretionary</t>
        </is>
      </c>
      <c r="D49" s="31" t="inlineStr">
        <is>
          <t>photographic and allied products</t>
        </is>
      </c>
      <c r="E49" s="31" t="inlineStr">
        <is>
          <t>smallcap</t>
        </is>
      </c>
      <c r="F49" s="31" t="n">
        <v>536.8200000000001</v>
      </c>
      <c r="G49" s="31" t="n">
        <v>514.9</v>
      </c>
      <c r="H49" s="31" t="n">
        <v>5</v>
      </c>
      <c r="I49" s="31" t="n">
        <v>5224</v>
      </c>
      <c r="J49" s="31" t="inlineStr">
        <is>
          <t>542933</t>
        </is>
      </c>
    </row>
    <row r="50">
      <c r="A50" s="31" t="inlineStr">
        <is>
          <t>GANESHBE</t>
        </is>
      </c>
      <c r="B50" s="31" t="inlineStr">
        <is>
          <t>Ganesh Benzoplast Ltd</t>
        </is>
      </c>
      <c r="C50" s="31" t="inlineStr">
        <is>
          <t>miscellaneous</t>
        </is>
      </c>
      <c r="D50" s="31" t="inlineStr">
        <is>
          <t>miscellaneous</t>
        </is>
      </c>
      <c r="E50" s="31" t="inlineStr">
        <is>
          <t>smallcap</t>
        </is>
      </c>
      <c r="F50" s="31" t="n">
        <v>887.13</v>
      </c>
      <c r="G50" s="31" t="n">
        <v>129.39</v>
      </c>
      <c r="H50" s="31" t="n">
        <v>5</v>
      </c>
      <c r="I50" s="31" t="n">
        <v>327639</v>
      </c>
      <c r="J50" s="31" t="inlineStr">
        <is>
          <t>500153</t>
        </is>
      </c>
    </row>
    <row r="51">
      <c r="A51" s="31" t="inlineStr">
        <is>
          <t>SPECTRUM</t>
        </is>
      </c>
      <c r="B51" s="31" t="inlineStr">
        <is>
          <t>Spectrum Electrical Industries Ltd</t>
        </is>
      </c>
      <c r="C51" s="31" t="inlineStr">
        <is>
          <t>industrials</t>
        </is>
      </c>
      <c r="D51" s="31" t="inlineStr">
        <is>
          <t>electric equipment</t>
        </is>
      </c>
      <c r="E51" s="31" t="inlineStr">
        <is>
          <t>smallcap</t>
        </is>
      </c>
      <c r="F51" s="31" t="n">
        <v>3721.67</v>
      </c>
      <c r="G51" s="31" t="n">
        <v>2486.8</v>
      </c>
      <c r="H51" s="31" t="n">
        <v>5</v>
      </c>
      <c r="I51" s="31" t="n">
        <v>5740</v>
      </c>
      <c r="J51" s="31" t="inlineStr">
        <is>
          <t>535112</t>
        </is>
      </c>
    </row>
    <row r="52">
      <c r="A52" s="31" t="inlineStr">
        <is>
          <t>STLTECH</t>
        </is>
      </c>
      <c r="B52" s="31" t="inlineStr">
        <is>
          <t>Sterlite Technologies Limited</t>
        </is>
      </c>
      <c r="C52" s="31" t="inlineStr">
        <is>
          <t>industrials</t>
        </is>
      </c>
      <c r="D52" s="31" t="inlineStr">
        <is>
          <t>cables - telephone</t>
        </is>
      </c>
      <c r="E52" s="31" t="inlineStr">
        <is>
          <t>largecap</t>
        </is>
      </c>
      <c r="F52" s="31" t="n">
        <v>38485.68</v>
      </c>
      <c r="G52" s="31" t="n">
        <v>786.3</v>
      </c>
      <c r="H52" s="31" t="n">
        <v>4.99</v>
      </c>
      <c r="I52" s="31" t="n">
        <v>532828</v>
      </c>
      <c r="J52" s="31" t="inlineStr">
        <is>
          <t>532374</t>
        </is>
      </c>
    </row>
    <row r="53">
      <c r="A53" s="31" t="inlineStr">
        <is>
          <t>CONSOFINVT</t>
        </is>
      </c>
      <c r="B53" s="31" t="inlineStr">
        <is>
          <t>Consolidated Finvest &amp; Holdings Limited</t>
        </is>
      </c>
      <c r="C53" s="31" t="inlineStr">
        <is>
          <t>financials</t>
        </is>
      </c>
      <c r="D53" s="31" t="inlineStr">
        <is>
          <t>finance &amp; investments</t>
        </is>
      </c>
      <c r="E53" s="31" t="inlineStr">
        <is>
          <t>smallcap</t>
        </is>
      </c>
      <c r="F53" s="31" t="n">
        <v>931.97</v>
      </c>
      <c r="G53" s="31" t="n">
        <v>302.7</v>
      </c>
      <c r="H53" s="31" t="n">
        <v>4.99</v>
      </c>
      <c r="I53" s="31" t="n">
        <v>29631</v>
      </c>
      <c r="J53" s="31" t="inlineStr">
        <is>
          <t>500226</t>
        </is>
      </c>
    </row>
    <row r="54">
      <c r="A54" s="31" t="inlineStr">
        <is>
          <t>CHEMBONDCH</t>
        </is>
      </c>
      <c r="B54" s="31" t="inlineStr">
        <is>
          <t>Chembond Chemicals Ltd</t>
        </is>
      </c>
      <c r="C54" s="31" t="inlineStr">
        <is>
          <t>chemicals</t>
        </is>
      </c>
      <c r="D54" s="31" t="inlineStr">
        <is>
          <t>chemicals</t>
        </is>
      </c>
      <c r="E54" s="31" t="inlineStr">
        <is>
          <t>smallcap</t>
        </is>
      </c>
      <c r="F54" s="31" t="n">
        <v>684.38</v>
      </c>
      <c r="G54" s="31" t="n">
        <v>267.15</v>
      </c>
      <c r="H54" s="31" t="n">
        <v>4.99</v>
      </c>
      <c r="I54" s="31" t="n">
        <v>9181</v>
      </c>
      <c r="J54" s="31" t="inlineStr">
        <is>
          <t>544450</t>
        </is>
      </c>
    </row>
    <row r="55">
      <c r="A55" s="31" t="inlineStr">
        <is>
          <t>BHAGERIA</t>
        </is>
      </c>
      <c r="B55" s="31" t="inlineStr">
        <is>
          <t>Bhageria Industries Limited</t>
        </is>
      </c>
      <c r="C55" s="31" t="inlineStr">
        <is>
          <t>chemicals</t>
        </is>
      </c>
      <c r="D55" s="31" t="inlineStr">
        <is>
          <t>dyes and pigments</t>
        </is>
      </c>
      <c r="E55" s="31" t="inlineStr">
        <is>
          <t>smallcap</t>
        </is>
      </c>
      <c r="F55" s="31" t="n">
        <v>1329.62</v>
      </c>
      <c r="G55" s="31" t="n">
        <v>319.85</v>
      </c>
      <c r="H55" s="31" t="n">
        <v>4.99</v>
      </c>
      <c r="I55" s="31" t="n">
        <v>141581</v>
      </c>
      <c r="J55" s="31" t="inlineStr">
        <is>
          <t>530803</t>
        </is>
      </c>
    </row>
    <row r="56">
      <c r="A56" s="31" t="inlineStr">
        <is>
          <t>CHEVIOT</t>
        </is>
      </c>
      <c r="B56" s="31" t="inlineStr">
        <is>
          <t>Cheviot Company Ltd</t>
        </is>
      </c>
      <c r="C56" s="31" t="inlineStr">
        <is>
          <t>textiles</t>
        </is>
      </c>
      <c r="D56" s="31" t="inlineStr">
        <is>
          <t>textiles - jute - yarn / products</t>
        </is>
      </c>
      <c r="E56" s="31" t="inlineStr">
        <is>
          <t>smallcap</t>
        </is>
      </c>
      <c r="F56" s="31" t="n">
        <v>677.3099999999999</v>
      </c>
      <c r="G56" s="31" t="n">
        <v>1217.1</v>
      </c>
      <c r="H56" s="31" t="n">
        <v>4.98</v>
      </c>
      <c r="I56" s="31" t="n">
        <v>14214</v>
      </c>
      <c r="J56" s="31" t="inlineStr">
        <is>
          <t>526817</t>
        </is>
      </c>
    </row>
    <row r="57">
      <c r="A57" s="31" t="inlineStr">
        <is>
          <t>MOLDTECH</t>
        </is>
      </c>
      <c r="B57" s="31" t="inlineStr">
        <is>
          <t>Mold-tek Technologies Limited</t>
        </is>
      </c>
      <c r="C57" s="31" t="inlineStr">
        <is>
          <t>realty</t>
        </is>
      </c>
      <c r="D57" s="31" t="inlineStr">
        <is>
          <t>engineering - turnkey services</t>
        </is>
      </c>
      <c r="E57" s="31" t="inlineStr">
        <is>
          <t>smallcap</t>
        </is>
      </c>
      <c r="F57" s="31" t="n">
        <v>601.91</v>
      </c>
      <c r="G57" s="31" t="n">
        <v>219.18</v>
      </c>
      <c r="H57" s="31" t="n">
        <v>4.89</v>
      </c>
      <c r="I57" s="31" t="n">
        <v>131595</v>
      </c>
      <c r="J57" s="31" t="inlineStr">
        <is>
          <t>526263</t>
        </is>
      </c>
    </row>
    <row r="58">
      <c r="A58" s="31" t="inlineStr">
        <is>
          <t>SENORES</t>
        </is>
      </c>
      <c r="B58" s="31" t="inlineStr">
        <is>
          <t>Senores Pharmaceuticals Ltd</t>
        </is>
      </c>
      <c r="C58" s="31" t="inlineStr">
        <is>
          <t>healthcare</t>
        </is>
      </c>
      <c r="D58" s="31" t="inlineStr">
        <is>
          <t>pharmaceuticals - indian - formulations</t>
        </is>
      </c>
      <c r="E58" s="31" t="inlineStr">
        <is>
          <t>midcap</t>
        </is>
      </c>
      <c r="F58" s="31" t="n">
        <v>6578.29</v>
      </c>
      <c r="G58" s="31" t="n">
        <v>1497.5</v>
      </c>
      <c r="H58" s="31" t="n">
        <v>4.84</v>
      </c>
      <c r="I58" s="31" t="n">
        <v>404434</v>
      </c>
      <c r="J58" s="31" t="inlineStr">
        <is>
          <t>544319</t>
        </is>
      </c>
    </row>
    <row r="59">
      <c r="A59" s="31" t="inlineStr">
        <is>
          <t>VINCOFE</t>
        </is>
      </c>
      <c r="B59" s="31" t="inlineStr">
        <is>
          <t>Vintage Coffee &amp; Beverages Ltd</t>
        </is>
      </c>
      <c r="C59" s="31" t="inlineStr">
        <is>
          <t>consumer discretionary</t>
        </is>
      </c>
      <c r="D59" s="31" t="inlineStr">
        <is>
          <t>trading</t>
        </is>
      </c>
      <c r="E59" s="31" t="inlineStr">
        <is>
          <t>smallcap</t>
        </is>
      </c>
      <c r="F59" s="31" t="n">
        <v>2486.17</v>
      </c>
      <c r="G59" s="31" t="n">
        <v>178.88</v>
      </c>
      <c r="H59" s="31" t="n">
        <v>4.82</v>
      </c>
      <c r="I59" s="31" t="n">
        <v>4026692</v>
      </c>
      <c r="J59" s="31" t="inlineStr">
        <is>
          <t>538920</t>
        </is>
      </c>
    </row>
    <row r="60">
      <c r="A60" s="31" t="inlineStr">
        <is>
          <t>E2E</t>
        </is>
      </c>
      <c r="B60" s="31" t="inlineStr">
        <is>
          <t>E2E Networks Ltd</t>
        </is>
      </c>
      <c r="C60" s="31" t="inlineStr">
        <is>
          <t>i.t</t>
        </is>
      </c>
      <c r="D60" s="31" t="inlineStr">
        <is>
          <t>computers - software - medium / small</t>
        </is>
      </c>
      <c r="E60" s="31" t="inlineStr">
        <is>
          <t>midcap</t>
        </is>
      </c>
      <c r="F60" s="31" t="n">
        <v>12365.76</v>
      </c>
      <c r="G60" s="31" t="n">
        <v>630.2</v>
      </c>
      <c r="H60" s="31" t="n">
        <v>4.76</v>
      </c>
      <c r="I60" s="31" t="n">
        <v>1248683</v>
      </c>
      <c r="J60" s="31" t="inlineStr">
        <is>
          <t>535080</t>
        </is>
      </c>
    </row>
    <row r="61">
      <c r="A61" s="31" t="inlineStr">
        <is>
          <t>EMAMIPAP</t>
        </is>
      </c>
      <c r="B61" s="31" t="inlineStr">
        <is>
          <t>Emami Paper Mills Ltd</t>
        </is>
      </c>
      <c r="C61" s="31" t="inlineStr">
        <is>
          <t>building materials</t>
        </is>
      </c>
      <c r="D61" s="31" t="inlineStr">
        <is>
          <t>paper</t>
        </is>
      </c>
      <c r="E61" s="31" t="inlineStr">
        <is>
          <t>smallcap</t>
        </is>
      </c>
      <c r="F61" s="31" t="n">
        <v>701.3099999999999</v>
      </c>
      <c r="G61" s="31" t="n">
        <v>121.34</v>
      </c>
      <c r="H61" s="31" t="n">
        <v>4.68</v>
      </c>
      <c r="I61" s="31" t="n">
        <v>111945</v>
      </c>
      <c r="J61" s="31" t="inlineStr">
        <is>
          <t>533208</t>
        </is>
      </c>
    </row>
    <row r="62">
      <c r="A62" s="31" t="inlineStr">
        <is>
          <t>NRL</t>
        </is>
      </c>
      <c r="B62" s="31" t="inlineStr">
        <is>
          <t>Nupur Recyclers Ltd</t>
        </is>
      </c>
      <c r="C62" s="31" t="inlineStr">
        <is>
          <t>services</t>
        </is>
      </c>
      <c r="D62" s="31" t="inlineStr">
        <is>
          <t>trading</t>
        </is>
      </c>
      <c r="E62" s="31" t="inlineStr">
        <is>
          <t>smallcap</t>
        </is>
      </c>
      <c r="F62" s="31" t="n">
        <v>876.62</v>
      </c>
      <c r="G62" s="31" t="n">
        <v>132.78</v>
      </c>
      <c r="H62" s="31" t="n">
        <v>4.62</v>
      </c>
      <c r="I62" s="31" t="n">
        <v>251730</v>
      </c>
      <c r="J62" s="31" t="inlineStr">
        <is>
          <t>535413</t>
        </is>
      </c>
    </row>
    <row r="63">
      <c r="A63" s="31" t="inlineStr">
        <is>
          <t>SMCGLOBAL</t>
        </is>
      </c>
      <c r="B63" s="31" t="inlineStr">
        <is>
          <t>SMC Global Securities Ltd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smallcap</t>
        </is>
      </c>
      <c r="F63" s="31" t="n">
        <v>1701.38</v>
      </c>
      <c r="G63" s="31" t="n">
        <v>84.95</v>
      </c>
      <c r="H63" s="31" t="n">
        <v>4.55</v>
      </c>
      <c r="I63" s="31" t="n">
        <v>3923881</v>
      </c>
      <c r="J63" s="31" t="inlineStr">
        <is>
          <t>543263</t>
        </is>
      </c>
    </row>
    <row r="64">
      <c r="A64" s="31" t="inlineStr">
        <is>
          <t>MOREPENLAB</t>
        </is>
      </c>
      <c r="B64" s="31" t="inlineStr">
        <is>
          <t>Morepen Laboratories Limited</t>
        </is>
      </c>
      <c r="C64" s="31" t="inlineStr">
        <is>
          <t>healthcare</t>
        </is>
      </c>
      <c r="D64" s="31" t="inlineStr">
        <is>
          <t>pharmaceuticals - indian - bulk drugs &amp; formln</t>
        </is>
      </c>
      <c r="E64" s="31" t="inlineStr">
        <is>
          <t>midcap</t>
        </is>
      </c>
      <c r="F64" s="31" t="n">
        <v>6232.43</v>
      </c>
      <c r="G64" s="31" t="n">
        <v>118.88</v>
      </c>
      <c r="H64" s="31" t="n">
        <v>4.52</v>
      </c>
      <c r="I64" s="31" t="n">
        <v>21606889</v>
      </c>
      <c r="J64" s="31" t="inlineStr">
        <is>
          <t>500288</t>
        </is>
      </c>
    </row>
    <row r="65">
      <c r="A65" s="31" t="inlineStr">
        <is>
          <t>ZYDUSWELL</t>
        </is>
      </c>
      <c r="B65" s="31" t="inlineStr">
        <is>
          <t>Zydus Wellness Limited</t>
        </is>
      </c>
      <c r="C65" s="31" t="inlineStr">
        <is>
          <t>fmcg</t>
        </is>
      </c>
      <c r="D65" s="31" t="inlineStr">
        <is>
          <t>food - processing - indian</t>
        </is>
      </c>
      <c r="E65" s="31" t="inlineStr">
        <is>
          <t>midcap</t>
        </is>
      </c>
      <c r="F65" s="31" t="n">
        <v>16916.61</v>
      </c>
      <c r="G65" s="31" t="n">
        <v>555.35</v>
      </c>
      <c r="H65" s="31" t="n">
        <v>4.45</v>
      </c>
      <c r="I65" s="31" t="n">
        <v>7627303</v>
      </c>
      <c r="J65" s="31" t="inlineStr">
        <is>
          <t>531335</t>
        </is>
      </c>
    </row>
    <row r="66">
      <c r="A66" s="31" t="inlineStr">
        <is>
          <t>GUJTHEM</t>
        </is>
      </c>
      <c r="B66" s="31" t="inlineStr">
        <is>
          <t>Gujarat Themis Biosyn Ltd</t>
        </is>
      </c>
      <c r="C66" s="31" t="inlineStr">
        <is>
          <t>healthcare</t>
        </is>
      </c>
      <c r="D66" s="31" t="inlineStr">
        <is>
          <t>pharmaceuticals - indian - bulk drugs</t>
        </is>
      </c>
      <c r="E66" s="31" t="inlineStr">
        <is>
          <t>smallcap</t>
        </is>
      </c>
      <c r="F66" s="31" t="n">
        <v>4482.29</v>
      </c>
      <c r="G66" s="31" t="n">
        <v>429.3</v>
      </c>
      <c r="H66" s="31" t="n">
        <v>4.36</v>
      </c>
      <c r="I66" s="31" t="n">
        <v>1088263</v>
      </c>
      <c r="J66" s="31" t="inlineStr">
        <is>
          <t>506879</t>
        </is>
      </c>
    </row>
    <row r="67">
      <c r="A67" s="31" t="inlineStr">
        <is>
          <t>RAYMOND</t>
        </is>
      </c>
      <c r="B67" s="31" t="inlineStr">
        <is>
          <t>Raymond Limited</t>
        </is>
      </c>
      <c r="C67" s="31" t="inlineStr">
        <is>
          <t>transportation</t>
        </is>
      </c>
      <c r="D67" s="31" t="inlineStr">
        <is>
          <t>transport - airlines</t>
        </is>
      </c>
      <c r="E67" s="31" t="inlineStr">
        <is>
          <t>smallcap</t>
        </is>
      </c>
      <c r="F67" s="31" t="n">
        <v>4932.11</v>
      </c>
      <c r="G67" s="31" t="n">
        <v>772.4</v>
      </c>
      <c r="H67" s="31" t="n">
        <v>4.26</v>
      </c>
      <c r="I67" s="31" t="n">
        <v>3293248</v>
      </c>
      <c r="J67" s="31" t="inlineStr">
        <is>
          <t>500330</t>
        </is>
      </c>
    </row>
    <row r="68">
      <c r="A68" s="31" t="inlineStr">
        <is>
          <t>BAJAJHIND</t>
        </is>
      </c>
      <c r="B68" s="31" t="inlineStr">
        <is>
          <t>Bajaj Hindusthan Sugar Limited</t>
        </is>
      </c>
      <c r="C68" s="31" t="inlineStr">
        <is>
          <t>fmcg</t>
        </is>
      </c>
      <c r="D68" s="31" t="inlineStr">
        <is>
          <t>sugar</t>
        </is>
      </c>
      <c r="E68" s="31" t="inlineStr">
        <is>
          <t>midcap</t>
        </is>
      </c>
      <c r="F68" s="31" t="n">
        <v>5226</v>
      </c>
      <c r="G68" s="31" t="n">
        <v>22.77</v>
      </c>
      <c r="H68" s="31" t="n">
        <v>4.16</v>
      </c>
      <c r="I68" s="31" t="n">
        <v>47854998</v>
      </c>
      <c r="J68" s="31" t="inlineStr">
        <is>
          <t>500032</t>
        </is>
      </c>
    </row>
    <row r="69">
      <c r="A69" s="31" t="inlineStr">
        <is>
          <t>SPLPETRO</t>
        </is>
      </c>
      <c r="B69" s="31" t="inlineStr">
        <is>
          <t>Supreme Petrochem Ltd</t>
        </is>
      </c>
      <c r="C69" s="31" t="inlineStr">
        <is>
          <t>energy</t>
        </is>
      </c>
      <c r="D69" s="31" t="inlineStr">
        <is>
          <t>petrochemicals</t>
        </is>
      </c>
      <c r="E69" s="31" t="inlineStr">
        <is>
          <t>midcap</t>
        </is>
      </c>
      <c r="F69" s="31" t="n">
        <v>14498.93</v>
      </c>
      <c r="G69" s="31" t="n">
        <v>802.5</v>
      </c>
      <c r="H69" s="31" t="n">
        <v>4.08</v>
      </c>
      <c r="I69" s="31" t="n">
        <v>863737</v>
      </c>
      <c r="J69" s="31" t="inlineStr">
        <is>
          <t>500405</t>
        </is>
      </c>
    </row>
    <row r="70">
      <c r="A70" s="31" t="inlineStr">
        <is>
          <t>CEIGALL</t>
        </is>
      </c>
      <c r="B70" s="31" t="inlineStr">
        <is>
          <t>Ceigall India Ltd</t>
        </is>
      </c>
      <c r="C70" s="31" t="inlineStr">
        <is>
          <t>realty</t>
        </is>
      </c>
      <c r="D70" s="31" t="inlineStr">
        <is>
          <t>construction</t>
        </is>
      </c>
      <c r="E70" s="31" t="inlineStr">
        <is>
          <t>midcap</t>
        </is>
      </c>
      <c r="F70" s="31" t="n">
        <v>6198.21</v>
      </c>
      <c r="G70" s="31" t="n">
        <v>370.3</v>
      </c>
      <c r="H70" s="31" t="n">
        <v>4.08</v>
      </c>
      <c r="I70" s="31" t="n">
        <v>814931</v>
      </c>
      <c r="J70" s="31" t="inlineStr">
        <is>
          <t>544223</t>
        </is>
      </c>
    </row>
    <row r="71">
      <c r="A71" s="31" t="inlineStr">
        <is>
          <t>MANINDS</t>
        </is>
      </c>
      <c r="B71" s="31" t="inlineStr">
        <is>
          <t>Man Industries (india) Limited</t>
        </is>
      </c>
      <c r="C71" s="31" t="inlineStr">
        <is>
          <t>metals &amp; mining</t>
        </is>
      </c>
      <c r="D71" s="31" t="inlineStr">
        <is>
          <t>steel - medium / small</t>
        </is>
      </c>
      <c r="E71" s="31" t="inlineStr">
        <is>
          <t>midcap</t>
        </is>
      </c>
      <c r="F71" s="31" t="n">
        <v>5914.88</v>
      </c>
      <c r="G71" s="31" t="n">
        <v>819.4</v>
      </c>
      <c r="H71" s="31" t="n">
        <v>3.91</v>
      </c>
      <c r="I71" s="31" t="n">
        <v>695397</v>
      </c>
      <c r="J71" s="31" t="inlineStr">
        <is>
          <t>513269</t>
        </is>
      </c>
    </row>
    <row r="72">
      <c r="A72" s="31" t="inlineStr">
        <is>
          <t>INDIQUBE</t>
        </is>
      </c>
      <c r="B72" s="31" t="inlineStr">
        <is>
          <t>Indiqube Spaces Ltd</t>
        </is>
      </c>
      <c r="C72" s="31" t="inlineStr">
        <is>
          <t>co-working</t>
        </is>
      </c>
      <c r="D72" s="31" t="inlineStr">
        <is>
          <t>miscellaneous</t>
        </is>
      </c>
      <c r="E72" s="31" t="inlineStr">
        <is>
          <t>smallcap</t>
        </is>
      </c>
      <c r="F72" s="31" t="n">
        <v>4124.2</v>
      </c>
      <c r="G72" s="31" t="n">
        <v>202.13</v>
      </c>
      <c r="H72" s="31" t="n">
        <v>3.9</v>
      </c>
      <c r="I72" s="31" t="n">
        <v>125698</v>
      </c>
      <c r="J72" s="31" t="inlineStr">
        <is>
          <t>544454</t>
        </is>
      </c>
    </row>
    <row r="73">
      <c r="A73" s="31" t="inlineStr">
        <is>
          <t>AXISCADES</t>
        </is>
      </c>
      <c r="B73" s="31" t="inlineStr">
        <is>
          <t>AXISCADES Technologies Ltd</t>
        </is>
      </c>
      <c r="C73" s="31" t="inlineStr">
        <is>
          <t>aerospace &amp; defence</t>
        </is>
      </c>
      <c r="D73" s="31" t="inlineStr">
        <is>
          <t>computers - software - medium / small</t>
        </is>
      </c>
      <c r="E73" s="31" t="inlineStr">
        <is>
          <t>midcap</t>
        </is>
      </c>
      <c r="F73" s="31" t="n">
        <v>7279.6</v>
      </c>
      <c r="G73" s="31" t="n">
        <v>1778</v>
      </c>
      <c r="H73" s="31" t="n">
        <v>3.88</v>
      </c>
      <c r="I73" s="31" t="n">
        <v>192175</v>
      </c>
      <c r="J73" s="31" t="inlineStr">
        <is>
          <t>532395</t>
        </is>
      </c>
    </row>
    <row r="74">
      <c r="A74" s="31" t="inlineStr">
        <is>
          <t>ENTERO</t>
        </is>
      </c>
      <c r="B74" s="31" t="inlineStr">
        <is>
          <t>Entero Healthcare Solutions Ltd</t>
        </is>
      </c>
      <c r="C74" s="31" t="inlineStr">
        <is>
          <t>healthcare</t>
        </is>
      </c>
      <c r="D74" s="31" t="inlineStr">
        <is>
          <t>trading</t>
        </is>
      </c>
      <c r="E74" s="31" t="inlineStr">
        <is>
          <t>midcap</t>
        </is>
      </c>
      <c r="F74" s="31" t="n">
        <v>7954.28</v>
      </c>
      <c r="G74" s="31" t="n">
        <v>1898.4</v>
      </c>
      <c r="H74" s="31" t="n">
        <v>3.87</v>
      </c>
      <c r="I74" s="31" t="n">
        <v>322283</v>
      </c>
      <c r="J74" s="31" t="inlineStr">
        <is>
          <t>544122</t>
        </is>
      </c>
    </row>
    <row r="75">
      <c r="A75" s="31" t="inlineStr">
        <is>
          <t>APOLLO</t>
        </is>
      </c>
      <c r="B75" s="31" t="inlineStr">
        <is>
          <t>Apollo Micro Systems Ltd</t>
        </is>
      </c>
      <c r="C75" s="31" t="inlineStr">
        <is>
          <t>aerospace &amp; defence</t>
        </is>
      </c>
      <c r="D75" s="31" t="inlineStr">
        <is>
          <t>electronics - components</t>
        </is>
      </c>
      <c r="E75" s="31" t="inlineStr">
        <is>
          <t>midcap</t>
        </is>
      </c>
      <c r="F75" s="31" t="n">
        <v>14451.51</v>
      </c>
      <c r="G75" s="31" t="n">
        <v>403.95</v>
      </c>
      <c r="H75" s="31" t="n">
        <v>3.87</v>
      </c>
      <c r="I75" s="31" t="n">
        <v>11691954</v>
      </c>
      <c r="J75" s="31" t="inlineStr">
        <is>
          <t>540879</t>
        </is>
      </c>
    </row>
    <row r="76">
      <c r="A76" s="31" t="inlineStr">
        <is>
          <t>IDEA</t>
        </is>
      </c>
      <c r="B76" s="31" t="inlineStr">
        <is>
          <t>Vodafone Idea Ltd</t>
        </is>
      </c>
      <c r="C76" s="31" t="inlineStr">
        <is>
          <t>telecom-service</t>
        </is>
      </c>
      <c r="D76" s="31" t="inlineStr">
        <is>
          <t>telecommunications - service provider</t>
        </is>
      </c>
      <c r="E76" s="31" t="inlineStr">
        <is>
          <t>largecap</t>
        </is>
      </c>
      <c r="F76" s="31" t="n">
        <v>162731.24</v>
      </c>
      <c r="G76" s="31" t="n">
        <v>15.6</v>
      </c>
      <c r="H76" s="31" t="n">
        <v>3.86</v>
      </c>
      <c r="I76" s="31" t="n">
        <v>695355022</v>
      </c>
      <c r="J76" s="31" t="inlineStr">
        <is>
          <t>532822</t>
        </is>
      </c>
    </row>
    <row r="77">
      <c r="A77" s="31" t="inlineStr">
        <is>
          <t>AEROFLEX</t>
        </is>
      </c>
      <c r="B77" s="31" t="inlineStr">
        <is>
          <t>Aeroflex Industries Ltd</t>
        </is>
      </c>
      <c r="C77" s="31" t="inlineStr">
        <is>
          <t>metals &amp; mining</t>
        </is>
      </c>
      <c r="D77" s="31" t="inlineStr">
        <is>
          <t>steel - medium / small</t>
        </is>
      </c>
      <c r="E77" s="31" t="inlineStr">
        <is>
          <t>midcap</t>
        </is>
      </c>
      <c r="F77" s="31" t="n">
        <v>7112.12</v>
      </c>
      <c r="G77" s="31" t="n">
        <v>558.15</v>
      </c>
      <c r="H77" s="31" t="n">
        <v>3.85</v>
      </c>
      <c r="I77" s="31" t="n">
        <v>1428851</v>
      </c>
      <c r="J77" s="31" t="inlineStr">
        <is>
          <t>543972</t>
        </is>
      </c>
    </row>
    <row r="78">
      <c r="A78" s="31" t="inlineStr">
        <is>
          <t>KILITCH</t>
        </is>
      </c>
      <c r="B78" s="31" t="inlineStr">
        <is>
          <t>Kilitch Drugs (india) Limited</t>
        </is>
      </c>
      <c r="C78" s="31" t="inlineStr">
        <is>
          <t>healthcare</t>
        </is>
      </c>
      <c r="D78" s="31" t="inlineStr">
        <is>
          <t>pharmaceuticals - indian - formulations</t>
        </is>
      </c>
      <c r="E78" s="31" t="inlineStr">
        <is>
          <t>smallcap</t>
        </is>
      </c>
      <c r="F78" s="31" t="n">
        <v>632.63</v>
      </c>
      <c r="G78" s="31" t="n">
        <v>187.82</v>
      </c>
      <c r="H78" s="31" t="n">
        <v>3.8</v>
      </c>
      <c r="I78" s="31" t="n">
        <v>47535</v>
      </c>
      <c r="J78" s="31" t="inlineStr">
        <is>
          <t>524500</t>
        </is>
      </c>
    </row>
    <row r="79">
      <c r="A79" s="31" t="inlineStr">
        <is>
          <t>SAMBHV</t>
        </is>
      </c>
      <c r="B79" s="31" t="inlineStr">
        <is>
          <t>Sambhv Steel Tubes Ltd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smallcap</t>
        </is>
      </c>
      <c r="F79" s="31" t="n">
        <v>3792.13</v>
      </c>
      <c r="G79" s="31" t="n">
        <v>133.53</v>
      </c>
      <c r="H79" s="31" t="n">
        <v>3.76</v>
      </c>
      <c r="I79" s="31" t="n">
        <v>2426547</v>
      </c>
      <c r="J79" s="31" t="inlineStr">
        <is>
          <t>544430</t>
        </is>
      </c>
    </row>
    <row r="80">
      <c r="A80" s="31" t="inlineStr">
        <is>
          <t>AVADHSUGAR</t>
        </is>
      </c>
      <c r="B80" s="31" t="inlineStr">
        <is>
          <t>Avadh Sugar &amp; Energy</t>
        </is>
      </c>
      <c r="C80" s="31" t="inlineStr">
        <is>
          <t>fmcg</t>
        </is>
      </c>
      <c r="D80" s="31" t="inlineStr">
        <is>
          <t>sugar</t>
        </is>
      </c>
      <c r="E80" s="31" t="inlineStr">
        <is>
          <t>smallcap</t>
        </is>
      </c>
      <c r="F80" s="31" t="n">
        <v>1620.49</v>
      </c>
      <c r="G80" s="31" t="n">
        <v>839.7</v>
      </c>
      <c r="H80" s="31" t="n">
        <v>3.73</v>
      </c>
      <c r="I80" s="31" t="n">
        <v>187551</v>
      </c>
      <c r="J80" s="31" t="inlineStr">
        <is>
          <t>540649</t>
        </is>
      </c>
    </row>
    <row r="81">
      <c r="A81" s="31" t="inlineStr">
        <is>
          <t>TEXINFRA</t>
        </is>
      </c>
      <c r="B81" s="31" t="inlineStr">
        <is>
          <t>Texmaco Infrastructure &amp; Holdings Limited</t>
        </is>
      </c>
      <c r="C81" s="31" t="inlineStr">
        <is>
          <t>realty</t>
        </is>
      </c>
      <c r="D81" s="31" t="inlineStr">
        <is>
          <t>construction</t>
        </is>
      </c>
      <c r="E81" s="31" t="inlineStr">
        <is>
          <t>smallcap</t>
        </is>
      </c>
      <c r="F81" s="31" t="n">
        <v>1465.66</v>
      </c>
      <c r="G81" s="31" t="n">
        <v>119.26</v>
      </c>
      <c r="H81" s="31" t="n">
        <v>3.69</v>
      </c>
      <c r="I81" s="31" t="n">
        <v>411113</v>
      </c>
      <c r="J81" s="31" t="inlineStr">
        <is>
          <t>505400</t>
        </is>
      </c>
    </row>
    <row r="82">
      <c r="A82" s="31" t="inlineStr">
        <is>
          <t>EXICOM</t>
        </is>
      </c>
      <c r="B82" s="31" t="inlineStr">
        <is>
          <t>Exicom Tele-Systems Ltd</t>
        </is>
      </c>
      <c r="C82" s="31" t="inlineStr">
        <is>
          <t>industrials</t>
        </is>
      </c>
      <c r="D82" s="31" t="inlineStr">
        <is>
          <t>electric equipment</t>
        </is>
      </c>
      <c r="E82" s="31" t="inlineStr">
        <is>
          <t>smallcap</t>
        </is>
      </c>
      <c r="F82" s="31" t="n">
        <v>2473.53</v>
      </c>
      <c r="G82" s="31" t="n">
        <v>184.33</v>
      </c>
      <c r="H82" s="31" t="n">
        <v>3.64</v>
      </c>
      <c r="I82" s="31" t="n">
        <v>4232220</v>
      </c>
      <c r="J82" s="31" t="inlineStr">
        <is>
          <t>544133</t>
        </is>
      </c>
    </row>
    <row r="83">
      <c r="A83" s="31" t="inlineStr">
        <is>
          <t>RPTECH</t>
        </is>
      </c>
      <c r="B83" s="31" t="inlineStr">
        <is>
          <t>Rashi Peripherals Ltd</t>
        </is>
      </c>
      <c r="C83" s="31" t="inlineStr">
        <is>
          <t>i.t</t>
        </is>
      </c>
      <c r="D83" s="31" t="inlineStr">
        <is>
          <t>trading</t>
        </is>
      </c>
      <c r="E83" s="31" t="inlineStr">
        <is>
          <t>midcap</t>
        </is>
      </c>
      <c r="F83" s="31" t="n">
        <v>5427.83</v>
      </c>
      <c r="G83" s="31" t="n">
        <v>853.4</v>
      </c>
      <c r="H83" s="31" t="n">
        <v>3.61</v>
      </c>
      <c r="I83" s="31" t="n">
        <v>412998</v>
      </c>
      <c r="J83" s="31" t="n"/>
    </row>
    <row r="84">
      <c r="A84" s="31" t="inlineStr">
        <is>
          <t>INDSWFTLAB</t>
        </is>
      </c>
      <c r="B84" s="31" t="inlineStr">
        <is>
          <t>Ind-swift Laboratories Limited</t>
        </is>
      </c>
      <c r="C84" s="31" t="inlineStr">
        <is>
          <t>healthcare</t>
        </is>
      </c>
      <c r="D84" s="31" t="inlineStr">
        <is>
          <t>pharmaceuticals - indian - bulk drugs &amp; formln</t>
        </is>
      </c>
      <c r="E84" s="31" t="inlineStr">
        <is>
          <t>smallcap</t>
        </is>
      </c>
      <c r="F84" s="31" t="n">
        <v>3095.4</v>
      </c>
      <c r="G84" s="31" t="n">
        <v>368.7</v>
      </c>
      <c r="H84" s="31" t="n">
        <v>3.58</v>
      </c>
      <c r="I84" s="31" t="n">
        <v>650855</v>
      </c>
      <c r="J84" s="31" t="inlineStr">
        <is>
          <t>532305</t>
        </is>
      </c>
    </row>
    <row r="85">
      <c r="A85" s="31" t="inlineStr">
        <is>
          <t>UNICHEMLAB</t>
        </is>
      </c>
      <c r="B85" s="31" t="inlineStr">
        <is>
          <t>Unichem Laboratories Limited</t>
        </is>
      </c>
      <c r="C85" s="31" t="inlineStr">
        <is>
          <t>healthcare</t>
        </is>
      </c>
      <c r="D85" s="31" t="inlineStr">
        <is>
          <t>pharmaceuticals - indian - bulk drugs &amp; formln</t>
        </is>
      </c>
      <c r="E85" s="31" t="inlineStr">
        <is>
          <t>smallcap</t>
        </is>
      </c>
      <c r="F85" s="31" t="n">
        <v>3873.72</v>
      </c>
      <c r="G85" s="31" t="n">
        <v>569.75</v>
      </c>
      <c r="H85" s="31" t="n">
        <v>3.55</v>
      </c>
      <c r="I85" s="31" t="n">
        <v>309037</v>
      </c>
      <c r="J85" s="31" t="inlineStr">
        <is>
          <t>506690</t>
        </is>
      </c>
    </row>
    <row r="86">
      <c r="A86" s="31" t="inlineStr">
        <is>
          <t>JKPAPER</t>
        </is>
      </c>
      <c r="B86" s="31" t="inlineStr">
        <is>
          <t>Jk Paper Limited</t>
        </is>
      </c>
      <c r="C86" s="31" t="inlineStr">
        <is>
          <t>building materials</t>
        </is>
      </c>
      <c r="D86" s="31" t="inlineStr">
        <is>
          <t>paper</t>
        </is>
      </c>
      <c r="E86" s="31" t="inlineStr">
        <is>
          <t>midcap</t>
        </is>
      </c>
      <c r="F86" s="31" t="n">
        <v>7357.92</v>
      </c>
      <c r="G86" s="31" t="n">
        <v>420.05</v>
      </c>
      <c r="H86" s="31" t="n">
        <v>3.51</v>
      </c>
      <c r="I86" s="31" t="n">
        <v>2617975</v>
      </c>
      <c r="J86" s="31" t="inlineStr">
        <is>
          <t>532162</t>
        </is>
      </c>
    </row>
    <row r="87">
      <c r="A87" s="31" t="inlineStr">
        <is>
          <t>VISHNU</t>
        </is>
      </c>
      <c r="B87" s="31" t="inlineStr">
        <is>
          <t>Vishnu Chemicals Limited</t>
        </is>
      </c>
      <c r="C87" s="31" t="inlineStr">
        <is>
          <t>chemicals</t>
        </is>
      </c>
      <c r="D87" s="31" t="inlineStr">
        <is>
          <t>chemicals</t>
        </is>
      </c>
      <c r="E87" s="31" t="inlineStr">
        <is>
          <t>smallcap</t>
        </is>
      </c>
      <c r="F87" s="31" t="n">
        <v>4725.53</v>
      </c>
      <c r="G87" s="31" t="n">
        <v>726.5</v>
      </c>
      <c r="H87" s="31" t="n">
        <v>3.49</v>
      </c>
      <c r="I87" s="31" t="n">
        <v>401102</v>
      </c>
      <c r="J87" s="31" t="inlineStr">
        <is>
          <t>516072</t>
        </is>
      </c>
    </row>
    <row r="88">
      <c r="A88" s="31" t="inlineStr">
        <is>
          <t>OAL</t>
        </is>
      </c>
      <c r="B88" s="31" t="inlineStr">
        <is>
          <t>Oriental Aromatics Ltd</t>
        </is>
      </c>
      <c r="C88" s="31" t="inlineStr">
        <is>
          <t>chemicals</t>
        </is>
      </c>
      <c r="D88" s="31" t="inlineStr">
        <is>
          <t>chemicals</t>
        </is>
      </c>
      <c r="E88" s="31" t="inlineStr">
        <is>
          <t>smallcap</t>
        </is>
      </c>
      <c r="F88" s="31" t="n">
        <v>1749.65</v>
      </c>
      <c r="G88" s="31" t="n">
        <v>537.35</v>
      </c>
      <c r="H88" s="31" t="n">
        <v>3.36</v>
      </c>
      <c r="I88" s="31" t="n">
        <v>139317</v>
      </c>
      <c r="J88" s="31" t="inlineStr">
        <is>
          <t>500078</t>
        </is>
      </c>
    </row>
    <row r="89">
      <c r="A89" s="31" t="inlineStr">
        <is>
          <t>MUNJALAU</t>
        </is>
      </c>
      <c r="B89" s="31" t="inlineStr">
        <is>
          <t>Munjal Auto Industries Limited</t>
        </is>
      </c>
      <c r="C89" s="31" t="inlineStr">
        <is>
          <t>auto</t>
        </is>
      </c>
      <c r="D89" s="31" t="inlineStr">
        <is>
          <t>auto ancillaries</t>
        </is>
      </c>
      <c r="E89" s="31" t="inlineStr">
        <is>
          <t>smallcap</t>
        </is>
      </c>
      <c r="F89" s="31" t="n">
        <v>1122.8</v>
      </c>
      <c r="G89" s="31" t="n">
        <v>116.04</v>
      </c>
      <c r="H89" s="31" t="n">
        <v>3.35</v>
      </c>
      <c r="I89" s="31" t="n">
        <v>1017431</v>
      </c>
      <c r="J89" s="31" t="inlineStr">
        <is>
          <t>520059</t>
        </is>
      </c>
    </row>
    <row r="90">
      <c r="A90" s="31" t="inlineStr">
        <is>
          <t>LOTUSDEV</t>
        </is>
      </c>
      <c r="B90" s="31" t="inlineStr">
        <is>
          <t>Sri Lotus Developers &amp; Realty Ltd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midcap</t>
        </is>
      </c>
      <c r="F90" s="31" t="n">
        <v>9444.59</v>
      </c>
      <c r="G90" s="31" t="n">
        <v>199.71</v>
      </c>
      <c r="H90" s="31" t="n">
        <v>3.34</v>
      </c>
      <c r="I90" s="31" t="n">
        <v>1307102</v>
      </c>
      <c r="J90" s="31" t="inlineStr">
        <is>
          <t>544469</t>
        </is>
      </c>
    </row>
    <row r="91">
      <c r="A91" s="31" t="inlineStr">
        <is>
          <t>AZAD</t>
        </is>
      </c>
      <c r="B91" s="31" t="inlineStr">
        <is>
          <t>Azad Engineering Ltd</t>
        </is>
      </c>
      <c r="C91" s="31" t="inlineStr">
        <is>
          <t>aerospace &amp; defence</t>
        </is>
      </c>
      <c r="D91" s="31" t="inlineStr">
        <is>
          <t>engineering</t>
        </is>
      </c>
      <c r="E91" s="31" t="inlineStr">
        <is>
          <t>midcap</t>
        </is>
      </c>
      <c r="F91" s="31" t="n">
        <v>17936.29</v>
      </c>
      <c r="G91" s="31" t="n">
        <v>2868</v>
      </c>
      <c r="H91" s="31" t="n">
        <v>3.27</v>
      </c>
      <c r="I91" s="31" t="n">
        <v>493178</v>
      </c>
      <c r="J91" s="31" t="inlineStr">
        <is>
          <t>544061</t>
        </is>
      </c>
    </row>
    <row r="92">
      <c r="A92" s="31" t="inlineStr">
        <is>
          <t>NEOGEN</t>
        </is>
      </c>
      <c r="B92" s="31" t="inlineStr">
        <is>
          <t>Neogen Chemicals Ltd</t>
        </is>
      </c>
      <c r="C92" s="31" t="inlineStr">
        <is>
          <t>chemicals</t>
        </is>
      </c>
      <c r="D92" s="31" t="inlineStr">
        <is>
          <t>chemicals</t>
        </is>
      </c>
      <c r="E92" s="31" t="inlineStr">
        <is>
          <t>midcap</t>
        </is>
      </c>
      <c r="F92" s="31" t="n">
        <v>5853.93</v>
      </c>
      <c r="G92" s="31" t="n">
        <v>2207.1</v>
      </c>
      <c r="H92" s="31" t="n">
        <v>3.24</v>
      </c>
      <c r="I92" s="31" t="n">
        <v>177696</v>
      </c>
      <c r="J92" s="31" t="inlineStr">
        <is>
          <t>542665</t>
        </is>
      </c>
    </row>
    <row r="93">
      <c r="A93" s="31" t="inlineStr">
        <is>
          <t>BLUESTONE</t>
        </is>
      </c>
      <c r="B93" s="31" t="inlineStr">
        <is>
          <t>Bluestone Jewellery and Lifestyle Ltd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midcap</t>
        </is>
      </c>
      <c r="F93" s="31" t="n">
        <v>12843.66</v>
      </c>
      <c r="G93" s="31" t="n">
        <v>870</v>
      </c>
      <c r="H93" s="31" t="n">
        <v>3.23</v>
      </c>
      <c r="I93" s="31" t="n">
        <v>1213108</v>
      </c>
      <c r="J93" s="31" t="n"/>
    </row>
    <row r="94">
      <c r="A94" s="31" t="inlineStr">
        <is>
          <t>SANATHAN</t>
        </is>
      </c>
      <c r="B94" s="31" t="inlineStr">
        <is>
          <t>Sanathan Textiles Ltd</t>
        </is>
      </c>
      <c r="C94" s="31" t="inlineStr">
        <is>
          <t>textiles</t>
        </is>
      </c>
      <c r="D94" s="31" t="inlineStr">
        <is>
          <t>textiles - cotton/blended</t>
        </is>
      </c>
      <c r="E94" s="31" t="inlineStr">
        <is>
          <t>smallcap</t>
        </is>
      </c>
      <c r="F94" s="31" t="n">
        <v>3850.51</v>
      </c>
      <c r="G94" s="31" t="n">
        <v>470.9</v>
      </c>
      <c r="H94" s="31" t="n">
        <v>3.22</v>
      </c>
      <c r="I94" s="31" t="n">
        <v>358640</v>
      </c>
      <c r="J94" s="31" t="inlineStr">
        <is>
          <t>544314</t>
        </is>
      </c>
    </row>
    <row r="95">
      <c r="A95" s="31" t="inlineStr">
        <is>
          <t>ARTEMISMED</t>
        </is>
      </c>
      <c r="B95" s="31" t="inlineStr">
        <is>
          <t>Artemis Medicare Services Ltd</t>
        </is>
      </c>
      <c r="C95" s="31" t="inlineStr">
        <is>
          <t>healthcare</t>
        </is>
      </c>
      <c r="D95" s="31" t="inlineStr">
        <is>
          <t>healthcare</t>
        </is>
      </c>
      <c r="E95" s="31" t="inlineStr">
        <is>
          <t>midcap</t>
        </is>
      </c>
      <c r="F95" s="31" t="n">
        <v>5268.43</v>
      </c>
      <c r="G95" s="31" t="n">
        <v>343.5</v>
      </c>
      <c r="H95" s="31" t="n">
        <v>3.22</v>
      </c>
      <c r="I95" s="31" t="n">
        <v>782569</v>
      </c>
      <c r="J95" s="31" t="inlineStr">
        <is>
          <t>542919</t>
        </is>
      </c>
    </row>
    <row r="96">
      <c r="A96" s="31" t="inlineStr">
        <is>
          <t>UNIPARTS</t>
        </is>
      </c>
      <c r="B96" s="31" t="inlineStr">
        <is>
          <t>Uniparts India Ltd</t>
        </is>
      </c>
      <c r="C96" s="31" t="inlineStr">
        <is>
          <t>industrials</t>
        </is>
      </c>
      <c r="D96" s="31" t="inlineStr">
        <is>
          <t>engineering</t>
        </is>
      </c>
      <c r="E96" s="31" t="inlineStr">
        <is>
          <t>smallcap</t>
        </is>
      </c>
      <c r="F96" s="31" t="n">
        <v>3945.73</v>
      </c>
      <c r="G96" s="31" t="n">
        <v>902.1</v>
      </c>
      <c r="H96" s="31" t="n">
        <v>3.21</v>
      </c>
      <c r="I96" s="31" t="n">
        <v>165683</v>
      </c>
      <c r="J96" s="31" t="inlineStr">
        <is>
          <t>543689</t>
        </is>
      </c>
    </row>
    <row r="97">
      <c r="A97" s="31" t="inlineStr">
        <is>
          <t>GODREJAGRO</t>
        </is>
      </c>
      <c r="B97" s="31" t="inlineStr">
        <is>
          <t>Godrej Agrovet Ltd</t>
        </is>
      </c>
      <c r="C97" s="31" t="inlineStr">
        <is>
          <t>fmcg</t>
        </is>
      </c>
      <c r="D97" s="31" t="inlineStr">
        <is>
          <t>food - processing - indian</t>
        </is>
      </c>
      <c r="E97" s="31" t="inlineStr">
        <is>
          <t>midcap</t>
        </is>
      </c>
      <c r="F97" s="31" t="n">
        <v>12404.33</v>
      </c>
      <c r="G97" s="31" t="n">
        <v>665.5</v>
      </c>
      <c r="H97" s="31" t="n">
        <v>3.2</v>
      </c>
      <c r="I97" s="31" t="n">
        <v>338467</v>
      </c>
      <c r="J97" s="31" t="inlineStr">
        <is>
          <t>540743</t>
        </is>
      </c>
    </row>
    <row r="98">
      <c r="A98" s="31" t="inlineStr">
        <is>
          <t>BALRAMCHIN</t>
        </is>
      </c>
      <c r="B98" s="31" t="inlineStr">
        <is>
          <t>Balrampur Chini Mills Limited</t>
        </is>
      </c>
      <c r="C98" s="31" t="inlineStr">
        <is>
          <t>fmcg</t>
        </is>
      </c>
      <c r="D98" s="31" t="inlineStr">
        <is>
          <t>sugar</t>
        </is>
      </c>
      <c r="E98" s="31" t="inlineStr">
        <is>
          <t>midcap</t>
        </is>
      </c>
      <c r="F98" s="31" t="n">
        <v>14590.11</v>
      </c>
      <c r="G98" s="31" t="n">
        <v>711.55</v>
      </c>
      <c r="H98" s="31" t="n">
        <v>3.03</v>
      </c>
      <c r="I98" s="31" t="n">
        <v>5509645</v>
      </c>
      <c r="J98" s="31" t="inlineStr">
        <is>
          <t>500038</t>
        </is>
      </c>
    </row>
    <row r="99">
      <c r="A99" s="31" t="inlineStr">
        <is>
          <t>BLISSGVS</t>
        </is>
      </c>
      <c r="B99" s="31" t="inlineStr">
        <is>
          <t>Bliss Gvs Pharma Limited</t>
        </is>
      </c>
      <c r="C99" s="31" t="inlineStr">
        <is>
          <t>healthcare</t>
        </is>
      </c>
      <c r="D99" s="31" t="inlineStr">
        <is>
          <t>pharmaceuticals - indian - formulations</t>
        </is>
      </c>
      <c r="E99" s="31" t="inlineStr">
        <is>
          <t>midcap</t>
        </is>
      </c>
      <c r="F99" s="31" t="n">
        <v>7116.37</v>
      </c>
      <c r="G99" s="31" t="n">
        <v>691.35</v>
      </c>
      <c r="H99" s="31" t="n">
        <v>3.03</v>
      </c>
      <c r="I99" s="31" t="n">
        <v>581762</v>
      </c>
      <c r="J99" s="31" t="inlineStr">
        <is>
          <t>506197</t>
        </is>
      </c>
    </row>
    <row r="100">
      <c r="A100" s="31" t="inlineStr">
        <is>
          <t>SANSERA</t>
        </is>
      </c>
      <c r="B100" s="31" t="inlineStr">
        <is>
          <t>Sansera Engineering Ltd</t>
        </is>
      </c>
      <c r="C100" s="31" t="inlineStr">
        <is>
          <t>auto</t>
        </is>
      </c>
      <c r="D100" s="31" t="inlineStr">
        <is>
          <t>auto ancillaries</t>
        </is>
      </c>
      <c r="E100" s="31" t="inlineStr">
        <is>
          <t>largecap</t>
        </is>
      </c>
      <c r="F100" s="31" t="n">
        <v>23604.77</v>
      </c>
      <c r="G100" s="31" t="n">
        <v>3896.3</v>
      </c>
      <c r="H100" s="31" t="n">
        <v>3.01</v>
      </c>
      <c r="I100" s="31" t="n">
        <v>134580</v>
      </c>
      <c r="J100" s="31" t="inlineStr">
        <is>
          <t>543358</t>
        </is>
      </c>
    </row>
    <row r="101">
      <c r="A101" s="31" t="inlineStr">
        <is>
          <t>EBGNG</t>
        </is>
      </c>
      <c r="B101" s="31" t="inlineStr">
        <is>
          <t>GNG Electronics Ltd</t>
        </is>
      </c>
      <c r="C101" s="31" t="inlineStr">
        <is>
          <t>services</t>
        </is>
      </c>
      <c r="D101" s="31" t="inlineStr">
        <is>
          <t>trading</t>
        </is>
      </c>
      <c r="E101" s="31" t="inlineStr">
        <is>
          <t>midcap</t>
        </is>
      </c>
      <c r="F101" s="31" t="n">
        <v>6854.94</v>
      </c>
      <c r="G101" s="31" t="n">
        <v>619.1</v>
      </c>
      <c r="H101" s="31" t="n">
        <v>2.97</v>
      </c>
      <c r="I101" s="31" t="n">
        <v>413604</v>
      </c>
      <c r="J101" s="31" t="inlineStr">
        <is>
          <t>544455</t>
        </is>
      </c>
    </row>
    <row r="102">
      <c r="A102" s="31" t="inlineStr">
        <is>
          <t>KRN</t>
        </is>
      </c>
      <c r="B102" s="31" t="inlineStr">
        <is>
          <t>KRN Heat Exchanger and Refrigeration Ltd</t>
        </is>
      </c>
      <c r="C102" s="31" t="inlineStr">
        <is>
          <t>industrials</t>
        </is>
      </c>
      <c r="D102" s="31" t="inlineStr">
        <is>
          <t>engineering</t>
        </is>
      </c>
      <c r="E102" s="31" t="inlineStr">
        <is>
          <t>midcap</t>
        </is>
      </c>
      <c r="F102" s="31" t="n">
        <v>10333.93</v>
      </c>
      <c r="G102" s="31" t="n">
        <v>1625.4</v>
      </c>
      <c r="H102" s="31" t="n">
        <v>2.96</v>
      </c>
      <c r="I102" s="31" t="n">
        <v>329624</v>
      </c>
      <c r="J102" s="31" t="inlineStr">
        <is>
          <t>544263</t>
        </is>
      </c>
    </row>
    <row r="103">
      <c r="A103" s="31" t="inlineStr">
        <is>
          <t>ANTELOPUS</t>
        </is>
      </c>
      <c r="B103" s="31" t="inlineStr">
        <is>
          <t>Antelopus Selan Energy Ltd</t>
        </is>
      </c>
      <c r="C103" s="31" t="inlineStr">
        <is>
          <t>energy</t>
        </is>
      </c>
      <c r="D103" s="31" t="inlineStr">
        <is>
          <t>oil drilling / allied services</t>
        </is>
      </c>
      <c r="E103" s="31" t="inlineStr">
        <is>
          <t>smallcap</t>
        </is>
      </c>
      <c r="F103" s="31" t="n">
        <v>3365.57</v>
      </c>
      <c r="G103" s="31" t="n">
        <v>985.3</v>
      </c>
      <c r="H103" s="31" t="n">
        <v>2.94</v>
      </c>
      <c r="I103" s="31" t="n">
        <v>2854173</v>
      </c>
      <c r="J103" s="31" t="inlineStr">
        <is>
          <t>530075</t>
        </is>
      </c>
    </row>
    <row r="104">
      <c r="A104" s="31" t="inlineStr">
        <is>
          <t>SHANTIGEAR</t>
        </is>
      </c>
      <c r="B104" s="31" t="inlineStr">
        <is>
          <t>Shanthi Gears Limited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smallcap</t>
        </is>
      </c>
      <c r="F104" s="31" t="n">
        <v>4769.81</v>
      </c>
      <c r="G104" s="31" t="n">
        <v>640</v>
      </c>
      <c r="H104" s="31" t="n">
        <v>2.94</v>
      </c>
      <c r="I104" s="31" t="n">
        <v>433775</v>
      </c>
      <c r="J104" s="31" t="inlineStr">
        <is>
          <t>522034</t>
        </is>
      </c>
    </row>
    <row r="105">
      <c r="A105" s="31" t="inlineStr">
        <is>
          <t>UNITEDPOLY</t>
        </is>
      </c>
      <c r="B105" s="31" t="inlineStr">
        <is>
          <t>United Polyfab Gujarat Ltd</t>
        </is>
      </c>
      <c r="C105" s="31" t="inlineStr">
        <is>
          <t>textiles</t>
        </is>
      </c>
      <c r="D105" s="31" t="inlineStr">
        <is>
          <t>textiles - products</t>
        </is>
      </c>
      <c r="E105" s="31" t="inlineStr">
        <is>
          <t>smallcap</t>
        </is>
      </c>
      <c r="F105" s="31" t="n">
        <v>956.16</v>
      </c>
      <c r="G105" s="31" t="n">
        <v>42.88</v>
      </c>
      <c r="H105" s="31" t="n">
        <v>2.93</v>
      </c>
      <c r="I105" s="31" t="n">
        <v>182224</v>
      </c>
      <c r="J105" s="31" t="inlineStr">
        <is>
          <t>533024</t>
        </is>
      </c>
    </row>
    <row r="106">
      <c r="A106" s="31" t="inlineStr">
        <is>
          <t>ZIMLAB</t>
        </is>
      </c>
      <c r="B106" s="31" t="inlineStr">
        <is>
          <t>Zim Laboratories Ltd</t>
        </is>
      </c>
      <c r="C106" s="31" t="inlineStr">
        <is>
          <t>healthcare</t>
        </is>
      </c>
      <c r="D106" s="31" t="inlineStr">
        <is>
          <t>pharmaceuticals - indian - bulk drugs &amp; formln</t>
        </is>
      </c>
      <c r="E106" s="31" t="inlineStr">
        <is>
          <t>smallcap</t>
        </is>
      </c>
      <c r="F106" s="31" t="n">
        <v>672.04</v>
      </c>
      <c r="G106" s="31" t="n">
        <v>129.16</v>
      </c>
      <c r="H106" s="31" t="n">
        <v>2.92</v>
      </c>
      <c r="I106" s="31" t="n">
        <v>83808</v>
      </c>
      <c r="J106" s="31" t="inlineStr">
        <is>
          <t>541400</t>
        </is>
      </c>
    </row>
    <row r="107">
      <c r="A107" s="31" t="inlineStr">
        <is>
          <t>SHREEJISPG</t>
        </is>
      </c>
      <c r="B107" s="31" t="inlineStr">
        <is>
          <t>Shreeji Shipping Global Ltd</t>
        </is>
      </c>
      <c r="C107" s="31" t="inlineStr">
        <is>
          <t>transportation</t>
        </is>
      </c>
      <c r="D107" s="31" t="inlineStr">
        <is>
          <t>shipping</t>
        </is>
      </c>
      <c r="E107" s="31" t="inlineStr">
        <is>
          <t>midcap</t>
        </is>
      </c>
      <c r="F107" s="31" t="n">
        <v>11080.89</v>
      </c>
      <c r="G107" s="31" t="n">
        <v>699.8</v>
      </c>
      <c r="H107" s="31" t="n">
        <v>2.89</v>
      </c>
      <c r="I107" s="31" t="n">
        <v>1404657</v>
      </c>
      <c r="J107" s="31" t="inlineStr">
        <is>
          <t>544490</t>
        </is>
      </c>
    </row>
    <row r="108">
      <c r="A108" s="31" t="inlineStr">
        <is>
          <t>DEEDEV</t>
        </is>
      </c>
      <c r="B108" s="31" t="inlineStr">
        <is>
          <t>DEE Development Engineers Ltd</t>
        </is>
      </c>
      <c r="C108" s="31" t="inlineStr">
        <is>
          <t>metals &amp; mining</t>
        </is>
      </c>
      <c r="D108" s="31" t="inlineStr">
        <is>
          <t>steel - medium / small</t>
        </is>
      </c>
      <c r="E108" s="31" t="inlineStr">
        <is>
          <t>smallcap</t>
        </is>
      </c>
      <c r="F108" s="31" t="n">
        <v>4952.64</v>
      </c>
      <c r="G108" s="31" t="n">
        <v>677.05</v>
      </c>
      <c r="H108" s="31" t="n">
        <v>2.86</v>
      </c>
      <c r="I108" s="31" t="n">
        <v>299886</v>
      </c>
      <c r="J108" s="31" t="n"/>
    </row>
    <row r="109">
      <c r="A109" s="31" t="inlineStr">
        <is>
          <t>TITAGARH</t>
        </is>
      </c>
      <c r="B109" s="31" t="inlineStr">
        <is>
          <t>Titagarh Rail Systems Ltd</t>
        </is>
      </c>
      <c r="C109" s="31" t="inlineStr">
        <is>
          <t>industrials</t>
        </is>
      </c>
      <c r="D109" s="31" t="inlineStr">
        <is>
          <t>engineering</t>
        </is>
      </c>
      <c r="E109" s="31" t="inlineStr">
        <is>
          <t>midcap</t>
        </is>
      </c>
      <c r="F109" s="31" t="n">
        <v>11741.53</v>
      </c>
      <c r="G109" s="31" t="n">
        <v>896.45</v>
      </c>
      <c r="H109" s="31" t="n">
        <v>2.82</v>
      </c>
      <c r="I109" s="31" t="n">
        <v>1383593</v>
      </c>
      <c r="J109" s="31" t="inlineStr">
        <is>
          <t>532966</t>
        </is>
      </c>
    </row>
    <row r="110">
      <c r="A110" s="31" t="inlineStr">
        <is>
          <t>XPROINDIA</t>
        </is>
      </c>
      <c r="B110" s="31" t="inlineStr">
        <is>
          <t>Xpro India Limited</t>
        </is>
      </c>
      <c r="C110" s="31" t="inlineStr">
        <is>
          <t>industrials</t>
        </is>
      </c>
      <c r="D110" s="31" t="inlineStr">
        <is>
          <t>packaging</t>
        </is>
      </c>
      <c r="E110" s="31" t="inlineStr">
        <is>
          <t>smallcap</t>
        </is>
      </c>
      <c r="F110" s="31" t="n">
        <v>3110.06</v>
      </c>
      <c r="G110" s="31" t="n">
        <v>1362</v>
      </c>
      <c r="H110" s="31" t="n">
        <v>2.78</v>
      </c>
      <c r="I110" s="31" t="n">
        <v>340774</v>
      </c>
      <c r="J110" s="31" t="inlineStr">
        <is>
          <t>590013</t>
        </is>
      </c>
    </row>
    <row r="111">
      <c r="A111" s="31" t="inlineStr">
        <is>
          <t>TIRUPATIFL</t>
        </is>
      </c>
      <c r="B111" s="31" t="inlineStr">
        <is>
          <t>Tirupati Forge Ltd</t>
        </is>
      </c>
      <c r="C111" s="31" t="inlineStr">
        <is>
          <t>industrials</t>
        </is>
      </c>
      <c r="D111" s="31" t="inlineStr">
        <is>
          <t>castings &amp; forgings</t>
        </is>
      </c>
      <c r="E111" s="31" t="inlineStr">
        <is>
          <t>smallcap</t>
        </is>
      </c>
      <c r="F111" s="31" t="n">
        <v>897.9299999999999</v>
      </c>
      <c r="G111" s="31" t="n">
        <v>70.84999999999999</v>
      </c>
      <c r="H111" s="31" t="n">
        <v>2.61</v>
      </c>
      <c r="I111" s="31" t="n">
        <v>330327</v>
      </c>
      <c r="J111" s="31" t="inlineStr">
        <is>
          <t>535021</t>
        </is>
      </c>
    </row>
    <row r="112">
      <c r="A112" s="31" t="inlineStr">
        <is>
          <t>SSWL</t>
        </is>
      </c>
      <c r="B112" s="31" t="inlineStr">
        <is>
          <t>Steel Strips Wheels Limited</t>
        </is>
      </c>
      <c r="C112" s="31" t="inlineStr">
        <is>
          <t>auto</t>
        </is>
      </c>
      <c r="D112" s="31" t="inlineStr">
        <is>
          <t>auto ancillaries</t>
        </is>
      </c>
      <c r="E112" s="31" t="inlineStr">
        <is>
          <t>midcap</t>
        </is>
      </c>
      <c r="F112" s="31" t="n">
        <v>5687.57</v>
      </c>
      <c r="G112" s="31" t="n">
        <v>371.3</v>
      </c>
      <c r="H112" s="31" t="n">
        <v>2.61</v>
      </c>
      <c r="I112" s="31" t="n">
        <v>2780026</v>
      </c>
      <c r="J112" s="31" t="inlineStr">
        <is>
          <t>513262</t>
        </is>
      </c>
    </row>
    <row r="113">
      <c r="A113" s="31" t="inlineStr">
        <is>
          <t>EMIL</t>
        </is>
      </c>
      <c r="B113" s="31" t="inlineStr">
        <is>
          <t>Electronics Mart India Ltd</t>
        </is>
      </c>
      <c r="C113" s="31" t="inlineStr">
        <is>
          <t>consumer discretionary</t>
        </is>
      </c>
      <c r="D113" s="31" t="inlineStr">
        <is>
          <t>trading</t>
        </is>
      </c>
      <c r="E113" s="31" t="inlineStr">
        <is>
          <t>midcap</t>
        </is>
      </c>
      <c r="F113" s="31" t="n">
        <v>6684.63</v>
      </c>
      <c r="G113" s="31" t="n">
        <v>178.24</v>
      </c>
      <c r="H113" s="31" t="n">
        <v>2.59</v>
      </c>
      <c r="I113" s="31" t="n">
        <v>1704742</v>
      </c>
      <c r="J113" s="31" t="inlineStr">
        <is>
          <t>543626</t>
        </is>
      </c>
    </row>
    <row r="114">
      <c r="A114" s="31" t="inlineStr">
        <is>
          <t>VALIANTLAB</t>
        </is>
      </c>
      <c r="B114" s="31" t="inlineStr">
        <is>
          <t>Valiant Laboratories Ltd</t>
        </is>
      </c>
      <c r="C114" s="31" t="inlineStr">
        <is>
          <t>healthcare</t>
        </is>
      </c>
      <c r="D114" s="31" t="inlineStr">
        <is>
          <t>pharmaceuticals - indian - bulk drugs &amp; formln</t>
        </is>
      </c>
      <c r="E114" s="31" t="inlineStr">
        <is>
          <t>smallcap</t>
        </is>
      </c>
      <c r="F114" s="31" t="n">
        <v>575.55</v>
      </c>
      <c r="G114" s="31" t="n">
        <v>108.7</v>
      </c>
      <c r="H114" s="31" t="n">
        <v>2.58</v>
      </c>
      <c r="I114" s="31" t="n">
        <v>171865</v>
      </c>
      <c r="J114" s="31" t="n"/>
    </row>
    <row r="115">
      <c r="A115" s="31" t="inlineStr">
        <is>
          <t>MUKKA</t>
        </is>
      </c>
      <c r="B115" s="31" t="inlineStr">
        <is>
          <t>Mukka Proteins Ltd</t>
        </is>
      </c>
      <c r="C115" s="31" t="inlineStr">
        <is>
          <t>fmcg</t>
        </is>
      </c>
      <c r="D115" s="31" t="inlineStr">
        <is>
          <t>food - processing - indian</t>
        </is>
      </c>
      <c r="E115" s="31" t="inlineStr">
        <is>
          <t>smallcap</t>
        </is>
      </c>
      <c r="F115" s="31" t="n">
        <v>940.2</v>
      </c>
      <c r="G115" s="31" t="n">
        <v>32.15</v>
      </c>
      <c r="H115" s="31" t="n">
        <v>2.58</v>
      </c>
      <c r="I115" s="31" t="n">
        <v>5209798</v>
      </c>
      <c r="J115" s="31" t="inlineStr">
        <is>
          <t>544135</t>
        </is>
      </c>
    </row>
    <row r="116">
      <c r="A116" s="31" t="inlineStr">
        <is>
          <t>RGL</t>
        </is>
      </c>
      <c r="B116" s="31" t="inlineStr">
        <is>
          <t>Renaissance Global Ltd</t>
        </is>
      </c>
      <c r="C116" s="31" t="inlineStr">
        <is>
          <t>consumer discretionary</t>
        </is>
      </c>
      <c r="D116" s="31" t="inlineStr">
        <is>
          <t>diamond cutting / jewellery</t>
        </is>
      </c>
      <c r="E116" s="31" t="inlineStr">
        <is>
          <t>smallcap</t>
        </is>
      </c>
      <c r="F116" s="31" t="n">
        <v>1602.58</v>
      </c>
      <c r="G116" s="31" t="n">
        <v>153.1</v>
      </c>
      <c r="H116" s="31" t="n">
        <v>2.57</v>
      </c>
      <c r="I116" s="31" t="n">
        <v>1856449</v>
      </c>
      <c r="J116" s="31" t="inlineStr">
        <is>
          <t>532923</t>
        </is>
      </c>
    </row>
    <row r="117">
      <c r="A117" s="31" t="inlineStr">
        <is>
          <t>BOSCHLTD</t>
        </is>
      </c>
      <c r="B117" s="31" t="inlineStr">
        <is>
          <t>Bosch Limited</t>
        </is>
      </c>
      <c r="C117" s="31" t="inlineStr">
        <is>
          <t>auto</t>
        </is>
      </c>
      <c r="D117" s="31" t="inlineStr">
        <is>
          <t>auto ancillaries</t>
        </is>
      </c>
      <c r="E117" s="31" t="inlineStr">
        <is>
          <t>largecap</t>
        </is>
      </c>
      <c r="F117" s="31" t="n">
        <v>138100.74</v>
      </c>
      <c r="G117" s="31" t="n">
        <v>48025</v>
      </c>
      <c r="H117" s="31" t="n">
        <v>2.57</v>
      </c>
      <c r="I117" s="31" t="n">
        <v>54963</v>
      </c>
      <c r="J117" s="31" t="inlineStr">
        <is>
          <t>500530</t>
        </is>
      </c>
    </row>
    <row r="118">
      <c r="A118" s="31" t="inlineStr">
        <is>
          <t>BIL</t>
        </is>
      </c>
      <c r="B118" s="31" t="inlineStr">
        <is>
          <t>Bhartiya International Limited</t>
        </is>
      </c>
      <c r="C118" s="31" t="inlineStr">
        <is>
          <t>consumer discretionary</t>
        </is>
      </c>
      <c r="D118" s="31" t="inlineStr">
        <is>
          <t>leather / leather products</t>
        </is>
      </c>
      <c r="E118" s="31" t="inlineStr">
        <is>
          <t>smallcap</t>
        </is>
      </c>
      <c r="F118" s="31" t="n">
        <v>1217.46</v>
      </c>
      <c r="G118" s="31" t="n">
        <v>931.15</v>
      </c>
      <c r="H118" s="31" t="n">
        <v>2.57</v>
      </c>
      <c r="I118" s="31" t="n">
        <v>20199</v>
      </c>
      <c r="J118" s="31" t="inlineStr">
        <is>
          <t>526666</t>
        </is>
      </c>
    </row>
    <row r="119">
      <c r="A119" s="31" t="inlineStr">
        <is>
          <t>PPLPHARMA</t>
        </is>
      </c>
      <c r="B119" s="31" t="inlineStr">
        <is>
          <t>Piramal Pharma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largecap</t>
        </is>
      </c>
      <c r="F119" s="31" t="n">
        <v>28520.14</v>
      </c>
      <c r="G119" s="31" t="n">
        <v>219.66</v>
      </c>
      <c r="H119" s="31" t="n">
        <v>2.54</v>
      </c>
      <c r="I119" s="31" t="n">
        <v>6407335</v>
      </c>
      <c r="J119" s="31" t="inlineStr">
        <is>
          <t>543635</t>
        </is>
      </c>
    </row>
    <row r="120">
      <c r="A120" s="31" t="inlineStr">
        <is>
          <t>MARKSANS</t>
        </is>
      </c>
      <c r="B120" s="31" t="inlineStr">
        <is>
          <t>Marksans Pharma Limited</t>
        </is>
      </c>
      <c r="C120" s="31" t="inlineStr">
        <is>
          <t>healthcare</t>
        </is>
      </c>
      <c r="D120" s="31" t="inlineStr">
        <is>
          <t>pharmaceuticals - indian - formulations</t>
        </is>
      </c>
      <c r="E120" s="31" t="inlineStr">
        <is>
          <t>midcap</t>
        </is>
      </c>
      <c r="F120" s="31" t="n">
        <v>14807.13</v>
      </c>
      <c r="G120" s="31" t="n">
        <v>335.05</v>
      </c>
      <c r="H120" s="31" t="n">
        <v>2.54</v>
      </c>
      <c r="I120" s="31" t="n">
        <v>2798363</v>
      </c>
      <c r="J120" s="31" t="inlineStr">
        <is>
          <t>524404</t>
        </is>
      </c>
    </row>
    <row r="121">
      <c r="A121" s="31" t="inlineStr">
        <is>
          <t>WINDLAS</t>
        </is>
      </c>
      <c r="B121" s="31" t="inlineStr">
        <is>
          <t>Windlas Biotech Ltd</t>
        </is>
      </c>
      <c r="C121" s="31" t="inlineStr">
        <is>
          <t>healthcare</t>
        </is>
      </c>
      <c r="D121" s="31" t="inlineStr">
        <is>
          <t>pharmaceuticals - indian - formulations</t>
        </is>
      </c>
      <c r="E121" s="31" t="inlineStr">
        <is>
          <t>smallcap</t>
        </is>
      </c>
      <c r="F121" s="31" t="n">
        <v>2324.36</v>
      </c>
      <c r="G121" s="31" t="n">
        <v>1154.75</v>
      </c>
      <c r="H121" s="31" t="n">
        <v>2.52</v>
      </c>
      <c r="I121" s="31" t="n">
        <v>275989</v>
      </c>
      <c r="J121" s="31" t="inlineStr">
        <is>
          <t>543329</t>
        </is>
      </c>
    </row>
    <row r="122">
      <c r="A122" s="31" t="inlineStr">
        <is>
          <t>SBC</t>
        </is>
      </c>
      <c r="B122" s="31" t="inlineStr">
        <is>
          <t>SBC Exports Ltd</t>
        </is>
      </c>
      <c r="C122" s="31" t="inlineStr">
        <is>
          <t>textiles</t>
        </is>
      </c>
      <c r="D122" s="31" t="inlineStr">
        <is>
          <t>textiles - products</t>
        </is>
      </c>
      <c r="E122" s="31" t="inlineStr">
        <is>
          <t>smallcap</t>
        </is>
      </c>
      <c r="F122" s="31" t="n">
        <v>2179.05</v>
      </c>
      <c r="G122" s="31" t="n">
        <v>46.87</v>
      </c>
      <c r="H122" s="31" t="n">
        <v>2.43</v>
      </c>
      <c r="I122" s="31" t="n">
        <v>9874017</v>
      </c>
      <c r="J122" s="31" t="inlineStr">
        <is>
          <t>542725</t>
        </is>
      </c>
    </row>
    <row r="123">
      <c r="A123" s="31" t="inlineStr">
        <is>
          <t>FEDFINA</t>
        </is>
      </c>
      <c r="B123" s="31" t="inlineStr">
        <is>
          <t>Fedbank Financial Services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midcap</t>
        </is>
      </c>
      <c r="F123" s="31" t="n">
        <v>6056.98</v>
      </c>
      <c r="G123" s="31" t="n">
        <v>165.45</v>
      </c>
      <c r="H123" s="31" t="n">
        <v>2.41</v>
      </c>
      <c r="I123" s="31" t="n">
        <v>2135760</v>
      </c>
      <c r="J123" s="31" t="inlineStr">
        <is>
          <t>544027</t>
        </is>
      </c>
    </row>
    <row r="124">
      <c r="A124" s="31" t="inlineStr">
        <is>
          <t>TNPL</t>
        </is>
      </c>
      <c r="B124" s="31" t="inlineStr">
        <is>
          <t>Tamil Nadu Newsprint &amp; Papers Limited</t>
        </is>
      </c>
      <c r="C124" s="31" t="inlineStr">
        <is>
          <t>building materials</t>
        </is>
      </c>
      <c r="D124" s="31" t="inlineStr">
        <is>
          <t>paper</t>
        </is>
      </c>
      <c r="E124" s="31" t="inlineStr">
        <is>
          <t>smallcap</t>
        </is>
      </c>
      <c r="F124" s="31" t="n">
        <v>1077.96</v>
      </c>
      <c r="G124" s="31" t="n">
        <v>159.5</v>
      </c>
      <c r="H124" s="31" t="n">
        <v>2.41</v>
      </c>
      <c r="I124" s="31" t="n">
        <v>2376677</v>
      </c>
      <c r="J124" s="31" t="inlineStr">
        <is>
          <t>531426</t>
        </is>
      </c>
    </row>
    <row r="125">
      <c r="A125" s="31" t="inlineStr">
        <is>
          <t>DIVISLAB</t>
        </is>
      </c>
      <c r="B125" s="31" t="inlineStr">
        <is>
          <t>Divi's Laboratories Limited</t>
        </is>
      </c>
      <c r="C125" s="31" t="inlineStr">
        <is>
          <t>healthcare</t>
        </is>
      </c>
      <c r="D125" s="31" t="inlineStr">
        <is>
          <t>pharmaceuticals - indian - bulk drugs</t>
        </is>
      </c>
      <c r="E125" s="31" t="inlineStr">
        <is>
          <t>largecap</t>
        </is>
      </c>
      <c r="F125" s="31" t="n">
        <v>241576.41</v>
      </c>
      <c r="G125" s="31" t="n">
        <v>9315</v>
      </c>
      <c r="H125" s="31" t="n">
        <v>2.36</v>
      </c>
      <c r="I125" s="31" t="n">
        <v>502162</v>
      </c>
      <c r="J125" s="31" t="inlineStr">
        <is>
          <t>532488</t>
        </is>
      </c>
    </row>
    <row r="126">
      <c r="A126" s="31" t="inlineStr">
        <is>
          <t>AJAXENGG</t>
        </is>
      </c>
      <c r="B126" s="31" t="inlineStr">
        <is>
          <t>Ajax Engineering Ltd</t>
        </is>
      </c>
      <c r="C126" s="31" t="inlineStr">
        <is>
          <t>industrials</t>
        </is>
      </c>
      <c r="D126" s="31" t="inlineStr">
        <is>
          <t>engineering</t>
        </is>
      </c>
      <c r="E126" s="31" t="inlineStr">
        <is>
          <t>midcap</t>
        </is>
      </c>
      <c r="F126" s="31" t="n">
        <v>6663.62</v>
      </c>
      <c r="G126" s="31" t="n">
        <v>596.2</v>
      </c>
      <c r="H126" s="31" t="n">
        <v>2.36</v>
      </c>
      <c r="I126" s="31" t="n">
        <v>123620</v>
      </c>
      <c r="J126" s="31" t="inlineStr">
        <is>
          <t>544356</t>
        </is>
      </c>
    </row>
    <row r="127">
      <c r="A127" s="31" t="inlineStr">
        <is>
          <t>SOLARINDS</t>
        </is>
      </c>
      <c r="B127" s="31" t="inlineStr">
        <is>
          <t>Solar Industries India Limited</t>
        </is>
      </c>
      <c r="C127" s="31" t="inlineStr">
        <is>
          <t>aerospace &amp; defence</t>
        </is>
      </c>
      <c r="D127" s="31" t="inlineStr">
        <is>
          <t>chemicals</t>
        </is>
      </c>
      <c r="E127" s="31" t="inlineStr">
        <is>
          <t>largecap</t>
        </is>
      </c>
      <c r="F127" s="31" t="n">
        <v>194055.92</v>
      </c>
      <c r="G127" s="31" t="n">
        <v>21950</v>
      </c>
      <c r="H127" s="31" t="n">
        <v>2.35</v>
      </c>
      <c r="I127" s="31" t="n">
        <v>227176</v>
      </c>
      <c r="J127" s="31" t="inlineStr">
        <is>
          <t>532725</t>
        </is>
      </c>
    </row>
    <row r="128">
      <c r="A128" s="31" t="inlineStr">
        <is>
          <t>GARFIBRES</t>
        </is>
      </c>
      <c r="B128" s="31" t="inlineStr">
        <is>
          <t>Garware Technical Fibres Ltd</t>
        </is>
      </c>
      <c r="C128" s="31" t="inlineStr">
        <is>
          <t>textiles</t>
        </is>
      </c>
      <c r="D128" s="31" t="inlineStr">
        <is>
          <t>textiles - products</t>
        </is>
      </c>
      <c r="E128" s="31" t="inlineStr">
        <is>
          <t>midcap</t>
        </is>
      </c>
      <c r="F128" s="31" t="n">
        <v>7817.24</v>
      </c>
      <c r="G128" s="31" t="n">
        <v>819.25</v>
      </c>
      <c r="H128" s="31" t="n">
        <v>2.34</v>
      </c>
      <c r="I128" s="31" t="n">
        <v>29908</v>
      </c>
      <c r="J128" s="31" t="inlineStr">
        <is>
          <t>509557</t>
        </is>
      </c>
    </row>
    <row r="129">
      <c r="A129" s="31" t="inlineStr">
        <is>
          <t>ROLEXRINGS</t>
        </is>
      </c>
      <c r="B129" s="31" t="inlineStr">
        <is>
          <t>Rolex Rings Ltd</t>
        </is>
      </c>
      <c r="C129" s="31" t="inlineStr">
        <is>
          <t>auto</t>
        </is>
      </c>
      <c r="D129" s="31" t="inlineStr">
        <is>
          <t>auto ancillaries</t>
        </is>
      </c>
      <c r="E129" s="31" t="inlineStr">
        <is>
          <t>smallcap</t>
        </is>
      </c>
      <c r="F129" s="31" t="n">
        <v>4676.5</v>
      </c>
      <c r="G129" s="31" t="n">
        <v>175.67</v>
      </c>
      <c r="H129" s="31" t="n">
        <v>2.3</v>
      </c>
      <c r="I129" s="31" t="n">
        <v>1410147</v>
      </c>
      <c r="J129" s="31" t="inlineStr">
        <is>
          <t>543325</t>
        </is>
      </c>
    </row>
    <row r="130">
      <c r="A130" s="31" t="inlineStr">
        <is>
          <t>SKIPPER</t>
        </is>
      </c>
      <c r="B130" s="31" t="inlineStr">
        <is>
          <t>Skipper Limited</t>
        </is>
      </c>
      <c r="C130" s="31" t="inlineStr">
        <is>
          <t>industrials</t>
        </is>
      </c>
      <c r="D130" s="31" t="inlineStr">
        <is>
          <t>engineering</t>
        </is>
      </c>
      <c r="E130" s="31" t="inlineStr">
        <is>
          <t>midcap</t>
        </is>
      </c>
      <c r="F130" s="31" t="n">
        <v>7218.95</v>
      </c>
      <c r="G130" s="31" t="n">
        <v>604.4</v>
      </c>
      <c r="H130" s="31" t="n">
        <v>2.25</v>
      </c>
      <c r="I130" s="31" t="n">
        <v>4277657</v>
      </c>
      <c r="J130" s="31" t="inlineStr">
        <is>
          <t>538562</t>
        </is>
      </c>
    </row>
    <row r="131">
      <c r="A131" s="31" t="inlineStr">
        <is>
          <t>HNDFDS</t>
        </is>
      </c>
      <c r="B131" s="31" t="inlineStr">
        <is>
          <t>Hindustan Foods Ltd</t>
        </is>
      </c>
      <c r="C131" s="31" t="inlineStr">
        <is>
          <t>fmcg</t>
        </is>
      </c>
      <c r="D131" s="31" t="inlineStr">
        <is>
          <t>diversified - large</t>
        </is>
      </c>
      <c r="E131" s="31" t="inlineStr">
        <is>
          <t>midcap</t>
        </is>
      </c>
      <c r="F131" s="31" t="n">
        <v>7452.11</v>
      </c>
      <c r="G131" s="31" t="n">
        <v>628.9</v>
      </c>
      <c r="H131" s="31" t="n">
        <v>2.25</v>
      </c>
      <c r="I131" s="31" t="n">
        <v>100524</v>
      </c>
      <c r="J131" s="31" t="inlineStr">
        <is>
          <t>519126</t>
        </is>
      </c>
    </row>
    <row r="132">
      <c r="A132" s="31" t="inlineStr">
        <is>
          <t>GRANULES</t>
        </is>
      </c>
      <c r="B132" s="31" t="inlineStr">
        <is>
          <t>Granules India Limited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largecap</t>
        </is>
      </c>
      <c r="F132" s="31" t="n">
        <v>21020.61</v>
      </c>
      <c r="G132" s="31" t="n">
        <v>867.3</v>
      </c>
      <c r="H132" s="31" t="n">
        <v>2.24</v>
      </c>
      <c r="I132" s="31" t="n">
        <v>1033026</v>
      </c>
      <c r="J132" s="31" t="inlineStr">
        <is>
          <t>532482</t>
        </is>
      </c>
    </row>
    <row r="133">
      <c r="A133" s="31" t="inlineStr">
        <is>
          <t>GOCLCORP</t>
        </is>
      </c>
      <c r="B133" s="31" t="inlineStr">
        <is>
          <t>Gocl Corporation Limited</t>
        </is>
      </c>
      <c r="C133" s="31" t="inlineStr">
        <is>
          <t>miscellaneous</t>
        </is>
      </c>
      <c r="D133" s="31" t="inlineStr">
        <is>
          <t>diversified - medium / small</t>
        </is>
      </c>
      <c r="E133" s="31" t="inlineStr">
        <is>
          <t>smallcap</t>
        </is>
      </c>
      <c r="F133" s="31" t="n">
        <v>2118.98</v>
      </c>
      <c r="G133" s="31" t="n">
        <v>436.95</v>
      </c>
      <c r="H133" s="31" t="n">
        <v>2.22</v>
      </c>
      <c r="I133" s="31" t="n">
        <v>182392</v>
      </c>
      <c r="J133" s="31" t="inlineStr">
        <is>
          <t>506480</t>
        </is>
      </c>
    </row>
    <row r="134">
      <c r="A134" s="31" t="inlineStr">
        <is>
          <t>WENDT</t>
        </is>
      </c>
      <c r="B134" s="31" t="inlineStr">
        <is>
          <t>Wendt (india) Limited</t>
        </is>
      </c>
      <c r="C134" s="31" t="inlineStr">
        <is>
          <t>industrials</t>
        </is>
      </c>
      <c r="D134" s="31" t="inlineStr">
        <is>
          <t>abrasives and grinding wheels</t>
        </is>
      </c>
      <c r="E134" s="31" t="inlineStr">
        <is>
          <t>smallcap</t>
        </is>
      </c>
      <c r="F134" s="31" t="n">
        <v>1632</v>
      </c>
      <c r="G134" s="31" t="n">
        <v>8340</v>
      </c>
      <c r="H134" s="31" t="n">
        <v>2.21</v>
      </c>
      <c r="I134" s="31" t="n">
        <v>8810</v>
      </c>
      <c r="J134" s="31" t="inlineStr">
        <is>
          <t>505412</t>
        </is>
      </c>
    </row>
    <row r="135">
      <c r="A135" s="31" t="inlineStr">
        <is>
          <t>SOFTTECH</t>
        </is>
      </c>
      <c r="B135" s="31" t="inlineStr">
        <is>
          <t>Softtech Engineers Ltd</t>
        </is>
      </c>
      <c r="C135" s="31" t="inlineStr">
        <is>
          <t>i.t</t>
        </is>
      </c>
      <c r="D135" s="31" t="inlineStr">
        <is>
          <t>computers - software - medium / small</t>
        </is>
      </c>
      <c r="E135" s="31" t="inlineStr">
        <is>
          <t>smallcap</t>
        </is>
      </c>
      <c r="F135" s="31" t="n">
        <v>585.73</v>
      </c>
      <c r="G135" s="31" t="n">
        <v>432.45</v>
      </c>
      <c r="H135" s="31" t="n">
        <v>2.2</v>
      </c>
      <c r="I135" s="31" t="n">
        <v>7493</v>
      </c>
      <c r="J135" s="31" t="inlineStr">
        <is>
          <t>535078</t>
        </is>
      </c>
    </row>
    <row r="136">
      <c r="A136" s="31" t="inlineStr">
        <is>
          <t>SHAILY</t>
        </is>
      </c>
      <c r="B136" s="31" t="inlineStr">
        <is>
          <t>Shaily Engineering Plastics Ltd</t>
        </is>
      </c>
      <c r="C136" s="31" t="inlineStr">
        <is>
          <t>plastic products</t>
        </is>
      </c>
      <c r="D136" s="31" t="inlineStr">
        <is>
          <t>plastics products</t>
        </is>
      </c>
      <c r="E136" s="31" t="inlineStr">
        <is>
          <t>midcap</t>
        </is>
      </c>
      <c r="F136" s="31" t="n">
        <v>15078.62</v>
      </c>
      <c r="G136" s="31" t="n">
        <v>3348.7</v>
      </c>
      <c r="H136" s="31" t="n">
        <v>2.15</v>
      </c>
      <c r="I136" s="31" t="n">
        <v>174319</v>
      </c>
      <c r="J136" s="31" t="inlineStr">
        <is>
          <t>501423</t>
        </is>
      </c>
    </row>
    <row r="137">
      <c r="A137" s="31" t="inlineStr">
        <is>
          <t>ARVIND</t>
        </is>
      </c>
      <c r="B137" s="31" t="inlineStr">
        <is>
          <t>Arvind Limited</t>
        </is>
      </c>
      <c r="C137" s="31" t="inlineStr">
        <is>
          <t>textiles</t>
        </is>
      </c>
      <c r="D137" s="31" t="inlineStr">
        <is>
          <t>textiles - cotton/blended</t>
        </is>
      </c>
      <c r="E137" s="31" t="inlineStr">
        <is>
          <t>midcap</t>
        </is>
      </c>
      <c r="F137" s="31" t="n">
        <v>15042.49</v>
      </c>
      <c r="G137" s="31" t="n">
        <v>564.5</v>
      </c>
      <c r="H137" s="31" t="n">
        <v>2.09</v>
      </c>
      <c r="I137" s="31" t="n">
        <v>478679</v>
      </c>
      <c r="J137" s="31" t="inlineStr">
        <is>
          <t>500101</t>
        </is>
      </c>
    </row>
    <row r="138">
      <c r="A138" s="31" t="inlineStr">
        <is>
          <t>KINGFA</t>
        </is>
      </c>
      <c r="B138" s="31" t="inlineStr">
        <is>
          <t>Kingfa Science &amp; Technology (india) Limited</t>
        </is>
      </c>
      <c r="C138" s="31" t="inlineStr">
        <is>
          <t>plastic products</t>
        </is>
      </c>
      <c r="D138" s="31" t="inlineStr">
        <is>
          <t>plastics products</t>
        </is>
      </c>
      <c r="E138" s="31" t="inlineStr">
        <is>
          <t>midcap</t>
        </is>
      </c>
      <c r="F138" s="31" t="n">
        <v>8039.36</v>
      </c>
      <c r="G138" s="31" t="n">
        <v>6056.5</v>
      </c>
      <c r="H138" s="31" t="n">
        <v>2.09</v>
      </c>
      <c r="I138" s="31" t="n">
        <v>12213</v>
      </c>
      <c r="J138" s="31" t="inlineStr">
        <is>
          <t>524019</t>
        </is>
      </c>
    </row>
    <row r="139">
      <c r="A139" s="31" t="inlineStr">
        <is>
          <t>HINDOILEXP</t>
        </is>
      </c>
      <c r="B139" s="31" t="inlineStr">
        <is>
          <t>Hindustan Oil Exploration Company Limited</t>
        </is>
      </c>
      <c r="C139" s="31" t="inlineStr">
        <is>
          <t>energy</t>
        </is>
      </c>
      <c r="D139" s="31" t="inlineStr">
        <is>
          <t>oil drilling / allied services</t>
        </is>
      </c>
      <c r="E139" s="31" t="inlineStr">
        <is>
          <t>smallcap</t>
        </is>
      </c>
      <c r="F139" s="31" t="n">
        <v>2446.5</v>
      </c>
      <c r="G139" s="31" t="n">
        <v>188.85</v>
      </c>
      <c r="H139" s="31" t="n">
        <v>2.08</v>
      </c>
      <c r="I139" s="31" t="n">
        <v>2651804</v>
      </c>
      <c r="J139" s="31" t="inlineStr">
        <is>
          <t>500186</t>
        </is>
      </c>
    </row>
    <row r="140">
      <c r="A140" s="31" t="inlineStr">
        <is>
          <t>KDDL</t>
        </is>
      </c>
      <c r="B140" s="31" t="inlineStr">
        <is>
          <t>Kddl Limited</t>
        </is>
      </c>
      <c r="C140" s="31" t="inlineStr">
        <is>
          <t>consumer discretionary</t>
        </is>
      </c>
      <c r="D140" s="31" t="inlineStr">
        <is>
          <t>miscellaneous</t>
        </is>
      </c>
      <c r="E140" s="31" t="inlineStr">
        <is>
          <t>smallcap</t>
        </is>
      </c>
      <c r="F140" s="31" t="n">
        <v>4810.25</v>
      </c>
      <c r="G140" s="31" t="n">
        <v>3991.9</v>
      </c>
      <c r="H140" s="31" t="n">
        <v>2.07</v>
      </c>
      <c r="I140" s="31" t="n">
        <v>46216</v>
      </c>
      <c r="J140" s="31" t="inlineStr">
        <is>
          <t>532054</t>
        </is>
      </c>
    </row>
    <row r="141">
      <c r="A141" s="31" t="inlineStr">
        <is>
          <t>ANANTRAJ</t>
        </is>
      </c>
      <c r="B141" s="31" t="inlineStr">
        <is>
          <t>Anant Raj Limited</t>
        </is>
      </c>
      <c r="C141" s="31" t="inlineStr">
        <is>
          <t>realty</t>
        </is>
      </c>
      <c r="D141" s="31" t="inlineStr">
        <is>
          <t>construction</t>
        </is>
      </c>
      <c r="E141" s="31" t="inlineStr">
        <is>
          <t>largecap</t>
        </is>
      </c>
      <c r="F141" s="31" t="n">
        <v>22508.5</v>
      </c>
      <c r="G141" s="31" t="n">
        <v>638.25</v>
      </c>
      <c r="H141" s="31" t="n">
        <v>2.05</v>
      </c>
      <c r="I141" s="31" t="n">
        <v>5173652</v>
      </c>
      <c r="J141" s="31" t="inlineStr">
        <is>
          <t>515055</t>
        </is>
      </c>
    </row>
    <row r="142">
      <c r="A142" s="31" t="inlineStr">
        <is>
          <t>GPTHEALTH</t>
        </is>
      </c>
      <c r="B142" s="31" t="inlineStr">
        <is>
          <t>GPT Healthcare Ltd</t>
        </is>
      </c>
      <c r="C142" s="31" t="inlineStr">
        <is>
          <t>healthcare</t>
        </is>
      </c>
      <c r="D142" s="31" t="inlineStr">
        <is>
          <t>healthcare</t>
        </is>
      </c>
      <c r="E142" s="31" t="inlineStr">
        <is>
          <t>smallcap</t>
        </is>
      </c>
      <c r="F142" s="31" t="n">
        <v>1297.86</v>
      </c>
      <c r="G142" s="31" t="n">
        <v>161.37</v>
      </c>
      <c r="H142" s="31" t="n">
        <v>2.02</v>
      </c>
      <c r="I142" s="31" t="n">
        <v>173981</v>
      </c>
      <c r="J142" s="31" t="inlineStr">
        <is>
          <t>544131</t>
        </is>
      </c>
    </row>
    <row r="143">
      <c r="A143" s="31" t="inlineStr">
        <is>
          <t>DBOL</t>
        </is>
      </c>
      <c r="B143" s="31" t="inlineStr">
        <is>
          <t>Dhampur Bio Organics Ltd</t>
        </is>
      </c>
      <c r="C143" s="31" t="inlineStr">
        <is>
          <t>fmcg</t>
        </is>
      </c>
      <c r="D143" s="31" t="inlineStr">
        <is>
          <t>sugar</t>
        </is>
      </c>
      <c r="E143" s="31" t="inlineStr">
        <is>
          <t>smallcap</t>
        </is>
      </c>
      <c r="F143" s="31" t="n">
        <v>829.78</v>
      </c>
      <c r="G143" s="31" t="n">
        <v>127.52</v>
      </c>
      <c r="H143" s="31" t="n">
        <v>2.02</v>
      </c>
      <c r="I143" s="31" t="n">
        <v>207124</v>
      </c>
      <c r="J143" s="31" t="inlineStr">
        <is>
          <t>543593</t>
        </is>
      </c>
    </row>
    <row r="144">
      <c r="A144" s="31" t="inlineStr">
        <is>
          <t>STOVEKRAFT</t>
        </is>
      </c>
      <c r="B144" s="31" t="inlineStr">
        <is>
          <t>Stove Kraft Ltd</t>
        </is>
      </c>
      <c r="C144" s="31" t="inlineStr">
        <is>
          <t>consumer discretionary</t>
        </is>
      </c>
      <c r="D144" s="31" t="inlineStr">
        <is>
          <t>domestic appliances</t>
        </is>
      </c>
      <c r="E144" s="31" t="inlineStr">
        <is>
          <t>smallcap</t>
        </is>
      </c>
      <c r="F144" s="31" t="n">
        <v>2756.35</v>
      </c>
      <c r="G144" s="31" t="n">
        <v>849.25</v>
      </c>
      <c r="H144" s="31" t="n">
        <v>2.01</v>
      </c>
      <c r="I144" s="31" t="n">
        <v>174466</v>
      </c>
      <c r="J144" s="31" t="inlineStr">
        <is>
          <t>543260</t>
        </is>
      </c>
    </row>
    <row r="145">
      <c r="A145" s="31" t="inlineStr">
        <is>
          <t>WELINV</t>
        </is>
      </c>
      <c r="B145" s="31" t="inlineStr">
        <is>
          <t>Welspun Investments And Commercials Limited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smallcap</t>
        </is>
      </c>
      <c r="F145" s="31" t="n">
        <v>815.2</v>
      </c>
      <c r="G145" s="31" t="n">
        <v>2275.3</v>
      </c>
      <c r="H145" s="31" t="n">
        <v>2</v>
      </c>
      <c r="I145" s="31" t="n">
        <v>20</v>
      </c>
      <c r="J145" s="31" t="inlineStr">
        <is>
          <t>533252</t>
        </is>
      </c>
    </row>
    <row r="146">
      <c r="A146" s="31" t="inlineStr">
        <is>
          <t>BAFNAPH</t>
        </is>
      </c>
      <c r="B146" s="31" t="inlineStr">
        <is>
          <t>Bafna Pharmaceuticals Ltd</t>
        </is>
      </c>
      <c r="C146" s="31" t="inlineStr">
        <is>
          <t>healthcare</t>
        </is>
      </c>
      <c r="D146" s="31" t="inlineStr">
        <is>
          <t>pharmaceuticals - indian - formulations</t>
        </is>
      </c>
      <c r="E146" s="31" t="inlineStr">
        <is>
          <t>smallcap</t>
        </is>
      </c>
      <c r="F146" s="31" t="n">
        <v>699.87</v>
      </c>
      <c r="G146" s="31" t="n">
        <v>301.75</v>
      </c>
      <c r="H146" s="31" t="n">
        <v>1.99</v>
      </c>
      <c r="I146" s="31" t="n">
        <v>3079</v>
      </c>
      <c r="J146" s="31" t="inlineStr">
        <is>
          <t>532989</t>
        </is>
      </c>
    </row>
    <row r="147">
      <c r="A147" s="31" t="inlineStr">
        <is>
          <t>LAURUSLABS</t>
        </is>
      </c>
      <c r="B147" s="31" t="inlineStr">
        <is>
          <t>Laurus Labs Limited</t>
        </is>
      </c>
      <c r="C147" s="31" t="inlineStr">
        <is>
          <t>healthcare</t>
        </is>
      </c>
      <c r="D147" s="31" t="inlineStr">
        <is>
          <t>pharmaceuticals - indian - bulk drugs &amp; formln</t>
        </is>
      </c>
      <c r="E147" s="31" t="inlineStr">
        <is>
          <t>largecap</t>
        </is>
      </c>
      <c r="F147" s="31" t="n">
        <v>99405.92</v>
      </c>
      <c r="G147" s="31" t="n">
        <v>1876.7</v>
      </c>
      <c r="H147" s="31" t="n">
        <v>1.99</v>
      </c>
      <c r="I147" s="31" t="n">
        <v>1148664</v>
      </c>
      <c r="J147" s="31" t="inlineStr">
        <is>
          <t>540222</t>
        </is>
      </c>
    </row>
    <row r="148">
      <c r="A148" s="31" t="inlineStr">
        <is>
          <t>HOMEFIRST</t>
        </is>
      </c>
      <c r="B148" s="31" t="inlineStr">
        <is>
          <t>Home First Finance Company India Ltd</t>
        </is>
      </c>
      <c r="C148" s="31" t="inlineStr">
        <is>
          <t>financials</t>
        </is>
      </c>
      <c r="D148" s="31" t="inlineStr">
        <is>
          <t>finance - housing</t>
        </is>
      </c>
      <c r="E148" s="31" t="inlineStr">
        <is>
          <t>midcap</t>
        </is>
      </c>
      <c r="F148" s="31" t="n">
        <v>12648.6</v>
      </c>
      <c r="G148" s="31" t="n">
        <v>1233.7</v>
      </c>
      <c r="H148" s="31" t="n">
        <v>1.95</v>
      </c>
      <c r="I148" s="31" t="n">
        <v>315751</v>
      </c>
      <c r="J148" s="31" t="inlineStr">
        <is>
          <t>543259</t>
        </is>
      </c>
    </row>
    <row r="149">
      <c r="A149" s="31" t="inlineStr">
        <is>
          <t>SURAKSHA</t>
        </is>
      </c>
      <c r="B149" s="31" t="inlineStr">
        <is>
          <t>Suraksha Diagnostic Ltd</t>
        </is>
      </c>
      <c r="C149" s="31" t="inlineStr">
        <is>
          <t>healthcare</t>
        </is>
      </c>
      <c r="D149" s="31" t="inlineStr">
        <is>
          <t>healthcare</t>
        </is>
      </c>
      <c r="E149" s="31" t="inlineStr">
        <is>
          <t>smallcap</t>
        </is>
      </c>
      <c r="F149" s="31" t="n">
        <v>1731.42</v>
      </c>
      <c r="G149" s="31" t="n">
        <v>338.9</v>
      </c>
      <c r="H149" s="31" t="n">
        <v>1.94</v>
      </c>
      <c r="I149" s="31" t="n">
        <v>102949</v>
      </c>
      <c r="J149" s="31" t="inlineStr">
        <is>
          <t>544293</t>
        </is>
      </c>
    </row>
    <row r="150">
      <c r="A150" s="31" t="inlineStr">
        <is>
          <t>GAYAPROJ</t>
        </is>
      </c>
      <c r="B150" s="31" t="inlineStr">
        <is>
          <t>Gayatri Projects Limited</t>
        </is>
      </c>
      <c r="C150" s="31" t="inlineStr">
        <is>
          <t>realty</t>
        </is>
      </c>
      <c r="D150" s="31" t="inlineStr">
        <is>
          <t>construction</t>
        </is>
      </c>
      <c r="E150" s="31" t="inlineStr">
        <is>
          <t>smallcap</t>
        </is>
      </c>
      <c r="F150" s="31" t="n">
        <v>1010.31</v>
      </c>
      <c r="G150" s="31" t="n">
        <v>22.18</v>
      </c>
      <c r="H150" s="31" t="n">
        <v>1.93</v>
      </c>
      <c r="I150" s="31" t="n">
        <v>565332</v>
      </c>
      <c r="J150" s="31" t="inlineStr">
        <is>
          <t>532767</t>
        </is>
      </c>
    </row>
    <row r="151">
      <c r="A151" s="31" t="inlineStr">
        <is>
          <t>BEML</t>
        </is>
      </c>
      <c r="B151" s="31" t="inlineStr">
        <is>
          <t>Beml Limited</t>
        </is>
      </c>
      <c r="C151" s="31" t="inlineStr">
        <is>
          <t>aerospace &amp; defence</t>
        </is>
      </c>
      <c r="D151" s="31" t="inlineStr">
        <is>
          <t>engineering</t>
        </is>
      </c>
      <c r="E151" s="31" t="inlineStr">
        <is>
          <t>midcap</t>
        </is>
      </c>
      <c r="F151" s="31" t="n">
        <v>17139.21</v>
      </c>
      <c r="G151" s="31" t="n">
        <v>2097.2</v>
      </c>
      <c r="H151" s="31" t="n">
        <v>1.91</v>
      </c>
      <c r="I151" s="31" t="n">
        <v>487014</v>
      </c>
      <c r="J151" s="31" t="inlineStr">
        <is>
          <t>500048</t>
        </is>
      </c>
    </row>
    <row r="152">
      <c r="A152" s="31" t="inlineStr">
        <is>
          <t>HMT</t>
        </is>
      </c>
      <c r="B152" s="31" t="inlineStr">
        <is>
          <t>Hmt Limited</t>
        </is>
      </c>
      <c r="C152" s="31" t="inlineStr">
        <is>
          <t>consumer discretionary</t>
        </is>
      </c>
      <c r="D152" s="31" t="inlineStr">
        <is>
          <t>miscellaneous</t>
        </is>
      </c>
      <c r="E152" s="31" t="inlineStr">
        <is>
          <t>midcap</t>
        </is>
      </c>
      <c r="F152" s="31" t="n">
        <v>8056.58</v>
      </c>
      <c r="G152" s="31" t="n">
        <v>68.18000000000001</v>
      </c>
      <c r="H152" s="31" t="n">
        <v>1.9</v>
      </c>
      <c r="I152" s="31" t="n">
        <v>29199</v>
      </c>
      <c r="J152" s="31" t="inlineStr">
        <is>
          <t>500191</t>
        </is>
      </c>
    </row>
    <row r="153">
      <c r="A153" s="31" t="inlineStr">
        <is>
          <t>PRICOLLTD</t>
        </is>
      </c>
      <c r="B153" s="31" t="inlineStr">
        <is>
          <t>Pricol Ltd.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midcap</t>
        </is>
      </c>
      <c r="F153" s="31" t="n">
        <v>9323.33</v>
      </c>
      <c r="G153" s="31" t="n">
        <v>779.35</v>
      </c>
      <c r="H153" s="31" t="n">
        <v>1.88</v>
      </c>
      <c r="I153" s="31" t="n">
        <v>303473</v>
      </c>
      <c r="J153" s="31" t="inlineStr">
        <is>
          <t>540293</t>
        </is>
      </c>
    </row>
    <row r="154">
      <c r="A154" s="31" t="inlineStr">
        <is>
          <t>REDINGTON</t>
        </is>
      </c>
      <c r="B154" s="31" t="inlineStr">
        <is>
          <t>Redington (india) Limited</t>
        </is>
      </c>
      <c r="C154" s="31" t="inlineStr">
        <is>
          <t>services</t>
        </is>
      </c>
      <c r="D154" s="31" t="inlineStr">
        <is>
          <t>trading</t>
        </is>
      </c>
      <c r="E154" s="31" t="inlineStr">
        <is>
          <t>largecap</t>
        </is>
      </c>
      <c r="F154" s="31" t="n">
        <v>29027.28</v>
      </c>
      <c r="G154" s="31" t="n">
        <v>378.2</v>
      </c>
      <c r="H154" s="31" t="n">
        <v>1.86</v>
      </c>
      <c r="I154" s="31" t="n">
        <v>5166393</v>
      </c>
      <c r="J154" s="31" t="inlineStr">
        <is>
          <t>532805</t>
        </is>
      </c>
    </row>
    <row r="155">
      <c r="A155" s="31" t="inlineStr">
        <is>
          <t>LINCOLN</t>
        </is>
      </c>
      <c r="B155" s="31" t="inlineStr">
        <is>
          <t>Lincoln Pharmaceuticals Limited</t>
        </is>
      </c>
      <c r="C155" s="31" t="inlineStr">
        <is>
          <t>healthcare</t>
        </is>
      </c>
      <c r="D155" s="31" t="inlineStr">
        <is>
          <t>pharmaceuticals - indian - formulations</t>
        </is>
      </c>
      <c r="E155" s="31" t="inlineStr">
        <is>
          <t>smallcap</t>
        </is>
      </c>
      <c r="F155" s="31" t="n">
        <v>1243.45</v>
      </c>
      <c r="G155" s="31" t="n">
        <v>632.35</v>
      </c>
      <c r="H155" s="31" t="n">
        <v>1.86</v>
      </c>
      <c r="I155" s="31" t="n">
        <v>75014</v>
      </c>
      <c r="J155" s="31" t="inlineStr">
        <is>
          <t>531633</t>
        </is>
      </c>
    </row>
    <row r="156">
      <c r="A156" s="31" t="inlineStr">
        <is>
          <t>INDIANHUME</t>
        </is>
      </c>
      <c r="B156" s="31" t="inlineStr">
        <is>
          <t>Indian Hume Pipe Company Limited</t>
        </is>
      </c>
      <c r="C156" s="31" t="inlineStr">
        <is>
          <t>realty</t>
        </is>
      </c>
      <c r="D156" s="31" t="inlineStr">
        <is>
          <t>construction</t>
        </is>
      </c>
      <c r="E156" s="31" t="inlineStr">
        <is>
          <t>smallcap</t>
        </is>
      </c>
      <c r="F156" s="31" t="n">
        <v>2043</v>
      </c>
      <c r="G156" s="31" t="n">
        <v>394.9</v>
      </c>
      <c r="H156" s="31" t="n">
        <v>1.83</v>
      </c>
      <c r="I156" s="31" t="n">
        <v>45044</v>
      </c>
      <c r="J156" s="31" t="inlineStr">
        <is>
          <t>504741</t>
        </is>
      </c>
    </row>
    <row r="157">
      <c r="A157" s="31" t="inlineStr">
        <is>
          <t>VALIANTORG</t>
        </is>
      </c>
      <c r="B157" s="31" t="inlineStr">
        <is>
          <t>Valiant Organics Ltd</t>
        </is>
      </c>
      <c r="C157" s="31" t="inlineStr">
        <is>
          <t>chemicals</t>
        </is>
      </c>
      <c r="D157" s="31" t="inlineStr">
        <is>
          <t>chemicals</t>
        </is>
      </c>
      <c r="E157" s="31" t="inlineStr">
        <is>
          <t>smallcap</t>
        </is>
      </c>
      <c r="F157" s="31" t="n">
        <v>897.8099999999999</v>
      </c>
      <c r="G157" s="31" t="n">
        <v>326.1</v>
      </c>
      <c r="H157" s="31" t="n">
        <v>1.83</v>
      </c>
      <c r="I157" s="31" t="n">
        <v>27827</v>
      </c>
      <c r="J157" s="31" t="inlineStr">
        <is>
          <t>540145</t>
        </is>
      </c>
    </row>
    <row r="158">
      <c r="A158" s="31" t="inlineStr">
        <is>
          <t>WHEELS</t>
        </is>
      </c>
      <c r="B158" s="31" t="inlineStr">
        <is>
          <t>Wheels India Limited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smallcap</t>
        </is>
      </c>
      <c r="F158" s="31" t="n">
        <v>4214.45</v>
      </c>
      <c r="G158" s="31" t="n">
        <v>1755.4</v>
      </c>
      <c r="H158" s="31" t="n">
        <v>1.77</v>
      </c>
      <c r="I158" s="31" t="n">
        <v>341864</v>
      </c>
      <c r="J158" s="31" t="inlineStr">
        <is>
          <t>590073</t>
        </is>
      </c>
    </row>
    <row r="159">
      <c r="A159" s="31" t="inlineStr">
        <is>
          <t>MOTISONS</t>
        </is>
      </c>
      <c r="B159" s="31" t="inlineStr">
        <is>
          <t>Motisons Jewellers Ltd</t>
        </is>
      </c>
      <c r="C159" s="31" t="inlineStr">
        <is>
          <t>consumer discretionary</t>
        </is>
      </c>
      <c r="D159" s="31" t="inlineStr">
        <is>
          <t>diamond cutting / jewellery</t>
        </is>
      </c>
      <c r="E159" s="31" t="inlineStr">
        <is>
          <t>smallcap</t>
        </is>
      </c>
      <c r="F159" s="31" t="n">
        <v>1874.61</v>
      </c>
      <c r="G159" s="31" t="n">
        <v>16.77</v>
      </c>
      <c r="H159" s="31" t="n">
        <v>1.76</v>
      </c>
      <c r="I159" s="31" t="n">
        <v>50923605</v>
      </c>
      <c r="J159" s="31" t="inlineStr">
        <is>
          <t>544053</t>
        </is>
      </c>
    </row>
    <row r="160">
      <c r="A160" s="31" t="inlineStr">
        <is>
          <t>APARINDS</t>
        </is>
      </c>
      <c r="B160" s="31" t="inlineStr">
        <is>
          <t>Apar Industries Limited</t>
        </is>
      </c>
      <c r="C160" s="31" t="inlineStr">
        <is>
          <t>industrials</t>
        </is>
      </c>
      <c r="D160" s="31" t="inlineStr">
        <is>
          <t>electric equipment</t>
        </is>
      </c>
      <c r="E160" s="31" t="inlineStr">
        <is>
          <t>largecap</t>
        </is>
      </c>
      <c r="F160" s="31" t="n">
        <v>72945.8</v>
      </c>
      <c r="G160" s="31" t="n">
        <v>17728</v>
      </c>
      <c r="H160" s="31" t="n">
        <v>1.76</v>
      </c>
      <c r="I160" s="31" t="n">
        <v>73366</v>
      </c>
      <c r="J160" s="31" t="inlineStr">
        <is>
          <t>532259</t>
        </is>
      </c>
    </row>
    <row r="161">
      <c r="A161" s="31" t="inlineStr">
        <is>
          <t>JINDWORLD</t>
        </is>
      </c>
      <c r="B161" s="31" t="inlineStr">
        <is>
          <t>Jindal Worldwide Limited</t>
        </is>
      </c>
      <c r="C161" s="31" t="inlineStr">
        <is>
          <t>textiles</t>
        </is>
      </c>
      <c r="D161" s="31" t="inlineStr">
        <is>
          <t>textiles - products</t>
        </is>
      </c>
      <c r="E161" s="31" t="inlineStr">
        <is>
          <t>midcap</t>
        </is>
      </c>
      <c r="F161" s="31" t="n">
        <v>5765.96</v>
      </c>
      <c r="G161" s="31" t="n">
        <v>58.52</v>
      </c>
      <c r="H161" s="31" t="n">
        <v>1.76</v>
      </c>
      <c r="I161" s="31" t="n">
        <v>95411627</v>
      </c>
      <c r="J161" s="31" t="inlineStr">
        <is>
          <t>531543</t>
        </is>
      </c>
    </row>
    <row r="162">
      <c r="A162" s="31" t="inlineStr">
        <is>
          <t>MOTILALOFS</t>
        </is>
      </c>
      <c r="B162" s="31" t="inlineStr">
        <is>
          <t>Motilal Oswal Financial Services Limited</t>
        </is>
      </c>
      <c r="C162" s="31" t="inlineStr">
        <is>
          <t>financials</t>
        </is>
      </c>
      <c r="D162" s="31" t="inlineStr">
        <is>
          <t>finance &amp; investments</t>
        </is>
      </c>
      <c r="E162" s="31" t="inlineStr">
        <is>
          <t>largecap</t>
        </is>
      </c>
      <c r="F162" s="31" t="n">
        <v>62442.61</v>
      </c>
      <c r="G162" s="31" t="n">
        <v>1055</v>
      </c>
      <c r="H162" s="31" t="n">
        <v>1.74</v>
      </c>
      <c r="I162" s="31" t="n">
        <v>1551861</v>
      </c>
      <c r="J162" s="31" t="inlineStr">
        <is>
          <t>532892</t>
        </is>
      </c>
    </row>
    <row r="163">
      <c r="A163" s="31" t="inlineStr">
        <is>
          <t>LGBBROSLTD</t>
        </is>
      </c>
      <c r="B163" s="31" t="inlineStr">
        <is>
          <t>Lg Balakrishnan &amp; Bros Limited</t>
        </is>
      </c>
      <c r="C163" s="31" t="inlineStr">
        <is>
          <t>auto</t>
        </is>
      </c>
      <c r="D163" s="31" t="inlineStr">
        <is>
          <t>bearings</t>
        </is>
      </c>
      <c r="E163" s="31" t="inlineStr">
        <is>
          <t>midcap</t>
        </is>
      </c>
      <c r="F163" s="31" t="n">
        <v>5430.64</v>
      </c>
      <c r="G163" s="31" t="n">
        <v>1731.7</v>
      </c>
      <c r="H163" s="31" t="n">
        <v>1.7</v>
      </c>
      <c r="I163" s="31" t="n">
        <v>45200</v>
      </c>
      <c r="J163" s="31" t="inlineStr">
        <is>
          <t>500250</t>
        </is>
      </c>
    </row>
    <row r="164">
      <c r="A164" s="31" t="inlineStr">
        <is>
          <t>JYOTICNC</t>
        </is>
      </c>
      <c r="B164" s="31" t="inlineStr">
        <is>
          <t>Jyoti CNC Automation Ltd</t>
        </is>
      </c>
      <c r="C164" s="31" t="inlineStr">
        <is>
          <t>industrials</t>
        </is>
      </c>
      <c r="D164" s="31" t="inlineStr">
        <is>
          <t>engineering</t>
        </is>
      </c>
      <c r="E164" s="31" t="inlineStr">
        <is>
          <t>largecap</t>
        </is>
      </c>
      <c r="F164" s="31" t="n">
        <v>22831</v>
      </c>
      <c r="G164" s="31" t="n">
        <v>1020.65</v>
      </c>
      <c r="H164" s="31" t="n">
        <v>1.67</v>
      </c>
      <c r="I164" s="31" t="n">
        <v>927422</v>
      </c>
      <c r="J164" s="31" t="inlineStr">
        <is>
          <t>544081</t>
        </is>
      </c>
    </row>
    <row r="165">
      <c r="A165" s="31" t="inlineStr">
        <is>
          <t>BOSCH-HCIL</t>
        </is>
      </c>
      <c r="B165" s="31" t="inlineStr">
        <is>
          <t>Bosch Home Comfort India Ltd</t>
        </is>
      </c>
      <c r="C165" s="31" t="inlineStr">
        <is>
          <t>consumer discretionary</t>
        </is>
      </c>
      <c r="D165" s="31" t="inlineStr">
        <is>
          <t>air-conditioners</t>
        </is>
      </c>
      <c r="E165" s="31" t="inlineStr">
        <is>
          <t>smallcap</t>
        </is>
      </c>
      <c r="F165" s="31" t="n">
        <v>4945.48</v>
      </c>
      <c r="G165" s="31" t="n">
        <v>1849.1</v>
      </c>
      <c r="H165" s="31" t="n">
        <v>1.67</v>
      </c>
      <c r="I165" s="31" t="n">
        <v>64899</v>
      </c>
      <c r="J165" s="31" t="inlineStr">
        <is>
          <t>523398</t>
        </is>
      </c>
    </row>
    <row r="166">
      <c r="A166" s="31" t="inlineStr">
        <is>
          <t>MCX</t>
        </is>
      </c>
      <c r="B166" s="31" t="inlineStr">
        <is>
          <t>Multi Commodity Exchange Of India Limited</t>
        </is>
      </c>
      <c r="C166" s="31" t="inlineStr">
        <is>
          <t>financials</t>
        </is>
      </c>
      <c r="D166" s="31" t="inlineStr">
        <is>
          <t>miscellaneous</t>
        </is>
      </c>
      <c r="E166" s="31" t="inlineStr">
        <is>
          <t>largecap</t>
        </is>
      </c>
      <c r="F166" s="31" t="n">
        <v>83520.03</v>
      </c>
      <c r="G166" s="31" t="n">
        <v>3330.2</v>
      </c>
      <c r="H166" s="31" t="n">
        <v>1.67</v>
      </c>
      <c r="I166" s="31" t="n">
        <v>1889368</v>
      </c>
      <c r="J166" s="31" t="inlineStr">
        <is>
          <t>534091</t>
        </is>
      </c>
    </row>
    <row r="167">
      <c r="A167" s="31" t="inlineStr">
        <is>
          <t>WELSPUNLIV</t>
        </is>
      </c>
      <c r="B167" s="31" t="inlineStr">
        <is>
          <t>Welspun Living Ltd</t>
        </is>
      </c>
      <c r="C167" s="31" t="inlineStr">
        <is>
          <t>textiles</t>
        </is>
      </c>
      <c r="D167" s="31" t="inlineStr">
        <is>
          <t>textiles - products</t>
        </is>
      </c>
      <c r="E167" s="31" t="inlineStr">
        <is>
          <t>midcap</t>
        </is>
      </c>
      <c r="F167" s="31" t="n">
        <v>19699.03</v>
      </c>
      <c r="G167" s="31" t="n">
        <v>211.95</v>
      </c>
      <c r="H167" s="31" t="n">
        <v>1.65</v>
      </c>
      <c r="I167" s="31" t="n">
        <v>6124120</v>
      </c>
      <c r="J167" s="31" t="inlineStr">
        <is>
          <t>514162</t>
        </is>
      </c>
    </row>
    <row r="168">
      <c r="A168" s="31" t="inlineStr">
        <is>
          <t>BALAMINES</t>
        </is>
      </c>
      <c r="B168" s="31" t="inlineStr">
        <is>
          <t>Balaji Amines Limited</t>
        </is>
      </c>
      <c r="C168" s="31" t="inlineStr">
        <is>
          <t>chemicals</t>
        </is>
      </c>
      <c r="D168" s="31" t="inlineStr">
        <is>
          <t>chemicals</t>
        </is>
      </c>
      <c r="E168" s="31" t="inlineStr">
        <is>
          <t>midcap</t>
        </is>
      </c>
      <c r="F168" s="31" t="n">
        <v>8181.9</v>
      </c>
      <c r="G168" s="31" t="n">
        <v>2566.8</v>
      </c>
      <c r="H168" s="31" t="n">
        <v>1.65</v>
      </c>
      <c r="I168" s="31" t="n">
        <v>490283</v>
      </c>
      <c r="J168" s="31" t="inlineStr">
        <is>
          <t>530999</t>
        </is>
      </c>
    </row>
    <row r="169">
      <c r="A169" s="31" t="inlineStr">
        <is>
          <t>ALIVUS</t>
        </is>
      </c>
      <c r="B169" s="31" t="inlineStr">
        <is>
          <t>Alivus Life Sciences Ltd</t>
        </is>
      </c>
      <c r="C169" s="31" t="inlineStr">
        <is>
          <t>healthcare</t>
        </is>
      </c>
      <c r="D169" s="31" t="inlineStr">
        <is>
          <t>pharmaceuticals - indian - bulk drugs &amp; formln</t>
        </is>
      </c>
      <c r="E169" s="31" t="inlineStr">
        <is>
          <t>midcap</t>
        </is>
      </c>
      <c r="F169" s="31" t="n">
        <v>16769.47</v>
      </c>
      <c r="G169" s="31" t="n">
        <v>1388.9</v>
      </c>
      <c r="H169" s="31" t="n">
        <v>1.65</v>
      </c>
      <c r="I169" s="31" t="n">
        <v>128673</v>
      </c>
      <c r="J169" s="31" t="inlineStr">
        <is>
          <t>543322</t>
        </is>
      </c>
    </row>
    <row r="170">
      <c r="A170" s="31" t="inlineStr">
        <is>
          <t>THEJO</t>
        </is>
      </c>
      <c r="B170" s="31" t="inlineStr">
        <is>
          <t>Thejo Engineering Ltd</t>
        </is>
      </c>
      <c r="C170" s="31" t="inlineStr">
        <is>
          <t>industrials</t>
        </is>
      </c>
      <c r="D170" s="31" t="inlineStr">
        <is>
          <t>engineering</t>
        </is>
      </c>
      <c r="E170" s="31" t="inlineStr">
        <is>
          <t>smallcap</t>
        </is>
      </c>
      <c r="F170" s="31" t="n">
        <v>2305.41</v>
      </c>
      <c r="G170" s="31" t="n">
        <v>2160.2</v>
      </c>
      <c r="H170" s="31" t="n">
        <v>1.64</v>
      </c>
      <c r="I170" s="31" t="n">
        <v>19040</v>
      </c>
      <c r="J170" s="31" t="inlineStr">
        <is>
          <t>500492</t>
        </is>
      </c>
    </row>
    <row r="171">
      <c r="A171" s="31" t="inlineStr">
        <is>
          <t>KAMDHENU</t>
        </is>
      </c>
      <c r="B171" s="31" t="inlineStr">
        <is>
          <t>Kamdhenu Limited</t>
        </is>
      </c>
      <c r="C171" s="31" t="inlineStr">
        <is>
          <t>metals &amp; mining</t>
        </is>
      </c>
      <c r="D171" s="31" t="inlineStr">
        <is>
          <t>steel - medium / small</t>
        </is>
      </c>
      <c r="E171" s="31" t="inlineStr">
        <is>
          <t>smallcap</t>
        </is>
      </c>
      <c r="F171" s="31" t="n">
        <v>1106.11</v>
      </c>
      <c r="G171" s="31" t="n">
        <v>39.88</v>
      </c>
      <c r="H171" s="31" t="n">
        <v>1.63</v>
      </c>
      <c r="I171" s="31" t="n">
        <v>817834</v>
      </c>
      <c r="J171" s="31" t="inlineStr">
        <is>
          <t>532741</t>
        </is>
      </c>
    </row>
    <row r="172">
      <c r="A172" s="31" t="inlineStr">
        <is>
          <t>PNGJL</t>
        </is>
      </c>
      <c r="B172" s="31" t="inlineStr">
        <is>
          <t>P N Gadgil Jewellers Ltd</t>
        </is>
      </c>
      <c r="C172" s="31" t="inlineStr">
        <is>
          <t>consumer discretionary</t>
        </is>
      </c>
      <c r="D172" s="31" t="inlineStr">
        <is>
          <t>diamond cutting / jewellery</t>
        </is>
      </c>
      <c r="E172" s="31" t="inlineStr">
        <is>
          <t>midcap</t>
        </is>
      </c>
      <c r="F172" s="31" t="n">
        <v>8965.370000000001</v>
      </c>
      <c r="G172" s="31" t="n">
        <v>618.95</v>
      </c>
      <c r="H172" s="31" t="n">
        <v>1.63</v>
      </c>
      <c r="I172" s="31" t="n">
        <v>1030718</v>
      </c>
      <c r="J172" s="31" t="n"/>
    </row>
    <row r="173">
      <c r="A173" s="31" t="inlineStr">
        <is>
          <t>SHYAMMETL</t>
        </is>
      </c>
      <c r="B173" s="31" t="inlineStr">
        <is>
          <t>Shyam Metalics &amp; Energy Ltd</t>
        </is>
      </c>
      <c r="C173" s="31" t="inlineStr">
        <is>
          <t>metals &amp; mining</t>
        </is>
      </c>
      <c r="D173" s="31" t="inlineStr">
        <is>
          <t>steel - large</t>
        </is>
      </c>
      <c r="E173" s="31" t="inlineStr">
        <is>
          <t>largecap</t>
        </is>
      </c>
      <c r="F173" s="31" t="n">
        <v>29735.92</v>
      </c>
      <c r="G173" s="31" t="n">
        <v>1082.3</v>
      </c>
      <c r="H173" s="31" t="n">
        <v>1.6</v>
      </c>
      <c r="I173" s="31" t="n">
        <v>244531</v>
      </c>
      <c r="J173" s="31" t="inlineStr">
        <is>
          <t>543299</t>
        </is>
      </c>
    </row>
    <row r="174">
      <c r="A174" s="31" t="inlineStr">
        <is>
          <t>UGARSUGAR</t>
        </is>
      </c>
      <c r="B174" s="31" t="inlineStr">
        <is>
          <t>The Ugar Sugar Works Limited</t>
        </is>
      </c>
      <c r="C174" s="31" t="inlineStr">
        <is>
          <t>fmcg</t>
        </is>
      </c>
      <c r="D174" s="31" t="inlineStr">
        <is>
          <t>sugar</t>
        </is>
      </c>
      <c r="E174" s="31" t="inlineStr">
        <is>
          <t>smallcap</t>
        </is>
      </c>
      <c r="F174" s="31" t="n">
        <v>600.1900000000001</v>
      </c>
      <c r="G174" s="31" t="n">
        <v>54.19</v>
      </c>
      <c r="H174" s="31" t="n">
        <v>1.57</v>
      </c>
      <c r="I174" s="31" t="n">
        <v>656681</v>
      </c>
      <c r="J174" s="31" t="inlineStr">
        <is>
          <t>530363</t>
        </is>
      </c>
    </row>
    <row r="175">
      <c r="A175" s="31" t="inlineStr">
        <is>
          <t>MAZDA</t>
        </is>
      </c>
      <c r="B175" s="31" t="inlineStr">
        <is>
          <t>Mazda Limited</t>
        </is>
      </c>
      <c r="C175" s="31" t="inlineStr">
        <is>
          <t>industrials</t>
        </is>
      </c>
      <c r="D175" s="31" t="inlineStr">
        <is>
          <t>engineering</t>
        </is>
      </c>
      <c r="E175" s="31" t="inlineStr">
        <is>
          <t>smallcap</t>
        </is>
      </c>
      <c r="F175" s="31" t="n">
        <v>540.6799999999999</v>
      </c>
      <c r="G175" s="31" t="n">
        <v>274.2</v>
      </c>
      <c r="H175" s="31" t="n">
        <v>1.56</v>
      </c>
      <c r="I175" s="31" t="n">
        <v>36482</v>
      </c>
      <c r="J175" s="31" t="inlineStr">
        <is>
          <t>523792</t>
        </is>
      </c>
    </row>
    <row r="176">
      <c r="A176" s="31" t="inlineStr">
        <is>
          <t>PFOCUS</t>
        </is>
      </c>
      <c r="B176" s="31" t="inlineStr">
        <is>
          <t>Prime Focus Limited</t>
        </is>
      </c>
      <c r="C176" s="31" t="inlineStr">
        <is>
          <t>realty</t>
        </is>
      </c>
      <c r="D176" s="31" t="inlineStr">
        <is>
          <t>miscellaneous</t>
        </is>
      </c>
      <c r="E176" s="31" t="inlineStr">
        <is>
          <t>largecap</t>
        </is>
      </c>
      <c r="F176" s="31" t="n">
        <v>23838.26</v>
      </c>
      <c r="G176" s="31" t="n">
        <v>311.75</v>
      </c>
      <c r="H176" s="31" t="n">
        <v>1.55</v>
      </c>
      <c r="I176" s="31" t="n">
        <v>1727525</v>
      </c>
      <c r="J176" s="31" t="inlineStr">
        <is>
          <t>532748</t>
        </is>
      </c>
    </row>
    <row r="177">
      <c r="A177" s="31" t="inlineStr">
        <is>
          <t>SMLMAH</t>
        </is>
      </c>
      <c r="B177" s="31" t="inlineStr">
        <is>
          <t>SML Mahindra Ltd</t>
        </is>
      </c>
      <c r="C177" s="31" t="inlineStr">
        <is>
          <t>auto</t>
        </is>
      </c>
      <c r="D177" s="31" t="inlineStr">
        <is>
          <t>automobiles - lcvs / hcvs</t>
        </is>
      </c>
      <c r="E177" s="31" t="inlineStr">
        <is>
          <t>midcap</t>
        </is>
      </c>
      <c r="F177" s="31" t="n">
        <v>9114.969999999999</v>
      </c>
      <c r="G177" s="31" t="n">
        <v>6393.5</v>
      </c>
      <c r="H177" s="31" t="n">
        <v>1.51</v>
      </c>
      <c r="I177" s="31" t="n">
        <v>247779</v>
      </c>
      <c r="J177" s="31" t="inlineStr">
        <is>
          <t>505192</t>
        </is>
      </c>
    </row>
    <row r="178">
      <c r="A178" s="31" t="inlineStr">
        <is>
          <t>CDSL</t>
        </is>
      </c>
      <c r="B178" s="31" t="inlineStr">
        <is>
          <t>Central Depository Services Ltd</t>
        </is>
      </c>
      <c r="C178" s="31" t="inlineStr">
        <is>
          <t>financials</t>
        </is>
      </c>
      <c r="D178" s="31" t="inlineStr">
        <is>
          <t>miscellaneous</t>
        </is>
      </c>
      <c r="E178" s="31" t="inlineStr">
        <is>
          <t>largecap</t>
        </is>
      </c>
      <c r="F178" s="31" t="n">
        <v>29147.14</v>
      </c>
      <c r="G178" s="31" t="n">
        <v>1414.9</v>
      </c>
      <c r="H178" s="31" t="n">
        <v>1.46</v>
      </c>
      <c r="I178" s="31" t="n">
        <v>2731594</v>
      </c>
      <c r="J178" s="31" t="n"/>
    </row>
    <row r="179">
      <c r="A179" s="31" t="inlineStr">
        <is>
          <t>AYMSYNTEX</t>
        </is>
      </c>
      <c r="B179" s="31" t="inlineStr">
        <is>
          <t>Aym Syntex Limited</t>
        </is>
      </c>
      <c r="C179" s="31" t="inlineStr">
        <is>
          <t>textiles</t>
        </is>
      </c>
      <c r="D179" s="31" t="inlineStr">
        <is>
          <t>textiles - processing</t>
        </is>
      </c>
      <c r="E179" s="31" t="inlineStr">
        <is>
          <t>smallcap</t>
        </is>
      </c>
      <c r="F179" s="31" t="n">
        <v>1824.87</v>
      </c>
      <c r="G179" s="31" t="n">
        <v>315.2</v>
      </c>
      <c r="H179" s="31" t="n">
        <v>1.45</v>
      </c>
      <c r="I179" s="31" t="n">
        <v>78696</v>
      </c>
      <c r="J179" s="31" t="inlineStr">
        <is>
          <t>508933</t>
        </is>
      </c>
    </row>
    <row r="180">
      <c r="A180" s="31" t="inlineStr">
        <is>
          <t>GLAND</t>
        </is>
      </c>
      <c r="B180" s="31" t="inlineStr">
        <is>
          <t>Gland Pharma Ltd</t>
        </is>
      </c>
      <c r="C180" s="31" t="inlineStr">
        <is>
          <t>healthcare</t>
        </is>
      </c>
      <c r="D180" s="31" t="inlineStr">
        <is>
          <t>pharmaceuticals - indian - formulations</t>
        </is>
      </c>
      <c r="E180" s="31" t="inlineStr">
        <is>
          <t>largecap</t>
        </is>
      </c>
      <c r="F180" s="31" t="n">
        <v>48372.78</v>
      </c>
      <c r="G180" s="31" t="n">
        <v>2974.3</v>
      </c>
      <c r="H180" s="31" t="n">
        <v>1.43</v>
      </c>
      <c r="I180" s="31" t="n">
        <v>1031320</v>
      </c>
      <c r="J180" s="31" t="inlineStr">
        <is>
          <t>543245</t>
        </is>
      </c>
    </row>
    <row r="181">
      <c r="A181" s="31" t="inlineStr">
        <is>
          <t>JINDALSAW</t>
        </is>
      </c>
      <c r="B181" s="31" t="inlineStr">
        <is>
          <t>Jindal Saw Limited</t>
        </is>
      </c>
      <c r="C181" s="31" t="inlineStr">
        <is>
          <t>industrials</t>
        </is>
      </c>
      <c r="D181" s="31" t="inlineStr">
        <is>
          <t>steel - large</t>
        </is>
      </c>
      <c r="E181" s="31" t="inlineStr">
        <is>
          <t>midcap</t>
        </is>
      </c>
      <c r="F181" s="31" t="n">
        <v>19524.19</v>
      </c>
      <c r="G181" s="31" t="n">
        <v>309.55</v>
      </c>
      <c r="H181" s="31" t="n">
        <v>1.39</v>
      </c>
      <c r="I181" s="31" t="n">
        <v>2210468</v>
      </c>
      <c r="J181" s="31" t="inlineStr">
        <is>
          <t>500378</t>
        </is>
      </c>
    </row>
    <row r="182">
      <c r="A182" s="31" t="inlineStr">
        <is>
          <t>SMSPHARMA</t>
        </is>
      </c>
      <c r="B182" s="31" t="inlineStr">
        <is>
          <t>Sms Pharmaceuticals Limited</t>
        </is>
      </c>
      <c r="C182" s="31" t="inlineStr">
        <is>
          <t>healthcare</t>
        </is>
      </c>
      <c r="D182" s="31" t="inlineStr">
        <is>
          <t>pharmaceuticals - indian - bulk drugs</t>
        </is>
      </c>
      <c r="E182" s="31" t="inlineStr">
        <is>
          <t>smallcap</t>
        </is>
      </c>
      <c r="F182" s="31" t="n">
        <v>3675.84</v>
      </c>
      <c r="G182" s="31" t="n">
        <v>397.95</v>
      </c>
      <c r="H182" s="31" t="n">
        <v>1.39</v>
      </c>
      <c r="I182" s="31" t="n">
        <v>3870958</v>
      </c>
      <c r="J182" s="31" t="inlineStr">
        <is>
          <t>532815</t>
        </is>
      </c>
    </row>
    <row r="183">
      <c r="A183" s="31" t="inlineStr">
        <is>
          <t>PNBHOUSING</t>
        </is>
      </c>
      <c r="B183" s="31" t="inlineStr">
        <is>
          <t>Pnb Housing Finance Limited</t>
        </is>
      </c>
      <c r="C183" s="31" t="inlineStr">
        <is>
          <t>financials</t>
        </is>
      </c>
      <c r="D183" s="31" t="inlineStr">
        <is>
          <t>finance - housing</t>
        </is>
      </c>
      <c r="E183" s="31" t="inlineStr">
        <is>
          <t>largecap</t>
        </is>
      </c>
      <c r="F183" s="31" t="n">
        <v>30384.79</v>
      </c>
      <c r="G183" s="31" t="n">
        <v>1182.1</v>
      </c>
      <c r="H183" s="31" t="n">
        <v>1.38</v>
      </c>
      <c r="I183" s="31" t="n">
        <v>721594</v>
      </c>
      <c r="J183" s="31" t="inlineStr">
        <is>
          <t>540173</t>
        </is>
      </c>
    </row>
    <row r="184">
      <c r="A184" s="31" t="inlineStr">
        <is>
          <t>CHALET</t>
        </is>
      </c>
      <c r="B184" s="31" t="inlineStr">
        <is>
          <t>Chalet Hotels Ltd</t>
        </is>
      </c>
      <c r="C184" s="31" t="inlineStr">
        <is>
          <t>services</t>
        </is>
      </c>
      <c r="D184" s="31" t="inlineStr">
        <is>
          <t>hotels</t>
        </is>
      </c>
      <c r="E184" s="31" t="inlineStr">
        <is>
          <t>midcap</t>
        </is>
      </c>
      <c r="F184" s="31" t="n">
        <v>19638.3</v>
      </c>
      <c r="G184" s="31" t="n">
        <v>908.75</v>
      </c>
      <c r="H184" s="31" t="n">
        <v>1.34</v>
      </c>
      <c r="I184" s="31" t="n">
        <v>144926</v>
      </c>
      <c r="J184" s="31" t="inlineStr">
        <is>
          <t>542399</t>
        </is>
      </c>
    </row>
    <row r="185">
      <c r="A185" s="31" t="inlineStr">
        <is>
          <t>SCPL</t>
        </is>
      </c>
      <c r="B185" s="31" t="inlineStr">
        <is>
          <t>Sheetal Cool Products Ltd</t>
        </is>
      </c>
      <c r="C185" s="31" t="inlineStr">
        <is>
          <t>fmcg</t>
        </is>
      </c>
      <c r="D185" s="31" t="inlineStr">
        <is>
          <t>food - processing - indian</t>
        </is>
      </c>
      <c r="E185" s="31" t="inlineStr">
        <is>
          <t>smallcap</t>
        </is>
      </c>
      <c r="F185" s="31" t="n">
        <v>678.77</v>
      </c>
      <c r="G185" s="31" t="n">
        <v>655.05</v>
      </c>
      <c r="H185" s="31" t="n">
        <v>1.33</v>
      </c>
      <c r="I185" s="31" t="n">
        <v>24090</v>
      </c>
      <c r="J185" s="31" t="inlineStr">
        <is>
          <t>540757</t>
        </is>
      </c>
    </row>
    <row r="186">
      <c r="A186" s="31" t="inlineStr">
        <is>
          <t>ANGELONE</t>
        </is>
      </c>
      <c r="B186" s="31" t="inlineStr">
        <is>
          <t>Angel One Ltd</t>
        </is>
      </c>
      <c r="C186" s="31" t="inlineStr">
        <is>
          <t>financials</t>
        </is>
      </c>
      <c r="D186" s="31" t="inlineStr">
        <is>
          <t>finance &amp; investments</t>
        </is>
      </c>
      <c r="E186" s="31" t="inlineStr">
        <is>
          <t>largecap</t>
        </is>
      </c>
      <c r="F186" s="31" t="n">
        <v>27387.3</v>
      </c>
      <c r="G186" s="31" t="n">
        <v>303.8</v>
      </c>
      <c r="H186" s="31" t="n">
        <v>1.33</v>
      </c>
      <c r="I186" s="31" t="n">
        <v>7522794</v>
      </c>
      <c r="J186" s="31" t="n"/>
    </row>
    <row r="187">
      <c r="A187" s="31" t="inlineStr">
        <is>
          <t>CPPLUS</t>
        </is>
      </c>
      <c r="B187" s="31" t="inlineStr">
        <is>
          <t>Aditya Infotech Ltd</t>
        </is>
      </c>
      <c r="C187" s="31" t="inlineStr">
        <is>
          <t>consumer discretionary</t>
        </is>
      </c>
      <c r="D187" s="31" t="inlineStr">
        <is>
          <t>trading</t>
        </is>
      </c>
      <c r="E187" s="31" t="inlineStr">
        <is>
          <t>largecap</t>
        </is>
      </c>
      <c r="F187" s="31" t="n">
        <v>43658.89</v>
      </c>
      <c r="G187" s="31" t="n">
        <v>3752.9</v>
      </c>
      <c r="H187" s="31" t="n">
        <v>1.3</v>
      </c>
      <c r="I187" s="31" t="n">
        <v>170197</v>
      </c>
      <c r="J187" s="31" t="inlineStr">
        <is>
          <t>544466</t>
        </is>
      </c>
    </row>
    <row r="188">
      <c r="A188" s="31" t="inlineStr">
        <is>
          <t>TVSSRICHAK</t>
        </is>
      </c>
      <c r="B188" s="31" t="inlineStr">
        <is>
          <t>Tvs Srichakra Limited</t>
        </is>
      </c>
      <c r="C188" s="31" t="inlineStr">
        <is>
          <t>auto</t>
        </is>
      </c>
      <c r="D188" s="31" t="inlineStr">
        <is>
          <t>tyres</t>
        </is>
      </c>
      <c r="E188" s="31" t="inlineStr">
        <is>
          <t>smallcap</t>
        </is>
      </c>
      <c r="F188" s="31" t="n">
        <v>4010.38</v>
      </c>
      <c r="G188" s="31" t="n">
        <v>5305</v>
      </c>
      <c r="H188" s="31" t="n">
        <v>1.29</v>
      </c>
      <c r="I188" s="31" t="n">
        <v>6409</v>
      </c>
      <c r="J188" s="31" t="inlineStr">
        <is>
          <t>509243</t>
        </is>
      </c>
    </row>
    <row r="189">
      <c r="A189" s="31" t="inlineStr">
        <is>
          <t>SUNDARMFIN</t>
        </is>
      </c>
      <c r="B189" s="31" t="inlineStr">
        <is>
          <t>Sundaram Finance Limited</t>
        </is>
      </c>
      <c r="C189" s="31" t="inlineStr">
        <is>
          <t>financials</t>
        </is>
      </c>
      <c r="D189" s="31" t="inlineStr">
        <is>
          <t>finance &amp; investments</t>
        </is>
      </c>
      <c r="E189" s="31" t="inlineStr">
        <is>
          <t>largecap</t>
        </is>
      </c>
      <c r="F189" s="31" t="n">
        <v>51648.85</v>
      </c>
      <c r="G189" s="31" t="n">
        <v>4708.3</v>
      </c>
      <c r="H189" s="31" t="n">
        <v>1.28</v>
      </c>
      <c r="I189" s="31" t="n">
        <v>49899</v>
      </c>
      <c r="J189" s="31" t="inlineStr">
        <is>
          <t>590071</t>
        </is>
      </c>
    </row>
    <row r="190">
      <c r="A190" s="31" t="inlineStr">
        <is>
          <t>GEECEE</t>
        </is>
      </c>
      <c r="B190" s="31" t="inlineStr">
        <is>
          <t>Geecee Ventures Limited</t>
        </is>
      </c>
      <c r="C190" s="31" t="inlineStr">
        <is>
          <t>financials</t>
        </is>
      </c>
      <c r="D190" s="31" t="inlineStr">
        <is>
          <t>finance &amp; investments</t>
        </is>
      </c>
      <c r="E190" s="31" t="inlineStr">
        <is>
          <t>smallcap</t>
        </is>
      </c>
      <c r="F190" s="31" t="n">
        <v>765.79</v>
      </c>
      <c r="G190" s="31" t="n">
        <v>370.85</v>
      </c>
      <c r="H190" s="31" t="n">
        <v>1.27</v>
      </c>
      <c r="I190" s="31" t="n">
        <v>2324</v>
      </c>
      <c r="J190" s="31" t="inlineStr">
        <is>
          <t>532764</t>
        </is>
      </c>
    </row>
    <row r="191">
      <c r="A191" s="31" t="inlineStr">
        <is>
          <t>NORTHARC</t>
        </is>
      </c>
      <c r="B191" s="31" t="inlineStr">
        <is>
          <t>Northern ARC Capital Ltd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smallcap</t>
        </is>
      </c>
      <c r="F191" s="31" t="n">
        <v>4883.12</v>
      </c>
      <c r="G191" s="31" t="n">
        <v>306</v>
      </c>
      <c r="H191" s="31" t="n">
        <v>1.27</v>
      </c>
      <c r="I191" s="31" t="n">
        <v>1691631</v>
      </c>
      <c r="J191" s="31" t="n"/>
    </row>
    <row r="192">
      <c r="A192" s="31" t="inlineStr">
        <is>
          <t>KRBL</t>
        </is>
      </c>
      <c r="B192" s="31" t="inlineStr">
        <is>
          <t>Krbl Limited</t>
        </is>
      </c>
      <c r="C192" s="31" t="inlineStr">
        <is>
          <t>fmcg</t>
        </is>
      </c>
      <c r="D192" s="31" t="inlineStr">
        <is>
          <t>food - processing - indian</t>
        </is>
      </c>
      <c r="E192" s="31" t="inlineStr">
        <is>
          <t>midcap</t>
        </is>
      </c>
      <c r="F192" s="31" t="n">
        <v>9658.01</v>
      </c>
      <c r="G192" s="31" t="n">
        <v>427.3</v>
      </c>
      <c r="H192" s="31" t="n">
        <v>1.27</v>
      </c>
      <c r="I192" s="31" t="n">
        <v>690366</v>
      </c>
      <c r="J192" s="31" t="inlineStr">
        <is>
          <t>530813</t>
        </is>
      </c>
    </row>
    <row r="193">
      <c r="A193" s="31" t="inlineStr">
        <is>
          <t>KPIL</t>
        </is>
      </c>
      <c r="B193" s="31" t="inlineStr">
        <is>
          <t>Kalpataru Projects International Ltd</t>
        </is>
      </c>
      <c r="C193" s="31" t="inlineStr">
        <is>
          <t>realty</t>
        </is>
      </c>
      <c r="D193" s="31" t="inlineStr">
        <is>
          <t>transmisson line towers / equipment</t>
        </is>
      </c>
      <c r="E193" s="31" t="inlineStr">
        <is>
          <t>largecap</t>
        </is>
      </c>
      <c r="F193" s="31" t="n">
        <v>24020.87</v>
      </c>
      <c r="G193" s="31" t="n">
        <v>1424.4</v>
      </c>
      <c r="H193" s="31" t="n">
        <v>1.27</v>
      </c>
      <c r="I193" s="31" t="n">
        <v>96907</v>
      </c>
      <c r="J193" s="31" t="inlineStr">
        <is>
          <t>522287</t>
        </is>
      </c>
    </row>
    <row r="194">
      <c r="A194" s="31" t="inlineStr">
        <is>
          <t>ONEPOINT</t>
        </is>
      </c>
      <c r="B194" s="31" t="inlineStr">
        <is>
          <t>One Point One Solutions Ltd</t>
        </is>
      </c>
      <c r="C194" s="31" t="inlineStr">
        <is>
          <t>i.t</t>
        </is>
      </c>
      <c r="D194" s="31" t="inlineStr">
        <is>
          <t>computers - software - medium / small</t>
        </is>
      </c>
      <c r="E194" s="31" t="inlineStr">
        <is>
          <t>smallcap</t>
        </is>
      </c>
      <c r="F194" s="31" t="n">
        <v>1499</v>
      </c>
      <c r="G194" s="31" t="n">
        <v>57.73</v>
      </c>
      <c r="H194" s="31" t="n">
        <v>1.26</v>
      </c>
      <c r="I194" s="31" t="n">
        <v>1177260</v>
      </c>
      <c r="J194" s="31" t="inlineStr">
        <is>
          <t>535039</t>
        </is>
      </c>
    </row>
    <row r="195">
      <c r="A195" s="31" t="inlineStr">
        <is>
          <t>MAITHANALL</t>
        </is>
      </c>
      <c r="B195" s="31" t="inlineStr">
        <is>
          <t>Maithan Alloys Limited</t>
        </is>
      </c>
      <c r="C195" s="31" t="inlineStr">
        <is>
          <t>metals &amp; mining</t>
        </is>
      </c>
      <c r="D195" s="31" t="inlineStr">
        <is>
          <t>mining / minerals / metals</t>
        </is>
      </c>
      <c r="E195" s="31" t="inlineStr">
        <is>
          <t>smallcap</t>
        </is>
      </c>
      <c r="F195" s="31" t="n">
        <v>3174.76</v>
      </c>
      <c r="G195" s="31" t="n">
        <v>1103.85</v>
      </c>
      <c r="H195" s="31" t="n">
        <v>1.22</v>
      </c>
      <c r="I195" s="31" t="n">
        <v>993839</v>
      </c>
      <c r="J195" s="31" t="inlineStr">
        <is>
          <t>590078</t>
        </is>
      </c>
    </row>
    <row r="196">
      <c r="A196" s="31" t="inlineStr">
        <is>
          <t>MODISONLTD</t>
        </is>
      </c>
      <c r="B196" s="31" t="inlineStr">
        <is>
          <t>Modison Ltd</t>
        </is>
      </c>
      <c r="C196" s="31" t="inlineStr">
        <is>
          <t>industrials</t>
        </is>
      </c>
      <c r="D196" s="31" t="inlineStr">
        <is>
          <t>electric equipment</t>
        </is>
      </c>
      <c r="E196" s="31" t="inlineStr">
        <is>
          <t>smallcap</t>
        </is>
      </c>
      <c r="F196" s="31" t="n">
        <v>1524.99</v>
      </c>
      <c r="G196" s="31" t="n">
        <v>475.6</v>
      </c>
      <c r="H196" s="31" t="n">
        <v>1.2</v>
      </c>
      <c r="I196" s="31" t="n">
        <v>336826</v>
      </c>
      <c r="J196" s="31" t="inlineStr">
        <is>
          <t>506261</t>
        </is>
      </c>
    </row>
    <row r="197">
      <c r="A197" s="31" t="inlineStr">
        <is>
          <t>VINDHYATEL</t>
        </is>
      </c>
      <c r="B197" s="31" t="inlineStr">
        <is>
          <t>Vindhya Telelinks Limited</t>
        </is>
      </c>
      <c r="C197" s="31" t="inlineStr">
        <is>
          <t>realty</t>
        </is>
      </c>
      <c r="D197" s="31" t="inlineStr">
        <is>
          <t>construction</t>
        </is>
      </c>
      <c r="E197" s="31" t="inlineStr">
        <is>
          <t>smallcap</t>
        </is>
      </c>
      <c r="F197" s="31" t="n">
        <v>3238.49</v>
      </c>
      <c r="G197" s="31" t="n">
        <v>2765</v>
      </c>
      <c r="H197" s="31" t="n">
        <v>1.18</v>
      </c>
      <c r="I197" s="31" t="n">
        <v>214917</v>
      </c>
      <c r="J197" s="31" t="inlineStr">
        <is>
          <t>517015</t>
        </is>
      </c>
    </row>
    <row r="198">
      <c r="A198" s="31" t="inlineStr">
        <is>
          <t>IFCI</t>
        </is>
      </c>
      <c r="B198" s="31" t="inlineStr">
        <is>
          <t>Ifci Limited</t>
        </is>
      </c>
      <c r="C198" s="31" t="inlineStr">
        <is>
          <t>financials</t>
        </is>
      </c>
      <c r="D198" s="31" t="inlineStr">
        <is>
          <t>finance - term-lending institutions</t>
        </is>
      </c>
      <c r="E198" s="31" t="inlineStr">
        <is>
          <t>largecap</t>
        </is>
      </c>
      <c r="F198" s="31" t="n">
        <v>27314.96</v>
      </c>
      <c r="G198" s="31" t="n">
        <v>102.51</v>
      </c>
      <c r="H198" s="31" t="n">
        <v>1.11</v>
      </c>
      <c r="I198" s="31" t="n">
        <v>207830587</v>
      </c>
      <c r="J198" s="31" t="inlineStr">
        <is>
          <t>500106</t>
        </is>
      </c>
    </row>
    <row r="199">
      <c r="A199" s="31" t="inlineStr">
        <is>
          <t>DICIND</t>
        </is>
      </c>
      <c r="B199" s="31" t="inlineStr">
        <is>
          <t>Dic India Limited</t>
        </is>
      </c>
      <c r="C199" s="31" t="inlineStr">
        <is>
          <t>chemicals</t>
        </is>
      </c>
      <c r="D199" s="31" t="inlineStr">
        <is>
          <t>chemicals</t>
        </is>
      </c>
      <c r="E199" s="31" t="inlineStr">
        <is>
          <t>smallcap</t>
        </is>
      </c>
      <c r="F199" s="31" t="n">
        <v>567.8099999999999</v>
      </c>
      <c r="G199" s="31" t="n">
        <v>625.35</v>
      </c>
      <c r="H199" s="31" t="n">
        <v>1.09</v>
      </c>
      <c r="I199" s="31" t="n">
        <v>7985</v>
      </c>
      <c r="J199" s="31" t="inlineStr">
        <is>
          <t>500089</t>
        </is>
      </c>
    </row>
    <row r="200">
      <c r="A200" s="31" t="inlineStr">
        <is>
          <t>CUB</t>
        </is>
      </c>
      <c r="B200" s="31" t="inlineStr">
        <is>
          <t>City Union Bank Limited</t>
        </is>
      </c>
      <c r="C200" s="31" t="inlineStr">
        <is>
          <t>bank</t>
        </is>
      </c>
      <c r="D200" s="31" t="inlineStr">
        <is>
          <t>banks - private sector</t>
        </is>
      </c>
      <c r="E200" s="31" t="inlineStr">
        <is>
          <t>largecap</t>
        </is>
      </c>
      <c r="F200" s="31" t="n">
        <v>23383.57</v>
      </c>
      <c r="G200" s="31" t="n">
        <v>238.48</v>
      </c>
      <c r="H200" s="31" t="n">
        <v>1.05</v>
      </c>
      <c r="I200" s="31" t="n">
        <v>6586154</v>
      </c>
      <c r="J200" s="31" t="inlineStr">
        <is>
          <t>532210</t>
        </is>
      </c>
    </row>
    <row r="201">
      <c r="A201" s="31" t="inlineStr">
        <is>
          <t>KRYSTAL</t>
        </is>
      </c>
      <c r="B201" s="31" t="inlineStr">
        <is>
          <t>Krystal Integrated Services Ltd</t>
        </is>
      </c>
      <c r="C201" s="31" t="inlineStr">
        <is>
          <t>miscellaneous</t>
        </is>
      </c>
      <c r="D201" s="31" t="inlineStr">
        <is>
          <t>miscellaneous</t>
        </is>
      </c>
      <c r="E201" s="31" t="inlineStr">
        <is>
          <t>smallcap</t>
        </is>
      </c>
      <c r="F201" s="31" t="n">
        <v>914.6</v>
      </c>
      <c r="G201" s="31" t="n">
        <v>661.5</v>
      </c>
      <c r="H201" s="31" t="n">
        <v>1.05</v>
      </c>
      <c r="I201" s="31" t="n">
        <v>12891</v>
      </c>
      <c r="J201" s="31" t="inlineStr">
        <is>
          <t>544149</t>
        </is>
      </c>
    </row>
    <row r="202">
      <c r="A202" s="31" t="inlineStr">
        <is>
          <t>UFLEX</t>
        </is>
      </c>
      <c r="B202" s="31" t="inlineStr">
        <is>
          <t>Uflex Limited</t>
        </is>
      </c>
      <c r="C202" s="31" t="inlineStr">
        <is>
          <t>industrials</t>
        </is>
      </c>
      <c r="D202" s="31" t="inlineStr">
        <is>
          <t>packaging</t>
        </is>
      </c>
      <c r="E202" s="31" t="inlineStr">
        <is>
          <t>smallcap</t>
        </is>
      </c>
      <c r="F202" s="31" t="n">
        <v>4878.61</v>
      </c>
      <c r="G202" s="31" t="n">
        <v>682.7</v>
      </c>
      <c r="H202" s="31" t="n">
        <v>1.05</v>
      </c>
      <c r="I202" s="31" t="n">
        <v>152186</v>
      </c>
      <c r="J202" s="31" t="inlineStr">
        <is>
          <t>500148</t>
        </is>
      </c>
    </row>
    <row r="203">
      <c r="A203" s="31" t="inlineStr">
        <is>
          <t>20MICRONS</t>
        </is>
      </c>
      <c r="B203" s="31" t="inlineStr">
        <is>
          <t>20 Microns Limited</t>
        </is>
      </c>
      <c r="C203" s="31" t="inlineStr">
        <is>
          <t>metals &amp; mining</t>
        </is>
      </c>
      <c r="D203" s="31" t="inlineStr">
        <is>
          <t>mining / minerals / metals</t>
        </is>
      </c>
      <c r="E203" s="31" t="inlineStr">
        <is>
          <t>smallcap</t>
        </is>
      </c>
      <c r="F203" s="31" t="n">
        <v>785.09</v>
      </c>
      <c r="G203" s="31" t="n">
        <v>224.8</v>
      </c>
      <c r="H203" s="31" t="n">
        <v>1.04</v>
      </c>
      <c r="I203" s="31" t="n">
        <v>373719</v>
      </c>
      <c r="J203" s="31" t="inlineStr">
        <is>
          <t>533022</t>
        </is>
      </c>
    </row>
    <row r="204">
      <c r="A204" s="31" t="inlineStr">
        <is>
          <t>NAHARINDUS</t>
        </is>
      </c>
      <c r="B204" s="31" t="inlineStr">
        <is>
          <t>Nahar Industrial Enterprises Limited</t>
        </is>
      </c>
      <c r="C204" s="31" t="inlineStr">
        <is>
          <t>textiles</t>
        </is>
      </c>
      <c r="D204" s="31" t="inlineStr">
        <is>
          <t>textiles - cotton/blended</t>
        </is>
      </c>
      <c r="E204" s="31" t="inlineStr">
        <is>
          <t>smallcap</t>
        </is>
      </c>
      <c r="F204" s="31" t="n">
        <v>594.64</v>
      </c>
      <c r="G204" s="31" t="n">
        <v>139.05</v>
      </c>
      <c r="H204" s="31" t="n">
        <v>1.03</v>
      </c>
      <c r="I204" s="31" t="n">
        <v>36943</v>
      </c>
      <c r="J204" s="31" t="inlineStr">
        <is>
          <t>519136</t>
        </is>
      </c>
    </row>
    <row r="205">
      <c r="A205" s="31" t="inlineStr">
        <is>
          <t>TATVA</t>
        </is>
      </c>
      <c r="B205" s="31" t="inlineStr">
        <is>
          <t>Tatva Chintan Pharma Chem Ltd</t>
        </is>
      </c>
      <c r="C205" s="31" t="inlineStr">
        <is>
          <t>chemicals</t>
        </is>
      </c>
      <c r="D205" s="31" t="inlineStr">
        <is>
          <t>chemicals</t>
        </is>
      </c>
      <c r="E205" s="31" t="inlineStr">
        <is>
          <t>smallcap</t>
        </is>
      </c>
      <c r="F205" s="31" t="n">
        <v>3926.36</v>
      </c>
      <c r="G205" s="31" t="n">
        <v>1695.8</v>
      </c>
      <c r="H205" s="31" t="n">
        <v>1.03</v>
      </c>
      <c r="I205" s="31" t="n">
        <v>88807</v>
      </c>
      <c r="J205" s="31" t="inlineStr">
        <is>
          <t>543321</t>
        </is>
      </c>
    </row>
    <row r="206">
      <c r="A206" s="31" t="inlineStr">
        <is>
          <t>NRAIL</t>
        </is>
      </c>
      <c r="B206" s="31" t="inlineStr">
        <is>
          <t>N R Agarwal Industries Ltd</t>
        </is>
      </c>
      <c r="C206" s="31" t="inlineStr">
        <is>
          <t>building materials</t>
        </is>
      </c>
      <c r="D206" s="31" t="inlineStr">
        <is>
          <t>paper</t>
        </is>
      </c>
      <c r="E206" s="31" t="inlineStr">
        <is>
          <t>smallcap</t>
        </is>
      </c>
      <c r="F206" s="31" t="n">
        <v>993.92</v>
      </c>
      <c r="G206" s="31" t="n">
        <v>589.95</v>
      </c>
      <c r="H206" s="31" t="n">
        <v>1.02</v>
      </c>
      <c r="I206" s="31" t="n">
        <v>145834</v>
      </c>
      <c r="J206" s="31" t="inlineStr">
        <is>
          <t>516082</t>
        </is>
      </c>
    </row>
    <row r="207">
      <c r="A207" s="31" t="inlineStr">
        <is>
          <t>INDOAMIN</t>
        </is>
      </c>
      <c r="B207" s="31" t="inlineStr">
        <is>
          <t>Indo Amines Ltd</t>
        </is>
      </c>
      <c r="C207" s="31" t="inlineStr">
        <is>
          <t>chemicals</t>
        </is>
      </c>
      <c r="D207" s="31" t="inlineStr">
        <is>
          <t>chemicals</t>
        </is>
      </c>
      <c r="E207" s="31" t="inlineStr">
        <is>
          <t>smallcap</t>
        </is>
      </c>
      <c r="F207" s="31" t="n">
        <v>914.3099999999999</v>
      </c>
      <c r="G207" s="31" t="n">
        <v>127.23</v>
      </c>
      <c r="H207" s="31" t="n">
        <v>1.01</v>
      </c>
      <c r="I207" s="31" t="n">
        <v>83059</v>
      </c>
      <c r="J207" s="31" t="inlineStr">
        <is>
          <t>524648</t>
        </is>
      </c>
    </row>
    <row r="208">
      <c r="A208" s="31" t="inlineStr">
        <is>
          <t>TBOTEK</t>
        </is>
      </c>
      <c r="B208" s="31" t="inlineStr">
        <is>
          <t>TBO Tek Ltd</t>
        </is>
      </c>
      <c r="C208" s="31" t="inlineStr">
        <is>
          <t>i.t</t>
        </is>
      </c>
      <c r="D208" s="31" t="inlineStr">
        <is>
          <t>travel agencies</t>
        </is>
      </c>
      <c r="E208" s="31" t="inlineStr">
        <is>
          <t>midcap</t>
        </is>
      </c>
      <c r="F208" s="31" t="n">
        <v>18339.39</v>
      </c>
      <c r="G208" s="31" t="n">
        <v>1705.4</v>
      </c>
      <c r="H208" s="31" t="n">
        <v>0.98</v>
      </c>
      <c r="I208" s="31" t="n">
        <v>172047</v>
      </c>
      <c r="J208" s="31" t="inlineStr">
        <is>
          <t>544174</t>
        </is>
      </c>
    </row>
    <row r="209">
      <c r="A209" s="31" t="inlineStr">
        <is>
          <t>CYIENTDLM</t>
        </is>
      </c>
      <c r="B209" s="31" t="inlineStr">
        <is>
          <t>Cyient DLM Ltd</t>
        </is>
      </c>
      <c r="C209" s="31" t="inlineStr">
        <is>
          <t>aerospace &amp; defence</t>
        </is>
      </c>
      <c r="D209" s="31" t="inlineStr">
        <is>
          <t>electronics - components</t>
        </is>
      </c>
      <c r="E209" s="31" t="inlineStr">
        <is>
          <t>midcap</t>
        </is>
      </c>
      <c r="F209" s="31" t="n">
        <v>6802.76</v>
      </c>
      <c r="G209" s="31" t="n">
        <v>865.35</v>
      </c>
      <c r="H209" s="31" t="n">
        <v>0.98</v>
      </c>
      <c r="I209" s="31" t="n">
        <v>271098</v>
      </c>
      <c r="J209" s="31" t="inlineStr">
        <is>
          <t>543933</t>
        </is>
      </c>
    </row>
    <row r="210">
      <c r="A210" s="31" t="inlineStr">
        <is>
          <t>ATHERENERG</t>
        </is>
      </c>
      <c r="B210" s="31" t="inlineStr">
        <is>
          <t>Ather Energy Ltd</t>
        </is>
      </c>
      <c r="C210" s="31" t="inlineStr">
        <is>
          <t>auto</t>
        </is>
      </c>
      <c r="D210" s="31" t="inlineStr">
        <is>
          <t>automobiles - scooters and 3 - wheelers</t>
        </is>
      </c>
      <c r="E210" s="31" t="inlineStr">
        <is>
          <t>largecap</t>
        </is>
      </c>
      <c r="F210" s="31" t="n">
        <v>62429.45</v>
      </c>
      <c r="G210" s="31" t="n">
        <v>1599.3</v>
      </c>
      <c r="H210" s="31" t="n">
        <v>0.97</v>
      </c>
      <c r="I210" s="31" t="n">
        <v>3789386</v>
      </c>
      <c r="J210" s="31" t="inlineStr">
        <is>
          <t>544397</t>
        </is>
      </c>
    </row>
    <row r="211">
      <c r="A211" s="31" t="inlineStr">
        <is>
          <t>NUVAMA</t>
        </is>
      </c>
      <c r="B211" s="31" t="inlineStr">
        <is>
          <t>Nuvama Wealth Management Ltd</t>
        </is>
      </c>
      <c r="C211" s="31" t="inlineStr">
        <is>
          <t>financials</t>
        </is>
      </c>
      <c r="D211" s="31" t="inlineStr">
        <is>
          <t>finance &amp; investments</t>
        </is>
      </c>
      <c r="E211" s="31" t="inlineStr">
        <is>
          <t>largecap</t>
        </is>
      </c>
      <c r="F211" s="31" t="n">
        <v>33139.93</v>
      </c>
      <c r="G211" s="31" t="n">
        <v>1832.4</v>
      </c>
      <c r="H211" s="31" t="n">
        <v>0.93</v>
      </c>
      <c r="I211" s="31" t="n">
        <v>217617</v>
      </c>
      <c r="J211" s="31" t="inlineStr">
        <is>
          <t>543988</t>
        </is>
      </c>
    </row>
    <row r="212">
      <c r="A212" s="31" t="inlineStr">
        <is>
          <t>NEULANDLAB</t>
        </is>
      </c>
      <c r="B212" s="31" t="inlineStr">
        <is>
          <t>Neuland Laboratories Limited</t>
        </is>
      </c>
      <c r="C212" s="31" t="inlineStr">
        <is>
          <t>healthcare</t>
        </is>
      </c>
      <c r="D212" s="31" t="inlineStr">
        <is>
          <t>pharmaceuticals - indian - bulk drugs</t>
        </is>
      </c>
      <c r="E212" s="31" t="inlineStr">
        <is>
          <t>largecap</t>
        </is>
      </c>
      <c r="F212" s="31" t="n">
        <v>29072.53</v>
      </c>
      <c r="G212" s="31" t="n">
        <v>22870</v>
      </c>
      <c r="H212" s="31" t="n">
        <v>0.93</v>
      </c>
      <c r="I212" s="31" t="n">
        <v>22291</v>
      </c>
      <c r="J212" s="31" t="inlineStr">
        <is>
          <t>524558</t>
        </is>
      </c>
    </row>
    <row r="213">
      <c r="A213" s="31" t="inlineStr">
        <is>
          <t>MAHASTEEL</t>
        </is>
      </c>
      <c r="B213" s="31" t="inlineStr">
        <is>
          <t>Mahamaya Steel Industries Limited</t>
        </is>
      </c>
      <c r="C213" s="31" t="inlineStr">
        <is>
          <t>metals &amp; mining</t>
        </is>
      </c>
      <c r="D213" s="31" t="inlineStr">
        <is>
          <t>steel - medium / small</t>
        </is>
      </c>
      <c r="E213" s="31" t="inlineStr">
        <is>
          <t>smallcap</t>
        </is>
      </c>
      <c r="F213" s="31" t="n">
        <v>2107.71</v>
      </c>
      <c r="G213" s="31" t="n">
        <v>1294.4</v>
      </c>
      <c r="H213" s="31" t="n">
        <v>0.93</v>
      </c>
      <c r="I213" s="31" t="n">
        <v>5574</v>
      </c>
      <c r="J213" s="31" t="inlineStr">
        <is>
          <t>513554</t>
        </is>
      </c>
    </row>
    <row r="214">
      <c r="A214" s="31" t="inlineStr">
        <is>
          <t>LTFOODS</t>
        </is>
      </c>
      <c r="B214" s="31" t="inlineStr">
        <is>
          <t>L T Foods Ltd</t>
        </is>
      </c>
      <c r="C214" s="31" t="inlineStr">
        <is>
          <t>fmcg</t>
        </is>
      </c>
      <c r="D214" s="31" t="inlineStr">
        <is>
          <t>food - processing - indian</t>
        </is>
      </c>
      <c r="E214" s="31" t="inlineStr">
        <is>
          <t>midcap</t>
        </is>
      </c>
      <c r="F214" s="31" t="n">
        <v>15445.81</v>
      </c>
      <c r="G214" s="31" t="n">
        <v>448.95</v>
      </c>
      <c r="H214" s="31" t="n">
        <v>0.93</v>
      </c>
      <c r="I214" s="31" t="n">
        <v>729443</v>
      </c>
      <c r="J214" s="31" t="inlineStr">
        <is>
          <t>532783</t>
        </is>
      </c>
    </row>
    <row r="215">
      <c r="A215" s="31" t="inlineStr">
        <is>
          <t>UNIVASTU</t>
        </is>
      </c>
      <c r="B215" s="31" t="inlineStr">
        <is>
          <t>Univastu India Ltd</t>
        </is>
      </c>
      <c r="C215" s="31" t="inlineStr">
        <is>
          <t>realty</t>
        </is>
      </c>
      <c r="D215" s="31" t="inlineStr">
        <is>
          <t>construction</t>
        </is>
      </c>
      <c r="E215" s="31" t="inlineStr">
        <is>
          <t>smallcap</t>
        </is>
      </c>
      <c r="F215" s="31" t="n">
        <v>636.16</v>
      </c>
      <c r="G215" s="31" t="n">
        <v>169.89</v>
      </c>
      <c r="H215" s="31" t="n">
        <v>0.92</v>
      </c>
      <c r="I215" s="31" t="n">
        <v>72463</v>
      </c>
      <c r="J215" s="31" t="inlineStr">
        <is>
          <t>538442</t>
        </is>
      </c>
    </row>
    <row r="216">
      <c r="A216" s="31" t="inlineStr">
        <is>
          <t>ICIL</t>
        </is>
      </c>
      <c r="B216" s="31" t="inlineStr">
        <is>
          <t>Indo Count Industries Limited</t>
        </is>
      </c>
      <c r="C216" s="31" t="inlineStr">
        <is>
          <t>textiles</t>
        </is>
      </c>
      <c r="D216" s="31" t="inlineStr">
        <is>
          <t>textiles - cotton/blended</t>
        </is>
      </c>
      <c r="E216" s="31" t="inlineStr">
        <is>
          <t>midcap</t>
        </is>
      </c>
      <c r="F216" s="31" t="n">
        <v>8908.48</v>
      </c>
      <c r="G216" s="31" t="n">
        <v>453.7</v>
      </c>
      <c r="H216" s="31" t="n">
        <v>0.87</v>
      </c>
      <c r="I216" s="31" t="n">
        <v>467699</v>
      </c>
      <c r="J216" s="31" t="inlineStr">
        <is>
          <t>521016</t>
        </is>
      </c>
    </row>
    <row r="217">
      <c r="A217" s="31" t="inlineStr">
        <is>
          <t>SKYGOLD</t>
        </is>
      </c>
      <c r="B217" s="31" t="inlineStr">
        <is>
          <t>Sky Gold Ltd</t>
        </is>
      </c>
      <c r="C217" s="31" t="inlineStr">
        <is>
          <t>consumer discretionary</t>
        </is>
      </c>
      <c r="D217" s="31" t="inlineStr">
        <is>
          <t>diamond cutting / jewellery</t>
        </is>
      </c>
      <c r="E217" s="31" t="inlineStr">
        <is>
          <t>midcap</t>
        </is>
      </c>
      <c r="F217" s="31" t="n">
        <v>12102.62</v>
      </c>
      <c r="G217" s="31" t="n">
        <v>788.15</v>
      </c>
      <c r="H217" s="31" t="n">
        <v>0.86</v>
      </c>
      <c r="I217" s="31" t="n">
        <v>683200</v>
      </c>
      <c r="J217" s="31" t="inlineStr">
        <is>
          <t>541967</t>
        </is>
      </c>
    </row>
    <row r="218">
      <c r="A218" s="31" t="inlineStr">
        <is>
          <t>INDORAMA</t>
        </is>
      </c>
      <c r="B218" s="31" t="inlineStr">
        <is>
          <t>Indo Rama Synthetics (india) Limited</t>
        </is>
      </c>
      <c r="C218" s="31" t="inlineStr">
        <is>
          <t>textiles</t>
        </is>
      </c>
      <c r="D218" s="31" t="inlineStr">
        <is>
          <t>textiles - manmade</t>
        </is>
      </c>
      <c r="E218" s="31" t="inlineStr">
        <is>
          <t>smallcap</t>
        </is>
      </c>
      <c r="F218" s="31" t="n">
        <v>1905.08</v>
      </c>
      <c r="G218" s="31" t="n">
        <v>73.56</v>
      </c>
      <c r="H218" s="31" t="n">
        <v>0.82</v>
      </c>
      <c r="I218" s="31" t="n">
        <v>2102406</v>
      </c>
      <c r="J218" s="31" t="inlineStr">
        <is>
          <t>500207</t>
        </is>
      </c>
    </row>
    <row r="219">
      <c r="A219" s="31" t="inlineStr">
        <is>
          <t>AGARWALEYE</t>
        </is>
      </c>
      <c r="B219" s="31" t="inlineStr">
        <is>
          <t>Dr Agarwals Health Care Ltd</t>
        </is>
      </c>
      <c r="C219" s="31" t="inlineStr">
        <is>
          <t>healthcare</t>
        </is>
      </c>
      <c r="D219" s="31" t="inlineStr">
        <is>
          <t>healthcare</t>
        </is>
      </c>
      <c r="E219" s="31" t="inlineStr">
        <is>
          <t>midcap</t>
        </is>
      </c>
      <c r="F219" s="31" t="n">
        <v>16296.1</v>
      </c>
      <c r="G219" s="31" t="n">
        <v>518.25</v>
      </c>
      <c r="H219" s="31" t="n">
        <v>0.8100000000000001</v>
      </c>
      <c r="I219" s="31" t="n">
        <v>402398</v>
      </c>
      <c r="J219" s="31" t="inlineStr">
        <is>
          <t>544350</t>
        </is>
      </c>
    </row>
    <row r="220">
      <c r="A220" s="31" t="inlineStr">
        <is>
          <t>BANARISUG</t>
        </is>
      </c>
      <c r="B220" s="31" t="inlineStr">
        <is>
          <t>Bannari Amman Sugars Limited</t>
        </is>
      </c>
      <c r="C220" s="31" t="inlineStr">
        <is>
          <t>fmcg</t>
        </is>
      </c>
      <c r="D220" s="31" t="inlineStr">
        <is>
          <t>sugar</t>
        </is>
      </c>
      <c r="E220" s="31" t="inlineStr">
        <is>
          <t>smallcap</t>
        </is>
      </c>
      <c r="F220" s="31" t="n">
        <v>4769.22</v>
      </c>
      <c r="G220" s="31" t="n">
        <v>3832.3</v>
      </c>
      <c r="H220" s="31" t="n">
        <v>0.76</v>
      </c>
      <c r="I220" s="31" t="n">
        <v>2346</v>
      </c>
      <c r="J220" s="31" t="inlineStr">
        <is>
          <t>500041</t>
        </is>
      </c>
    </row>
    <row r="221">
      <c r="A221" s="31" t="inlineStr">
        <is>
          <t>GUFICBIO</t>
        </is>
      </c>
      <c r="B221" s="31" t="inlineStr">
        <is>
          <t>Gufic Biosciences Limited</t>
        </is>
      </c>
      <c r="C221" s="31" t="inlineStr">
        <is>
          <t>healthcare</t>
        </is>
      </c>
      <c r="D221" s="31" t="inlineStr">
        <is>
          <t>pharmaceuticals - indian - bulk drugs &amp; formln</t>
        </is>
      </c>
      <c r="E221" s="31" t="inlineStr">
        <is>
          <t>smallcap</t>
        </is>
      </c>
      <c r="F221" s="31" t="n">
        <v>4461.57</v>
      </c>
      <c r="G221" s="31" t="n">
        <v>448</v>
      </c>
      <c r="H221" s="31" t="n">
        <v>0.7</v>
      </c>
      <c r="I221" s="31" t="n">
        <v>382048</v>
      </c>
      <c r="J221" s="31" t="inlineStr">
        <is>
          <t>509079</t>
        </is>
      </c>
    </row>
    <row r="222">
      <c r="A222" s="31" t="inlineStr">
        <is>
          <t>EIMCOELECO</t>
        </is>
      </c>
      <c r="B222" s="31" t="inlineStr">
        <is>
          <t>Eimco Elecon (india) Limited</t>
        </is>
      </c>
      <c r="C222" s="31" t="inlineStr">
        <is>
          <t>industrials</t>
        </is>
      </c>
      <c r="D222" s="31" t="inlineStr">
        <is>
          <t>engineering</t>
        </is>
      </c>
      <c r="E222" s="31" t="inlineStr">
        <is>
          <t>smallcap</t>
        </is>
      </c>
      <c r="F222" s="31" t="n">
        <v>1300.42</v>
      </c>
      <c r="G222" s="31" t="n">
        <v>2268</v>
      </c>
      <c r="H222" s="31" t="n">
        <v>0.6</v>
      </c>
      <c r="I222" s="31" t="n">
        <v>14898</v>
      </c>
      <c r="J222" s="31" t="inlineStr">
        <is>
          <t>523708</t>
        </is>
      </c>
    </row>
    <row r="223">
      <c r="A223" s="31" t="inlineStr">
        <is>
          <t>GLENMARK</t>
        </is>
      </c>
      <c r="B223" s="31" t="inlineStr">
        <is>
          <t>Glenmark Pharmaceuticals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largecap</t>
        </is>
      </c>
      <c r="F223" s="31" t="n">
        <v>68777.98</v>
      </c>
      <c r="G223" s="31" t="n">
        <v>2451.9</v>
      </c>
      <c r="H223" s="31" t="n">
        <v>0.6</v>
      </c>
      <c r="I223" s="31" t="n">
        <v>267568</v>
      </c>
      <c r="J223" s="31" t="inlineStr">
        <is>
          <t>532296</t>
        </is>
      </c>
    </row>
    <row r="224">
      <c r="A224" s="31" t="inlineStr">
        <is>
          <t>NIACL</t>
        </is>
      </c>
      <c r="B224" s="31" t="inlineStr">
        <is>
          <t>New India Assurance Company Ltd</t>
        </is>
      </c>
      <c r="C224" s="31" t="inlineStr">
        <is>
          <t>financials</t>
        </is>
      </c>
      <c r="D224" s="31" t="inlineStr">
        <is>
          <t>finance &amp; investments</t>
        </is>
      </c>
      <c r="E224" s="31" t="inlineStr">
        <is>
          <t>largecap</t>
        </is>
      </c>
      <c r="F224" s="31" t="n">
        <v>37889.17</v>
      </c>
      <c r="G224" s="31" t="n">
        <v>231.2</v>
      </c>
      <c r="H224" s="31" t="n">
        <v>0.5600000000000001</v>
      </c>
      <c r="I224" s="31" t="n">
        <v>23442397</v>
      </c>
      <c r="J224" s="31" t="inlineStr">
        <is>
          <t>540769</t>
        </is>
      </c>
    </row>
    <row r="225">
      <c r="A225" s="31" t="inlineStr">
        <is>
          <t>RATNAVEER</t>
        </is>
      </c>
      <c r="B225" s="31" t="inlineStr">
        <is>
          <t>Ratnaveer Precision Engineering Ltd</t>
        </is>
      </c>
      <c r="C225" s="31" t="inlineStr">
        <is>
          <t>metals &amp; mining</t>
        </is>
      </c>
      <c r="D225" s="31" t="inlineStr">
        <is>
          <t>steel - medium / small</t>
        </is>
      </c>
      <c r="E225" s="31" t="inlineStr">
        <is>
          <t>smallcap</t>
        </is>
      </c>
      <c r="F225" s="31" t="n">
        <v>2176.73</v>
      </c>
      <c r="G225" s="31" t="n">
        <v>306.45</v>
      </c>
      <c r="H225" s="31" t="n">
        <v>0.5600000000000001</v>
      </c>
      <c r="I225" s="31" t="n">
        <v>3736782</v>
      </c>
      <c r="J225" s="31" t="inlineStr">
        <is>
          <t>543978</t>
        </is>
      </c>
    </row>
    <row r="226">
      <c r="A226" s="31" t="inlineStr">
        <is>
          <t>NAVINFLUOR</t>
        </is>
      </c>
      <c r="B226" s="31" t="inlineStr">
        <is>
          <t>Navin Fluorine International Limited</t>
        </is>
      </c>
      <c r="C226" s="31" t="inlineStr">
        <is>
          <t>chemicals</t>
        </is>
      </c>
      <c r="D226" s="31" t="inlineStr">
        <is>
          <t>chemicals</t>
        </is>
      </c>
      <c r="E226" s="31" t="inlineStr">
        <is>
          <t>largecap</t>
        </is>
      </c>
      <c r="F226" s="31" t="n">
        <v>43892.41</v>
      </c>
      <c r="G226" s="31" t="n">
        <v>8603.5</v>
      </c>
      <c r="H226" s="31" t="n">
        <v>0.54</v>
      </c>
      <c r="I226" s="31" t="n">
        <v>76404</v>
      </c>
      <c r="J226" s="31" t="inlineStr">
        <is>
          <t>532504</t>
        </is>
      </c>
    </row>
    <row r="227">
      <c r="A227" s="31" t="inlineStr">
        <is>
          <t>SALSTEEL</t>
        </is>
      </c>
      <c r="B227" s="31" t="inlineStr">
        <is>
          <t>SAL Steel</t>
        </is>
      </c>
      <c r="C227" s="31" t="inlineStr">
        <is>
          <t>metals &amp; mining</t>
        </is>
      </c>
      <c r="D227" s="31" t="inlineStr">
        <is>
          <t>steel - sponge iron</t>
        </is>
      </c>
      <c r="E227" s="31" t="inlineStr">
        <is>
          <t>smallcap</t>
        </is>
      </c>
      <c r="F227" s="31" t="n">
        <v>1177.97</v>
      </c>
      <c r="G227" s="31" t="n">
        <v>81.8</v>
      </c>
      <c r="H227" s="31" t="n">
        <v>0.53</v>
      </c>
      <c r="I227" s="31" t="n">
        <v>670446</v>
      </c>
      <c r="J227" s="31" t="inlineStr">
        <is>
          <t>532604</t>
        </is>
      </c>
    </row>
    <row r="228">
      <c r="A228" s="31" t="inlineStr">
        <is>
          <t>MANORAMA</t>
        </is>
      </c>
      <c r="B228" s="31" t="inlineStr">
        <is>
          <t>Manorama Industries Ltd</t>
        </is>
      </c>
      <c r="C228" s="31" t="inlineStr">
        <is>
          <t>fmcg</t>
        </is>
      </c>
      <c r="D228" s="31" t="inlineStr">
        <is>
          <t>food - processing - indian</t>
        </is>
      </c>
      <c r="E228" s="31" t="inlineStr">
        <is>
          <t>midcap</t>
        </is>
      </c>
      <c r="F228" s="31" t="n">
        <v>11902.3</v>
      </c>
      <c r="G228" s="31" t="n">
        <v>2003.6</v>
      </c>
      <c r="H228" s="31" t="n">
        <v>0.51</v>
      </c>
      <c r="I228" s="31" t="n">
        <v>213280</v>
      </c>
      <c r="J228" s="31" t="inlineStr">
        <is>
          <t>541974</t>
        </is>
      </c>
    </row>
    <row r="229">
      <c r="A229" s="31" t="inlineStr">
        <is>
          <t>IIFL</t>
        </is>
      </c>
      <c r="B229" s="31" t="inlineStr">
        <is>
          <t>IIFL Finance Ltd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largecap</t>
        </is>
      </c>
      <c r="F229" s="31" t="n">
        <v>27695.04</v>
      </c>
      <c r="G229" s="31" t="n">
        <v>654.05</v>
      </c>
      <c r="H229" s="31" t="n">
        <v>0.45</v>
      </c>
      <c r="I229" s="31" t="n">
        <v>4742061</v>
      </c>
      <c r="J229" s="31" t="inlineStr">
        <is>
          <t>532636</t>
        </is>
      </c>
    </row>
    <row r="230">
      <c r="A230" s="31" t="inlineStr">
        <is>
          <t>AARTIPHARM</t>
        </is>
      </c>
      <c r="B230" s="31" t="inlineStr">
        <is>
          <t>Aarti Pharmalabs Ltd</t>
        </is>
      </c>
      <c r="C230" s="31" t="inlineStr">
        <is>
          <t>healthcare</t>
        </is>
      </c>
      <c r="D230" s="31" t="inlineStr">
        <is>
          <t>pharmaceuticals - indian - bulk drugs &amp; formln</t>
        </is>
      </c>
      <c r="E230" s="31" t="inlineStr">
        <is>
          <t>midcap</t>
        </is>
      </c>
      <c r="F230" s="31" t="n">
        <v>7787.58</v>
      </c>
      <c r="G230" s="31" t="n">
        <v>862.65</v>
      </c>
      <c r="H230" s="31" t="n">
        <v>0.45</v>
      </c>
      <c r="I230" s="31" t="n">
        <v>745049</v>
      </c>
      <c r="J230" s="31" t="inlineStr">
        <is>
          <t>543748</t>
        </is>
      </c>
    </row>
    <row r="231">
      <c r="A231" s="31" t="inlineStr">
        <is>
          <t>NAZARA</t>
        </is>
      </c>
      <c r="B231" s="31" t="inlineStr">
        <is>
          <t>Nazara Technologies Ltd</t>
        </is>
      </c>
      <c r="C231" s="31" t="inlineStr">
        <is>
          <t>i.t</t>
        </is>
      </c>
      <c r="D231" s="31" t="inlineStr">
        <is>
          <t>telecommunications - service provider</t>
        </is>
      </c>
      <c r="E231" s="31" t="inlineStr">
        <is>
          <t>midcap</t>
        </is>
      </c>
      <c r="F231" s="31" t="n">
        <v>14181.82</v>
      </c>
      <c r="G231" s="31" t="n">
        <v>370.3</v>
      </c>
      <c r="H231" s="31" t="n">
        <v>0.45</v>
      </c>
      <c r="I231" s="31" t="n">
        <v>1205780</v>
      </c>
      <c r="J231" s="31" t="inlineStr">
        <is>
          <t>543280</t>
        </is>
      </c>
    </row>
    <row r="232">
      <c r="A232" s="31" t="inlineStr">
        <is>
          <t>TMB</t>
        </is>
      </c>
      <c r="B232" s="31" t="inlineStr">
        <is>
          <t>Tamilnad Mercantile Bank Ltd</t>
        </is>
      </c>
      <c r="C232" s="31" t="inlineStr">
        <is>
          <t>bank</t>
        </is>
      </c>
      <c r="D232" s="31" t="inlineStr">
        <is>
          <t>banks - private sector</t>
        </is>
      </c>
      <c r="E232" s="31" t="inlineStr">
        <is>
          <t>midcap</t>
        </is>
      </c>
      <c r="F232" s="31" t="n">
        <v>14765.48</v>
      </c>
      <c r="G232" s="31" t="n">
        <v>936.45</v>
      </c>
      <c r="H232" s="31" t="n">
        <v>0.43</v>
      </c>
      <c r="I232" s="31" t="n">
        <v>148519</v>
      </c>
      <c r="J232" s="31" t="inlineStr">
        <is>
          <t>543596</t>
        </is>
      </c>
    </row>
    <row r="233">
      <c r="A233" s="31" t="inlineStr">
        <is>
          <t>AUROPHARMA</t>
        </is>
      </c>
      <c r="B233" s="31" t="inlineStr">
        <is>
          <t>Aurobindo Pharma Limited</t>
        </is>
      </c>
      <c r="C233" s="31" t="inlineStr">
        <is>
          <t>healthcare</t>
        </is>
      </c>
      <c r="D233" s="31" t="inlineStr">
        <is>
          <t>pharmaceuticals - indian - bulk drugs &amp; formln</t>
        </is>
      </c>
      <c r="E233" s="31" t="inlineStr">
        <is>
          <t>largecap</t>
        </is>
      </c>
      <c r="F233" s="31" t="n">
        <v>95115.72</v>
      </c>
      <c r="G233" s="31" t="n">
        <v>1660</v>
      </c>
      <c r="H233" s="31" t="n">
        <v>0.42</v>
      </c>
      <c r="I233" s="31" t="n">
        <v>536717</v>
      </c>
      <c r="J233" s="31" t="inlineStr">
        <is>
          <t>524804</t>
        </is>
      </c>
    </row>
    <row r="234">
      <c r="A234" s="31" t="inlineStr">
        <is>
          <t>JSWDULUX</t>
        </is>
      </c>
      <c r="B234" s="31" t="inlineStr">
        <is>
          <t>JSW Dulux Ltd</t>
        </is>
      </c>
      <c r="C234" s="31" t="inlineStr">
        <is>
          <t>building materials</t>
        </is>
      </c>
      <c r="D234" s="31" t="inlineStr">
        <is>
          <t>paints / varnishes</t>
        </is>
      </c>
      <c r="E234" s="31" t="inlineStr">
        <is>
          <t>midcap</t>
        </is>
      </c>
      <c r="F234" s="31" t="n">
        <v>14456.77</v>
      </c>
      <c r="G234" s="31" t="n">
        <v>3186.8</v>
      </c>
      <c r="H234" s="31" t="n">
        <v>0.39</v>
      </c>
      <c r="I234" s="31" t="n">
        <v>31552</v>
      </c>
      <c r="J234" s="31" t="inlineStr">
        <is>
          <t>500710</t>
        </is>
      </c>
    </row>
    <row r="235">
      <c r="A235" s="31" t="inlineStr">
        <is>
          <t>YATHARTH</t>
        </is>
      </c>
      <c r="B235" s="31" t="inlineStr">
        <is>
          <t>Yatharth Hospital &amp; Trauma Care Services Ltd</t>
        </is>
      </c>
      <c r="C235" s="31" t="inlineStr">
        <is>
          <t>healthcare</t>
        </is>
      </c>
      <c r="D235" s="31" t="inlineStr">
        <is>
          <t>healthcare</t>
        </is>
      </c>
      <c r="E235" s="31" t="inlineStr">
        <is>
          <t>midcap</t>
        </is>
      </c>
      <c r="F235" s="31" t="n">
        <v>9549.68</v>
      </c>
      <c r="G235" s="31" t="n">
        <v>994.8</v>
      </c>
      <c r="H235" s="31" t="n">
        <v>0.37</v>
      </c>
      <c r="I235" s="31" t="n">
        <v>357062</v>
      </c>
      <c r="J235" s="31" t="inlineStr">
        <is>
          <t>543950</t>
        </is>
      </c>
    </row>
    <row r="236">
      <c r="A236" s="31" t="inlineStr">
        <is>
          <t>SOMANYCERA</t>
        </is>
      </c>
      <c r="B236" s="31" t="inlineStr">
        <is>
          <t>Somany Ceramics Limited</t>
        </is>
      </c>
      <c r="C236" s="31" t="inlineStr">
        <is>
          <t>building materials</t>
        </is>
      </c>
      <c r="D236" s="31" t="inlineStr">
        <is>
          <t>ceramics - tiles / sanitaryware</t>
        </is>
      </c>
      <c r="E236" s="31" t="inlineStr">
        <is>
          <t>smallcap</t>
        </is>
      </c>
      <c r="F236" s="31" t="n">
        <v>2285.85</v>
      </c>
      <c r="G236" s="31" t="n">
        <v>559.4</v>
      </c>
      <c r="H236" s="31" t="n">
        <v>0.37</v>
      </c>
      <c r="I236" s="31" t="n">
        <v>84012</v>
      </c>
      <c r="J236" s="31" t="inlineStr">
        <is>
          <t>531548</t>
        </is>
      </c>
    </row>
    <row r="237">
      <c r="A237" s="31" t="inlineStr">
        <is>
          <t>ANANDRATHI</t>
        </is>
      </c>
      <c r="B237" s="31" t="inlineStr">
        <is>
          <t>Anand Rathi Wealth Ltd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largecap</t>
        </is>
      </c>
      <c r="F237" s="31" t="n">
        <v>36793.08</v>
      </c>
      <c r="G237" s="31" t="n">
        <v>2224</v>
      </c>
      <c r="H237" s="31" t="n">
        <v>0.37</v>
      </c>
      <c r="I237" s="31" t="n">
        <v>270161</v>
      </c>
      <c r="J237" s="31" t="inlineStr">
        <is>
          <t>543415</t>
        </is>
      </c>
    </row>
    <row r="238">
      <c r="A238" s="31" t="inlineStr">
        <is>
          <t>VIDHIING</t>
        </is>
      </c>
      <c r="B238" s="31" t="inlineStr">
        <is>
          <t>Vidhi Specialty Food Ingredients</t>
        </is>
      </c>
      <c r="C238" s="31" t="inlineStr">
        <is>
          <t>chemicals</t>
        </is>
      </c>
      <c r="D238" s="31" t="inlineStr">
        <is>
          <t>dyes and pigments</t>
        </is>
      </c>
      <c r="E238" s="31" t="inlineStr">
        <is>
          <t>smallcap</t>
        </is>
      </c>
      <c r="F238" s="31" t="n">
        <v>1736.84</v>
      </c>
      <c r="G238" s="31" t="n">
        <v>349</v>
      </c>
      <c r="H238" s="31" t="n">
        <v>0.36</v>
      </c>
      <c r="I238" s="31" t="n">
        <v>11998</v>
      </c>
      <c r="J238" s="31" t="inlineStr">
        <is>
          <t>531717</t>
        </is>
      </c>
    </row>
    <row r="239">
      <c r="A239" s="31" t="inlineStr">
        <is>
          <t>CYIENT</t>
        </is>
      </c>
      <c r="B239" s="31" t="inlineStr">
        <is>
          <t>Cyient Limited</t>
        </is>
      </c>
      <c r="C239" s="31" t="inlineStr">
        <is>
          <t>i.t</t>
        </is>
      </c>
      <c r="D239" s="31" t="inlineStr">
        <is>
          <t>computers - software - medium / small</t>
        </is>
      </c>
      <c r="E239" s="31" t="inlineStr">
        <is>
          <t>midcap</t>
        </is>
      </c>
      <c r="F239" s="31" t="n">
        <v>11540.45</v>
      </c>
      <c r="G239" s="31" t="n">
        <v>1105.4</v>
      </c>
      <c r="H239" s="31" t="n">
        <v>0.33</v>
      </c>
      <c r="I239" s="31" t="n">
        <v>362143</v>
      </c>
      <c r="J239" s="31" t="inlineStr">
        <is>
          <t>532175</t>
        </is>
      </c>
    </row>
    <row r="240">
      <c r="A240" s="31" t="inlineStr">
        <is>
          <t>AEGISVOPAK</t>
        </is>
      </c>
      <c r="B240" s="31" t="inlineStr">
        <is>
          <t>Aegis Vopak Terminals Ltd</t>
        </is>
      </c>
      <c r="C240" s="31" t="inlineStr">
        <is>
          <t>transportation</t>
        </is>
      </c>
      <c r="D240" s="31" t="inlineStr">
        <is>
          <t>miscellaneous</t>
        </is>
      </c>
      <c r="E240" s="31" t="inlineStr">
        <is>
          <t>largecap</t>
        </is>
      </c>
      <c r="F240" s="31" t="n">
        <v>31522.36</v>
      </c>
      <c r="G240" s="31" t="n">
        <v>285.35</v>
      </c>
      <c r="H240" s="31" t="n">
        <v>0.3</v>
      </c>
      <c r="I240" s="31" t="n">
        <v>615354</v>
      </c>
      <c r="J240" s="31" t="inlineStr">
        <is>
          <t>544407</t>
        </is>
      </c>
    </row>
    <row r="241">
      <c r="A241" s="31" t="inlineStr">
        <is>
          <t>OCCLLTD</t>
        </is>
      </c>
      <c r="B241" s="31" t="inlineStr">
        <is>
          <t>OCCL Ltd</t>
        </is>
      </c>
      <c r="C241" s="31" t="inlineStr">
        <is>
          <t>chemicals</t>
        </is>
      </c>
      <c r="D241" s="31" t="inlineStr">
        <is>
          <t>chemicals</t>
        </is>
      </c>
      <c r="E241" s="31" t="inlineStr">
        <is>
          <t>smallcap</t>
        </is>
      </c>
      <c r="F241" s="31" t="n">
        <v>818.84</v>
      </c>
      <c r="G241" s="31" t="n">
        <v>164.42</v>
      </c>
      <c r="H241" s="31" t="n">
        <v>0.3</v>
      </c>
      <c r="I241" s="31" t="n">
        <v>49800</v>
      </c>
      <c r="J241" s="31" t="inlineStr">
        <is>
          <t>544278</t>
        </is>
      </c>
    </row>
    <row r="242">
      <c r="A242" s="31" t="inlineStr">
        <is>
          <t>VIJAYA</t>
        </is>
      </c>
      <c r="B242" s="31" t="inlineStr">
        <is>
          <t>Vijaya Diagnostic Centre Ltd</t>
        </is>
      </c>
      <c r="C242" s="31" t="inlineStr">
        <is>
          <t>healthcare</t>
        </is>
      </c>
      <c r="D242" s="31" t="inlineStr">
        <is>
          <t>healthcare</t>
        </is>
      </c>
      <c r="E242" s="31" t="inlineStr">
        <is>
          <t>midcap</t>
        </is>
      </c>
      <c r="F242" s="31" t="n">
        <v>15364.54</v>
      </c>
      <c r="G242" s="31" t="n">
        <v>1497.5</v>
      </c>
      <c r="H242" s="31" t="n">
        <v>0.29</v>
      </c>
      <c r="I242" s="31" t="n">
        <v>101311</v>
      </c>
      <c r="J242" s="31" t="inlineStr">
        <is>
          <t>543350</t>
        </is>
      </c>
    </row>
    <row r="243">
      <c r="A243" s="31" t="inlineStr">
        <is>
          <t>WELCORP</t>
        </is>
      </c>
      <c r="B243" s="31" t="inlineStr">
        <is>
          <t>Welspun Corp Limited</t>
        </is>
      </c>
      <c r="C243" s="31" t="inlineStr">
        <is>
          <t>industrials</t>
        </is>
      </c>
      <c r="D243" s="31" t="inlineStr">
        <is>
          <t>steel - large</t>
        </is>
      </c>
      <c r="E243" s="31" t="inlineStr">
        <is>
          <t>largecap</t>
        </is>
      </c>
      <c r="F243" s="31" t="n">
        <v>68337.60000000001</v>
      </c>
      <c r="G243" s="31" t="n">
        <v>2597.9</v>
      </c>
      <c r="H243" s="31" t="n">
        <v>0.28</v>
      </c>
      <c r="I243" s="31" t="n">
        <v>1503451</v>
      </c>
      <c r="J243" s="31" t="inlineStr">
        <is>
          <t>532144</t>
        </is>
      </c>
    </row>
    <row r="244">
      <c r="A244" s="31" t="inlineStr">
        <is>
          <t>PAYTM</t>
        </is>
      </c>
      <c r="B244" s="31" t="inlineStr">
        <is>
          <t>One 97 Communications Ltd</t>
        </is>
      </c>
      <c r="C244" s="31" t="inlineStr">
        <is>
          <t>i.t</t>
        </is>
      </c>
      <c r="D244" s="31" t="inlineStr">
        <is>
          <t>miscellaneous</t>
        </is>
      </c>
      <c r="E244" s="31" t="inlineStr">
        <is>
          <t>largecap</t>
        </is>
      </c>
      <c r="F244" s="31" t="n">
        <v>106263.93</v>
      </c>
      <c r="G244" s="31" t="n">
        <v>1664</v>
      </c>
      <c r="H244" s="31" t="n">
        <v>0.27</v>
      </c>
      <c r="I244" s="31" t="n">
        <v>1822600</v>
      </c>
      <c r="J244" s="31" t="inlineStr">
        <is>
          <t>543396</t>
        </is>
      </c>
    </row>
    <row r="245">
      <c r="A245" s="31" t="inlineStr">
        <is>
          <t>DCBBANK</t>
        </is>
      </c>
      <c r="B245" s="31" t="inlineStr">
        <is>
          <t>Dcb Bank Limited</t>
        </is>
      </c>
      <c r="C245" s="31" t="inlineStr">
        <is>
          <t>bank</t>
        </is>
      </c>
      <c r="D245" s="31" t="inlineStr">
        <is>
          <t>banks - private sector</t>
        </is>
      </c>
      <c r="E245" s="31" t="inlineStr">
        <is>
          <t>midcap</t>
        </is>
      </c>
      <c r="F245" s="31" t="n">
        <v>7109.54</v>
      </c>
      <c r="G245" s="31" t="n">
        <v>221.31</v>
      </c>
      <c r="H245" s="31" t="n">
        <v>0.26</v>
      </c>
      <c r="I245" s="31" t="n">
        <v>877083</v>
      </c>
      <c r="J245" s="31" t="inlineStr">
        <is>
          <t>532772</t>
        </is>
      </c>
    </row>
    <row r="246">
      <c r="A246" s="31" t="inlineStr">
        <is>
          <t>HARSHA</t>
        </is>
      </c>
      <c r="B246" s="31" t="inlineStr">
        <is>
          <t>Harsha Engineers International Ltd</t>
        </is>
      </c>
      <c r="C246" s="31" t="inlineStr">
        <is>
          <t>industrials</t>
        </is>
      </c>
      <c r="D246" s="31" t="inlineStr">
        <is>
          <t>engineering</t>
        </is>
      </c>
      <c r="E246" s="31" t="inlineStr">
        <is>
          <t>smallcap</t>
        </is>
      </c>
      <c r="F246" s="31" t="n">
        <v>4136.59</v>
      </c>
      <c r="G246" s="31" t="n">
        <v>455.45</v>
      </c>
      <c r="H246" s="31" t="n">
        <v>0.24</v>
      </c>
      <c r="I246" s="31" t="n">
        <v>135432</v>
      </c>
      <c r="J246" s="31" t="inlineStr">
        <is>
          <t>543600</t>
        </is>
      </c>
    </row>
    <row r="247">
      <c r="A247" s="31" t="inlineStr">
        <is>
          <t>MAMATA</t>
        </is>
      </c>
      <c r="B247" s="31" t="inlineStr">
        <is>
          <t>Mamata Machinery Ltd</t>
        </is>
      </c>
      <c r="C247" s="31" t="inlineStr">
        <is>
          <t>industrials</t>
        </is>
      </c>
      <c r="D247" s="31" t="inlineStr">
        <is>
          <t>engineering</t>
        </is>
      </c>
      <c r="E247" s="31" t="inlineStr">
        <is>
          <t>smallcap</t>
        </is>
      </c>
      <c r="F247" s="31" t="n">
        <v>1015.19</v>
      </c>
      <c r="G247" s="31" t="n">
        <v>413.5</v>
      </c>
      <c r="H247" s="31" t="n">
        <v>0.23</v>
      </c>
      <c r="I247" s="31" t="n">
        <v>63489</v>
      </c>
      <c r="J247" s="31" t="inlineStr">
        <is>
          <t>544318</t>
        </is>
      </c>
    </row>
    <row r="248">
      <c r="A248" s="31" t="inlineStr">
        <is>
          <t>GNFC</t>
        </is>
      </c>
      <c r="B248" s="31" t="inlineStr">
        <is>
          <t>Gujarat Narmada Valley Fertilizers And Chemicals Limited</t>
        </is>
      </c>
      <c r="C248" s="31" t="inlineStr">
        <is>
          <t>chemicals</t>
        </is>
      </c>
      <c r="D248" s="31" t="inlineStr">
        <is>
          <t>chemicals</t>
        </is>
      </c>
      <c r="E248" s="31" t="inlineStr">
        <is>
          <t>midcap</t>
        </is>
      </c>
      <c r="F248" s="31" t="n">
        <v>8767.950000000001</v>
      </c>
      <c r="G248" s="31" t="n">
        <v>597.9</v>
      </c>
      <c r="H248" s="31" t="n">
        <v>0.2</v>
      </c>
      <c r="I248" s="31" t="n">
        <v>1281385</v>
      </c>
      <c r="J248" s="31" t="inlineStr">
        <is>
          <t>500670</t>
        </is>
      </c>
    </row>
    <row r="249">
      <c r="A249" s="31" t="inlineStr">
        <is>
          <t>MAXESTATES</t>
        </is>
      </c>
      <c r="B249" s="31" t="inlineStr">
        <is>
          <t>Max Estates Ltd</t>
        </is>
      </c>
      <c r="C249" s="31" t="inlineStr">
        <is>
          <t>realty</t>
        </is>
      </c>
      <c r="D249" s="31" t="inlineStr">
        <is>
          <t>construction</t>
        </is>
      </c>
      <c r="E249" s="31" t="inlineStr">
        <is>
          <t>midcap</t>
        </is>
      </c>
      <c r="F249" s="31" t="n">
        <v>8863.190000000001</v>
      </c>
      <c r="G249" s="31" t="n">
        <v>543.2</v>
      </c>
      <c r="H249" s="31" t="n">
        <v>0.2</v>
      </c>
      <c r="I249" s="31" t="n">
        <v>81378</v>
      </c>
      <c r="J249" s="31" t="inlineStr">
        <is>
          <t>544008</t>
        </is>
      </c>
    </row>
    <row r="250">
      <c r="A250" s="31" t="inlineStr">
        <is>
          <t>PANACHE</t>
        </is>
      </c>
      <c r="B250" s="31" t="inlineStr">
        <is>
          <t>Panache Digilife Ltd</t>
        </is>
      </c>
      <c r="C250" s="31" t="inlineStr">
        <is>
          <t>i.t</t>
        </is>
      </c>
      <c r="D250" s="31" t="inlineStr">
        <is>
          <t>computers - hardware</t>
        </is>
      </c>
      <c r="E250" s="31" t="inlineStr">
        <is>
          <t>smallcap</t>
        </is>
      </c>
      <c r="F250" s="31" t="n">
        <v>840.74</v>
      </c>
      <c r="G250" s="31" t="n">
        <v>526</v>
      </c>
      <c r="H250" s="31" t="n">
        <v>0.19</v>
      </c>
      <c r="I250" s="31" t="n">
        <v>6263</v>
      </c>
      <c r="J250" s="31" t="inlineStr">
        <is>
          <t>538424</t>
        </is>
      </c>
    </row>
    <row r="251">
      <c r="A251" s="31" t="inlineStr">
        <is>
          <t>JINDRILL</t>
        </is>
      </c>
      <c r="B251" s="31" t="inlineStr">
        <is>
          <t>Jindal Drilling And Industries Limited</t>
        </is>
      </c>
      <c r="C251" s="31" t="inlineStr">
        <is>
          <t>energy</t>
        </is>
      </c>
      <c r="D251" s="31" t="inlineStr">
        <is>
          <t>oil drilling / allied services</t>
        </is>
      </c>
      <c r="E251" s="31" t="inlineStr">
        <is>
          <t>smallcap</t>
        </is>
      </c>
      <c r="F251" s="31" t="n">
        <v>1921.59</v>
      </c>
      <c r="G251" s="31" t="n">
        <v>664.15</v>
      </c>
      <c r="H251" s="31" t="n">
        <v>0.17</v>
      </c>
      <c r="I251" s="31" t="n">
        <v>722088</v>
      </c>
      <c r="J251" s="31" t="inlineStr">
        <is>
          <t>511034</t>
        </is>
      </c>
    </row>
    <row r="252">
      <c r="A252" s="31" t="inlineStr">
        <is>
          <t>RBLBANK</t>
        </is>
      </c>
      <c r="B252" s="31" t="inlineStr">
        <is>
          <t>Rbl Bank Limited</t>
        </is>
      </c>
      <c r="C252" s="31" t="inlineStr">
        <is>
          <t>bank</t>
        </is>
      </c>
      <c r="D252" s="31" t="inlineStr">
        <is>
          <t>banks - private sector</t>
        </is>
      </c>
      <c r="E252" s="31" t="inlineStr">
        <is>
          <t>largecap</t>
        </is>
      </c>
      <c r="F252" s="31" t="n">
        <v>64164.5</v>
      </c>
      <c r="G252" s="31" t="n">
        <v>415</v>
      </c>
      <c r="H252" s="31" t="n">
        <v>0.16</v>
      </c>
      <c r="I252" s="31" t="n">
        <v>3484526</v>
      </c>
      <c r="J252" s="31" t="inlineStr">
        <is>
          <t>540065</t>
        </is>
      </c>
    </row>
    <row r="253">
      <c r="A253" s="31" t="inlineStr">
        <is>
          <t>MAHSEAMLES</t>
        </is>
      </c>
      <c r="B253" s="31" t="inlineStr">
        <is>
          <t>Maharashtra Seamless Limited</t>
        </is>
      </c>
      <c r="C253" s="31" t="inlineStr">
        <is>
          <t>metals &amp; mining</t>
        </is>
      </c>
      <c r="D253" s="31" t="inlineStr">
        <is>
          <t>steel - medium / small</t>
        </is>
      </c>
      <c r="E253" s="31" t="inlineStr">
        <is>
          <t>midcap</t>
        </is>
      </c>
      <c r="F253" s="31" t="n">
        <v>9220.49</v>
      </c>
      <c r="G253" s="31" t="n">
        <v>688.95</v>
      </c>
      <c r="H253" s="31" t="n">
        <v>0.12</v>
      </c>
      <c r="I253" s="31" t="n">
        <v>911812</v>
      </c>
      <c r="J253" s="31" t="inlineStr">
        <is>
          <t>500265</t>
        </is>
      </c>
    </row>
    <row r="254">
      <c r="A254" s="31" t="inlineStr">
        <is>
          <t>CAPLIPOINT</t>
        </is>
      </c>
      <c r="B254" s="31" t="inlineStr">
        <is>
          <t>Caplin Point Laboratories Limited</t>
        </is>
      </c>
      <c r="C254" s="31" t="inlineStr">
        <is>
          <t>healthcare</t>
        </is>
      </c>
      <c r="D254" s="31" t="inlineStr">
        <is>
          <t>pharmaceuticals - indian - formulations</t>
        </is>
      </c>
      <c r="E254" s="31" t="inlineStr">
        <is>
          <t>largecap</t>
        </is>
      </c>
      <c r="F254" s="31" t="n">
        <v>21365.37</v>
      </c>
      <c r="G254" s="31" t="n">
        <v>2814</v>
      </c>
      <c r="H254" s="31" t="n">
        <v>0.11</v>
      </c>
      <c r="I254" s="31" t="n">
        <v>111399</v>
      </c>
      <c r="J254" s="31" t="inlineStr">
        <is>
          <t>524742</t>
        </is>
      </c>
    </row>
    <row r="255">
      <c r="A255" s="31" t="inlineStr">
        <is>
          <t>KIRLFER</t>
        </is>
      </c>
      <c r="B255" s="31" t="inlineStr">
        <is>
          <t>Kirloskar Ferrous Industries Ltd</t>
        </is>
      </c>
      <c r="C255" s="31" t="inlineStr">
        <is>
          <t>metals &amp; mining</t>
        </is>
      </c>
      <c r="D255" s="31" t="inlineStr">
        <is>
          <t>steel - large</t>
        </is>
      </c>
      <c r="E255" s="31" t="inlineStr">
        <is>
          <t>midcap</t>
        </is>
      </c>
      <c r="F255" s="31" t="n">
        <v>7583.05</v>
      </c>
      <c r="G255" s="31" t="n">
        <v>460.1</v>
      </c>
      <c r="H255" s="31" t="n">
        <v>0.11</v>
      </c>
      <c r="I255" s="31" t="n">
        <v>47157</v>
      </c>
      <c r="J255" s="31" t="inlineStr">
        <is>
          <t>500245</t>
        </is>
      </c>
    </row>
    <row r="256">
      <c r="A256" s="31" t="inlineStr">
        <is>
          <t>KSL</t>
        </is>
      </c>
      <c r="B256" s="31" t="inlineStr">
        <is>
          <t>Kalyani Steels Limited</t>
        </is>
      </c>
      <c r="C256" s="31" t="inlineStr">
        <is>
          <t>metals &amp; mining</t>
        </is>
      </c>
      <c r="D256" s="31" t="inlineStr">
        <is>
          <t>steel - medium / small</t>
        </is>
      </c>
      <c r="E256" s="31" t="inlineStr">
        <is>
          <t>smallcap</t>
        </is>
      </c>
      <c r="F256" s="31" t="n">
        <v>4105.57</v>
      </c>
      <c r="G256" s="31" t="n">
        <v>941.45</v>
      </c>
      <c r="H256" s="31" t="n">
        <v>0.1</v>
      </c>
      <c r="I256" s="31" t="n">
        <v>72294</v>
      </c>
      <c r="J256" s="31" t="inlineStr">
        <is>
          <t>500235</t>
        </is>
      </c>
    </row>
    <row r="257">
      <c r="A257" s="31" t="inlineStr">
        <is>
          <t>KENNAMET</t>
        </is>
      </c>
      <c r="B257" s="31" t="inlineStr">
        <is>
          <t>Kennametal India Ltd</t>
        </is>
      </c>
      <c r="C257" s="31" t="inlineStr">
        <is>
          <t>industrials</t>
        </is>
      </c>
      <c r="D257" s="31" t="inlineStr">
        <is>
          <t>castings &amp; forgings</t>
        </is>
      </c>
      <c r="E257" s="31" t="inlineStr">
        <is>
          <t>midcap</t>
        </is>
      </c>
      <c r="F257" s="31" t="n">
        <v>10304.5</v>
      </c>
      <c r="G257" s="31" t="n">
        <v>4693</v>
      </c>
      <c r="H257" s="31" t="n">
        <v>0.1</v>
      </c>
      <c r="I257" s="31" t="n">
        <v>32325</v>
      </c>
      <c r="J257" s="31" t="inlineStr">
        <is>
          <t>505890</t>
        </is>
      </c>
    </row>
    <row r="258">
      <c r="A258" s="31" t="inlineStr">
        <is>
          <t>SRHHYPOLTD</t>
        </is>
      </c>
      <c r="B258" s="31" t="inlineStr">
        <is>
          <t>Sree Rayalaseema Hi-strength Hypo Limited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smallcap</t>
        </is>
      </c>
      <c r="F258" s="31" t="n">
        <v>911.54</v>
      </c>
      <c r="G258" s="31" t="n">
        <v>531.6</v>
      </c>
      <c r="H258" s="31" t="n">
        <v>0.1</v>
      </c>
      <c r="I258" s="31" t="n">
        <v>13332</v>
      </c>
      <c r="J258" s="31" t="inlineStr">
        <is>
          <t>532842</t>
        </is>
      </c>
    </row>
    <row r="259">
      <c r="A259" s="31" t="inlineStr">
        <is>
          <t>SVLL</t>
        </is>
      </c>
      <c r="B259" s="31" t="inlineStr">
        <is>
          <t>Shree Vasu Logistics Ltd</t>
        </is>
      </c>
      <c r="C259" s="31" t="inlineStr">
        <is>
          <t>transportation</t>
        </is>
      </c>
      <c r="D259" s="31" t="inlineStr">
        <is>
          <t>miscellaneous</t>
        </is>
      </c>
      <c r="E259" s="31" t="inlineStr">
        <is>
          <t>smallcap</t>
        </is>
      </c>
      <c r="F259" s="31" t="n">
        <v>918.63</v>
      </c>
      <c r="G259" s="31" t="n">
        <v>800</v>
      </c>
      <c r="H259" s="31" t="n">
        <v>0.09</v>
      </c>
      <c r="I259" s="31" t="n">
        <v>629</v>
      </c>
      <c r="J259" s="31" t="inlineStr">
        <is>
          <t>535084</t>
        </is>
      </c>
    </row>
    <row r="260">
      <c r="A260" s="31" t="inlineStr">
        <is>
          <t>VARROC</t>
        </is>
      </c>
      <c r="B260" s="31" t="inlineStr">
        <is>
          <t>Varroc Engineering Ltd</t>
        </is>
      </c>
      <c r="C260" s="31" t="inlineStr">
        <is>
          <t>auto</t>
        </is>
      </c>
      <c r="D260" s="31" t="inlineStr">
        <is>
          <t>auto ancillaries</t>
        </is>
      </c>
      <c r="E260" s="31" t="inlineStr">
        <is>
          <t>midcap</t>
        </is>
      </c>
      <c r="F260" s="31" t="n">
        <v>12625.5</v>
      </c>
      <c r="G260" s="31" t="n">
        <v>827.05</v>
      </c>
      <c r="H260" s="31" t="n">
        <v>0.08</v>
      </c>
      <c r="I260" s="31" t="n">
        <v>154732</v>
      </c>
      <c r="J260" s="31" t="inlineStr">
        <is>
          <t>541578</t>
        </is>
      </c>
    </row>
    <row r="261">
      <c r="A261" s="31" t="inlineStr">
        <is>
          <t>GEOJITFSL</t>
        </is>
      </c>
      <c r="B261" s="31" t="inlineStr">
        <is>
          <t>Geojit Financial Services Ltd</t>
        </is>
      </c>
      <c r="C261" s="31" t="inlineStr">
        <is>
          <t>financials</t>
        </is>
      </c>
      <c r="D261" s="31" t="inlineStr">
        <is>
          <t>finance &amp; investments</t>
        </is>
      </c>
      <c r="E261" s="31" t="inlineStr">
        <is>
          <t>smallcap</t>
        </is>
      </c>
      <c r="F261" s="31" t="n">
        <v>2308.9</v>
      </c>
      <c r="G261" s="31" t="n">
        <v>82.78</v>
      </c>
      <c r="H261" s="31" t="n">
        <v>0.07000000000000001</v>
      </c>
      <c r="I261" s="31" t="n">
        <v>197271</v>
      </c>
      <c r="J261" s="31" t="inlineStr">
        <is>
          <t>532285</t>
        </is>
      </c>
    </row>
    <row r="262">
      <c r="A262" s="31" t="inlineStr">
        <is>
          <t>ELGIEQUIP</t>
        </is>
      </c>
      <c r="B262" s="31" t="inlineStr">
        <is>
          <t>Elgi Equipments Limited</t>
        </is>
      </c>
      <c r="C262" s="31" t="inlineStr">
        <is>
          <t>industrials</t>
        </is>
      </c>
      <c r="D262" s="31" t="inlineStr">
        <is>
          <t>compressors / drilling equipment</t>
        </is>
      </c>
      <c r="E262" s="31" t="inlineStr">
        <is>
          <t>largecap</t>
        </is>
      </c>
      <c r="F262" s="31" t="n">
        <v>20348.73</v>
      </c>
      <c r="G262" s="31" t="n">
        <v>642.4</v>
      </c>
      <c r="H262" s="31" t="n">
        <v>0.05</v>
      </c>
      <c r="I262" s="31" t="n">
        <v>807924</v>
      </c>
      <c r="J262" s="31" t="inlineStr">
        <is>
          <t>522074</t>
        </is>
      </c>
    </row>
    <row r="263">
      <c r="A263" s="31" t="inlineStr">
        <is>
          <t>GLAXO</t>
        </is>
      </c>
      <c r="B263" s="31" t="inlineStr">
        <is>
          <t>Glaxosmithkline Pharmaceuticals Limited</t>
        </is>
      </c>
      <c r="C263" s="31" t="inlineStr">
        <is>
          <t>healthcare</t>
        </is>
      </c>
      <c r="D263" s="31" t="inlineStr">
        <is>
          <t>pharmaceuticals - multinational</t>
        </is>
      </c>
      <c r="E263" s="31" t="inlineStr">
        <is>
          <t>largecap</t>
        </is>
      </c>
      <c r="F263" s="31" t="n">
        <v>50112</v>
      </c>
      <c r="G263" s="31" t="n">
        <v>2957.8</v>
      </c>
      <c r="H263" s="31" t="n">
        <v>-0.01</v>
      </c>
      <c r="I263" s="31" t="n">
        <v>155659</v>
      </c>
      <c r="J263" s="31" t="inlineStr">
        <is>
          <t>500660</t>
        </is>
      </c>
    </row>
    <row r="264">
      <c r="A264" s="31" t="inlineStr">
        <is>
          <t>EMCURE</t>
        </is>
      </c>
      <c r="B264" s="31" t="inlineStr">
        <is>
          <t>Emcure Pharmaceuticals Ltd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largecap</t>
        </is>
      </c>
      <c r="F264" s="31" t="n">
        <v>36562.75</v>
      </c>
      <c r="G264" s="31" t="n">
        <v>1926.8</v>
      </c>
      <c r="H264" s="31" t="n">
        <v>-0.04</v>
      </c>
      <c r="I264" s="31" t="n">
        <v>118478</v>
      </c>
      <c r="J264" s="31" t="inlineStr">
        <is>
          <t>544210</t>
        </is>
      </c>
    </row>
    <row r="265">
      <c r="A265" s="31" t="inlineStr">
        <is>
          <t>ANTHEM</t>
        </is>
      </c>
      <c r="B265" s="31" t="inlineStr">
        <is>
          <t>Anthem Biosciences Ltd</t>
        </is>
      </c>
      <c r="C265" s="31" t="inlineStr">
        <is>
          <t>healthcare</t>
        </is>
      </c>
      <c r="D265" s="31" t="inlineStr">
        <is>
          <t>pharmaceuticals - indian - bulk drugs &amp; formln</t>
        </is>
      </c>
      <c r="E265" s="31" t="inlineStr">
        <is>
          <t>largecap</t>
        </is>
      </c>
      <c r="F265" s="31" t="n">
        <v>52622.95</v>
      </c>
      <c r="G265" s="31" t="n">
        <v>933.5</v>
      </c>
      <c r="H265" s="31" t="n">
        <v>-0.06</v>
      </c>
      <c r="I265" s="31" t="n">
        <v>667717</v>
      </c>
      <c r="J265" s="31" t="inlineStr">
        <is>
          <t>544449</t>
        </is>
      </c>
    </row>
    <row r="266">
      <c r="A266" s="31" t="inlineStr">
        <is>
          <t>KANORICHEM</t>
        </is>
      </c>
      <c r="B266" s="31" t="inlineStr">
        <is>
          <t>Kanoria Chemicals &amp; Industries Limited</t>
        </is>
      </c>
      <c r="C266" s="31" t="inlineStr">
        <is>
          <t>chemicals</t>
        </is>
      </c>
      <c r="D266" s="31" t="inlineStr">
        <is>
          <t>chemicals</t>
        </is>
      </c>
      <c r="E266" s="31" t="inlineStr">
        <is>
          <t>smallcap</t>
        </is>
      </c>
      <c r="F266" s="31" t="n">
        <v>679.6900000000001</v>
      </c>
      <c r="G266" s="31" t="n">
        <v>155.41</v>
      </c>
      <c r="H266" s="31" t="n">
        <v>-0.1</v>
      </c>
      <c r="I266" s="31" t="n">
        <v>11807</v>
      </c>
      <c r="J266" s="31" t="inlineStr">
        <is>
          <t>506525</t>
        </is>
      </c>
    </row>
    <row r="267">
      <c r="A267" s="31" t="inlineStr">
        <is>
          <t>ANDHRSUGAR</t>
        </is>
      </c>
      <c r="B267" s="31" t="inlineStr">
        <is>
          <t>The Andhra Sugars Limited</t>
        </is>
      </c>
      <c r="C267" s="31" t="inlineStr">
        <is>
          <t>chemicals</t>
        </is>
      </c>
      <c r="D267" s="31" t="inlineStr">
        <is>
          <t>chlor alkali / soda ash</t>
        </is>
      </c>
      <c r="E267" s="31" t="inlineStr">
        <is>
          <t>smallcap</t>
        </is>
      </c>
      <c r="F267" s="31" t="n">
        <v>1348.71</v>
      </c>
      <c r="G267" s="31" t="n">
        <v>99.40000000000001</v>
      </c>
      <c r="H267" s="31" t="n">
        <v>-0.11</v>
      </c>
      <c r="I267" s="31" t="n">
        <v>443882</v>
      </c>
      <c r="J267" s="31" t="inlineStr">
        <is>
          <t>590062</t>
        </is>
      </c>
    </row>
    <row r="268">
      <c r="A268" s="31" t="inlineStr">
        <is>
          <t>NOCIL</t>
        </is>
      </c>
      <c r="B268" s="31" t="inlineStr">
        <is>
          <t>Nocil Limited</t>
        </is>
      </c>
      <c r="C268" s="31" t="inlineStr">
        <is>
          <t>chemicals</t>
        </is>
      </c>
      <c r="D268" s="31" t="inlineStr">
        <is>
          <t>chemicals</t>
        </is>
      </c>
      <c r="E268" s="31" t="inlineStr">
        <is>
          <t>smallcap</t>
        </is>
      </c>
      <c r="F268" s="31" t="n">
        <v>2880.18</v>
      </c>
      <c r="G268" s="31" t="n">
        <v>172.23</v>
      </c>
      <c r="H268" s="31" t="n">
        <v>-0.12</v>
      </c>
      <c r="I268" s="31" t="n">
        <v>416468</v>
      </c>
      <c r="J268" s="31" t="inlineStr">
        <is>
          <t>500730</t>
        </is>
      </c>
    </row>
    <row r="269">
      <c r="A269" s="31" t="inlineStr">
        <is>
          <t>ASAHIINDIA</t>
        </is>
      </c>
      <c r="B269" s="31" t="inlineStr">
        <is>
          <t>Asahi India Glass Limited</t>
        </is>
      </c>
      <c r="C269" s="31" t="inlineStr">
        <is>
          <t>building materials</t>
        </is>
      </c>
      <c r="D269" s="31" t="inlineStr">
        <is>
          <t>glass &amp; glass products</t>
        </is>
      </c>
      <c r="E269" s="31" t="inlineStr">
        <is>
          <t>largecap</t>
        </is>
      </c>
      <c r="F269" s="31" t="n">
        <v>24368.49</v>
      </c>
      <c r="G269" s="31" t="n">
        <v>954.65</v>
      </c>
      <c r="H269" s="31" t="n">
        <v>-0.13</v>
      </c>
      <c r="I269" s="31" t="n">
        <v>106030</v>
      </c>
      <c r="J269" s="31" t="inlineStr">
        <is>
          <t>515030</t>
        </is>
      </c>
    </row>
    <row r="270">
      <c r="A270" s="31" t="inlineStr">
        <is>
          <t>JSL</t>
        </is>
      </c>
      <c r="B270" s="31" t="inlineStr">
        <is>
          <t>Jindal Stainless Limited</t>
        </is>
      </c>
      <c r="C270" s="31" t="inlineStr">
        <is>
          <t>metals &amp; mining</t>
        </is>
      </c>
      <c r="D270" s="31" t="inlineStr">
        <is>
          <t>steel - large</t>
        </is>
      </c>
      <c r="E270" s="31" t="inlineStr">
        <is>
          <t>largecap</t>
        </is>
      </c>
      <c r="F270" s="31" t="n">
        <v>60829.8</v>
      </c>
      <c r="G270" s="31" t="n">
        <v>736.8</v>
      </c>
      <c r="H270" s="31" t="n">
        <v>-0.14</v>
      </c>
      <c r="I270" s="31" t="n">
        <v>536059</v>
      </c>
      <c r="J270" s="31" t="inlineStr">
        <is>
          <t>532508</t>
        </is>
      </c>
    </row>
    <row r="271">
      <c r="A271" s="31" t="inlineStr">
        <is>
          <t>RACLGEAR</t>
        </is>
      </c>
      <c r="B271" s="31" t="inlineStr">
        <is>
          <t>RACL Geartech Ltd</t>
        </is>
      </c>
      <c r="C271" s="31" t="inlineStr">
        <is>
          <t>auto</t>
        </is>
      </c>
      <c r="D271" s="31" t="inlineStr">
        <is>
          <t>auto ancillaries</t>
        </is>
      </c>
      <c r="E271" s="31" t="inlineStr">
        <is>
          <t>smallcap</t>
        </is>
      </c>
      <c r="F271" s="31" t="n">
        <v>1857.92</v>
      </c>
      <c r="G271" s="31" t="n">
        <v>1573.7</v>
      </c>
      <c r="H271" s="31" t="n">
        <v>-0.15</v>
      </c>
      <c r="I271" s="31" t="n">
        <v>27158</v>
      </c>
      <c r="J271" s="31" t="inlineStr">
        <is>
          <t>520073</t>
        </is>
      </c>
    </row>
    <row r="272">
      <c r="A272" s="31" t="inlineStr">
        <is>
          <t>VHL</t>
        </is>
      </c>
      <c r="B272" s="31" t="inlineStr">
        <is>
          <t>Vardhman Holdings Limited</t>
        </is>
      </c>
      <c r="C272" s="31" t="inlineStr">
        <is>
          <t>financials</t>
        </is>
      </c>
      <c r="D272" s="31" t="inlineStr">
        <is>
          <t>finance &amp; investments</t>
        </is>
      </c>
      <c r="E272" s="31" t="inlineStr">
        <is>
          <t>smallcap</t>
        </is>
      </c>
      <c r="F272" s="31" t="n">
        <v>1157.38</v>
      </c>
      <c r="G272" s="31" t="n">
        <v>3620.8</v>
      </c>
      <c r="H272" s="31" t="n">
        <v>-0.15</v>
      </c>
      <c r="I272" s="31" t="n">
        <v>193</v>
      </c>
      <c r="J272" s="31" t="inlineStr">
        <is>
          <t>500439</t>
        </is>
      </c>
    </row>
    <row r="273">
      <c r="A273" s="31" t="inlineStr">
        <is>
          <t>DEEPINDS</t>
        </is>
      </c>
      <c r="B273" s="31" t="inlineStr">
        <is>
          <t>Deep Industries Ltd</t>
        </is>
      </c>
      <c r="C273" s="31" t="inlineStr">
        <is>
          <t>energy</t>
        </is>
      </c>
      <c r="D273" s="31" t="inlineStr">
        <is>
          <t>oil drilling / allied services</t>
        </is>
      </c>
      <c r="E273" s="31" t="inlineStr">
        <is>
          <t>midcap</t>
        </is>
      </c>
      <c r="F273" s="31" t="n">
        <v>5033.28</v>
      </c>
      <c r="G273" s="31" t="n">
        <v>785.2</v>
      </c>
      <c r="H273" s="31" t="n">
        <v>-0.16</v>
      </c>
      <c r="I273" s="31" t="n">
        <v>736057</v>
      </c>
      <c r="J273" s="31" t="inlineStr">
        <is>
          <t>543288</t>
        </is>
      </c>
    </row>
    <row r="274">
      <c r="A274" s="31" t="inlineStr">
        <is>
          <t>STYLEBAAZA</t>
        </is>
      </c>
      <c r="B274" s="31" t="inlineStr">
        <is>
          <t>Baazar Style Retail Ltd</t>
        </is>
      </c>
      <c r="C274" s="31" t="inlineStr">
        <is>
          <t>consumer discretionary</t>
        </is>
      </c>
      <c r="D274" s="31" t="inlineStr">
        <is>
          <t>trading</t>
        </is>
      </c>
      <c r="E274" s="31" t="inlineStr">
        <is>
          <t>smallcap</t>
        </is>
      </c>
      <c r="F274" s="31" t="n">
        <v>3046.6</v>
      </c>
      <c r="G274" s="31" t="n">
        <v>399.5</v>
      </c>
      <c r="H274" s="31" t="n">
        <v>-0.19</v>
      </c>
      <c r="I274" s="31" t="n">
        <v>1380118</v>
      </c>
      <c r="J274" s="31" t="inlineStr">
        <is>
          <t>544243</t>
        </is>
      </c>
    </row>
    <row r="275">
      <c r="A275" s="31" t="inlineStr">
        <is>
          <t>BLSE</t>
        </is>
      </c>
      <c r="B275" s="31" t="inlineStr">
        <is>
          <t>BLS E-Services Ltd</t>
        </is>
      </c>
      <c r="C275" s="31" t="inlineStr">
        <is>
          <t>i.t</t>
        </is>
      </c>
      <c r="D275" s="31" t="inlineStr">
        <is>
          <t>computers - software - medium / small</t>
        </is>
      </c>
      <c r="E275" s="31" t="inlineStr">
        <is>
          <t>smallcap</t>
        </is>
      </c>
      <c r="F275" s="31" t="n">
        <v>2907.86</v>
      </c>
      <c r="G275" s="31" t="n">
        <v>319.45</v>
      </c>
      <c r="H275" s="31" t="n">
        <v>-0.19</v>
      </c>
      <c r="I275" s="31" t="n">
        <v>384135</v>
      </c>
      <c r="J275" s="31" t="inlineStr">
        <is>
          <t>544107</t>
        </is>
      </c>
    </row>
    <row r="276">
      <c r="A276" s="31" t="inlineStr">
        <is>
          <t>ROSSTECH</t>
        </is>
      </c>
      <c r="B276" s="31" t="inlineStr">
        <is>
          <t>Rossell Techsys Ltd</t>
        </is>
      </c>
      <c r="C276" s="31" t="inlineStr">
        <is>
          <t>aerospace &amp; defence</t>
        </is>
      </c>
      <c r="D276" s="31" t="inlineStr">
        <is>
          <t>engineering</t>
        </is>
      </c>
      <c r="E276" s="31" t="inlineStr">
        <is>
          <t>smallcap</t>
        </is>
      </c>
      <c r="F276" s="31" t="n">
        <v>4336.98</v>
      </c>
      <c r="G276" s="31" t="n">
        <v>1148.2</v>
      </c>
      <c r="H276" s="31" t="n">
        <v>-0.2</v>
      </c>
      <c r="I276" s="31" t="n">
        <v>107652</v>
      </c>
      <c r="J276" s="31" t="inlineStr">
        <is>
          <t>544294</t>
        </is>
      </c>
    </row>
    <row r="277">
      <c r="A277" s="31" t="inlineStr">
        <is>
          <t>IIFLCAPS</t>
        </is>
      </c>
      <c r="B277" s="31" t="inlineStr">
        <is>
          <t>IIFL Capital Services Ltd</t>
        </is>
      </c>
      <c r="C277" s="31" t="inlineStr">
        <is>
          <t>financials</t>
        </is>
      </c>
      <c r="D277" s="31" t="inlineStr">
        <is>
          <t>finance &amp; investments</t>
        </is>
      </c>
      <c r="E277" s="31" t="inlineStr">
        <is>
          <t>midcap</t>
        </is>
      </c>
      <c r="F277" s="31" t="n">
        <v>10694.93</v>
      </c>
      <c r="G277" s="31" t="n">
        <v>340.45</v>
      </c>
      <c r="H277" s="31" t="n">
        <v>-0.22</v>
      </c>
      <c r="I277" s="31" t="n">
        <v>565824</v>
      </c>
      <c r="J277" s="31" t="inlineStr">
        <is>
          <t>542773</t>
        </is>
      </c>
    </row>
    <row r="278">
      <c r="A278" s="31" t="inlineStr">
        <is>
          <t>MAWANASUG</t>
        </is>
      </c>
      <c r="B278" s="31" t="inlineStr">
        <is>
          <t>Mawana Sugars Limited</t>
        </is>
      </c>
      <c r="C278" s="31" t="inlineStr">
        <is>
          <t>fmcg</t>
        </is>
      </c>
      <c r="D278" s="31" t="inlineStr">
        <is>
          <t>sugar</t>
        </is>
      </c>
      <c r="E278" s="31" t="inlineStr">
        <is>
          <t>smallcap</t>
        </is>
      </c>
      <c r="F278" s="31" t="n">
        <v>568.88</v>
      </c>
      <c r="G278" s="31" t="n">
        <v>145.11</v>
      </c>
      <c r="H278" s="31" t="n">
        <v>-0.22</v>
      </c>
      <c r="I278" s="31" t="n">
        <v>304058</v>
      </c>
      <c r="J278" s="31" t="inlineStr">
        <is>
          <t>523371</t>
        </is>
      </c>
    </row>
    <row r="279">
      <c r="A279" s="31" t="inlineStr">
        <is>
          <t>SUVEN</t>
        </is>
      </c>
      <c r="B279" s="31" t="inlineStr">
        <is>
          <t>Suven Life Sciences Limited</t>
        </is>
      </c>
      <c r="C279" s="31" t="inlineStr">
        <is>
          <t>healthcare</t>
        </is>
      </c>
      <c r="D279" s="31" t="inlineStr">
        <is>
          <t>miscellaneous</t>
        </is>
      </c>
      <c r="E279" s="31" t="inlineStr">
        <is>
          <t>smallcap</t>
        </is>
      </c>
      <c r="F279" s="31" t="n">
        <v>730.25</v>
      </c>
      <c r="G279" s="31" t="n">
        <v>377.15</v>
      </c>
      <c r="H279" s="31" t="n">
        <v>-0.22</v>
      </c>
      <c r="I279" s="31" t="n">
        <v>862473</v>
      </c>
      <c r="J279" s="31" t="inlineStr">
        <is>
          <t>530239</t>
        </is>
      </c>
    </row>
    <row r="280">
      <c r="A280" s="31" t="inlineStr">
        <is>
          <t>GLOBAL</t>
        </is>
      </c>
      <c r="B280" s="31" t="inlineStr">
        <is>
          <t>Global Education Ltd</t>
        </is>
      </c>
      <c r="C280" s="31" t="inlineStr">
        <is>
          <t>services</t>
        </is>
      </c>
      <c r="D280" s="31" t="inlineStr">
        <is>
          <t>miscellaneous</t>
        </is>
      </c>
      <c r="E280" s="31" t="inlineStr">
        <is>
          <t>smallcap</t>
        </is>
      </c>
      <c r="F280" s="31" t="n">
        <v>613.11</v>
      </c>
      <c r="G280" s="31" t="n">
        <v>120.15</v>
      </c>
      <c r="H280" s="31" t="n">
        <v>-0.25</v>
      </c>
      <c r="I280" s="31" t="n">
        <v>129151</v>
      </c>
      <c r="J280" s="31" t="inlineStr">
        <is>
          <t>538406</t>
        </is>
      </c>
    </row>
    <row r="281">
      <c r="A281" s="31" t="inlineStr">
        <is>
          <t>OIL</t>
        </is>
      </c>
      <c r="B281" s="31" t="inlineStr">
        <is>
          <t>Oil India Limited</t>
        </is>
      </c>
      <c r="C281" s="31" t="inlineStr">
        <is>
          <t>energy</t>
        </is>
      </c>
      <c r="D281" s="31" t="inlineStr">
        <is>
          <t>oil drilling / allied services</t>
        </is>
      </c>
      <c r="E281" s="31" t="inlineStr">
        <is>
          <t>largecap</t>
        </is>
      </c>
      <c r="F281" s="31" t="n">
        <v>79427.25999999999</v>
      </c>
      <c r="G281" s="31" t="n">
        <v>487</v>
      </c>
      <c r="H281" s="31" t="n">
        <v>-0.27</v>
      </c>
      <c r="I281" s="31" t="n">
        <v>2811694</v>
      </c>
      <c r="J281" s="31" t="inlineStr">
        <is>
          <t>533106</t>
        </is>
      </c>
    </row>
    <row r="282">
      <c r="A282" s="31" t="inlineStr">
        <is>
          <t>SAILIFE</t>
        </is>
      </c>
      <c r="B282" s="31" t="inlineStr">
        <is>
          <t>Sai Life Sciences Ltd</t>
        </is>
      </c>
      <c r="C282" s="31" t="inlineStr">
        <is>
          <t>healthcare</t>
        </is>
      </c>
      <c r="D282" s="31" t="inlineStr">
        <is>
          <t>pharmaceuticals - indian - bulk drugs &amp; formln</t>
        </is>
      </c>
      <c r="E282" s="31" t="inlineStr">
        <is>
          <t>largecap</t>
        </is>
      </c>
      <c r="F282" s="31" t="n">
        <v>33632.47</v>
      </c>
      <c r="G282" s="31" t="n">
        <v>1579.6</v>
      </c>
      <c r="H282" s="31" t="n">
        <v>-0.3</v>
      </c>
      <c r="I282" s="31" t="n">
        <v>456700</v>
      </c>
      <c r="J282" s="31" t="inlineStr">
        <is>
          <t>544306</t>
        </is>
      </c>
    </row>
    <row r="283">
      <c r="A283" s="31" t="inlineStr">
        <is>
          <t>CENTENKA</t>
        </is>
      </c>
      <c r="B283" s="31" t="inlineStr">
        <is>
          <t>Century Enka Limited</t>
        </is>
      </c>
      <c r="C283" s="31" t="inlineStr">
        <is>
          <t>textiles</t>
        </is>
      </c>
      <c r="D283" s="31" t="inlineStr">
        <is>
          <t>textiles - manmade</t>
        </is>
      </c>
      <c r="E283" s="31" t="inlineStr">
        <is>
          <t>smallcap</t>
        </is>
      </c>
      <c r="F283" s="31" t="n">
        <v>1330.48</v>
      </c>
      <c r="G283" s="31" t="n">
        <v>607.05</v>
      </c>
      <c r="H283" s="31" t="n">
        <v>-0.3</v>
      </c>
      <c r="I283" s="31" t="n">
        <v>131351</v>
      </c>
      <c r="J283" s="31" t="inlineStr">
        <is>
          <t>500280</t>
        </is>
      </c>
    </row>
    <row r="284">
      <c r="A284" s="31" t="inlineStr">
        <is>
          <t>IDFCFIRSTB</t>
        </is>
      </c>
      <c r="B284" s="31" t="inlineStr">
        <is>
          <t>IDFC First Bank Ltd</t>
        </is>
      </c>
      <c r="C284" s="31" t="inlineStr">
        <is>
          <t>bank</t>
        </is>
      </c>
      <c r="D284" s="31" t="inlineStr">
        <is>
          <t>banks - private sector</t>
        </is>
      </c>
      <c r="E284" s="31" t="inlineStr">
        <is>
          <t>largecap</t>
        </is>
      </c>
      <c r="F284" s="31" t="n">
        <v>74698.37</v>
      </c>
      <c r="G284" s="31" t="n">
        <v>86.44</v>
      </c>
      <c r="H284" s="31" t="n">
        <v>-0.31</v>
      </c>
      <c r="I284" s="31" t="n">
        <v>10617041</v>
      </c>
      <c r="J284" s="31" t="inlineStr">
        <is>
          <t>539437</t>
        </is>
      </c>
    </row>
    <row r="285">
      <c r="A285" s="31" t="inlineStr">
        <is>
          <t>PTCIL</t>
        </is>
      </c>
      <c r="B285" s="31" t="inlineStr">
        <is>
          <t>PTC Industries Ltd</t>
        </is>
      </c>
      <c r="C285" s="31" t="inlineStr">
        <is>
          <t>industrials</t>
        </is>
      </c>
      <c r="D285" s="31" t="inlineStr">
        <is>
          <t>castings &amp; forgings</t>
        </is>
      </c>
      <c r="E285" s="31" t="inlineStr">
        <is>
          <t>largecap</t>
        </is>
      </c>
      <c r="F285" s="31" t="n">
        <v>35727.24</v>
      </c>
      <c r="G285" s="31" t="n">
        <v>23755</v>
      </c>
      <c r="H285" s="31" t="n">
        <v>-0.31</v>
      </c>
      <c r="I285" s="31" t="n">
        <v>29308</v>
      </c>
      <c r="J285" s="31" t="inlineStr">
        <is>
          <t>539006</t>
        </is>
      </c>
    </row>
    <row r="286">
      <c r="A286" s="31" t="inlineStr">
        <is>
          <t>HAPPYFORGE</t>
        </is>
      </c>
      <c r="B286" s="31" t="inlineStr">
        <is>
          <t>Happy Forgings Ltd</t>
        </is>
      </c>
      <c r="C286" s="31" t="inlineStr">
        <is>
          <t>industrials</t>
        </is>
      </c>
      <c r="D286" s="31" t="inlineStr">
        <is>
          <t>castings &amp; forgings</t>
        </is>
      </c>
      <c r="E286" s="31" t="inlineStr">
        <is>
          <t>largecap</t>
        </is>
      </c>
      <c r="F286" s="31" t="n">
        <v>21126.68</v>
      </c>
      <c r="G286" s="31" t="n">
        <v>2231.4</v>
      </c>
      <c r="H286" s="31" t="n">
        <v>-0.32</v>
      </c>
      <c r="I286" s="31" t="n">
        <v>45858</v>
      </c>
      <c r="J286" s="31" t="inlineStr">
        <is>
          <t>544057</t>
        </is>
      </c>
    </row>
    <row r="287">
      <c r="A287" s="31" t="inlineStr">
        <is>
          <t>CRISIL</t>
        </is>
      </c>
      <c r="B287" s="31" t="inlineStr">
        <is>
          <t>Crisil Limited</t>
        </is>
      </c>
      <c r="C287" s="31" t="inlineStr">
        <is>
          <t>financials</t>
        </is>
      </c>
      <c r="D287" s="31" t="inlineStr">
        <is>
          <t>miscellaneous</t>
        </is>
      </c>
      <c r="E287" s="31" t="inlineStr">
        <is>
          <t>largecap</t>
        </is>
      </c>
      <c r="F287" s="31" t="n">
        <v>35117.03</v>
      </c>
      <c r="G287" s="31" t="n">
        <v>4786.6</v>
      </c>
      <c r="H287" s="31" t="n">
        <v>-0.32</v>
      </c>
      <c r="I287" s="31" t="n">
        <v>26082</v>
      </c>
      <c r="J287" s="31" t="inlineStr">
        <is>
          <t>500092</t>
        </is>
      </c>
    </row>
    <row r="288">
      <c r="A288" s="31" t="inlineStr">
        <is>
          <t>IPCALAB</t>
        </is>
      </c>
      <c r="B288" s="31" t="inlineStr">
        <is>
          <t>Ipca Laboratories Limited</t>
        </is>
      </c>
      <c r="C288" s="31" t="inlineStr">
        <is>
          <t>healthcare</t>
        </is>
      </c>
      <c r="D288" s="31" t="inlineStr">
        <is>
          <t>pharmaceuticals - indian - bulk drugs &amp; formln</t>
        </is>
      </c>
      <c r="E288" s="31" t="inlineStr">
        <is>
          <t>largecap</t>
        </is>
      </c>
      <c r="F288" s="31" t="n">
        <v>49860.49</v>
      </c>
      <c r="G288" s="31" t="n">
        <v>1959.1</v>
      </c>
      <c r="H288" s="31" t="n">
        <v>-0.32</v>
      </c>
      <c r="I288" s="31" t="n">
        <v>92425</v>
      </c>
      <c r="J288" s="31" t="inlineStr">
        <is>
          <t>524494</t>
        </is>
      </c>
    </row>
    <row r="289">
      <c r="A289" s="31" t="inlineStr">
        <is>
          <t>NSLNISP</t>
        </is>
      </c>
      <c r="B289" s="31" t="inlineStr">
        <is>
          <t>NMDC Steel Ltd</t>
        </is>
      </c>
      <c r="C289" s="31" t="inlineStr">
        <is>
          <t>metals &amp; mining</t>
        </is>
      </c>
      <c r="D289" s="31" t="inlineStr">
        <is>
          <t>steel - large</t>
        </is>
      </c>
      <c r="E289" s="31" t="inlineStr">
        <is>
          <t>midcap</t>
        </is>
      </c>
      <c r="F289" s="31" t="n">
        <v>13486.65</v>
      </c>
      <c r="G289" s="31" t="n">
        <v>45.87</v>
      </c>
      <c r="H289" s="31" t="n">
        <v>-0.33</v>
      </c>
      <c r="I289" s="31" t="n">
        <v>5748765</v>
      </c>
      <c r="J289" s="31" t="inlineStr">
        <is>
          <t>543768</t>
        </is>
      </c>
    </row>
    <row r="290">
      <c r="A290" s="31" t="inlineStr">
        <is>
          <t>SUTLEJTEX</t>
        </is>
      </c>
      <c r="B290" s="31" t="inlineStr">
        <is>
          <t>Sutlej Textiles And Industries Limited</t>
        </is>
      </c>
      <c r="C290" s="31" t="inlineStr">
        <is>
          <t>textiles</t>
        </is>
      </c>
      <c r="D290" s="31" t="inlineStr">
        <is>
          <t>textiles - cotton/blended</t>
        </is>
      </c>
      <c r="E290" s="31" t="inlineStr">
        <is>
          <t>smallcap</t>
        </is>
      </c>
      <c r="F290" s="31" t="n">
        <v>669.9</v>
      </c>
      <c r="G290" s="31" t="n">
        <v>40.75</v>
      </c>
      <c r="H290" s="31" t="n">
        <v>-0.34</v>
      </c>
      <c r="I290" s="31" t="n">
        <v>68622</v>
      </c>
      <c r="J290" s="31" t="inlineStr">
        <is>
          <t>532782</t>
        </is>
      </c>
    </row>
    <row r="291">
      <c r="A291" s="31" t="inlineStr">
        <is>
          <t>INDGN</t>
        </is>
      </c>
      <c r="B291" s="31" t="inlineStr">
        <is>
          <t>Indegene Ltd</t>
        </is>
      </c>
      <c r="C291" s="31" t="inlineStr">
        <is>
          <t>healthcare</t>
        </is>
      </c>
      <c r="D291" s="31" t="inlineStr">
        <is>
          <t>miscellaneous</t>
        </is>
      </c>
      <c r="E291" s="31" t="inlineStr">
        <is>
          <t>midcap</t>
        </is>
      </c>
      <c r="F291" s="31" t="n">
        <v>14493.4</v>
      </c>
      <c r="G291" s="31" t="n">
        <v>599.35</v>
      </c>
      <c r="H291" s="31" t="n">
        <v>-0.36</v>
      </c>
      <c r="I291" s="31" t="n">
        <v>336187</v>
      </c>
      <c r="J291" s="31" t="inlineStr">
        <is>
          <t>544172</t>
        </is>
      </c>
    </row>
    <row r="292">
      <c r="A292" s="31" t="inlineStr">
        <is>
          <t>CONFIPET</t>
        </is>
      </c>
      <c r="B292" s="31" t="inlineStr">
        <is>
          <t>Confidence Petroleum India Ltd</t>
        </is>
      </c>
      <c r="C292" s="31" t="inlineStr">
        <is>
          <t>miscellaneous</t>
        </is>
      </c>
      <c r="D292" s="31" t="inlineStr">
        <is>
          <t>miscellaneous</t>
        </is>
      </c>
      <c r="E292" s="31" t="inlineStr">
        <is>
          <t>smallcap</t>
        </is>
      </c>
      <c r="F292" s="31" t="n">
        <v>2740.32</v>
      </c>
      <c r="G292" s="31" t="n">
        <v>82.18000000000001</v>
      </c>
      <c r="H292" s="31" t="n">
        <v>-0.36</v>
      </c>
      <c r="I292" s="31" t="n">
        <v>2942312</v>
      </c>
      <c r="J292" s="31" t="inlineStr">
        <is>
          <t>526829</t>
        </is>
      </c>
    </row>
    <row r="293">
      <c r="A293" s="31" t="inlineStr">
        <is>
          <t>GENUSPOWER</t>
        </is>
      </c>
      <c r="B293" s="31" t="inlineStr">
        <is>
          <t>Genus Power Infrastructures Limited</t>
        </is>
      </c>
      <c r="C293" s="31" t="inlineStr">
        <is>
          <t>consumer discretionary</t>
        </is>
      </c>
      <c r="D293" s="31" t="inlineStr">
        <is>
          <t>electronics - components</t>
        </is>
      </c>
      <c r="E293" s="31" t="inlineStr">
        <is>
          <t>midcap</t>
        </is>
      </c>
      <c r="F293" s="31" t="n">
        <v>10277.32</v>
      </c>
      <c r="G293" s="31" t="n">
        <v>336.4</v>
      </c>
      <c r="H293" s="31" t="n">
        <v>-0.41</v>
      </c>
      <c r="I293" s="31" t="n">
        <v>2776994</v>
      </c>
      <c r="J293" s="31" t="inlineStr">
        <is>
          <t>530343</t>
        </is>
      </c>
    </row>
    <row r="294">
      <c r="A294" s="31" t="inlineStr">
        <is>
          <t>63MOONS</t>
        </is>
      </c>
      <c r="B294" s="31" t="inlineStr">
        <is>
          <t>63 Moons Technologies Ltd</t>
        </is>
      </c>
      <c r="C294" s="31" t="inlineStr">
        <is>
          <t>i.t</t>
        </is>
      </c>
      <c r="D294" s="31" t="inlineStr">
        <is>
          <t>computers - software - medium / small</t>
        </is>
      </c>
      <c r="E294" s="31" t="inlineStr">
        <is>
          <t>smallcap</t>
        </is>
      </c>
      <c r="F294" s="31" t="n">
        <v>4038.78</v>
      </c>
      <c r="G294" s="31" t="n">
        <v>872.7</v>
      </c>
      <c r="H294" s="31" t="n">
        <v>-0.43</v>
      </c>
      <c r="I294" s="31" t="n">
        <v>249471</v>
      </c>
      <c r="J294" s="31" t="inlineStr">
        <is>
          <t>526881</t>
        </is>
      </c>
    </row>
    <row r="295">
      <c r="A295" s="31" t="inlineStr">
        <is>
          <t>NOVARTIND</t>
        </is>
      </c>
      <c r="B295" s="31" t="inlineStr">
        <is>
          <t>Novartis India Ltd</t>
        </is>
      </c>
      <c r="C295" s="31" t="inlineStr">
        <is>
          <t>healthcare</t>
        </is>
      </c>
      <c r="D295" s="31" t="inlineStr">
        <is>
          <t>pharmaceuticals - multinational</t>
        </is>
      </c>
      <c r="E295" s="31" t="inlineStr">
        <is>
          <t>smallcap</t>
        </is>
      </c>
      <c r="F295" s="31" t="n">
        <v>4065.83</v>
      </c>
      <c r="G295" s="31" t="n">
        <v>1639.6</v>
      </c>
      <c r="H295" s="31" t="n">
        <v>-0.43</v>
      </c>
      <c r="I295" s="31" t="n">
        <v>73338</v>
      </c>
      <c r="J295" s="31" t="inlineStr">
        <is>
          <t>500672</t>
        </is>
      </c>
    </row>
    <row r="296">
      <c r="A296" s="31" t="inlineStr">
        <is>
          <t>MANGLMCEM</t>
        </is>
      </c>
      <c r="B296" s="31" t="inlineStr">
        <is>
          <t>Mangalam Cement Limited</t>
        </is>
      </c>
      <c r="C296" s="31" t="inlineStr">
        <is>
          <t>building materials</t>
        </is>
      </c>
      <c r="D296" s="31" t="inlineStr">
        <is>
          <t>cement - north india</t>
        </is>
      </c>
      <c r="E296" s="31" t="inlineStr">
        <is>
          <t>smallcap</t>
        </is>
      </c>
      <c r="F296" s="31" t="n">
        <v>3011.5</v>
      </c>
      <c r="G296" s="31" t="n">
        <v>1090.2</v>
      </c>
      <c r="H296" s="31" t="n">
        <v>-0.46</v>
      </c>
      <c r="I296" s="31" t="n">
        <v>74696</v>
      </c>
      <c r="J296" s="31" t="inlineStr">
        <is>
          <t>502157</t>
        </is>
      </c>
    </row>
    <row r="297">
      <c r="A297" s="31" t="inlineStr">
        <is>
          <t>SMARTWORKS</t>
        </is>
      </c>
      <c r="B297" s="31" t="inlineStr">
        <is>
          <t>Smartworks Coworking Spaces Ltd</t>
        </is>
      </c>
      <c r="C297" s="31" t="inlineStr">
        <is>
          <t>co-working</t>
        </is>
      </c>
      <c r="D297" s="31" t="inlineStr">
        <is>
          <t>miscellaneous</t>
        </is>
      </c>
      <c r="E297" s="31" t="inlineStr">
        <is>
          <t>midcap</t>
        </is>
      </c>
      <c r="F297" s="31" t="n">
        <v>6187.29</v>
      </c>
      <c r="G297" s="31" t="n">
        <v>538.95</v>
      </c>
      <c r="H297" s="31" t="n">
        <v>-0.47</v>
      </c>
      <c r="I297" s="31" t="n">
        <v>35123</v>
      </c>
      <c r="J297" s="31" t="inlineStr">
        <is>
          <t>544447</t>
        </is>
      </c>
    </row>
    <row r="298">
      <c r="A298" s="31" t="inlineStr">
        <is>
          <t>UNIMECH</t>
        </is>
      </c>
      <c r="B298" s="31" t="inlineStr">
        <is>
          <t>Unimech Aerospace and Manufacturing Ltd</t>
        </is>
      </c>
      <c r="C298" s="31" t="inlineStr">
        <is>
          <t>aerospace &amp; defence</t>
        </is>
      </c>
      <c r="D298" s="31" t="inlineStr">
        <is>
          <t>engineering</t>
        </is>
      </c>
      <c r="E298" s="31" t="inlineStr">
        <is>
          <t>midcap</t>
        </is>
      </c>
      <c r="F298" s="31" t="n">
        <v>7642.26</v>
      </c>
      <c r="G298" s="31" t="n">
        <v>1495.7</v>
      </c>
      <c r="H298" s="31" t="n">
        <v>-0.47</v>
      </c>
      <c r="I298" s="31" t="n">
        <v>169474</v>
      </c>
      <c r="J298" s="31" t="inlineStr">
        <is>
          <t>544322</t>
        </is>
      </c>
    </row>
    <row r="299">
      <c r="A299" s="31" t="inlineStr">
        <is>
          <t>PASUPTAC</t>
        </is>
      </c>
      <c r="B299" s="31" t="inlineStr">
        <is>
          <t>Pasupati Acrylon Ltd</t>
        </is>
      </c>
      <c r="C299" s="31" t="inlineStr">
        <is>
          <t>textiles</t>
        </is>
      </c>
      <c r="D299" s="31" t="inlineStr">
        <is>
          <t>textiles - manmade</t>
        </is>
      </c>
      <c r="E299" s="31" t="inlineStr">
        <is>
          <t>smallcap</t>
        </is>
      </c>
      <c r="F299" s="31" t="n">
        <v>602.9</v>
      </c>
      <c r="G299" s="31" t="n">
        <v>67.31999999999999</v>
      </c>
      <c r="H299" s="31" t="n">
        <v>-0.47</v>
      </c>
      <c r="I299" s="31" t="n">
        <v>116622</v>
      </c>
      <c r="J299" s="31" t="inlineStr">
        <is>
          <t>500456</t>
        </is>
      </c>
    </row>
    <row r="300">
      <c r="A300" s="31" t="inlineStr">
        <is>
          <t>SPAL</t>
        </is>
      </c>
      <c r="B300" s="31" t="inlineStr">
        <is>
          <t>S. P. Apparels Limited</t>
        </is>
      </c>
      <c r="C300" s="31" t="inlineStr">
        <is>
          <t>consumer discretionary</t>
        </is>
      </c>
      <c r="D300" s="31" t="inlineStr">
        <is>
          <t>textiles - products</t>
        </is>
      </c>
      <c r="E300" s="31" t="inlineStr">
        <is>
          <t>smallcap</t>
        </is>
      </c>
      <c r="F300" s="31" t="n">
        <v>2692.63</v>
      </c>
      <c r="G300" s="31" t="n">
        <v>1065.9</v>
      </c>
      <c r="H300" s="31" t="n">
        <v>-0.49</v>
      </c>
      <c r="I300" s="31" t="n">
        <v>29190</v>
      </c>
      <c r="J300" s="31" t="inlineStr">
        <is>
          <t>540048</t>
        </is>
      </c>
    </row>
    <row r="301">
      <c r="A301" s="31" t="inlineStr">
        <is>
          <t>YUKEN</t>
        </is>
      </c>
      <c r="B301" s="31" t="inlineStr">
        <is>
          <t>Yuken India Ltd</t>
        </is>
      </c>
      <c r="C301" s="31" t="inlineStr">
        <is>
          <t>industrials</t>
        </is>
      </c>
      <c r="D301" s="31" t="inlineStr">
        <is>
          <t>engineering</t>
        </is>
      </c>
      <c r="E301" s="31" t="inlineStr">
        <is>
          <t>smallcap</t>
        </is>
      </c>
      <c r="F301" s="31" t="n">
        <v>1373.07</v>
      </c>
      <c r="G301" s="31" t="n">
        <v>1005.6</v>
      </c>
      <c r="H301" s="31" t="n">
        <v>-0.51</v>
      </c>
      <c r="I301" s="31" t="n">
        <v>9288</v>
      </c>
      <c r="J301" s="31" t="inlineStr">
        <is>
          <t>522108</t>
        </is>
      </c>
    </row>
    <row r="302">
      <c r="A302" s="31" t="inlineStr">
        <is>
          <t>CARERATING</t>
        </is>
      </c>
      <c r="B302" s="31" t="inlineStr">
        <is>
          <t>CARE Ratings Ltd</t>
        </is>
      </c>
      <c r="C302" s="31" t="inlineStr">
        <is>
          <t>financials</t>
        </is>
      </c>
      <c r="D302" s="31" t="inlineStr">
        <is>
          <t>miscellaneous</t>
        </is>
      </c>
      <c r="E302" s="31" t="inlineStr">
        <is>
          <t>midcap</t>
        </is>
      </c>
      <c r="F302" s="31" t="n">
        <v>5225.1</v>
      </c>
      <c r="G302" s="31" t="n">
        <v>1729.3</v>
      </c>
      <c r="H302" s="31" t="n">
        <v>-0.51</v>
      </c>
      <c r="I302" s="31" t="n">
        <v>92927</v>
      </c>
      <c r="J302" s="31" t="inlineStr">
        <is>
          <t>534804</t>
        </is>
      </c>
    </row>
    <row r="303">
      <c r="A303" s="31" t="inlineStr">
        <is>
          <t>BEPL</t>
        </is>
      </c>
      <c r="B303" s="31" t="inlineStr">
        <is>
          <t>Bhansali Engineering Polymers Limited</t>
        </is>
      </c>
      <c r="C303" s="31" t="inlineStr">
        <is>
          <t>energy</t>
        </is>
      </c>
      <c r="D303" s="31" t="inlineStr">
        <is>
          <t>petrochemicals</t>
        </is>
      </c>
      <c r="E303" s="31" t="inlineStr">
        <is>
          <t>smallcap</t>
        </is>
      </c>
      <c r="F303" s="31" t="n">
        <v>3172.95</v>
      </c>
      <c r="G303" s="31" t="n">
        <v>126.84</v>
      </c>
      <c r="H303" s="31" t="n">
        <v>-0.52</v>
      </c>
      <c r="I303" s="31" t="n">
        <v>1042410</v>
      </c>
      <c r="J303" s="31" t="inlineStr">
        <is>
          <t>500052</t>
        </is>
      </c>
    </row>
    <row r="304">
      <c r="A304" s="31" t="inlineStr">
        <is>
          <t>QUADFUTURE</t>
        </is>
      </c>
      <c r="B304" s="31" t="inlineStr">
        <is>
          <t>Quadrant Future Tek Ltd</t>
        </is>
      </c>
      <c r="C304" s="31" t="inlineStr">
        <is>
          <t>industrials</t>
        </is>
      </c>
      <c r="D304" s="31" t="inlineStr">
        <is>
          <t>cables - power</t>
        </is>
      </c>
      <c r="E304" s="31" t="inlineStr">
        <is>
          <t>smallcap</t>
        </is>
      </c>
      <c r="F304" s="31" t="n">
        <v>1671.6</v>
      </c>
      <c r="G304" s="31" t="n">
        <v>415.65</v>
      </c>
      <c r="H304" s="31" t="n">
        <v>-0.54</v>
      </c>
      <c r="I304" s="31" t="n">
        <v>432652</v>
      </c>
      <c r="J304" s="31" t="inlineStr">
        <is>
          <t>544336</t>
        </is>
      </c>
    </row>
    <row r="305">
      <c r="A305" s="31" t="inlineStr">
        <is>
          <t>ASIANHOTNR</t>
        </is>
      </c>
      <c r="B305" s="31" t="inlineStr">
        <is>
          <t>Asian Hotels (north) Limited</t>
        </is>
      </c>
      <c r="C305" s="31" t="inlineStr">
        <is>
          <t>services</t>
        </is>
      </c>
      <c r="D305" s="31" t="inlineStr">
        <is>
          <t>hotels</t>
        </is>
      </c>
      <c r="E305" s="31" t="inlineStr">
        <is>
          <t>smallcap</t>
        </is>
      </c>
      <c r="F305" s="31" t="n">
        <v>1640.31</v>
      </c>
      <c r="G305" s="31" t="n">
        <v>382.65</v>
      </c>
      <c r="H305" s="31" t="n">
        <v>-0.55</v>
      </c>
      <c r="I305" s="31" t="n">
        <v>22793</v>
      </c>
      <c r="J305" s="31" t="inlineStr">
        <is>
          <t>500023</t>
        </is>
      </c>
    </row>
    <row r="306">
      <c r="A306" s="31" t="inlineStr">
        <is>
          <t>KOTAKBANK</t>
        </is>
      </c>
      <c r="B306" s="31" t="inlineStr">
        <is>
          <t>Kotak Mahindra Bank Limited</t>
        </is>
      </c>
      <c r="C306" s="31" t="inlineStr">
        <is>
          <t>bank</t>
        </is>
      </c>
      <c r="D306" s="31" t="inlineStr">
        <is>
          <t>banks - private sector</t>
        </is>
      </c>
      <c r="E306" s="31" t="inlineStr">
        <is>
          <t>largecap</t>
        </is>
      </c>
      <c r="F306" s="31" t="n">
        <v>422237.8</v>
      </c>
      <c r="G306" s="31" t="n">
        <v>422.1</v>
      </c>
      <c r="H306" s="31" t="n">
        <v>-0.57</v>
      </c>
      <c r="I306" s="31" t="n">
        <v>7148641</v>
      </c>
      <c r="J306" s="31" t="inlineStr">
        <is>
          <t>500247</t>
        </is>
      </c>
    </row>
    <row r="307">
      <c r="A307" s="31" t="inlineStr">
        <is>
          <t>ORIENTHOT</t>
        </is>
      </c>
      <c r="B307" s="31" t="inlineStr">
        <is>
          <t>Oriental Hotels Limited</t>
        </is>
      </c>
      <c r="C307" s="31" t="inlineStr">
        <is>
          <t>services</t>
        </is>
      </c>
      <c r="D307" s="31" t="inlineStr">
        <is>
          <t>hotels</t>
        </is>
      </c>
      <c r="E307" s="31" t="inlineStr">
        <is>
          <t>smallcap</t>
        </is>
      </c>
      <c r="F307" s="31" t="n">
        <v>2499.14</v>
      </c>
      <c r="G307" s="31" t="n">
        <v>139.11</v>
      </c>
      <c r="H307" s="31" t="n">
        <v>-0.59</v>
      </c>
      <c r="I307" s="31" t="n">
        <v>347072</v>
      </c>
      <c r="J307" s="31" t="inlineStr">
        <is>
          <t>500314</t>
        </is>
      </c>
    </row>
    <row r="308">
      <c r="A308" s="31" t="inlineStr">
        <is>
          <t>APCOTEXIND</t>
        </is>
      </c>
      <c r="B308" s="31" t="inlineStr">
        <is>
          <t>Apcotex Industries Limited</t>
        </is>
      </c>
      <c r="C308" s="31" t="inlineStr">
        <is>
          <t>chemicals</t>
        </is>
      </c>
      <c r="D308" s="31" t="inlineStr">
        <is>
          <t>miscellaneous</t>
        </is>
      </c>
      <c r="E308" s="31" t="inlineStr">
        <is>
          <t>smallcap</t>
        </is>
      </c>
      <c r="F308" s="31" t="n">
        <v>3294.75</v>
      </c>
      <c r="G308" s="31" t="n">
        <v>631.6</v>
      </c>
      <c r="H308" s="31" t="n">
        <v>-0.61</v>
      </c>
      <c r="I308" s="31" t="n">
        <v>96163</v>
      </c>
      <c r="J308" s="31" t="inlineStr">
        <is>
          <t>523694</t>
        </is>
      </c>
    </row>
    <row r="309">
      <c r="A309" s="31" t="inlineStr">
        <is>
          <t>RELIGARE</t>
        </is>
      </c>
      <c r="B309" s="31" t="inlineStr">
        <is>
          <t>Religare Enterprises Limited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midcap</t>
        </is>
      </c>
      <c r="F309" s="31" t="n">
        <v>8772.440000000001</v>
      </c>
      <c r="G309" s="31" t="n">
        <v>255.45</v>
      </c>
      <c r="H309" s="31" t="n">
        <v>-0.63</v>
      </c>
      <c r="I309" s="31" t="n">
        <v>1240789</v>
      </c>
      <c r="J309" s="31" t="inlineStr">
        <is>
          <t>532915</t>
        </is>
      </c>
    </row>
    <row r="310">
      <c r="A310" s="31" t="inlineStr">
        <is>
          <t>CASTROLIND</t>
        </is>
      </c>
      <c r="B310" s="31" t="inlineStr">
        <is>
          <t>Castrol India Limited</t>
        </is>
      </c>
      <c r="C310" s="31" t="inlineStr">
        <is>
          <t>chemicals</t>
        </is>
      </c>
      <c r="D310" s="31" t="inlineStr">
        <is>
          <t>chemicals</t>
        </is>
      </c>
      <c r="E310" s="31" t="inlineStr">
        <is>
          <t>midcap</t>
        </is>
      </c>
      <c r="F310" s="31" t="n">
        <v>18820.03</v>
      </c>
      <c r="G310" s="31" t="n">
        <v>189.01</v>
      </c>
      <c r="H310" s="31" t="n">
        <v>-0.66</v>
      </c>
      <c r="I310" s="31" t="n">
        <v>1639217</v>
      </c>
      <c r="J310" s="31" t="inlineStr">
        <is>
          <t>500870</t>
        </is>
      </c>
    </row>
    <row r="311">
      <c r="A311" s="31" t="inlineStr">
        <is>
          <t>INDIGOPNTS</t>
        </is>
      </c>
      <c r="B311" s="31" t="inlineStr">
        <is>
          <t>Indigo Paints Ltd</t>
        </is>
      </c>
      <c r="C311" s="31" t="inlineStr">
        <is>
          <t>building materials</t>
        </is>
      </c>
      <c r="D311" s="31" t="inlineStr">
        <is>
          <t>paints / varnishes</t>
        </is>
      </c>
      <c r="E311" s="31" t="inlineStr">
        <is>
          <t>midcap</t>
        </is>
      </c>
      <c r="F311" s="31" t="n">
        <v>5653.38</v>
      </c>
      <c r="G311" s="31" t="n">
        <v>1178</v>
      </c>
      <c r="H311" s="31" t="n">
        <v>-0.66</v>
      </c>
      <c r="I311" s="31" t="n">
        <v>77673</v>
      </c>
      <c r="J311" s="31" t="inlineStr">
        <is>
          <t>543258</t>
        </is>
      </c>
    </row>
    <row r="312">
      <c r="A312" s="31" t="inlineStr">
        <is>
          <t>LUMAXIND</t>
        </is>
      </c>
      <c r="B312" s="31" t="inlineStr">
        <is>
          <t>Lumax Industries Limited</t>
        </is>
      </c>
      <c r="C312" s="31" t="inlineStr">
        <is>
          <t>auto</t>
        </is>
      </c>
      <c r="D312" s="31" t="inlineStr">
        <is>
          <t>auto ancillaries</t>
        </is>
      </c>
      <c r="E312" s="31" t="inlineStr">
        <is>
          <t>midcap</t>
        </is>
      </c>
      <c r="F312" s="31" t="n">
        <v>5778.3</v>
      </c>
      <c r="G312" s="31" t="n">
        <v>6139.5</v>
      </c>
      <c r="H312" s="31" t="n">
        <v>-0.68</v>
      </c>
      <c r="I312" s="31" t="n">
        <v>12227</v>
      </c>
      <c r="J312" s="31" t="inlineStr">
        <is>
          <t>517206</t>
        </is>
      </c>
    </row>
    <row r="313">
      <c r="A313" s="31" t="inlineStr">
        <is>
          <t>APOLLOPIPE</t>
        </is>
      </c>
      <c r="B313" s="31" t="inlineStr">
        <is>
          <t>Apollo Pipes Ltd</t>
        </is>
      </c>
      <c r="C313" s="31" t="inlineStr">
        <is>
          <t>plastic products</t>
        </is>
      </c>
      <c r="D313" s="31" t="inlineStr">
        <is>
          <t>plastics products</t>
        </is>
      </c>
      <c r="E313" s="31" t="inlineStr">
        <is>
          <t>smallcap</t>
        </is>
      </c>
      <c r="F313" s="31" t="n">
        <v>2665.36</v>
      </c>
      <c r="G313" s="31" t="n">
        <v>601</v>
      </c>
      <c r="H313" s="31" t="n">
        <v>-0.68</v>
      </c>
      <c r="I313" s="31" t="n">
        <v>115502</v>
      </c>
      <c r="J313" s="31" t="inlineStr">
        <is>
          <t>531761</t>
        </is>
      </c>
    </row>
    <row r="314">
      <c r="A314" s="31" t="inlineStr">
        <is>
          <t>VENKEYS</t>
        </is>
      </c>
      <c r="B314" s="31" t="inlineStr">
        <is>
          <t>Venky's (india) Limited</t>
        </is>
      </c>
      <c r="C314" s="31" t="inlineStr">
        <is>
          <t>fmcg</t>
        </is>
      </c>
      <c r="D314" s="31" t="inlineStr">
        <is>
          <t>miscellaneous</t>
        </is>
      </c>
      <c r="E314" s="31" t="inlineStr">
        <is>
          <t>smallcap</t>
        </is>
      </c>
      <c r="F314" s="31" t="n">
        <v>2337.93</v>
      </c>
      <c r="G314" s="31" t="n">
        <v>1648.3</v>
      </c>
      <c r="H314" s="31" t="n">
        <v>-0.68</v>
      </c>
      <c r="I314" s="31" t="n">
        <v>40538</v>
      </c>
      <c r="J314" s="31" t="inlineStr">
        <is>
          <t>523261</t>
        </is>
      </c>
    </row>
    <row r="315">
      <c r="A315" s="31" t="inlineStr">
        <is>
          <t>MANALIPETC</t>
        </is>
      </c>
      <c r="B315" s="31" t="inlineStr">
        <is>
          <t>Manali Petrochemicals Limited</t>
        </is>
      </c>
      <c r="C315" s="31" t="inlineStr">
        <is>
          <t>energy</t>
        </is>
      </c>
      <c r="D315" s="31" t="inlineStr">
        <is>
          <t>petrochemicals</t>
        </is>
      </c>
      <c r="E315" s="31" t="inlineStr">
        <is>
          <t>smallcap</t>
        </is>
      </c>
      <c r="F315" s="31" t="n">
        <v>1492.27</v>
      </c>
      <c r="G315" s="31" t="n">
        <v>86.16</v>
      </c>
      <c r="H315" s="31" t="n">
        <v>-0.6899999999999999</v>
      </c>
      <c r="I315" s="31" t="n">
        <v>2321723</v>
      </c>
      <c r="J315" s="31" t="inlineStr">
        <is>
          <t>500268</t>
        </is>
      </c>
    </row>
    <row r="316">
      <c r="A316" s="31" t="inlineStr">
        <is>
          <t>INOXINDIA</t>
        </is>
      </c>
      <c r="B316" s="31" t="inlineStr">
        <is>
          <t>Inox India Ltd</t>
        </is>
      </c>
      <c r="C316" s="31" t="inlineStr">
        <is>
          <t>industrials</t>
        </is>
      </c>
      <c r="D316" s="31" t="inlineStr">
        <is>
          <t>packaging</t>
        </is>
      </c>
      <c r="E316" s="31" t="inlineStr">
        <is>
          <t>largecap</t>
        </is>
      </c>
      <c r="F316" s="31" t="n">
        <v>20401.82</v>
      </c>
      <c r="G316" s="31" t="n">
        <v>2231.4</v>
      </c>
      <c r="H316" s="31" t="n">
        <v>-0.73</v>
      </c>
      <c r="I316" s="31" t="n">
        <v>154701</v>
      </c>
      <c r="J316" s="31" t="inlineStr">
        <is>
          <t>544046</t>
        </is>
      </c>
    </row>
    <row r="317">
      <c r="A317" s="31" t="inlineStr">
        <is>
          <t>DYNAMATECH</t>
        </is>
      </c>
      <c r="B317" s="31" t="inlineStr">
        <is>
          <t>Dynamatic Technologies Limited</t>
        </is>
      </c>
      <c r="C317" s="31" t="inlineStr">
        <is>
          <t>aerospace &amp; defence</t>
        </is>
      </c>
      <c r="D317" s="31" t="inlineStr">
        <is>
          <t>engineering</t>
        </is>
      </c>
      <c r="E317" s="31" t="inlineStr">
        <is>
          <t>midcap</t>
        </is>
      </c>
      <c r="F317" s="31" t="n">
        <v>7914.75</v>
      </c>
      <c r="G317" s="31" t="n">
        <v>11569</v>
      </c>
      <c r="H317" s="31" t="n">
        <v>-0.73</v>
      </c>
      <c r="I317" s="31" t="n">
        <v>17282</v>
      </c>
      <c r="J317" s="31" t="inlineStr">
        <is>
          <t>505242</t>
        </is>
      </c>
    </row>
    <row r="318">
      <c r="A318" s="31" t="inlineStr">
        <is>
          <t>TNPETRO</t>
        </is>
      </c>
      <c r="B318" s="31" t="inlineStr">
        <is>
          <t>Tamilnadu Petroproducts Limited</t>
        </is>
      </c>
      <c r="C318" s="31" t="inlineStr">
        <is>
          <t>energy</t>
        </is>
      </c>
      <c r="D318" s="31" t="inlineStr">
        <is>
          <t>petrochemicals</t>
        </is>
      </c>
      <c r="E318" s="31" t="inlineStr">
        <is>
          <t>smallcap</t>
        </is>
      </c>
      <c r="F318" s="31" t="n">
        <v>1193.92</v>
      </c>
      <c r="G318" s="31" t="n">
        <v>131.73</v>
      </c>
      <c r="H318" s="31" t="n">
        <v>-0.73</v>
      </c>
      <c r="I318" s="31" t="n">
        <v>701145</v>
      </c>
      <c r="J318" s="31" t="inlineStr">
        <is>
          <t>500777</t>
        </is>
      </c>
    </row>
    <row r="319">
      <c r="A319" s="31" t="inlineStr">
        <is>
          <t>SEAMECLTD</t>
        </is>
      </c>
      <c r="B319" s="31" t="inlineStr">
        <is>
          <t>Seamec Limited</t>
        </is>
      </c>
      <c r="C319" s="31" t="inlineStr">
        <is>
          <t>miscellaneous</t>
        </is>
      </c>
      <c r="D319" s="31" t="inlineStr">
        <is>
          <t>miscellaneous</t>
        </is>
      </c>
      <c r="E319" s="31" t="inlineStr">
        <is>
          <t>smallcap</t>
        </is>
      </c>
      <c r="F319" s="31" t="n">
        <v>4560.23</v>
      </c>
      <c r="G319" s="31" t="n">
        <v>1779.9</v>
      </c>
      <c r="H319" s="31" t="n">
        <v>-0.76</v>
      </c>
      <c r="I319" s="31" t="n">
        <v>57558</v>
      </c>
      <c r="J319" s="31" t="inlineStr">
        <is>
          <t>526807</t>
        </is>
      </c>
    </row>
    <row r="320">
      <c r="A320" s="31" t="inlineStr">
        <is>
          <t>CUPID</t>
        </is>
      </c>
      <c r="B320" s="31" t="inlineStr">
        <is>
          <t>Cupid Limited</t>
        </is>
      </c>
      <c r="C320" s="31" t="inlineStr">
        <is>
          <t>fmcg</t>
        </is>
      </c>
      <c r="D320" s="31" t="inlineStr">
        <is>
          <t>personal care - indian</t>
        </is>
      </c>
      <c r="E320" s="31" t="inlineStr">
        <is>
          <t>largecap</t>
        </is>
      </c>
      <c r="F320" s="31" t="n">
        <v>38074.07</v>
      </c>
      <c r="G320" s="31" t="n">
        <v>280.95</v>
      </c>
      <c r="H320" s="31" t="n">
        <v>-0.78</v>
      </c>
      <c r="I320" s="31" t="n">
        <v>5517341</v>
      </c>
      <c r="J320" s="31" t="inlineStr">
        <is>
          <t>530843</t>
        </is>
      </c>
    </row>
    <row r="321">
      <c r="A321" s="31" t="inlineStr">
        <is>
          <t>HITECHCORP</t>
        </is>
      </c>
      <c r="B321" s="31" t="inlineStr">
        <is>
          <t>Hitech Corporation</t>
        </is>
      </c>
      <c r="C321" s="31" t="inlineStr">
        <is>
          <t>industrials</t>
        </is>
      </c>
      <c r="D321" s="31" t="inlineStr">
        <is>
          <t>packaging</t>
        </is>
      </c>
      <c r="E321" s="31" t="inlineStr">
        <is>
          <t>smallcap</t>
        </is>
      </c>
      <c r="F321" s="31" t="n">
        <v>578.8200000000001</v>
      </c>
      <c r="G321" s="31" t="n">
        <v>334.35</v>
      </c>
      <c r="H321" s="31" t="n">
        <v>-0.79</v>
      </c>
      <c r="I321" s="31" t="n">
        <v>7494</v>
      </c>
      <c r="J321" s="31" t="inlineStr">
        <is>
          <t>526217</t>
        </is>
      </c>
    </row>
    <row r="322">
      <c r="A322" s="31" t="inlineStr">
        <is>
          <t>GREENPLY</t>
        </is>
      </c>
      <c r="B322" s="31" t="inlineStr">
        <is>
          <t>Greenply Industries Limited</t>
        </is>
      </c>
      <c r="C322" s="31" t="inlineStr">
        <is>
          <t>building materials</t>
        </is>
      </c>
      <c r="D322" s="31" t="inlineStr">
        <is>
          <t>miscellaneous</t>
        </is>
      </c>
      <c r="E322" s="31" t="inlineStr">
        <is>
          <t>smallcap</t>
        </is>
      </c>
      <c r="F322" s="31" t="n">
        <v>3805.77</v>
      </c>
      <c r="G322" s="31" t="n">
        <v>302.2</v>
      </c>
      <c r="H322" s="31" t="n">
        <v>-0.82</v>
      </c>
      <c r="I322" s="31" t="n">
        <v>389935</v>
      </c>
      <c r="J322" s="31" t="inlineStr">
        <is>
          <t>526797</t>
        </is>
      </c>
    </row>
    <row r="323">
      <c r="A323" s="31" t="inlineStr">
        <is>
          <t>MANAKSTEEL</t>
        </is>
      </c>
      <c r="B323" s="31" t="inlineStr">
        <is>
          <t>Manaksia Steels Limited</t>
        </is>
      </c>
      <c r="C323" s="31" t="inlineStr">
        <is>
          <t>metals &amp; mining</t>
        </is>
      </c>
      <c r="D323" s="31" t="inlineStr">
        <is>
          <t>steel - medium / small</t>
        </is>
      </c>
      <c r="E323" s="31" t="inlineStr">
        <is>
          <t>smallcap</t>
        </is>
      </c>
      <c r="F323" s="31" t="n">
        <v>703.1799999999999</v>
      </c>
      <c r="G323" s="31" t="n">
        <v>106.41</v>
      </c>
      <c r="H323" s="31" t="n">
        <v>-0.83</v>
      </c>
      <c r="I323" s="31" t="n">
        <v>80511</v>
      </c>
      <c r="J323" s="31" t="inlineStr">
        <is>
          <t>539044</t>
        </is>
      </c>
    </row>
    <row r="324">
      <c r="A324" s="31" t="inlineStr">
        <is>
          <t>QPOWER</t>
        </is>
      </c>
      <c r="B324" s="31" t="inlineStr">
        <is>
          <t>Quality Power Electrical Equipments Ltd</t>
        </is>
      </c>
      <c r="C324" s="31" t="inlineStr">
        <is>
          <t>industrials</t>
        </is>
      </c>
      <c r="D324" s="31" t="inlineStr">
        <is>
          <t>electric equipment</t>
        </is>
      </c>
      <c r="E324" s="31" t="inlineStr">
        <is>
          <t>midcap</t>
        </is>
      </c>
      <c r="F324" s="31" t="n">
        <v>11580.22</v>
      </c>
      <c r="G324" s="31" t="n">
        <v>1482.5</v>
      </c>
      <c r="H324" s="31" t="n">
        <v>-0.86</v>
      </c>
      <c r="I324" s="31" t="n">
        <v>660514</v>
      </c>
      <c r="J324" s="31" t="inlineStr">
        <is>
          <t>544367</t>
        </is>
      </c>
    </row>
    <row r="325">
      <c r="A325" s="31" t="inlineStr">
        <is>
          <t>ENGINERSIN</t>
        </is>
      </c>
      <c r="B325" s="31" t="inlineStr">
        <is>
          <t>Engineers India Limited</t>
        </is>
      </c>
      <c r="C325" s="31" t="inlineStr">
        <is>
          <t>realty</t>
        </is>
      </c>
      <c r="D325" s="31" t="inlineStr">
        <is>
          <t>engineering - turnkey services</t>
        </is>
      </c>
      <c r="E325" s="31" t="inlineStr">
        <is>
          <t>midcap</t>
        </is>
      </c>
      <c r="F325" s="31" t="n">
        <v>15706.27</v>
      </c>
      <c r="G325" s="31" t="n">
        <v>277.05</v>
      </c>
      <c r="H325" s="31" t="n">
        <v>-0.86</v>
      </c>
      <c r="I325" s="31" t="n">
        <v>3272902</v>
      </c>
      <c r="J325" s="31" t="inlineStr">
        <is>
          <t>532178</t>
        </is>
      </c>
    </row>
    <row r="326">
      <c r="A326" s="31" t="inlineStr">
        <is>
          <t>TIIL</t>
        </is>
      </c>
      <c r="B326" s="31" t="inlineStr">
        <is>
          <t>Technocraft Industries (india) Limited</t>
        </is>
      </c>
      <c r="C326" s="31" t="inlineStr">
        <is>
          <t>metals &amp; mining</t>
        </is>
      </c>
      <c r="D326" s="31" t="inlineStr">
        <is>
          <t>steel - medium / small</t>
        </is>
      </c>
      <c r="E326" s="31" t="inlineStr">
        <is>
          <t>midcap</t>
        </is>
      </c>
      <c r="F326" s="31" t="n">
        <v>7243.05</v>
      </c>
      <c r="G326" s="31" t="n">
        <v>3166.4</v>
      </c>
      <c r="H326" s="31" t="n">
        <v>-0.88</v>
      </c>
      <c r="I326" s="31" t="n">
        <v>20927</v>
      </c>
      <c r="J326" s="31" t="inlineStr">
        <is>
          <t>532804</t>
        </is>
      </c>
    </row>
    <row r="327">
      <c r="A327" s="31" t="inlineStr">
        <is>
          <t>SGIL</t>
        </is>
      </c>
      <c r="B327" s="31" t="inlineStr">
        <is>
          <t>Synergy Green Industries Ltd</t>
        </is>
      </c>
      <c r="C327" s="31" t="inlineStr">
        <is>
          <t>industrials</t>
        </is>
      </c>
      <c r="D327" s="31" t="inlineStr">
        <is>
          <t>castings &amp; forgings</t>
        </is>
      </c>
      <c r="E327" s="31" t="inlineStr">
        <is>
          <t>smallcap</t>
        </is>
      </c>
      <c r="F327" s="31" t="n">
        <v>942.22</v>
      </c>
      <c r="G327" s="31" t="n">
        <v>600.85</v>
      </c>
      <c r="H327" s="31" t="n">
        <v>-0.88</v>
      </c>
      <c r="I327" s="31" t="n">
        <v>3866</v>
      </c>
      <c r="J327" s="31" t="inlineStr">
        <is>
          <t>541929</t>
        </is>
      </c>
    </row>
    <row r="328">
      <c r="A328" s="31" t="inlineStr">
        <is>
          <t>CRAFTSMAN</t>
        </is>
      </c>
      <c r="B328" s="31" t="inlineStr">
        <is>
          <t>Craftsman Automation Ltd</t>
        </is>
      </c>
      <c r="C328" s="31" t="inlineStr">
        <is>
          <t>auto</t>
        </is>
      </c>
      <c r="D328" s="31" t="inlineStr">
        <is>
          <t>auto ancillaries</t>
        </is>
      </c>
      <c r="E328" s="31" t="inlineStr">
        <is>
          <t>largecap</t>
        </is>
      </c>
      <c r="F328" s="31" t="n">
        <v>29810.82</v>
      </c>
      <c r="G328" s="31" t="n">
        <v>11297</v>
      </c>
      <c r="H328" s="31" t="n">
        <v>-0.89</v>
      </c>
      <c r="I328" s="31" t="n">
        <v>27397</v>
      </c>
      <c r="J328" s="31" t="inlineStr">
        <is>
          <t>543276</t>
        </is>
      </c>
    </row>
    <row r="329">
      <c r="A329" s="31" t="inlineStr">
        <is>
          <t>INNOVACAP</t>
        </is>
      </c>
      <c r="B329" s="31" t="inlineStr">
        <is>
          <t>Innova Captab Ltd</t>
        </is>
      </c>
      <c r="C329" s="31" t="inlineStr">
        <is>
          <t>healthcare</t>
        </is>
      </c>
      <c r="D329" s="31" t="inlineStr">
        <is>
          <t>pharmaceuticals - indian - bulk drugs &amp; formln</t>
        </is>
      </c>
      <c r="E329" s="31" t="inlineStr">
        <is>
          <t>midcap</t>
        </is>
      </c>
      <c r="F329" s="31" t="n">
        <v>6726.22</v>
      </c>
      <c r="G329" s="31" t="n">
        <v>1164.4</v>
      </c>
      <c r="H329" s="31" t="n">
        <v>-0.9399999999999999</v>
      </c>
      <c r="I329" s="31" t="n">
        <v>104975</v>
      </c>
      <c r="J329" s="31" t="inlineStr">
        <is>
          <t>544067</t>
        </is>
      </c>
    </row>
    <row r="330">
      <c r="A330" s="31" t="inlineStr">
        <is>
          <t>IMAGICAA</t>
        </is>
      </c>
      <c r="B330" s="31" t="inlineStr">
        <is>
          <t>Imagicaaworld Entertainment Ltd</t>
        </is>
      </c>
      <c r="C330" s="31" t="inlineStr">
        <is>
          <t>media</t>
        </is>
      </c>
      <c r="D330" s="31" t="inlineStr">
        <is>
          <t>recreation / amusement parks</t>
        </is>
      </c>
      <c r="E330" s="31" t="inlineStr">
        <is>
          <t>smallcap</t>
        </is>
      </c>
      <c r="F330" s="31" t="n">
        <v>3133.74</v>
      </c>
      <c r="G330" s="31" t="n">
        <v>54.86</v>
      </c>
      <c r="H330" s="31" t="n">
        <v>-0.9399999999999999</v>
      </c>
      <c r="I330" s="31" t="n">
        <v>1374657</v>
      </c>
      <c r="J330" s="31" t="inlineStr">
        <is>
          <t>539056</t>
        </is>
      </c>
    </row>
    <row r="331">
      <c r="A331" s="31" t="inlineStr">
        <is>
          <t>SWANDEF</t>
        </is>
      </c>
      <c r="B331" s="31" t="inlineStr">
        <is>
          <t>Swan Defence and Heavy Industries Ltd</t>
        </is>
      </c>
      <c r="C331" s="31" t="inlineStr">
        <is>
          <t>transportation</t>
        </is>
      </c>
      <c r="D331" s="31" t="inlineStr">
        <is>
          <t>miscellaneous</t>
        </is>
      </c>
      <c r="E331" s="31" t="inlineStr">
        <is>
          <t>midcap</t>
        </is>
      </c>
      <c r="F331" s="31" t="n">
        <v>13276.96</v>
      </c>
      <c r="G331" s="31" t="n">
        <v>2496</v>
      </c>
      <c r="H331" s="31" t="n">
        <v>-0.96</v>
      </c>
      <c r="I331" s="31" t="n">
        <v>25333</v>
      </c>
      <c r="J331" s="31" t="inlineStr">
        <is>
          <t>533107</t>
        </is>
      </c>
    </row>
    <row r="332">
      <c r="A332" s="31" t="inlineStr">
        <is>
          <t>SUNDRMFAST</t>
        </is>
      </c>
      <c r="B332" s="31" t="inlineStr">
        <is>
          <t>Sundram Fasteners Limited</t>
        </is>
      </c>
      <c r="C332" s="31" t="inlineStr">
        <is>
          <t>auto</t>
        </is>
      </c>
      <c r="D332" s="31" t="inlineStr">
        <is>
          <t>auto ancillaries</t>
        </is>
      </c>
      <c r="E332" s="31" t="inlineStr">
        <is>
          <t>largecap</t>
        </is>
      </c>
      <c r="F332" s="31" t="n">
        <v>25473.86</v>
      </c>
      <c r="G332" s="31" t="n">
        <v>1200.5</v>
      </c>
      <c r="H332" s="31" t="n">
        <v>-0.97</v>
      </c>
      <c r="I332" s="31" t="n">
        <v>61152</v>
      </c>
      <c r="J332" s="31" t="inlineStr">
        <is>
          <t>500403</t>
        </is>
      </c>
    </row>
    <row r="333">
      <c r="A333" s="31" t="inlineStr">
        <is>
          <t>STEELXIND</t>
        </is>
      </c>
      <c r="B333" s="31" t="inlineStr">
        <is>
          <t>Steel Exchange India Ltd</t>
        </is>
      </c>
      <c r="C333" s="31" t="inlineStr">
        <is>
          <t>metals &amp; mining</t>
        </is>
      </c>
      <c r="D333" s="31" t="inlineStr">
        <is>
          <t>steel - medium / small</t>
        </is>
      </c>
      <c r="E333" s="31" t="inlineStr">
        <is>
          <t>smallcap</t>
        </is>
      </c>
      <c r="F333" s="31" t="n">
        <v>1446.44</v>
      </c>
      <c r="G333" s="31" t="n">
        <v>11.23</v>
      </c>
      <c r="H333" s="31" t="n">
        <v>-0.97</v>
      </c>
      <c r="I333" s="31" t="n">
        <v>1498999</v>
      </c>
      <c r="J333" s="31" t="inlineStr">
        <is>
          <t>534748</t>
        </is>
      </c>
    </row>
    <row r="334">
      <c r="A334" s="31" t="inlineStr">
        <is>
          <t>AVTNPL</t>
        </is>
      </c>
      <c r="B334" s="31" t="inlineStr">
        <is>
          <t>Avt Natural Products Limited</t>
        </is>
      </c>
      <c r="C334" s="31" t="inlineStr">
        <is>
          <t>fmcg</t>
        </is>
      </c>
      <c r="D334" s="31" t="inlineStr">
        <is>
          <t>solvent extraction</t>
        </is>
      </c>
      <c r="E334" s="31" t="inlineStr">
        <is>
          <t>smallcap</t>
        </is>
      </c>
      <c r="F334" s="31" t="n">
        <v>1386.09</v>
      </c>
      <c r="G334" s="31" t="n">
        <v>90.09999999999999</v>
      </c>
      <c r="H334" s="31" t="n">
        <v>-1.01</v>
      </c>
      <c r="I334" s="31" t="n">
        <v>126113</v>
      </c>
      <c r="J334" s="31" t="inlineStr">
        <is>
          <t>519105</t>
        </is>
      </c>
    </row>
    <row r="335">
      <c r="A335" s="31" t="inlineStr">
        <is>
          <t>GANDHAR</t>
        </is>
      </c>
      <c r="B335" s="31" t="inlineStr">
        <is>
          <t>Gandhar Oil Refinery (India) Ltd</t>
        </is>
      </c>
      <c r="C335" s="31" t="inlineStr">
        <is>
          <t>energy</t>
        </is>
      </c>
      <c r="D335" s="31" t="inlineStr">
        <is>
          <t>refineries</t>
        </is>
      </c>
      <c r="E335" s="31" t="inlineStr">
        <is>
          <t>smallcap</t>
        </is>
      </c>
      <c r="F335" s="31" t="n">
        <v>2619.26</v>
      </c>
      <c r="G335" s="31" t="n">
        <v>264.85</v>
      </c>
      <c r="H335" s="31" t="n">
        <v>-1.03</v>
      </c>
      <c r="I335" s="31" t="n">
        <v>719670</v>
      </c>
      <c r="J335" s="31" t="inlineStr">
        <is>
          <t>544029</t>
        </is>
      </c>
    </row>
    <row r="336">
      <c r="A336" s="31" t="inlineStr">
        <is>
          <t>ASIANENE</t>
        </is>
      </c>
      <c r="B336" s="31" t="inlineStr">
        <is>
          <t>Asian Energy Services Ltd</t>
        </is>
      </c>
      <c r="C336" s="31" t="inlineStr">
        <is>
          <t>energy</t>
        </is>
      </c>
      <c r="D336" s="31" t="inlineStr">
        <is>
          <t>oil drilling / allied services</t>
        </is>
      </c>
      <c r="E336" s="31" t="inlineStr">
        <is>
          <t>smallcap</t>
        </is>
      </c>
      <c r="F336" s="31" t="n">
        <v>2516.34</v>
      </c>
      <c r="G336" s="31" t="n">
        <v>511.8</v>
      </c>
      <c r="H336" s="31" t="n">
        <v>-1.09</v>
      </c>
      <c r="I336" s="31" t="n">
        <v>356718</v>
      </c>
      <c r="J336" s="31" t="inlineStr">
        <is>
          <t>530355</t>
        </is>
      </c>
    </row>
    <row r="337">
      <c r="A337" s="31" t="inlineStr">
        <is>
          <t>MAHABANK</t>
        </is>
      </c>
      <c r="B337" s="31" t="inlineStr">
        <is>
          <t>Bank Of Maharashtra Ltd</t>
        </is>
      </c>
      <c r="C337" s="31" t="inlineStr">
        <is>
          <t>bank</t>
        </is>
      </c>
      <c r="D337" s="31" t="inlineStr">
        <is>
          <t>banks - public sector</t>
        </is>
      </c>
      <c r="E337" s="31" t="inlineStr">
        <is>
          <t>largecap</t>
        </is>
      </c>
      <c r="F337" s="31" t="n">
        <v>66108.91</v>
      </c>
      <c r="G337" s="31" t="n">
        <v>85</v>
      </c>
      <c r="H337" s="31" t="n">
        <v>-1.11</v>
      </c>
      <c r="I337" s="31" t="n">
        <v>12286857</v>
      </c>
      <c r="J337" s="31" t="inlineStr">
        <is>
          <t>532525</t>
        </is>
      </c>
    </row>
    <row r="338">
      <c r="A338" s="31" t="inlineStr">
        <is>
          <t>ARROWGREEN</t>
        </is>
      </c>
      <c r="B338" s="31" t="inlineStr">
        <is>
          <t>Arrow Greentech Limited</t>
        </is>
      </c>
      <c r="C338" s="31" t="inlineStr">
        <is>
          <t>plastic products</t>
        </is>
      </c>
      <c r="D338" s="31" t="inlineStr">
        <is>
          <t>plastics products</t>
        </is>
      </c>
      <c r="E338" s="31" t="inlineStr">
        <is>
          <t>smallcap</t>
        </is>
      </c>
      <c r="F338" s="31" t="n">
        <v>1228.31</v>
      </c>
      <c r="G338" s="31" t="n">
        <v>805.1</v>
      </c>
      <c r="H338" s="31" t="n">
        <v>-1.11</v>
      </c>
      <c r="I338" s="31" t="n">
        <v>19575</v>
      </c>
      <c r="J338" s="31" t="inlineStr">
        <is>
          <t>516064</t>
        </is>
      </c>
    </row>
    <row r="339">
      <c r="A339" s="31" t="inlineStr">
        <is>
          <t>ACMESOLAR</t>
        </is>
      </c>
      <c r="B339" s="31" t="inlineStr">
        <is>
          <t>ACME Solar Holdings Ltd</t>
        </is>
      </c>
      <c r="C339" s="31" t="inlineStr">
        <is>
          <t>realty</t>
        </is>
      </c>
      <c r="D339" s="31" t="inlineStr">
        <is>
          <t>engineering - turnkey services</t>
        </is>
      </c>
      <c r="E339" s="31" t="inlineStr">
        <is>
          <t>largecap</t>
        </is>
      </c>
      <c r="F339" s="31" t="n">
        <v>29547.35</v>
      </c>
      <c r="G339" s="31" t="n">
        <v>413.15</v>
      </c>
      <c r="H339" s="31" t="n">
        <v>-1.16</v>
      </c>
      <c r="I339" s="31" t="n">
        <v>1367600</v>
      </c>
      <c r="J339" s="31" t="inlineStr">
        <is>
          <t>544283</t>
        </is>
      </c>
    </row>
    <row r="340">
      <c r="A340" s="31" t="inlineStr">
        <is>
          <t>ORIENTBELL</t>
        </is>
      </c>
      <c r="B340" s="31" t="inlineStr">
        <is>
          <t>Orient Bell Limited</t>
        </is>
      </c>
      <c r="C340" s="31" t="inlineStr">
        <is>
          <t>building materials</t>
        </is>
      </c>
      <c r="D340" s="31" t="inlineStr">
        <is>
          <t>ceramics - tiles / sanitaryware</t>
        </is>
      </c>
      <c r="E340" s="31" t="inlineStr">
        <is>
          <t>smallcap</t>
        </is>
      </c>
      <c r="F340" s="31" t="n">
        <v>617.99</v>
      </c>
      <c r="G340" s="31" t="n">
        <v>415.1</v>
      </c>
      <c r="H340" s="31" t="n">
        <v>-1.19</v>
      </c>
      <c r="I340" s="31" t="n">
        <v>107644</v>
      </c>
      <c r="J340" s="31" t="inlineStr">
        <is>
          <t>530365</t>
        </is>
      </c>
    </row>
    <row r="341">
      <c r="A341" s="31" t="inlineStr">
        <is>
          <t>BLUSPRING</t>
        </is>
      </c>
      <c r="B341" s="31" t="inlineStr">
        <is>
          <t>Bluspring Enterprises Ltd</t>
        </is>
      </c>
      <c r="C341" s="31" t="inlineStr">
        <is>
          <t>miscellaneous</t>
        </is>
      </c>
      <c r="D341" s="31" t="inlineStr">
        <is>
          <t>diversified - large</t>
        </is>
      </c>
      <c r="E341" s="31" t="inlineStr">
        <is>
          <t>smallcap</t>
        </is>
      </c>
      <c r="F341" s="31" t="n">
        <v>2076.63</v>
      </c>
      <c r="G341" s="31" t="n">
        <v>137.19</v>
      </c>
      <c r="H341" s="31" t="n">
        <v>-1.27</v>
      </c>
      <c r="I341" s="31" t="n">
        <v>216374</v>
      </c>
      <c r="J341" s="31" t="inlineStr">
        <is>
          <t>544414</t>
        </is>
      </c>
    </row>
    <row r="342">
      <c r="A342" s="31" t="inlineStr">
        <is>
          <t>RSWM</t>
        </is>
      </c>
      <c r="B342" s="31" t="inlineStr">
        <is>
          <t>Rswm Limited</t>
        </is>
      </c>
      <c r="C342" s="31" t="inlineStr">
        <is>
          <t>textiles</t>
        </is>
      </c>
      <c r="D342" s="31" t="inlineStr">
        <is>
          <t>textiles - cotton/blended</t>
        </is>
      </c>
      <c r="E342" s="31" t="inlineStr">
        <is>
          <t>smallcap</t>
        </is>
      </c>
      <c r="F342" s="31" t="n">
        <v>1039.2</v>
      </c>
      <c r="G342" s="31" t="n">
        <v>217.69</v>
      </c>
      <c r="H342" s="31" t="n">
        <v>-1.33</v>
      </c>
      <c r="I342" s="31" t="n">
        <v>35426</v>
      </c>
      <c r="J342" s="31" t="inlineStr">
        <is>
          <t>500350</t>
        </is>
      </c>
    </row>
    <row r="343">
      <c r="A343" s="31" t="inlineStr">
        <is>
          <t>MATRIMONY</t>
        </is>
      </c>
      <c r="B343" s="31" t="inlineStr">
        <is>
          <t>Matrimony.com Ltd</t>
        </is>
      </c>
      <c r="C343" s="31" t="inlineStr">
        <is>
          <t>miscellaneous</t>
        </is>
      </c>
      <c r="D343" s="31" t="inlineStr">
        <is>
          <t>miscellaneous</t>
        </is>
      </c>
      <c r="E343" s="31" t="inlineStr">
        <is>
          <t>smallcap</t>
        </is>
      </c>
      <c r="F343" s="31" t="n">
        <v>1093.73</v>
      </c>
      <c r="G343" s="31" t="n">
        <v>521.45</v>
      </c>
      <c r="H343" s="31" t="n">
        <v>-1.44</v>
      </c>
      <c r="I343" s="31" t="n">
        <v>7444</v>
      </c>
      <c r="J343" s="31" t="inlineStr">
        <is>
          <t>540704</t>
        </is>
      </c>
    </row>
    <row r="344">
      <c r="A344" s="31" t="inlineStr">
        <is>
          <t>CGCL</t>
        </is>
      </c>
      <c r="B344" s="31" t="inlineStr">
        <is>
          <t>Capri Global Capital Limited</t>
        </is>
      </c>
      <c r="C344" s="31" t="inlineStr">
        <is>
          <t>financials</t>
        </is>
      </c>
      <c r="D344" s="31" t="inlineStr">
        <is>
          <t>finance &amp; investments</t>
        </is>
      </c>
      <c r="E344" s="31" t="inlineStr">
        <is>
          <t>largecap</t>
        </is>
      </c>
      <c r="F344" s="31" t="n">
        <v>26930.69</v>
      </c>
      <c r="G344" s="31" t="n">
        <v>275.7</v>
      </c>
      <c r="H344" s="31" t="n">
        <v>-1.5</v>
      </c>
      <c r="I344" s="31" t="n">
        <v>6271786</v>
      </c>
      <c r="J344" s="31" t="inlineStr">
        <is>
          <t>531595</t>
        </is>
      </c>
    </row>
    <row r="345">
      <c r="A345" s="31" t="inlineStr">
        <is>
          <t>CHENNPETRO</t>
        </is>
      </c>
      <c r="B345" s="31" t="inlineStr">
        <is>
          <t>Chennai Petroleum Corporation Limited</t>
        </is>
      </c>
      <c r="C345" s="31" t="inlineStr">
        <is>
          <t>energy</t>
        </is>
      </c>
      <c r="D345" s="31" t="inlineStr">
        <is>
          <t>refineries</t>
        </is>
      </c>
      <c r="E345" s="31" t="inlineStr">
        <is>
          <t>largecap</t>
        </is>
      </c>
      <c r="F345" s="31" t="n">
        <v>21624.91</v>
      </c>
      <c r="G345" s="31" t="n">
        <v>1430.2</v>
      </c>
      <c r="H345" s="31" t="n">
        <v>-1.51</v>
      </c>
      <c r="I345" s="31" t="n">
        <v>567726</v>
      </c>
      <c r="J345" s="31" t="inlineStr">
        <is>
          <t>500110</t>
        </is>
      </c>
    </row>
    <row r="346">
      <c r="A346" s="31" t="inlineStr">
        <is>
          <t>SYNCOMF</t>
        </is>
      </c>
      <c r="B346" s="31" t="inlineStr">
        <is>
          <t>Syncom Formulations (India) Ltd</t>
        </is>
      </c>
      <c r="C346" s="31" t="inlineStr">
        <is>
          <t>healthcare</t>
        </is>
      </c>
      <c r="D346" s="31" t="inlineStr">
        <is>
          <t>pharmaceuticals - indian - bulk drugs &amp; formln</t>
        </is>
      </c>
      <c r="E346" s="31" t="inlineStr">
        <is>
          <t>smallcap</t>
        </is>
      </c>
      <c r="F346" s="31" t="n">
        <v>1934.52</v>
      </c>
      <c r="G346" s="31" t="n">
        <v>20.27</v>
      </c>
      <c r="H346" s="31" t="n">
        <v>-1.51</v>
      </c>
      <c r="I346" s="31" t="n">
        <v>11295960</v>
      </c>
      <c r="J346" s="31" t="inlineStr">
        <is>
          <t>524470</t>
        </is>
      </c>
    </row>
    <row r="347">
      <c r="A347" s="31" t="inlineStr">
        <is>
          <t>IGPL</t>
        </is>
      </c>
      <c r="B347" s="31" t="inlineStr">
        <is>
          <t>Ig Petrochemicals Limited</t>
        </is>
      </c>
      <c r="C347" s="31" t="inlineStr">
        <is>
          <t>chemicals</t>
        </is>
      </c>
      <c r="D347" s="31" t="inlineStr">
        <is>
          <t>chemicals</t>
        </is>
      </c>
      <c r="E347" s="31" t="inlineStr">
        <is>
          <t>smallcap</t>
        </is>
      </c>
      <c r="F347" s="31" t="n">
        <v>1747.3</v>
      </c>
      <c r="G347" s="31" t="n">
        <v>558.8</v>
      </c>
      <c r="H347" s="31" t="n">
        <v>-1.52</v>
      </c>
      <c r="I347" s="31" t="n">
        <v>83345</v>
      </c>
      <c r="J347" s="31" t="inlineStr">
        <is>
          <t>500199</t>
        </is>
      </c>
    </row>
    <row r="348">
      <c r="A348" s="31" t="inlineStr">
        <is>
          <t>APLAPOLLO</t>
        </is>
      </c>
      <c r="B348" s="31" t="inlineStr">
        <is>
          <t>Apl Apollo Tubes Limited</t>
        </is>
      </c>
      <c r="C348" s="31" t="inlineStr">
        <is>
          <t>industrials</t>
        </is>
      </c>
      <c r="D348" s="31" t="inlineStr">
        <is>
          <t>steel - large</t>
        </is>
      </c>
      <c r="E348" s="31" t="inlineStr">
        <is>
          <t>largecap</t>
        </is>
      </c>
      <c r="F348" s="31" t="n">
        <v>62473.14</v>
      </c>
      <c r="G348" s="31" t="n">
        <v>2215</v>
      </c>
      <c r="H348" s="31" t="n">
        <v>-1.56</v>
      </c>
      <c r="I348" s="31" t="n">
        <v>709214</v>
      </c>
      <c r="J348" s="31" t="inlineStr">
        <is>
          <t>533758</t>
        </is>
      </c>
    </row>
    <row r="349">
      <c r="A349" s="31" t="inlineStr">
        <is>
          <t>SBFC</t>
        </is>
      </c>
      <c r="B349" s="31" t="inlineStr">
        <is>
          <t>SBFC Finance Ltd</t>
        </is>
      </c>
      <c r="C349" s="31" t="inlineStr">
        <is>
          <t>financials</t>
        </is>
      </c>
      <c r="D349" s="31" t="inlineStr">
        <is>
          <t>finance &amp; investments</t>
        </is>
      </c>
      <c r="E349" s="31" t="inlineStr">
        <is>
          <t>midcap</t>
        </is>
      </c>
      <c r="F349" s="31" t="n">
        <v>11081.93</v>
      </c>
      <c r="G349" s="31" t="n">
        <v>98.48</v>
      </c>
      <c r="H349" s="31" t="n">
        <v>-1.6</v>
      </c>
      <c r="I349" s="31" t="n">
        <v>647488</v>
      </c>
      <c r="J349" s="31" t="inlineStr">
        <is>
          <t>543959</t>
        </is>
      </c>
    </row>
    <row r="350">
      <c r="A350" s="31" t="inlineStr">
        <is>
          <t>TFCILTD</t>
        </is>
      </c>
      <c r="B350" s="31" t="inlineStr">
        <is>
          <t>Tourism Finance Corporation Of India Limited</t>
        </is>
      </c>
      <c r="C350" s="31" t="inlineStr">
        <is>
          <t>financials</t>
        </is>
      </c>
      <c r="D350" s="31" t="inlineStr">
        <is>
          <t>finance - term-lending institutions</t>
        </is>
      </c>
      <c r="E350" s="31" t="inlineStr">
        <is>
          <t>midcap</t>
        </is>
      </c>
      <c r="F350" s="31" t="n">
        <v>6632.61</v>
      </c>
      <c r="G350" s="31" t="n">
        <v>140.9</v>
      </c>
      <c r="H350" s="31" t="n">
        <v>-1.65</v>
      </c>
      <c r="I350" s="31" t="n">
        <v>4618937</v>
      </c>
      <c r="J350" s="31" t="inlineStr">
        <is>
          <t>526650</t>
        </is>
      </c>
    </row>
    <row r="351">
      <c r="A351" s="31" t="inlineStr">
        <is>
          <t>VRLLOG</t>
        </is>
      </c>
      <c r="B351" s="31" t="inlineStr">
        <is>
          <t>Vrl Logistics Limited</t>
        </is>
      </c>
      <c r="C351" s="31" t="inlineStr">
        <is>
          <t>transportation</t>
        </is>
      </c>
      <c r="D351" s="31" t="inlineStr">
        <is>
          <t>miscellaneous</t>
        </is>
      </c>
      <c r="E351" s="31" t="inlineStr">
        <is>
          <t>midcap</t>
        </is>
      </c>
      <c r="F351" s="31" t="n">
        <v>5207.87</v>
      </c>
      <c r="G351" s="31" t="n">
        <v>292.75</v>
      </c>
      <c r="H351" s="31" t="n">
        <v>-1.66</v>
      </c>
      <c r="I351" s="31" t="n">
        <v>144481</v>
      </c>
      <c r="J351" s="31" t="inlineStr">
        <is>
          <t>539118</t>
        </is>
      </c>
    </row>
    <row r="352">
      <c r="A352" s="31" t="inlineStr">
        <is>
          <t>ARMANFIN</t>
        </is>
      </c>
      <c r="B352" s="31" t="inlineStr">
        <is>
          <t>Arman Financial Services Limited</t>
        </is>
      </c>
      <c r="C352" s="31" t="inlineStr">
        <is>
          <t>financials</t>
        </is>
      </c>
      <c r="D352" s="31" t="inlineStr">
        <is>
          <t>finance &amp; investments</t>
        </is>
      </c>
      <c r="E352" s="31" t="inlineStr">
        <is>
          <t>smallcap</t>
        </is>
      </c>
      <c r="F352" s="31" t="n">
        <v>2175.82</v>
      </c>
      <c r="G352" s="31" t="n">
        <v>2033.8</v>
      </c>
      <c r="H352" s="31" t="n">
        <v>-1.72</v>
      </c>
      <c r="I352" s="31" t="n">
        <v>25672</v>
      </c>
      <c r="J352" s="31" t="inlineStr">
        <is>
          <t>531179</t>
        </is>
      </c>
    </row>
    <row r="353">
      <c r="A353" s="31" t="inlineStr">
        <is>
          <t>LICHSGFIN</t>
        </is>
      </c>
      <c r="B353" s="31" t="inlineStr">
        <is>
          <t>Lic Housing Finance Limited</t>
        </is>
      </c>
      <c r="C353" s="31" t="inlineStr">
        <is>
          <t>financials</t>
        </is>
      </c>
      <c r="D353" s="31" t="inlineStr">
        <is>
          <t>finance - housing</t>
        </is>
      </c>
      <c r="E353" s="31" t="inlineStr">
        <is>
          <t>largecap</t>
        </is>
      </c>
      <c r="F353" s="31" t="n">
        <v>30916.29</v>
      </c>
      <c r="G353" s="31" t="n">
        <v>552</v>
      </c>
      <c r="H353" s="31" t="n">
        <v>-1.79</v>
      </c>
      <c r="I353" s="31" t="n">
        <v>1618855</v>
      </c>
      <c r="J353" s="31" t="inlineStr">
        <is>
          <t>500253</t>
        </is>
      </c>
    </row>
    <row r="354">
      <c r="A354" s="31" t="inlineStr">
        <is>
          <t>ADOR</t>
        </is>
      </c>
      <c r="B354" s="31" t="inlineStr">
        <is>
          <t>Ador Welding Ltd</t>
        </is>
      </c>
      <c r="C354" s="31" t="inlineStr">
        <is>
          <t>industrials</t>
        </is>
      </c>
      <c r="D354" s="31" t="inlineStr">
        <is>
          <t>electrodes - welding equipment</t>
        </is>
      </c>
      <c r="E354" s="31" t="inlineStr">
        <is>
          <t>smallcap</t>
        </is>
      </c>
      <c r="F354" s="31" t="n">
        <v>2913.93</v>
      </c>
      <c r="G354" s="31" t="n">
        <v>1644.1</v>
      </c>
      <c r="H354" s="31" t="n">
        <v>-1.81</v>
      </c>
      <c r="I354" s="31" t="n">
        <v>37401</v>
      </c>
      <c r="J354" s="31" t="inlineStr">
        <is>
          <t>517041</t>
        </is>
      </c>
    </row>
    <row r="355">
      <c r="A355" s="31" t="inlineStr">
        <is>
          <t>NITINSPIN</t>
        </is>
      </c>
      <c r="B355" s="31" t="inlineStr">
        <is>
          <t>Nitin Spinners Limited</t>
        </is>
      </c>
      <c r="C355" s="31" t="inlineStr">
        <is>
          <t>textiles</t>
        </is>
      </c>
      <c r="D355" s="31" t="inlineStr">
        <is>
          <t>textiles - cotton/blended</t>
        </is>
      </c>
      <c r="E355" s="31" t="inlineStr">
        <is>
          <t>smallcap</t>
        </is>
      </c>
      <c r="F355" s="31" t="n">
        <v>3592.74</v>
      </c>
      <c r="G355" s="31" t="n">
        <v>627.45</v>
      </c>
      <c r="H355" s="31" t="n">
        <v>-1.82</v>
      </c>
      <c r="I355" s="31" t="n">
        <v>38469</v>
      </c>
      <c r="J355" s="31" t="inlineStr">
        <is>
          <t>532698</t>
        </is>
      </c>
    </row>
    <row r="356">
      <c r="A356" s="31" t="inlineStr">
        <is>
          <t>SHALPAINTS</t>
        </is>
      </c>
      <c r="B356" s="31" t="inlineStr">
        <is>
          <t>Shalimar Paints Limited</t>
        </is>
      </c>
      <c r="C356" s="31" t="inlineStr">
        <is>
          <t>building materials</t>
        </is>
      </c>
      <c r="D356" s="31" t="inlineStr">
        <is>
          <t>paints / varnishes</t>
        </is>
      </c>
      <c r="E356" s="31" t="inlineStr">
        <is>
          <t>smallcap</t>
        </is>
      </c>
      <c r="F356" s="31" t="n">
        <v>715.48</v>
      </c>
      <c r="G356" s="31" t="n">
        <v>83.90000000000001</v>
      </c>
      <c r="H356" s="31" t="n">
        <v>-1.84</v>
      </c>
      <c r="I356" s="31" t="n">
        <v>336078</v>
      </c>
      <c r="J356" s="31" t="inlineStr">
        <is>
          <t>509874</t>
        </is>
      </c>
    </row>
    <row r="357">
      <c r="A357" s="31" t="inlineStr">
        <is>
          <t>LOKESHMACH</t>
        </is>
      </c>
      <c r="B357" s="31" t="inlineStr">
        <is>
          <t>Lokesh Machines Limited</t>
        </is>
      </c>
      <c r="C357" s="31" t="inlineStr">
        <is>
          <t>industrials</t>
        </is>
      </c>
      <c r="D357" s="31" t="inlineStr">
        <is>
          <t>engineering</t>
        </is>
      </c>
      <c r="E357" s="31" t="inlineStr">
        <is>
          <t>smallcap</t>
        </is>
      </c>
      <c r="F357" s="31" t="n">
        <v>794.71</v>
      </c>
      <c r="G357" s="31" t="n">
        <v>357.7</v>
      </c>
      <c r="H357" s="31" t="n">
        <v>-1.89</v>
      </c>
      <c r="I357" s="31" t="n">
        <v>47124</v>
      </c>
      <c r="J357" s="31" t="inlineStr">
        <is>
          <t>532740</t>
        </is>
      </c>
    </row>
    <row r="358">
      <c r="A358" s="31" t="inlineStr">
        <is>
          <t>KTKBANK</t>
        </is>
      </c>
      <c r="B358" s="31" t="inlineStr">
        <is>
          <t>The Karnataka Bank Limited</t>
        </is>
      </c>
      <c r="C358" s="31" t="inlineStr">
        <is>
          <t>bank</t>
        </is>
      </c>
      <c r="D358" s="31" t="inlineStr">
        <is>
          <t>banks - private sector</t>
        </is>
      </c>
      <c r="E358" s="31" t="inlineStr">
        <is>
          <t>midcap</t>
        </is>
      </c>
      <c r="F358" s="31" t="n">
        <v>12862.7</v>
      </c>
      <c r="G358" s="31" t="n">
        <v>333.6</v>
      </c>
      <c r="H358" s="31" t="n">
        <v>-1.91</v>
      </c>
      <c r="I358" s="31" t="n">
        <v>1114008</v>
      </c>
      <c r="J358" s="31" t="inlineStr">
        <is>
          <t>532652</t>
        </is>
      </c>
    </row>
    <row r="359">
      <c r="A359" s="31" t="inlineStr">
        <is>
          <t>GUJALKALI</t>
        </is>
      </c>
      <c r="B359" s="31" t="inlineStr">
        <is>
          <t>Gujarat Alkalies And Chemicals Limited</t>
        </is>
      </c>
      <c r="C359" s="31" t="inlineStr">
        <is>
          <t>chemicals</t>
        </is>
      </c>
      <c r="D359" s="31" t="inlineStr">
        <is>
          <t>chemicals</t>
        </is>
      </c>
      <c r="E359" s="31" t="inlineStr">
        <is>
          <t>midcap</t>
        </is>
      </c>
      <c r="F359" s="31" t="n">
        <v>5299.21</v>
      </c>
      <c r="G359" s="31" t="n">
        <v>707.85</v>
      </c>
      <c r="H359" s="31" t="n">
        <v>-1.91</v>
      </c>
      <c r="I359" s="31" t="n">
        <v>86704</v>
      </c>
      <c r="J359" s="31" t="inlineStr">
        <is>
          <t>530001</t>
        </is>
      </c>
    </row>
    <row r="360">
      <c r="A360" s="31" t="inlineStr">
        <is>
          <t>COFORGE</t>
        </is>
      </c>
      <c r="B360" s="31" t="inlineStr">
        <is>
          <t>Coforge (Niit Tech) Ltd</t>
        </is>
      </c>
      <c r="C360" s="31" t="inlineStr">
        <is>
          <t>i.t</t>
        </is>
      </c>
      <c r="D360" s="31" t="inlineStr">
        <is>
          <t>computers - software - large</t>
        </is>
      </c>
      <c r="E360" s="31" t="inlineStr">
        <is>
          <t>largecap</t>
        </is>
      </c>
      <c r="F360" s="31" t="n">
        <v>87334.03999999999</v>
      </c>
      <c r="G360" s="31" t="n">
        <v>1935</v>
      </c>
      <c r="H360" s="31" t="n">
        <v>-1.92</v>
      </c>
      <c r="I360" s="31" t="n">
        <v>1187703</v>
      </c>
      <c r="J360" s="31" t="inlineStr">
        <is>
          <t>532541</t>
        </is>
      </c>
    </row>
    <row r="361">
      <c r="A361" s="31" t="inlineStr">
        <is>
          <t>VSSL</t>
        </is>
      </c>
      <c r="B361" s="31" t="inlineStr">
        <is>
          <t>Vardhman Special Steels Limited</t>
        </is>
      </c>
      <c r="C361" s="31" t="inlineStr">
        <is>
          <t>metals &amp; mining</t>
        </is>
      </c>
      <c r="D361" s="31" t="inlineStr">
        <is>
          <t>steel - medium / small</t>
        </is>
      </c>
      <c r="E361" s="31" t="inlineStr">
        <is>
          <t>smallcap</t>
        </is>
      </c>
      <c r="F361" s="31" t="n">
        <v>3520.81</v>
      </c>
      <c r="G361" s="31" t="n">
        <v>356.45</v>
      </c>
      <c r="H361" s="31" t="n">
        <v>-2.11</v>
      </c>
      <c r="I361" s="31" t="n">
        <v>70989</v>
      </c>
      <c r="J361" s="31" t="inlineStr">
        <is>
          <t>534392</t>
        </is>
      </c>
    </row>
    <row r="362">
      <c r="A362" s="31" t="inlineStr">
        <is>
          <t>INDOBORAX</t>
        </is>
      </c>
      <c r="B362" s="31" t="inlineStr">
        <is>
          <t>Indo Borax &amp; Chemicals Ltd</t>
        </is>
      </c>
      <c r="C362" s="31" t="inlineStr">
        <is>
          <t>chemicals</t>
        </is>
      </c>
      <c r="D362" s="31" t="inlineStr">
        <is>
          <t>chemicals</t>
        </is>
      </c>
      <c r="E362" s="31" t="inlineStr">
        <is>
          <t>smallcap</t>
        </is>
      </c>
      <c r="F362" s="31" t="n">
        <v>1652.31</v>
      </c>
      <c r="G362" s="31" t="n">
        <v>503.95</v>
      </c>
      <c r="H362" s="31" t="n">
        <v>-2.13</v>
      </c>
      <c r="I362" s="31" t="n">
        <v>392536</v>
      </c>
      <c r="J362" s="31" t="inlineStr">
        <is>
          <t>524342</t>
        </is>
      </c>
    </row>
    <row r="363">
      <c r="A363" s="31" t="inlineStr">
        <is>
          <t>FOSECOIND</t>
        </is>
      </c>
      <c r="B363" s="31" t="inlineStr">
        <is>
          <t>Foseco India Limited</t>
        </is>
      </c>
      <c r="C363" s="31" t="inlineStr">
        <is>
          <t>chemicals</t>
        </is>
      </c>
      <c r="D363" s="31" t="inlineStr">
        <is>
          <t>chemicals</t>
        </is>
      </c>
      <c r="E363" s="31" t="inlineStr">
        <is>
          <t>smallcap</t>
        </is>
      </c>
      <c r="F363" s="31" t="n">
        <v>4720.59</v>
      </c>
      <c r="G363" s="31" t="n">
        <v>6128.5</v>
      </c>
      <c r="H363" s="31" t="n">
        <v>-2.15</v>
      </c>
      <c r="I363" s="31" t="n">
        <v>8061</v>
      </c>
      <c r="J363" s="31" t="inlineStr">
        <is>
          <t>500150</t>
        </is>
      </c>
    </row>
    <row r="364">
      <c r="A364" s="31" t="inlineStr">
        <is>
          <t>GIPCL</t>
        </is>
      </c>
      <c r="B364" s="31" t="inlineStr">
        <is>
          <t>Gujarat Industries Power Company Limited</t>
        </is>
      </c>
      <c r="C364" s="31" t="inlineStr">
        <is>
          <t>power &amp; utilities</t>
        </is>
      </c>
      <c r="D364" s="31" t="inlineStr">
        <is>
          <t>power generation and supply</t>
        </is>
      </c>
      <c r="E364" s="31" t="inlineStr">
        <is>
          <t>smallcap</t>
        </is>
      </c>
      <c r="F364" s="31" t="n">
        <v>3184.72</v>
      </c>
      <c r="G364" s="31" t="n">
        <v>200.72</v>
      </c>
      <c r="H364" s="31" t="n">
        <v>-2.17</v>
      </c>
      <c r="I364" s="31" t="n">
        <v>540738</v>
      </c>
      <c r="J364" s="31" t="inlineStr">
        <is>
          <t>517300</t>
        </is>
      </c>
    </row>
    <row r="365">
      <c r="A365" s="31" t="inlineStr">
        <is>
          <t>IRISDOREME</t>
        </is>
      </c>
      <c r="B365" s="31" t="inlineStr">
        <is>
          <t>Iris Clothings Ltd</t>
        </is>
      </c>
      <c r="C365" s="31" t="inlineStr">
        <is>
          <t>consumer discretionary</t>
        </is>
      </c>
      <c r="D365" s="31" t="inlineStr">
        <is>
          <t>textiles - products</t>
        </is>
      </c>
      <c r="E365" s="31" t="inlineStr">
        <is>
          <t>smallcap</t>
        </is>
      </c>
      <c r="F365" s="31" t="n">
        <v>1210.13</v>
      </c>
      <c r="G365" s="31" t="n">
        <v>62.15</v>
      </c>
      <c r="H365" s="31" t="n">
        <v>-2.25</v>
      </c>
      <c r="I365" s="31" t="n">
        <v>948563</v>
      </c>
      <c r="J365" s="31" t="inlineStr">
        <is>
          <t>535123</t>
        </is>
      </c>
    </row>
    <row r="366">
      <c r="A366" s="31" t="inlineStr">
        <is>
          <t>INGERRAND</t>
        </is>
      </c>
      <c r="B366" s="31" t="inlineStr">
        <is>
          <t>Ingersoll Rand (india) Limited</t>
        </is>
      </c>
      <c r="C366" s="31" t="inlineStr">
        <is>
          <t>industrials</t>
        </is>
      </c>
      <c r="D366" s="31" t="inlineStr">
        <is>
          <t>compressors / drilling equipment</t>
        </is>
      </c>
      <c r="E366" s="31" t="inlineStr">
        <is>
          <t>midcap</t>
        </is>
      </c>
      <c r="F366" s="31" t="n">
        <v>15293.75</v>
      </c>
      <c r="G366" s="31" t="n">
        <v>4730.3</v>
      </c>
      <c r="H366" s="31" t="n">
        <v>-2.36</v>
      </c>
      <c r="I366" s="31" t="n">
        <v>21053</v>
      </c>
      <c r="J366" s="31" t="inlineStr">
        <is>
          <t>500210</t>
        </is>
      </c>
    </row>
    <row r="367">
      <c r="A367" s="31" t="inlineStr">
        <is>
          <t>JTLIND</t>
        </is>
      </c>
      <c r="B367" s="31" t="inlineStr">
        <is>
          <t>JTL Industries Ltd</t>
        </is>
      </c>
      <c r="C367" s="31" t="inlineStr">
        <is>
          <t>metals &amp; mining</t>
        </is>
      </c>
      <c r="D367" s="31" t="inlineStr">
        <is>
          <t>steel - medium / small</t>
        </is>
      </c>
      <c r="E367" s="31" t="inlineStr">
        <is>
          <t>smallcap</t>
        </is>
      </c>
      <c r="F367" s="31" t="n">
        <v>3603.38</v>
      </c>
      <c r="G367" s="31" t="n">
        <v>89.51000000000001</v>
      </c>
      <c r="H367" s="31" t="n">
        <v>-2.36</v>
      </c>
      <c r="I367" s="31" t="n">
        <v>2749009</v>
      </c>
      <c r="J367" s="31" t="inlineStr">
        <is>
          <t>534600</t>
        </is>
      </c>
    </row>
    <row r="368">
      <c r="A368" s="31" t="inlineStr">
        <is>
          <t>COMSYN</t>
        </is>
      </c>
      <c r="B368" s="31" t="inlineStr">
        <is>
          <t>Commercial Syn Bags Ltd</t>
        </is>
      </c>
      <c r="C368" s="31" t="inlineStr">
        <is>
          <t>industrials</t>
        </is>
      </c>
      <c r="D368" s="31" t="inlineStr">
        <is>
          <t>packaging</t>
        </is>
      </c>
      <c r="E368" s="31" t="inlineStr">
        <is>
          <t>smallcap</t>
        </is>
      </c>
      <c r="F368" s="31" t="n">
        <v>1215.42</v>
      </c>
      <c r="G368" s="31" t="n">
        <v>294.2</v>
      </c>
      <c r="H368" s="31" t="n">
        <v>-2.36</v>
      </c>
      <c r="I368" s="31" t="n">
        <v>242835</v>
      </c>
      <c r="J368" s="31" t="inlineStr">
        <is>
          <t>539986</t>
        </is>
      </c>
    </row>
    <row r="369">
      <c r="A369" s="31" t="inlineStr">
        <is>
          <t>KMEW</t>
        </is>
      </c>
      <c r="B369" s="31" t="inlineStr">
        <is>
          <t>Knowledge Marine &amp; Engineering Works Ltd</t>
        </is>
      </c>
      <c r="C369" s="31" t="inlineStr">
        <is>
          <t>transportation</t>
        </is>
      </c>
      <c r="D369" s="31" t="inlineStr">
        <is>
          <t>miscellaneous</t>
        </is>
      </c>
      <c r="E369" s="31" t="inlineStr">
        <is>
          <t>midcap</t>
        </is>
      </c>
      <c r="F369" s="31" t="n">
        <v>7414.88</v>
      </c>
      <c r="G369" s="31" t="n">
        <v>2961.6</v>
      </c>
      <c r="H369" s="31" t="n">
        <v>-2.37</v>
      </c>
      <c r="I369" s="31" t="n">
        <v>80097</v>
      </c>
      <c r="J369" s="31" t="inlineStr">
        <is>
          <t>543273</t>
        </is>
      </c>
    </row>
    <row r="370">
      <c r="A370" s="31" t="inlineStr">
        <is>
          <t>BRIGADE</t>
        </is>
      </c>
      <c r="B370" s="31" t="inlineStr">
        <is>
          <t>Brigade Enterprises Limited</t>
        </is>
      </c>
      <c r="C370" s="31" t="inlineStr">
        <is>
          <t>realty</t>
        </is>
      </c>
      <c r="D370" s="31" t="inlineStr">
        <is>
          <t>construction</t>
        </is>
      </c>
      <c r="E370" s="31" t="inlineStr">
        <is>
          <t>largecap</t>
        </is>
      </c>
      <c r="F370" s="31" t="n">
        <v>22704.16</v>
      </c>
      <c r="G370" s="31" t="n">
        <v>679.05</v>
      </c>
      <c r="H370" s="31" t="n">
        <v>-2.45</v>
      </c>
      <c r="I370" s="31" t="n">
        <v>867916</v>
      </c>
      <c r="J370" s="31" t="inlineStr">
        <is>
          <t>532929</t>
        </is>
      </c>
    </row>
    <row r="371">
      <c r="A371" s="31" t="inlineStr">
        <is>
          <t>GHCLTEXTIL</t>
        </is>
      </c>
      <c r="B371" s="31" t="inlineStr">
        <is>
          <t>GHCL Textiles Ltd</t>
        </is>
      </c>
      <c r="C371" s="31" t="inlineStr">
        <is>
          <t>textiles</t>
        </is>
      </c>
      <c r="D371" s="31" t="inlineStr">
        <is>
          <t>textiles - spinning - synthetic / blended</t>
        </is>
      </c>
      <c r="E371" s="31" t="inlineStr">
        <is>
          <t>smallcap</t>
        </is>
      </c>
      <c r="F371" s="31" t="n">
        <v>1306.85</v>
      </c>
      <c r="G371" s="31" t="n">
        <v>133.36</v>
      </c>
      <c r="H371" s="31" t="n">
        <v>-2.46</v>
      </c>
      <c r="I371" s="31" t="n">
        <v>359899</v>
      </c>
      <c r="J371" s="31" t="inlineStr">
        <is>
          <t>543918</t>
        </is>
      </c>
    </row>
    <row r="372">
      <c r="A372" s="31" t="inlineStr">
        <is>
          <t>EDELWEISS</t>
        </is>
      </c>
      <c r="B372" s="31" t="inlineStr">
        <is>
          <t>Edelweiss Financial Services Limited</t>
        </is>
      </c>
      <c r="C372" s="31" t="inlineStr">
        <is>
          <t>financials</t>
        </is>
      </c>
      <c r="D372" s="31" t="inlineStr">
        <is>
          <t>finance &amp; investments</t>
        </is>
      </c>
      <c r="E372" s="31" t="inlineStr">
        <is>
          <t>midcap</t>
        </is>
      </c>
      <c r="F372" s="31" t="n">
        <v>12880.4</v>
      </c>
      <c r="G372" s="31" t="n">
        <v>132.72</v>
      </c>
      <c r="H372" s="31" t="n">
        <v>-2.47</v>
      </c>
      <c r="I372" s="31" t="n">
        <v>21562787</v>
      </c>
      <c r="J372" s="31" t="inlineStr">
        <is>
          <t>532922</t>
        </is>
      </c>
    </row>
    <row r="373">
      <c r="A373" s="31" t="inlineStr">
        <is>
          <t>NILKAMAL</t>
        </is>
      </c>
      <c r="B373" s="31" t="inlineStr">
        <is>
          <t>Nilkamal Limited</t>
        </is>
      </c>
      <c r="C373" s="31" t="inlineStr">
        <is>
          <t>plastic products</t>
        </is>
      </c>
      <c r="D373" s="31" t="inlineStr">
        <is>
          <t>plastics products</t>
        </is>
      </c>
      <c r="E373" s="31" t="inlineStr">
        <is>
          <t>smallcap</t>
        </is>
      </c>
      <c r="F373" s="31" t="n">
        <v>3158.35</v>
      </c>
      <c r="G373" s="31" t="n">
        <v>2063.2</v>
      </c>
      <c r="H373" s="31" t="n">
        <v>-2.52</v>
      </c>
      <c r="I373" s="31" t="n">
        <v>30738</v>
      </c>
      <c r="J373" s="31" t="inlineStr">
        <is>
          <t>523385</t>
        </is>
      </c>
    </row>
    <row r="374">
      <c r="A374" s="31" t="inlineStr">
        <is>
          <t>SHILPAMED</t>
        </is>
      </c>
      <c r="B374" s="31" t="inlineStr">
        <is>
          <t>Shilpa Medicare Limited</t>
        </is>
      </c>
      <c r="C374" s="31" t="inlineStr">
        <is>
          <t>healthcare</t>
        </is>
      </c>
      <c r="D374" s="31" t="inlineStr">
        <is>
          <t>pharmaceuticals - indian - formulations</t>
        </is>
      </c>
      <c r="E374" s="31" t="inlineStr">
        <is>
          <t>midcap</t>
        </is>
      </c>
      <c r="F374" s="31" t="n">
        <v>18857.02</v>
      </c>
      <c r="G374" s="31" t="n">
        <v>939.5</v>
      </c>
      <c r="H374" s="31" t="n">
        <v>-2.56</v>
      </c>
      <c r="I374" s="31" t="n">
        <v>1088314</v>
      </c>
      <c r="J374" s="31" t="inlineStr">
        <is>
          <t>530549</t>
        </is>
      </c>
    </row>
    <row r="375">
      <c r="A375" s="31" t="inlineStr">
        <is>
          <t>SBCL</t>
        </is>
      </c>
      <c r="B375" s="31" t="inlineStr">
        <is>
          <t>Shivalik Bimetal Controls Ltd</t>
        </is>
      </c>
      <c r="C375" s="31" t="inlineStr">
        <is>
          <t>metals &amp; mining</t>
        </is>
      </c>
      <c r="D375" s="31" t="inlineStr">
        <is>
          <t>mining / minerals / metals</t>
        </is>
      </c>
      <c r="E375" s="31" t="inlineStr">
        <is>
          <t>midcap</t>
        </is>
      </c>
      <c r="F375" s="31" t="n">
        <v>6458.01</v>
      </c>
      <c r="G375" s="31" t="n">
        <v>1092.1</v>
      </c>
      <c r="H375" s="31" t="n">
        <v>-2.59</v>
      </c>
      <c r="I375" s="31" t="n">
        <v>314685</v>
      </c>
      <c r="J375" s="31" t="inlineStr">
        <is>
          <t>513097</t>
        </is>
      </c>
    </row>
    <row r="376">
      <c r="A376" s="31" t="inlineStr">
        <is>
          <t>KPRMILL</t>
        </is>
      </c>
      <c r="B376" s="31" t="inlineStr">
        <is>
          <t>K.p.r. Mill Limited</t>
        </is>
      </c>
      <c r="C376" s="31" t="inlineStr">
        <is>
          <t>consumer discretionary</t>
        </is>
      </c>
      <c r="D376" s="31" t="inlineStr">
        <is>
          <t>textiles - products</t>
        </is>
      </c>
      <c r="E376" s="31" t="inlineStr">
        <is>
          <t>largecap</t>
        </is>
      </c>
      <c r="F376" s="31" t="n">
        <v>40549.39</v>
      </c>
      <c r="G376" s="31" t="n">
        <v>1154.7</v>
      </c>
      <c r="H376" s="31" t="n">
        <v>-2.66</v>
      </c>
      <c r="I376" s="31" t="n">
        <v>204839</v>
      </c>
      <c r="J376" s="31" t="inlineStr">
        <is>
          <t>532889</t>
        </is>
      </c>
    </row>
    <row r="377">
      <c r="A377" s="31" t="inlineStr">
        <is>
          <t>MARINE</t>
        </is>
      </c>
      <c r="B377" s="31" t="inlineStr">
        <is>
          <t>Marine Electricals (India) Ltd</t>
        </is>
      </c>
      <c r="C377" s="31" t="inlineStr">
        <is>
          <t>industrials</t>
        </is>
      </c>
      <c r="D377" s="31" t="inlineStr">
        <is>
          <t>electric equipment</t>
        </is>
      </c>
      <c r="E377" s="31" t="inlineStr">
        <is>
          <t>midcap</t>
        </is>
      </c>
      <c r="F377" s="31" t="n">
        <v>6047.7</v>
      </c>
      <c r="G377" s="31" t="n">
        <v>419.95</v>
      </c>
      <c r="H377" s="31" t="n">
        <v>-2.82</v>
      </c>
      <c r="I377" s="31" t="n">
        <v>522124</v>
      </c>
      <c r="J377" s="31" t="inlineStr">
        <is>
          <t>535119</t>
        </is>
      </c>
    </row>
    <row r="378">
      <c r="A378" s="31" t="inlineStr">
        <is>
          <t>ARIES</t>
        </is>
      </c>
      <c r="B378" s="31" t="inlineStr">
        <is>
          <t>Aries Agro Limited</t>
        </is>
      </c>
      <c r="C378" s="31" t="inlineStr">
        <is>
          <t>chemicals</t>
        </is>
      </c>
      <c r="D378" s="31" t="inlineStr">
        <is>
          <t>fertilizers</t>
        </is>
      </c>
      <c r="E378" s="31" t="inlineStr">
        <is>
          <t>smallcap</t>
        </is>
      </c>
      <c r="F378" s="31" t="n">
        <v>650.35</v>
      </c>
      <c r="G378" s="31" t="n">
        <v>485.95</v>
      </c>
      <c r="H378" s="31" t="n">
        <v>-2.83</v>
      </c>
      <c r="I378" s="31" t="n">
        <v>113668</v>
      </c>
      <c r="J378" s="31" t="inlineStr">
        <is>
          <t>532935</t>
        </is>
      </c>
    </row>
    <row r="379">
      <c r="A379" s="31" t="inlineStr">
        <is>
          <t>SIGMAADV</t>
        </is>
      </c>
      <c r="B379" s="31" t="inlineStr">
        <is>
          <t>Sigma Advanced System Ltd</t>
        </is>
      </c>
      <c r="C379" s="31" t="inlineStr">
        <is>
          <t>aerospace &amp; defence</t>
        </is>
      </c>
      <c r="D379" s="31" t="inlineStr">
        <is>
          <t>electronics - components</t>
        </is>
      </c>
      <c r="E379" s="31" t="inlineStr">
        <is>
          <t>midcap</t>
        </is>
      </c>
      <c r="F379" s="31" t="n">
        <v>14447.19</v>
      </c>
      <c r="G379" s="31" t="n">
        <v>740.15</v>
      </c>
      <c r="H379" s="31" t="n">
        <v>-2.92</v>
      </c>
      <c r="I379" s="31" t="n">
        <v>162011</v>
      </c>
      <c r="J379" s="31" t="inlineStr">
        <is>
          <t>532408</t>
        </is>
      </c>
    </row>
    <row r="380">
      <c r="A380" s="31" t="inlineStr">
        <is>
          <t>KAPSTON</t>
        </is>
      </c>
      <c r="B380" s="31" t="inlineStr">
        <is>
          <t>Kapston Services Ltd</t>
        </is>
      </c>
      <c r="C380" s="31" t="inlineStr">
        <is>
          <t>miscellaneous</t>
        </is>
      </c>
      <c r="D380" s="31" t="inlineStr">
        <is>
          <t>miscellaneous</t>
        </is>
      </c>
      <c r="E380" s="31" t="inlineStr">
        <is>
          <t>smallcap</t>
        </is>
      </c>
      <c r="F380" s="31" t="n">
        <v>1777.39</v>
      </c>
      <c r="G380" s="31" t="n">
        <v>566.5</v>
      </c>
      <c r="H380" s="31" t="n">
        <v>-3</v>
      </c>
      <c r="I380" s="31" t="n">
        <v>81363</v>
      </c>
      <c r="J380" s="31" t="inlineStr">
        <is>
          <t>535064</t>
        </is>
      </c>
    </row>
    <row r="381">
      <c r="A381" s="31" t="inlineStr">
        <is>
          <t>ALEMBICLTD</t>
        </is>
      </c>
      <c r="B381" s="31" t="inlineStr">
        <is>
          <t>Alembic Limited</t>
        </is>
      </c>
      <c r="C381" s="31" t="inlineStr">
        <is>
          <t>realty</t>
        </is>
      </c>
      <c r="D381" s="31" t="inlineStr">
        <is>
          <t>construction</t>
        </is>
      </c>
      <c r="E381" s="31" t="inlineStr">
        <is>
          <t>smallcap</t>
        </is>
      </c>
      <c r="F381" s="31" t="n">
        <v>2860.81</v>
      </c>
      <c r="G381" s="31" t="n">
        <v>108.05</v>
      </c>
      <c r="H381" s="31" t="n">
        <v>-3.02</v>
      </c>
      <c r="I381" s="31" t="n">
        <v>1721715</v>
      </c>
      <c r="J381" s="31" t="inlineStr">
        <is>
          <t>506235</t>
        </is>
      </c>
    </row>
    <row r="382">
      <c r="A382" s="31" t="inlineStr">
        <is>
          <t>VOLTAMP</t>
        </is>
      </c>
      <c r="B382" s="31" t="inlineStr">
        <is>
          <t>Voltamp Transformers Limited</t>
        </is>
      </c>
      <c r="C382" s="31" t="inlineStr">
        <is>
          <t>industrials</t>
        </is>
      </c>
      <c r="D382" s="31" t="inlineStr">
        <is>
          <t>electric equipment</t>
        </is>
      </c>
      <c r="E382" s="31" t="inlineStr">
        <is>
          <t>midcap</t>
        </is>
      </c>
      <c r="F382" s="31" t="n">
        <v>11551.73</v>
      </c>
      <c r="G382" s="31" t="n">
        <v>11067</v>
      </c>
      <c r="H382" s="31" t="n">
        <v>-3.07</v>
      </c>
      <c r="I382" s="31" t="n">
        <v>35462</v>
      </c>
      <c r="J382" s="31" t="inlineStr">
        <is>
          <t>532757</t>
        </is>
      </c>
    </row>
    <row r="383">
      <c r="A383" s="31" t="inlineStr">
        <is>
          <t>HATSUN</t>
        </is>
      </c>
      <c r="B383" s="31" t="inlineStr">
        <is>
          <t>Hatsun Agro Product Limited</t>
        </is>
      </c>
      <c r="C383" s="31" t="inlineStr">
        <is>
          <t>fmcg</t>
        </is>
      </c>
      <c r="D383" s="31" t="inlineStr">
        <is>
          <t>food - processing - indian</t>
        </is>
      </c>
      <c r="E383" s="31" t="inlineStr">
        <is>
          <t>largecap</t>
        </is>
      </c>
      <c r="F383" s="31" t="n">
        <v>26034.82</v>
      </c>
      <c r="G383" s="31" t="n">
        <v>1132.8</v>
      </c>
      <c r="H383" s="31" t="n">
        <v>-3.08</v>
      </c>
      <c r="I383" s="31" t="n">
        <v>66432</v>
      </c>
      <c r="J383" s="31" t="inlineStr">
        <is>
          <t>531531</t>
        </is>
      </c>
    </row>
    <row r="384">
      <c r="A384" s="31" t="inlineStr">
        <is>
          <t>SUBEXLTD</t>
        </is>
      </c>
      <c r="B384" s="31" t="inlineStr">
        <is>
          <t>Subex Ltd</t>
        </is>
      </c>
      <c r="C384" s="31" t="inlineStr">
        <is>
          <t>i.t</t>
        </is>
      </c>
      <c r="D384" s="31" t="inlineStr">
        <is>
          <t>computers - software - medium / small</t>
        </is>
      </c>
      <c r="E384" s="31" t="inlineStr">
        <is>
          <t>smallcap</t>
        </is>
      </c>
      <c r="F384" s="31" t="n">
        <v>971.14</v>
      </c>
      <c r="G384" s="31" t="n">
        <v>16.74</v>
      </c>
      <c r="H384" s="31" t="n">
        <v>-3.13</v>
      </c>
      <c r="I384" s="31" t="n">
        <v>2594174</v>
      </c>
      <c r="J384" s="31" t="inlineStr">
        <is>
          <t>532348</t>
        </is>
      </c>
    </row>
    <row r="385">
      <c r="A385" s="31" t="inlineStr">
        <is>
          <t>TEJASNET</t>
        </is>
      </c>
      <c r="B385" s="31" t="inlineStr">
        <is>
          <t>Tejas Networks Ltd</t>
        </is>
      </c>
      <c r="C385" s="31" t="inlineStr">
        <is>
          <t>telecom</t>
        </is>
      </c>
      <c r="D385" s="31" t="inlineStr">
        <is>
          <t>telecommunications - equipment</t>
        </is>
      </c>
      <c r="E385" s="31" t="inlineStr">
        <is>
          <t>midcap</t>
        </is>
      </c>
      <c r="F385" s="31" t="n">
        <v>10930.27</v>
      </c>
      <c r="G385" s="31" t="n">
        <v>593.6</v>
      </c>
      <c r="H385" s="31" t="n">
        <v>-3.35</v>
      </c>
      <c r="I385" s="31" t="n">
        <v>3912391</v>
      </c>
      <c r="J385" s="31" t="inlineStr">
        <is>
          <t>540595</t>
        </is>
      </c>
    </row>
    <row r="386">
      <c r="A386" s="31" t="inlineStr">
        <is>
          <t>WELENT</t>
        </is>
      </c>
      <c r="B386" s="31" t="inlineStr">
        <is>
          <t>Welspun Enterprises Limited</t>
        </is>
      </c>
      <c r="C386" s="31" t="inlineStr">
        <is>
          <t>realty</t>
        </is>
      </c>
      <c r="D386" s="31" t="inlineStr">
        <is>
          <t>construction</t>
        </is>
      </c>
      <c r="E386" s="31" t="inlineStr">
        <is>
          <t>midcap</t>
        </is>
      </c>
      <c r="F386" s="31" t="n">
        <v>11261.35</v>
      </c>
      <c r="G386" s="31" t="n">
        <v>783.5</v>
      </c>
      <c r="H386" s="31" t="n">
        <v>-3.7</v>
      </c>
      <c r="I386" s="31" t="n">
        <v>621082</v>
      </c>
      <c r="J386" s="31" t="inlineStr">
        <is>
          <t>532553</t>
        </is>
      </c>
    </row>
    <row r="387">
      <c r="A387" s="31" t="inlineStr">
        <is>
          <t>PVP</t>
        </is>
      </c>
      <c r="B387" s="31" t="inlineStr">
        <is>
          <t>Pvp Ventures Limited</t>
        </is>
      </c>
      <c r="C387" s="31" t="inlineStr">
        <is>
          <t>realty</t>
        </is>
      </c>
      <c r="D387" s="31" t="inlineStr">
        <is>
          <t>construction</t>
        </is>
      </c>
      <c r="E387" s="31" t="inlineStr">
        <is>
          <t>smallcap</t>
        </is>
      </c>
      <c r="F387" s="31" t="n">
        <v>1769.18</v>
      </c>
      <c r="G387" s="31" t="n">
        <v>65.16</v>
      </c>
      <c r="H387" s="31" t="n">
        <v>-4.09</v>
      </c>
      <c r="I387" s="31" t="n">
        <v>2458317</v>
      </c>
      <c r="J387" s="31" t="inlineStr">
        <is>
          <t>517556</t>
        </is>
      </c>
    </row>
    <row r="388">
      <c r="A388" s="31" t="inlineStr">
        <is>
          <t>PREMIERPOL</t>
        </is>
      </c>
      <c r="B388" s="31" t="inlineStr">
        <is>
          <t>Premier Polyfilm Limited</t>
        </is>
      </c>
      <c r="C388" s="31" t="inlineStr">
        <is>
          <t>plastic products</t>
        </is>
      </c>
      <c r="D388" s="31" t="inlineStr">
        <is>
          <t>plastics products</t>
        </is>
      </c>
      <c r="E388" s="31" t="inlineStr">
        <is>
          <t>smallcap</t>
        </is>
      </c>
      <c r="F388" s="31" t="n">
        <v>998.8200000000001</v>
      </c>
      <c r="G388" s="31" t="n">
        <v>91.45</v>
      </c>
      <c r="H388" s="31" t="n">
        <v>-4.1</v>
      </c>
      <c r="I388" s="31" t="n">
        <v>273939</v>
      </c>
      <c r="J388" s="31" t="inlineStr">
        <is>
          <t>514354</t>
        </is>
      </c>
    </row>
    <row r="389">
      <c r="A389" s="31" t="inlineStr">
        <is>
          <t>DIFFNKG</t>
        </is>
      </c>
      <c r="B389" s="31" t="inlineStr">
        <is>
          <t>Diffusion Engineers Ltd</t>
        </is>
      </c>
      <c r="C389" s="31" t="inlineStr">
        <is>
          <t>industrials</t>
        </is>
      </c>
      <c r="D389" s="31" t="inlineStr">
        <is>
          <t>electrodes - welding equipment</t>
        </is>
      </c>
      <c r="E389" s="31" t="inlineStr">
        <is>
          <t>smallcap</t>
        </is>
      </c>
      <c r="F389" s="31" t="n">
        <v>1777.37</v>
      </c>
      <c r="G389" s="31" t="n">
        <v>454.4</v>
      </c>
      <c r="H389" s="31" t="n">
        <v>-4.32</v>
      </c>
      <c r="I389" s="31" t="n">
        <v>545618</v>
      </c>
      <c r="J389" s="31" t="inlineStr">
        <is>
          <t>544264</t>
        </is>
      </c>
    </row>
    <row r="390">
      <c r="A390" s="31" t="inlineStr">
        <is>
          <t>MENONBE</t>
        </is>
      </c>
      <c r="B390" s="31" t="inlineStr">
        <is>
          <t>Menon Bearings Limited</t>
        </is>
      </c>
      <c r="C390" s="31" t="inlineStr">
        <is>
          <t>auto</t>
        </is>
      </c>
      <c r="D390" s="31" t="inlineStr">
        <is>
          <t>auto ancillaries</t>
        </is>
      </c>
      <c r="E390" s="31" t="inlineStr">
        <is>
          <t>smallcap</t>
        </is>
      </c>
      <c r="F390" s="31" t="n">
        <v>1801.13</v>
      </c>
      <c r="G390" s="31" t="n">
        <v>306.35</v>
      </c>
      <c r="H390" s="31" t="n">
        <v>-4.68</v>
      </c>
      <c r="I390" s="31" t="n">
        <v>74902</v>
      </c>
      <c r="J390" s="31" t="inlineStr">
        <is>
          <t>523828</t>
        </is>
      </c>
    </row>
    <row r="391">
      <c r="A391" s="31" t="inlineStr">
        <is>
          <t>OMAXE</t>
        </is>
      </c>
      <c r="B391" s="31" t="inlineStr">
        <is>
          <t>Omaxe Limited</t>
        </is>
      </c>
      <c r="C391" s="31" t="inlineStr">
        <is>
          <t>realty</t>
        </is>
      </c>
      <c r="D391" s="31" t="inlineStr">
        <is>
          <t>construction</t>
        </is>
      </c>
      <c r="E391" s="31" t="inlineStr">
        <is>
          <t>smallcap</t>
        </is>
      </c>
      <c r="F391" s="31" t="n">
        <v>2494.4</v>
      </c>
      <c r="G391" s="31" t="n">
        <v>129.82</v>
      </c>
      <c r="H391" s="31" t="n">
        <v>-4.81</v>
      </c>
      <c r="I391" s="31" t="n">
        <v>2495006</v>
      </c>
      <c r="J391" s="31" t="inlineStr">
        <is>
          <t>532880</t>
        </is>
      </c>
    </row>
    <row r="392">
      <c r="A392" s="31" t="inlineStr">
        <is>
          <t>RBZJEWEL</t>
        </is>
      </c>
      <c r="B392" s="31" t="inlineStr">
        <is>
          <t>RBZ Jewellers Ltd</t>
        </is>
      </c>
      <c r="C392" s="31" t="inlineStr">
        <is>
          <t>consumer discretionary</t>
        </is>
      </c>
      <c r="D392" s="31" t="inlineStr">
        <is>
          <t>diamond cutting / jewellery</t>
        </is>
      </c>
      <c r="E392" s="31" t="inlineStr">
        <is>
          <t>smallcap</t>
        </is>
      </c>
      <c r="F392" s="31" t="n">
        <v>802.76</v>
      </c>
      <c r="G392" s="31" t="n">
        <v>190.71</v>
      </c>
      <c r="H392" s="31" t="n">
        <v>-4.97</v>
      </c>
      <c r="I392" s="31" t="n">
        <v>1090155</v>
      </c>
      <c r="J392" s="31" t="inlineStr">
        <is>
          <t>544060</t>
        </is>
      </c>
    </row>
    <row r="393">
      <c r="A393" s="31" t="inlineStr">
        <is>
          <t>SETL</t>
        </is>
      </c>
      <c r="B393" s="31" t="inlineStr">
        <is>
          <t>Standard Enginnering Technology Ltd</t>
        </is>
      </c>
      <c r="C393" s="31" t="inlineStr">
        <is>
          <t>industrials</t>
        </is>
      </c>
      <c r="D393" s="31" t="inlineStr">
        <is>
          <t>engineering</t>
        </is>
      </c>
      <c r="E393" s="31" t="inlineStr">
        <is>
          <t>midcap</t>
        </is>
      </c>
      <c r="F393" s="31" t="n">
        <v>8158.21</v>
      </c>
      <c r="G393" s="31" t="n">
        <v>388.55</v>
      </c>
      <c r="H393" s="31" t="n">
        <v>-4.99</v>
      </c>
      <c r="I393" s="31" t="n">
        <v>1261874</v>
      </c>
      <c r="J393" s="31" t="inlineStr">
        <is>
          <t>544333</t>
        </is>
      </c>
    </row>
    <row r="394">
      <c r="A394" s="31" t="inlineStr">
        <is>
          <t>BIRLACABLE</t>
        </is>
      </c>
      <c r="B394" s="31" t="inlineStr">
        <is>
          <t>Birla Cable Limited</t>
        </is>
      </c>
      <c r="C394" s="31" t="inlineStr">
        <is>
          <t>industrials</t>
        </is>
      </c>
      <c r="D394" s="31" t="inlineStr">
        <is>
          <t>cables - telephone</t>
        </is>
      </c>
      <c r="E394" s="31" t="inlineStr">
        <is>
          <t>smallcap</t>
        </is>
      </c>
      <c r="F394" s="31" t="n">
        <v>1129.65</v>
      </c>
      <c r="G394" s="31" t="n">
        <v>357.75</v>
      </c>
      <c r="H394" s="31" t="n">
        <v>-4.99</v>
      </c>
      <c r="I394" s="31" t="n">
        <v>780466</v>
      </c>
      <c r="J394" s="31" t="inlineStr">
        <is>
          <t>500060</t>
        </is>
      </c>
    </row>
    <row r="395">
      <c r="A395" s="31" t="inlineStr">
        <is>
          <t>UEL</t>
        </is>
      </c>
      <c r="B395" s="31" t="inlineStr">
        <is>
          <t>Ujaas Energy Ltd</t>
        </is>
      </c>
      <c r="C395" s="31" t="inlineStr">
        <is>
          <t>power &amp; utilities</t>
        </is>
      </c>
      <c r="D395" s="31" t="inlineStr">
        <is>
          <t>power generation and supply</t>
        </is>
      </c>
      <c r="E395" s="31" t="inlineStr">
        <is>
          <t>smallcap</t>
        </is>
      </c>
      <c r="F395" s="31" t="n">
        <v>3222.89</v>
      </c>
      <c r="G395" s="31" t="n">
        <v>229.52</v>
      </c>
      <c r="H395" s="31" t="n">
        <v>-5</v>
      </c>
      <c r="I395" s="31" t="n">
        <v>34311</v>
      </c>
      <c r="J395" s="31" t="inlineStr">
        <is>
          <t>533644</t>
        </is>
      </c>
    </row>
    <row r="396">
      <c r="A396" s="31" t="inlineStr">
        <is>
          <t>RAMRAT</t>
        </is>
      </c>
      <c r="B396" s="31" t="inlineStr">
        <is>
          <t>Ram Ratna Wires Ltd</t>
        </is>
      </c>
      <c r="C396" s="31" t="inlineStr">
        <is>
          <t>metals &amp; mining</t>
        </is>
      </c>
      <c r="D396" s="31" t="inlineStr">
        <is>
          <t>mining / minerals / metals</t>
        </is>
      </c>
      <c r="E396" s="31" t="inlineStr">
        <is>
          <t>midcap</t>
        </is>
      </c>
      <c r="F396" s="31" t="n">
        <v>5233.62</v>
      </c>
      <c r="G396" s="31" t="n">
        <v>527.2</v>
      </c>
      <c r="H396" s="31" t="n">
        <v>-5.97</v>
      </c>
      <c r="I396" s="31" t="n">
        <v>336077</v>
      </c>
      <c r="J396" s="31" t="inlineStr">
        <is>
          <t>522281</t>
        </is>
      </c>
    </row>
    <row r="397">
      <c r="A397" s="31" t="inlineStr">
        <is>
          <t>RPEL</t>
        </is>
      </c>
      <c r="B397" s="31" t="inlineStr">
        <is>
          <t>Raghav Productivity Enhancers Ltd</t>
        </is>
      </c>
      <c r="C397" s="31" t="inlineStr">
        <is>
          <t>building materials</t>
        </is>
      </c>
      <c r="D397" s="31" t="inlineStr">
        <is>
          <t>refractories / intermediates</t>
        </is>
      </c>
      <c r="E397" s="31" t="inlineStr">
        <is>
          <t>midcap</t>
        </is>
      </c>
      <c r="F397" s="31" t="n">
        <v>8299.01</v>
      </c>
      <c r="G397" s="31" t="n">
        <v>1681.2</v>
      </c>
      <c r="H397" s="31" t="n">
        <v>-6.97</v>
      </c>
      <c r="I397" s="31" t="n">
        <v>312911</v>
      </c>
      <c r="J397" s="31" t="inlineStr">
        <is>
          <t>539837</t>
        </is>
      </c>
    </row>
  </sheetData>
  <autoFilter ref="A1:J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SYRMA</t>
        </is>
      </c>
      <c r="E2" s="31" t="inlineStr">
        <is>
          <t>Syrma SGS Technology Ltd</t>
        </is>
      </c>
      <c r="F2" s="31" t="inlineStr">
        <is>
          <t>Consumer Electronics - EMS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18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PAISALO</t>
        </is>
      </c>
      <c r="E3" s="31" t="inlineStr">
        <is>
          <t>Paisalo Digital Ltd</t>
        </is>
      </c>
      <c r="F3" s="31" t="inlineStr">
        <is>
          <t>Finance - Capital Markets - Brokers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19</v>
      </c>
      <c r="K3" s="31" t="n">
        <v>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TBZ</t>
        </is>
      </c>
      <c r="E4" s="31" t="inlineStr">
        <is>
          <t>Tribhovandas Bhimji Zaveri Limited</t>
        </is>
      </c>
      <c r="F4" s="31" t="inlineStr">
        <is>
          <t>Diamond, Gems &amp;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28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SAKAR</t>
        </is>
      </c>
      <c r="E5" s="31" t="inlineStr">
        <is>
          <t>Sakar Healthcare Ltd</t>
        </is>
      </c>
      <c r="F5" s="31" t="inlineStr">
        <is>
          <t>Hospitals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25</v>
      </c>
      <c r="K5" s="31" t="n">
        <v>15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FCL</t>
        </is>
      </c>
      <c r="E6" s="31" t="inlineStr">
        <is>
          <t>Fineotex Chemical Limited</t>
        </is>
      </c>
      <c r="F6" s="31" t="inlineStr">
        <is>
          <t>Speciality Chemicals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23</v>
      </c>
      <c r="K6" s="31" t="n">
        <v>24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ENTERO</t>
        </is>
      </c>
      <c r="E7" s="31" t="inlineStr">
        <is>
          <t>Entero Healthcare Solutions Ltd</t>
        </is>
      </c>
      <c r="F7" s="31" t="inlineStr">
        <is>
          <t>Pharmacy Distribution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29</v>
      </c>
      <c r="K7" s="31" t="n">
        <v>25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STLTECH</t>
        </is>
      </c>
      <c r="E8" s="31" t="inlineStr">
        <is>
          <t>Sterlite Technologies Limited</t>
        </is>
      </c>
      <c r="F8" s="31" t="inlineStr">
        <is>
          <t>Cables - Telecom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24</v>
      </c>
      <c r="K8" s="31" t="n">
        <v>26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BHAGERIA</t>
        </is>
      </c>
      <c r="E9" s="31" t="inlineStr">
        <is>
          <t>Bhageria Industries Limited</t>
        </is>
      </c>
      <c r="F9" s="31" t="inlineStr">
        <is>
          <t>Dyes &amp; Pigments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28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KABRAEXTRU</t>
        </is>
      </c>
      <c r="E10" s="31" t="inlineStr">
        <is>
          <t>Kabra Extrusion Technik Limited</t>
        </is>
      </c>
      <c r="F10" s="31" t="inlineStr">
        <is>
          <t>Capital Goods - Engineering Heavy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22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AEROENTER</t>
        </is>
      </c>
      <c r="E11" s="31" t="inlineStr">
        <is>
          <t>Aeroflex Enterprises Ltd</t>
        </is>
      </c>
      <c r="F11" s="31" t="inlineStr">
        <is>
          <t>Miscellaneous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25</v>
      </c>
      <c r="K11" s="31" t="n">
        <v>20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MANINDS</t>
        </is>
      </c>
      <c r="E12" s="31" t="inlineStr">
        <is>
          <t>Man Industries (india) Limited</t>
        </is>
      </c>
      <c r="F12" s="31" t="inlineStr">
        <is>
          <t>Steel - Tubes/Pipes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24</v>
      </c>
      <c r="K12" s="31" t="n">
        <v>20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ARTEMISMED</t>
        </is>
      </c>
      <c r="E13" s="31" t="inlineStr">
        <is>
          <t>Artemis Medicare Services Ltd</t>
        </is>
      </c>
      <c r="F13" s="31" t="inlineStr">
        <is>
          <t>Hospitals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17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RPTECH</t>
        </is>
      </c>
      <c r="E14" s="31" t="inlineStr">
        <is>
          <t>Rashi Peripherals Ltd</t>
        </is>
      </c>
      <c r="F14" s="31" t="inlineStr">
        <is>
          <t>Trading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21</v>
      </c>
      <c r="K14" s="31" t="n">
        <v>19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REDINGTON</t>
        </is>
      </c>
      <c r="E15" s="31" t="inlineStr">
        <is>
          <t>Redington (india) Limited</t>
        </is>
      </c>
      <c r="F15" s="31" t="inlineStr">
        <is>
          <t>Computer - Hardware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16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RML</t>
        </is>
      </c>
      <c r="E16" s="31" t="inlineStr">
        <is>
          <t>Rane (madras) Limited</t>
        </is>
      </c>
      <c r="F16" s="31" t="inlineStr">
        <is>
          <t>Auto Ancillaries - Gears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24</v>
      </c>
      <c r="K16" s="31" t="n">
        <v>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MSTCLTD</t>
        </is>
      </c>
      <c r="E17" s="31" t="inlineStr">
        <is>
          <t>MSTC Ltd</t>
        </is>
      </c>
      <c r="F17" s="31" t="inlineStr">
        <is>
          <t>E-Commerce - Platform - Utility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15</v>
      </c>
      <c r="K17" s="31" t="n">
        <v>16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VINCOFE</t>
        </is>
      </c>
      <c r="E18" s="31" t="inlineStr">
        <is>
          <t>Vintage Coffee &amp; Beverages Ltd</t>
        </is>
      </c>
      <c r="F18" s="31" t="inlineStr">
        <is>
          <t>FMCG - Coffee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25</v>
      </c>
      <c r="K18" s="31" t="n">
        <v>14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CGCL</t>
        </is>
      </c>
      <c r="E19" s="31" t="inlineStr">
        <is>
          <t>Capri Global Capital Limited</t>
        </is>
      </c>
      <c r="F19" s="31" t="inlineStr">
        <is>
          <t>Finance &amp; Investments - Gold Loan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31</v>
      </c>
      <c r="K19" s="31" t="n">
        <v>12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TFCILTD</t>
        </is>
      </c>
      <c r="E20" s="31" t="inlineStr">
        <is>
          <t>Tourism Finance Corporation Of India Limited</t>
        </is>
      </c>
      <c r="F20" s="31" t="inlineStr">
        <is>
          <t>Finance - PSU Lending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19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IOLCP</t>
        </is>
      </c>
      <c r="E21" s="31" t="inlineStr">
        <is>
          <t>Iol Chemicals And Pharmaceuticals Limited</t>
        </is>
      </c>
      <c r="F21" s="31" t="inlineStr">
        <is>
          <t>Pharma - API &amp; CRAMS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25</v>
      </c>
      <c r="K21" s="31" t="n">
        <v>21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CUPID</t>
        </is>
      </c>
      <c r="E22" s="31" t="inlineStr">
        <is>
          <t>Cupid Limited</t>
        </is>
      </c>
      <c r="F22" s="31" t="inlineStr">
        <is>
          <t>Contraceptives/Protectives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IIFL</t>
        </is>
      </c>
      <c r="E23" s="31" t="inlineStr">
        <is>
          <t>IIFL Finance Ltd</t>
        </is>
      </c>
      <c r="F23" s="31" t="inlineStr">
        <is>
          <t>Finance &amp; Investments - Gold Loan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HFCL</t>
        </is>
      </c>
      <c r="E24" s="31" t="inlineStr">
        <is>
          <t>HFCL Ltd</t>
        </is>
      </c>
      <c r="F24" s="31" t="inlineStr">
        <is>
          <t>Telecom Services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19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RBLBANK</t>
        </is>
      </c>
      <c r="E25" s="31" t="inlineStr">
        <is>
          <t>Rbl Bank Limited</t>
        </is>
      </c>
      <c r="F25" s="31" t="inlineStr">
        <is>
          <t>Banks - Private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10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MENONBE</t>
        </is>
      </c>
      <c r="E26" s="31" t="inlineStr">
        <is>
          <t>Menon Bearings Limited</t>
        </is>
      </c>
      <c r="F26" s="31" t="inlineStr">
        <is>
          <t>Auto Ancillaries - Bearings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GAYAPROJ</t>
        </is>
      </c>
      <c r="E27" s="31" t="inlineStr">
        <is>
          <t>Gayatri Projects Limited</t>
        </is>
      </c>
      <c r="F27" s="31" t="inlineStr">
        <is>
          <t>Construction - Civil/Turnkey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12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CENTUM</t>
        </is>
      </c>
      <c r="E28" s="31" t="inlineStr">
        <is>
          <t>Centum Electronics Limited</t>
        </is>
      </c>
      <c r="F28" s="31" t="inlineStr">
        <is>
          <t>EMS</t>
        </is>
      </c>
      <c r="G28" s="31" t="n">
        <v>2</v>
      </c>
      <c r="H28" s="31" t="inlineStr">
        <is>
          <t>52W Breakout</t>
        </is>
      </c>
      <c r="I28" s="31" t="inlineStr">
        <is>
          <t>Yes</t>
        </is>
      </c>
      <c r="J28" s="31" t="n">
        <v>15</v>
      </c>
      <c r="K28" s="31" t="n">
        <v>12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MARKSANS</t>
        </is>
      </c>
      <c r="E29" s="31" t="inlineStr">
        <is>
          <t>Marksans Pharma Limited</t>
        </is>
      </c>
      <c r="F29" s="31" t="inlineStr">
        <is>
          <t>Pharma - Formulators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25</v>
      </c>
      <c r="K29" s="31" t="n">
        <v>25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COFORGE</t>
        </is>
      </c>
      <c r="E30" s="31" t="inlineStr">
        <is>
          <t>Coforge (Niit Tech) Ltd</t>
        </is>
      </c>
      <c r="F30" s="31" t="inlineStr">
        <is>
          <t>IT - Software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20</v>
      </c>
      <c r="K30" s="31" t="n">
        <v>29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IGPL</t>
        </is>
      </c>
      <c r="E31" s="31" t="inlineStr">
        <is>
          <t>Ig Petrochemicals Limited</t>
        </is>
      </c>
      <c r="F31" s="31" t="inlineStr">
        <is>
          <t>Chemicals - Organic - Maleic Anhydride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22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MODISONLTD</t>
        </is>
      </c>
      <c r="E32" s="31" t="inlineStr">
        <is>
          <t>Modison Ltd</t>
        </is>
      </c>
      <c r="F32" s="31" t="inlineStr">
        <is>
          <t>Capital Goods - Electric General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26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UNIPARTS</t>
        </is>
      </c>
      <c r="E33" s="31" t="inlineStr">
        <is>
          <t>Uniparts India Ltd</t>
        </is>
      </c>
      <c r="F33" s="31" t="inlineStr">
        <is>
          <t>Castings, Forgings &amp; Fastners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24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KMEW</t>
        </is>
      </c>
      <c r="E34" s="31" t="inlineStr">
        <is>
          <t>Knowledge Marine &amp; Engineering Works Ltd</t>
        </is>
      </c>
      <c r="F34" s="31" t="inlineStr">
        <is>
          <t>Shipping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23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CENTENKA</t>
        </is>
      </c>
      <c r="E35" s="31" t="inlineStr">
        <is>
          <t>Century Enka Limited</t>
        </is>
      </c>
      <c r="F35" s="31" t="inlineStr">
        <is>
          <t>Textiles - Manmade Fibre - PFY/PSF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16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MTARTECH</t>
        </is>
      </c>
      <c r="E36" s="31" t="inlineStr">
        <is>
          <t>MTAR Technologies Ltd</t>
        </is>
      </c>
      <c r="F36" s="31" t="inlineStr">
        <is>
          <t>Aerospace &amp; Defence - Equipments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13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MANORAMA</t>
        </is>
      </c>
      <c r="E37" s="31" t="inlineStr">
        <is>
          <t>Manorama Industries Ltd</t>
        </is>
      </c>
      <c r="F37" s="31" t="inlineStr">
        <is>
          <t>unknown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0</v>
      </c>
      <c r="K37" s="31" t="n">
        <v>22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ADOR</t>
        </is>
      </c>
      <c r="E38" s="31" t="inlineStr">
        <is>
          <t>Ador Welding Ltd</t>
        </is>
      </c>
      <c r="F38" s="31" t="inlineStr">
        <is>
          <t>unknown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0</v>
      </c>
      <c r="K38" s="31" t="n">
        <v>28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SHILPAMED</t>
        </is>
      </c>
      <c r="E39" s="31" t="inlineStr">
        <is>
          <t>Shilpa Medicare Limited</t>
        </is>
      </c>
      <c r="F39" s="31" t="inlineStr">
        <is>
          <t>Pharma - API &amp; CRAMS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27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MOREPENLAB</t>
        </is>
      </c>
      <c r="E40" s="31" t="inlineStr">
        <is>
          <t>Morepen Laboratories Limited</t>
        </is>
      </c>
      <c r="F40" s="31" t="inlineStr">
        <is>
          <t>Pharma - API &amp; CRAMS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25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AVTNPL</t>
        </is>
      </c>
      <c r="E41" s="31" t="inlineStr">
        <is>
          <t>Avt Natural Products Limited</t>
        </is>
      </c>
      <c r="F41" s="31" t="inlineStr">
        <is>
          <t>Agricultural Processing - Maize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24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INDSWFTLAB</t>
        </is>
      </c>
      <c r="E42" s="31" t="inlineStr">
        <is>
          <t>Ind-swift Laboratories Limited</t>
        </is>
      </c>
      <c r="F42" s="31" t="inlineStr">
        <is>
          <t>Pharma - API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20</v>
      </c>
      <c r="K42" s="31" t="n">
        <v>27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LAURUSLABS</t>
        </is>
      </c>
      <c r="E43" s="31" t="inlineStr">
        <is>
          <t>Laurus Labs Limited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23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PCJEWELLER</t>
        </is>
      </c>
      <c r="E44" s="31" t="inlineStr">
        <is>
          <t>Pc Jeweller Limited</t>
        </is>
      </c>
      <c r="F44" s="31" t="inlineStr">
        <is>
          <t>Diamond, Gems &amp; Jewellery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OMAXE</t>
        </is>
      </c>
      <c r="E45" s="31" t="inlineStr">
        <is>
          <t>Omaxe Limited</t>
        </is>
      </c>
      <c r="F45" s="31" t="inlineStr">
        <is>
          <t>Realty - Construction &amp; Contracting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19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SSWL</t>
        </is>
      </c>
      <c r="E46" s="31" t="inlineStr">
        <is>
          <t>Steel Strips Wheels Limited</t>
        </is>
      </c>
      <c r="F46" s="31" t="inlineStr">
        <is>
          <t>Auto Ancillaries - Wheels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24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SANSERA</t>
        </is>
      </c>
      <c r="E47" s="31" t="inlineStr">
        <is>
          <t>Sansera Engineering Ltd</t>
        </is>
      </c>
      <c r="F47" s="31" t="inlineStr">
        <is>
          <t>Auto Ancillaries - Diversified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20</v>
      </c>
      <c r="K47" s="31" t="n">
        <v>26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IDEA</t>
        </is>
      </c>
      <c r="E48" s="31" t="inlineStr">
        <is>
          <t>Vodafone Idea Ltd</t>
        </is>
      </c>
      <c r="F48" s="31" t="inlineStr">
        <is>
          <t>Telecom Services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11</v>
      </c>
      <c r="K48" s="31" t="n">
        <v>17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WSTCSTPAPR</t>
        </is>
      </c>
      <c r="E49" s="31" t="inlineStr">
        <is>
          <t>West Coast Paper Mills Limited</t>
        </is>
      </c>
      <c r="F49" s="31" t="inlineStr">
        <is>
          <t>Paper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16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IFCI</t>
        </is>
      </c>
      <c r="E50" s="31" t="inlineStr">
        <is>
          <t>Ifci Limited</t>
        </is>
      </c>
      <c r="F50" s="31" t="inlineStr">
        <is>
          <t>Finance - PSU Lending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19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SOLARA</t>
        </is>
      </c>
      <c r="E51" s="31" t="inlineStr">
        <is>
          <t>Solara Active Pharma Sciences Ltd</t>
        </is>
      </c>
      <c r="F51" s="31" t="inlineStr">
        <is>
          <t>Pharma - API &amp; CRAMS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13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AVALON</t>
        </is>
      </c>
      <c r="E52" s="31" t="inlineStr">
        <is>
          <t>Avalon Technologies Ltd</t>
        </is>
      </c>
      <c r="F52" s="31" t="inlineStr">
        <is>
          <t>Consumer Electronics - EMS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24</v>
      </c>
      <c r="K52" s="31" t="n">
        <v>26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WELCORP</t>
        </is>
      </c>
      <c r="E53" s="31" t="inlineStr">
        <is>
          <t>Welspun Corp Limited</t>
        </is>
      </c>
      <c r="F53" s="31" t="inlineStr">
        <is>
          <t>DI Pipes/Saw Pipes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SKYGOLD</t>
        </is>
      </c>
      <c r="E54" s="31" t="inlineStr">
        <is>
          <t>Sky Gold Ltd</t>
        </is>
      </c>
      <c r="F54" s="31" t="inlineStr">
        <is>
          <t>Diamond, Gems &amp; Jewellery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26</v>
      </c>
      <c r="K54" s="31" t="n">
        <v>26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RGL</t>
        </is>
      </c>
      <c r="E55" s="31" t="inlineStr">
        <is>
          <t>Renaissance Global Ltd</t>
        </is>
      </c>
      <c r="F55" s="31" t="inlineStr">
        <is>
          <t>Lab Grown Diamonds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21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BIRLACABLE</t>
        </is>
      </c>
      <c r="E56" s="31" t="inlineStr">
        <is>
          <t>Birla Cable Limited</t>
        </is>
      </c>
      <c r="F56" s="31" t="inlineStr">
        <is>
          <t>Cables - Telecom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29</v>
      </c>
      <c r="K56" s="31" t="n">
        <v>28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MVGJL</t>
        </is>
      </c>
      <c r="E57" s="31" t="inlineStr">
        <is>
          <t>Manoj Vaibhav Gems N Jewellers Ltd</t>
        </is>
      </c>
      <c r="F57" s="31" t="inlineStr">
        <is>
          <t>Diamond, Gems &amp; Jewellery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21</v>
      </c>
      <c r="K57" s="31" t="n">
        <v>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BODALCHEM</t>
        </is>
      </c>
      <c r="E58" s="31" t="inlineStr">
        <is>
          <t>Bodal Chemicals Limited</t>
        </is>
      </c>
      <c r="F58" s="31" t="inlineStr">
        <is>
          <t>Dyes &amp; Pigments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32</v>
      </c>
      <c r="K58" s="31" t="n">
        <v>22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CRAFTSMAN</t>
        </is>
      </c>
      <c r="E59" s="31" t="inlineStr">
        <is>
          <t>Craftsman Automation Ltd</t>
        </is>
      </c>
      <c r="F59" s="31" t="inlineStr">
        <is>
          <t>Auto &amp; Auto Ancl - CV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23</v>
      </c>
      <c r="K59" s="31" t="n">
        <v>27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TVSSRICHAK</t>
        </is>
      </c>
      <c r="E60" s="31" t="inlineStr">
        <is>
          <t>Tvs Srichakra Limited</t>
        </is>
      </c>
      <c r="F60" s="31" t="inlineStr">
        <is>
          <t>Tyres &amp; Tubes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23</v>
      </c>
      <c r="K60" s="31" t="n">
        <v>17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ACMESOLAR</t>
        </is>
      </c>
      <c r="E61" s="31" t="inlineStr">
        <is>
          <t>ACME Solar Holdings Ltd</t>
        </is>
      </c>
      <c r="F61" s="31" t="inlineStr">
        <is>
          <t>Engineering - Turnkey Services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15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SOLARINDS</t>
        </is>
      </c>
      <c r="E62" s="31" t="inlineStr">
        <is>
          <t>Solar Industries India Limited</t>
        </is>
      </c>
      <c r="F62" s="31" t="inlineStr">
        <is>
          <t>Industrial Explosives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18</v>
      </c>
      <c r="K62" s="31" t="n">
        <v>25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SHREEJISPG</t>
        </is>
      </c>
      <c r="E63" s="31" t="inlineStr">
        <is>
          <t>Shreeji Shipping Global Ltd</t>
        </is>
      </c>
      <c r="F63" s="31" t="inlineStr">
        <is>
          <t>Shipping/Dredging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11</v>
      </c>
      <c r="K63" s="31" t="n">
        <v>3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SYNCOMF</t>
        </is>
      </c>
      <c r="E64" s="31" t="inlineStr">
        <is>
          <t>Syncom Formulations (India) Ltd</t>
        </is>
      </c>
      <c r="F64" s="31" t="inlineStr">
        <is>
          <t>Pharma - Others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18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NRAIL</t>
        </is>
      </c>
      <c r="E65" s="31" t="inlineStr">
        <is>
          <t>N R Agarwal Industries Ltd</t>
        </is>
      </c>
      <c r="F65" s="31" t="inlineStr">
        <is>
          <t>Paper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18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KENNAMET</t>
        </is>
      </c>
      <c r="E66" s="31" t="inlineStr">
        <is>
          <t>Kennametal India Ltd</t>
        </is>
      </c>
      <c r="F66" s="31" t="inlineStr">
        <is>
          <t>Castings, Forgings &amp; Fastners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25</v>
      </c>
      <c r="K66" s="31" t="n">
        <v>26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CHENNPETRO</t>
        </is>
      </c>
      <c r="E67" s="31" t="inlineStr">
        <is>
          <t>Chennai Petroleum Corporation Limited</t>
        </is>
      </c>
      <c r="F67" s="31" t="inlineStr">
        <is>
          <t>Refineries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23</v>
      </c>
      <c r="K67" s="31" t="n">
        <v>24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KRN</t>
        </is>
      </c>
      <c r="E68" s="31" t="inlineStr">
        <is>
          <t>KRN Heat Exchanger and Refrigeration Ltd</t>
        </is>
      </c>
      <c r="F68" s="31" t="inlineStr">
        <is>
          <t>Engineering - General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20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GANDHAR</t>
        </is>
      </c>
      <c r="E69" s="31" t="inlineStr">
        <is>
          <t>Gandhar Oil Refinery (India) Ltd</t>
        </is>
      </c>
      <c r="F69" s="31" t="inlineStr">
        <is>
          <t>unknown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0</v>
      </c>
      <c r="K69" s="31" t="n">
        <v>22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ALEMBICLTD</t>
        </is>
      </c>
      <c r="E70" s="31" t="inlineStr">
        <is>
          <t>Alembic Limited</t>
        </is>
      </c>
      <c r="F70" s="31" t="inlineStr">
        <is>
          <t>Finance - Holding Company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22</v>
      </c>
      <c r="K70" s="31" t="n">
        <v>11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AEROFLEX</t>
        </is>
      </c>
      <c r="E71" s="31" t="inlineStr">
        <is>
          <t>Aeroflex Industries Ltd</t>
        </is>
      </c>
      <c r="F71" s="31" t="inlineStr">
        <is>
          <t>Stainless Steel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21</v>
      </c>
      <c r="K71" s="31" t="n">
        <v>20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ENGINERSIN</t>
        </is>
      </c>
      <c r="E72" s="31" t="inlineStr">
        <is>
          <t>Engineers India Limited</t>
        </is>
      </c>
      <c r="F72" s="31" t="inlineStr">
        <is>
          <t>Infra - Engineering - General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BIL</t>
        </is>
      </c>
      <c r="E73" s="31" t="inlineStr">
        <is>
          <t>Bhartiya International Limited</t>
        </is>
      </c>
      <c r="F73" s="31" t="inlineStr">
        <is>
          <t>Textiles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PAYTM</t>
        </is>
      </c>
      <c r="E74" s="31" t="inlineStr">
        <is>
          <t>One 97 Communications Ltd</t>
        </is>
      </c>
      <c r="F74" s="31" t="inlineStr">
        <is>
          <t>unknown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0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RISHABH</t>
        </is>
      </c>
      <c r="E75" s="31" t="inlineStr">
        <is>
          <t>Rishabh Instruments Ltd</t>
        </is>
      </c>
      <c r="F75" s="31" t="inlineStr">
        <is>
          <t>Capital Goods - Electric General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16</v>
      </c>
      <c r="K75" s="31" t="n">
        <v>24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SMLMAH</t>
        </is>
      </c>
      <c r="E76" s="31" t="inlineStr">
        <is>
          <t>SML Mahindra Ltd</t>
        </is>
      </c>
      <c r="F76" s="31" t="inlineStr">
        <is>
          <t>Auto - Bus/LCVs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17</v>
      </c>
      <c r="K76" s="31" t="n">
        <v>27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ANTELOPUS</t>
        </is>
      </c>
      <c r="E77" s="31" t="inlineStr">
        <is>
          <t>Antelopus Selan Energy Ltd</t>
        </is>
      </c>
      <c r="F77" s="31" t="inlineStr">
        <is>
          <t>Oil Drilling &amp; Exploration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28</v>
      </c>
      <c r="K77" s="31" t="n">
        <v>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GMMPFAUDLR</t>
        </is>
      </c>
      <c r="E78" s="31" t="inlineStr">
        <is>
          <t>GMM Pfaudler Ltd</t>
        </is>
      </c>
      <c r="F78" s="31" t="inlineStr">
        <is>
          <t>Glass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5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MMP</t>
        </is>
      </c>
      <c r="E79" s="31" t="inlineStr">
        <is>
          <t>MMP Industries Ltd</t>
        </is>
      </c>
      <c r="F79" s="31" t="inlineStr">
        <is>
          <t>Aluminium Products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28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SBC</t>
        </is>
      </c>
      <c r="E80" s="31" t="inlineStr">
        <is>
          <t>SBC Exports Ltd</t>
        </is>
      </c>
      <c r="F80" s="31" t="inlineStr">
        <is>
          <t>Textiles - Readymade Apparel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20</v>
      </c>
      <c r="K80" s="31" t="n">
        <v>13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PTCIL</t>
        </is>
      </c>
      <c r="E81" s="31" t="inlineStr">
        <is>
          <t>PTC Industries Ltd</t>
        </is>
      </c>
      <c r="F81" s="31" t="inlineStr">
        <is>
          <t>Castings - Steel/Alloy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24</v>
      </c>
      <c r="K81" s="31" t="n">
        <v>26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SAMBHV</t>
        </is>
      </c>
      <c r="E82" s="31" t="inlineStr">
        <is>
          <t>Sambhv Steel Tubes Ltd</t>
        </is>
      </c>
      <c r="F82" s="31" t="inlineStr">
        <is>
          <t>Steel - Tubes/Pipes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20</v>
      </c>
      <c r="K82" s="31" t="n">
        <v>20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GIPCL</t>
        </is>
      </c>
      <c r="E83" s="31" t="inlineStr">
        <is>
          <t>Gujarat Industries Power Company Limited</t>
        </is>
      </c>
      <c r="F83" s="31" t="inlineStr">
        <is>
          <t>Power - Generation/Distribution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22</v>
      </c>
      <c r="K83" s="31" t="n">
        <v>21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UFLEX</t>
        </is>
      </c>
      <c r="E84" s="31" t="inlineStr">
        <is>
          <t>Uflex Limited</t>
        </is>
      </c>
      <c r="F84" s="31" t="inlineStr">
        <is>
          <t>unknown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0</v>
      </c>
      <c r="K84" s="31" t="n">
        <v>23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BALAMINES</t>
        </is>
      </c>
      <c r="E85" s="31" t="inlineStr">
        <is>
          <t>Balaji Amines Limited</t>
        </is>
      </c>
      <c r="F85" s="31" t="inlineStr">
        <is>
          <t>Speciality Chemicals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11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DEEPINDS</t>
        </is>
      </c>
      <c r="E86" s="31" t="inlineStr">
        <is>
          <t>Deep Industries Ltd</t>
        </is>
      </c>
      <c r="F86" s="31" t="inlineStr">
        <is>
          <t>Oil Drilling &amp; Exploration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30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SHANTIGEAR</t>
        </is>
      </c>
      <c r="E87" s="31" t="inlineStr">
        <is>
          <t>Shanthi Gears Limited</t>
        </is>
      </c>
      <c r="F87" s="31" t="inlineStr">
        <is>
          <t>unknown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0</v>
      </c>
      <c r="K87" s="31" t="n">
        <v>11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DOLPHIN</t>
        </is>
      </c>
      <c r="E88" s="31" t="inlineStr">
        <is>
          <t>Dolphin Offshore Enterprises (India) Ltd</t>
        </is>
      </c>
      <c r="F88" s="31" t="inlineStr">
        <is>
          <t>Oil Drilling &amp; Exploration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25</v>
      </c>
      <c r="K88" s="31" t="n">
        <v>26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PRABHA</t>
        </is>
      </c>
      <c r="E89" s="31" t="inlineStr">
        <is>
          <t>Prabha Energy Ltd</t>
        </is>
      </c>
      <c r="F89" s="31" t="inlineStr">
        <is>
          <t>Oil Exploration/Allied Services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27</v>
      </c>
      <c r="K89" s="31" t="n">
        <v>5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MAHSEAMLES</t>
        </is>
      </c>
      <c r="E90" s="31" t="inlineStr">
        <is>
          <t>Maharashtra Seamless Limited</t>
        </is>
      </c>
      <c r="F90" s="31" t="inlineStr">
        <is>
          <t>unknown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0</v>
      </c>
      <c r="K90" s="31" t="n">
        <v>20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TNPETRO</t>
        </is>
      </c>
      <c r="E91" s="31" t="inlineStr">
        <is>
          <t>Tamilnadu Petroproducts Limited</t>
        </is>
      </c>
      <c r="F91" s="31" t="inlineStr">
        <is>
          <t>Petrochem - Others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25</v>
      </c>
      <c r="K91" s="31" t="n">
        <v>19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JTLIND</t>
        </is>
      </c>
      <c r="E92" s="31" t="inlineStr">
        <is>
          <t>JTL Industries Ltd</t>
        </is>
      </c>
      <c r="F92" s="31" t="inlineStr">
        <is>
          <t>Steel - Tubes/Pipes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21</v>
      </c>
      <c r="K92" s="31" t="n">
        <v>14</v>
      </c>
    </row>
  </sheetData>
  <autoFilter ref="A1:K92"/>
  <conditionalFormatting sqref="G2:G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IF(B2=0,"",RANK(B2,$B$2:$B$358,0))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ARTEMISMED</t>
        </is>
      </c>
      <c r="D2" s="31" t="inlineStr">
        <is>
          <t>Artemis Medicare Services Ltd</t>
        </is>
      </c>
      <c r="E2" s="31" t="inlineStr">
        <is>
          <t>healthcare</t>
        </is>
      </c>
      <c r="F2" s="31" t="inlineStr">
        <is>
          <t>healthcare</t>
        </is>
      </c>
      <c r="G2" s="31" t="inlineStr">
        <is>
          <t>midcap</t>
        </is>
      </c>
      <c r="H2" s="32" t="n">
        <v>5268.43</v>
      </c>
      <c r="I2" s="32" t="n">
        <v>343.5</v>
      </c>
      <c r="J2" s="32" t="n">
        <v>3.22</v>
      </c>
      <c r="K2" s="32" t="n">
        <v>782569</v>
      </c>
      <c r="L2" s="31" t="n">
        <v>60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74.54000000000001</v>
      </c>
      <c r="P2" s="32" t="n">
        <v>37.78</v>
      </c>
      <c r="Q2" s="32" t="n">
        <v>283.45</v>
      </c>
      <c r="R2" s="31" t="inlineStr">
        <is>
          <t>Near 52W High Breakout</t>
        </is>
      </c>
      <c r="S2" s="31" t="inlineStr">
        <is>
          <t>Nifty Pharma</t>
        </is>
      </c>
      <c r="T2" s="32" t="n">
        <v>20.77</v>
      </c>
      <c r="U2" s="32" t="n">
        <v>46.57</v>
      </c>
      <c r="V2" s="32" t="n">
        <v>21.37</v>
      </c>
      <c r="W2" s="32" t="n">
        <v>13.75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IF(B3=0,"",RANK(B3,$B$2:$B$358,0))</f>
        <v/>
      </c>
      <c r="B3" s="32">
        <f>SUM(N3,Y3,AA3,AC3,AE3,AG3,AI3,AK3,AM3,AO3,AQ3,AS3,AU3,AW3,AY3,BA3,BC3,BE3,BG3,BI3,BK3,BM3,BO3,BQ3,BS3,BU3,BW3,BY3,CA3,CC3,CE3)</f>
        <v/>
      </c>
      <c r="C3" s="33" t="inlineStr">
        <is>
          <t>SBCL</t>
        </is>
      </c>
      <c r="D3" s="33" t="inlineStr">
        <is>
          <t>Shivalik Bimetal Controls Ltd</t>
        </is>
      </c>
      <c r="E3" s="31" t="inlineStr">
        <is>
          <t>metals &amp; mining</t>
        </is>
      </c>
      <c r="F3" s="31" t="inlineStr">
        <is>
          <t>mining / minerals / metals</t>
        </is>
      </c>
      <c r="G3" s="31" t="inlineStr">
        <is>
          <t>midcap</t>
        </is>
      </c>
      <c r="H3" s="32" t="n">
        <v>6458.01</v>
      </c>
      <c r="I3" s="32" t="n">
        <v>1092.1</v>
      </c>
      <c r="J3" s="32" t="n">
        <v>-2.59</v>
      </c>
      <c r="K3" s="32" t="n">
        <v>314685</v>
      </c>
      <c r="L3" s="31" t="n">
        <v>62</v>
      </c>
      <c r="M3" s="31" t="inlineStr">
        <is>
          <t>Underperforming</t>
        </is>
      </c>
      <c r="N3" s="32">
        <f>IF(M3="Underperforming",-5,IF(L3&gt;=95,15,IF(L3&gt;=90,10,IF(L3&gt;=80,5,0))))</f>
        <v/>
      </c>
      <c r="O3" s="32" t="n">
        <v>79.47</v>
      </c>
      <c r="P3" s="32" t="n">
        <v>52.4</v>
      </c>
      <c r="Q3" s="32" t="inlineStr"/>
      <c r="R3" s="31" t="inlineStr">
        <is>
          <t>Earnings / Momentum Support</t>
        </is>
      </c>
      <c r="S3" s="31" t="inlineStr">
        <is>
          <t>Nifty Metal</t>
        </is>
      </c>
      <c r="T3" s="32" t="n">
        <v>31.49</v>
      </c>
      <c r="U3" s="32" t="n">
        <v>23.64</v>
      </c>
      <c r="V3" s="32" t="n">
        <v>-5.97</v>
      </c>
      <c r="W3" s="32" t="n">
        <v>14.67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Monopoly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Yes due to Product Mix change or Operating Leverage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Less than 50%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IF(B4=0,"",RANK(B4,$B$2:$B$358,0))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</t>
        </is>
      </c>
      <c r="D4" s="31" t="inlineStr">
        <is>
          <t>Apollo Micro Systems Ltd</t>
        </is>
      </c>
      <c r="E4" s="31" t="inlineStr">
        <is>
          <t>aerospace &amp; defence</t>
        </is>
      </c>
      <c r="F4" s="31" t="inlineStr">
        <is>
          <t>electronics - components</t>
        </is>
      </c>
      <c r="G4" s="31" t="inlineStr">
        <is>
          <t>midcap</t>
        </is>
      </c>
      <c r="H4" s="32" t="n">
        <v>14451.51</v>
      </c>
      <c r="I4" s="32" t="n">
        <v>403.95</v>
      </c>
      <c r="J4" s="32" t="n">
        <v>3.87</v>
      </c>
      <c r="K4" s="32" t="n">
        <v>11691954</v>
      </c>
      <c r="L4" s="31" t="n">
        <v>47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57.43</v>
      </c>
      <c r="P4" s="32" t="n">
        <v>37.2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-3.41</v>
      </c>
      <c r="U4" s="32" t="n">
        <v>27.74</v>
      </c>
      <c r="V4" s="32" t="n">
        <v>32.25</v>
      </c>
      <c r="W4" s="32" t="n">
        <v>9.199999999999999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IF(B5=0,"",RANK(B5,$B$2:$B$358,0))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APOLLOPIPE</t>
        </is>
      </c>
      <c r="D5" s="31" t="inlineStr">
        <is>
          <t>Apollo Pipes Ltd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2665.36</v>
      </c>
      <c r="I5" s="32" t="n">
        <v>601</v>
      </c>
      <c r="J5" s="32" t="n">
        <v>-0.68</v>
      </c>
      <c r="K5" s="32" t="n">
        <v>115502</v>
      </c>
      <c r="L5" s="31" t="n">
        <v>65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71.14</v>
      </c>
      <c r="P5" s="32" t="n">
        <v>45.57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-3.41</v>
      </c>
      <c r="U5" s="32" t="n">
        <v>50.23</v>
      </c>
      <c r="V5" s="32" t="n">
        <v>55.53</v>
      </c>
      <c r="W5" s="32" t="n">
        <v>15.57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IF(B6=0,"",RANK(B6,$B$2:$B$358,0))</f>
        <v/>
      </c>
      <c r="B6" s="32">
        <f>SUM(N6,Y6,AA6,AC6,AE6,AG6,AI6,AK6,AM6,AO6,AQ6,AS6,AU6,AW6,AY6,BA6,BC6,BE6,BG6,BI6,BK6,BM6,BO6,BQ6,BS6,BU6,BW6,BY6,CA6,CC6,CE6)</f>
        <v/>
      </c>
      <c r="C6" s="33" t="inlineStr">
        <is>
          <t>APLAPOLLO</t>
        </is>
      </c>
      <c r="D6" s="33" t="inlineStr">
        <is>
          <t>Apl Apollo Tubes Limited</t>
        </is>
      </c>
      <c r="E6" s="31" t="inlineStr">
        <is>
          <t>industrials</t>
        </is>
      </c>
      <c r="F6" s="31" t="inlineStr">
        <is>
          <t>steel - large</t>
        </is>
      </c>
      <c r="G6" s="31" t="inlineStr">
        <is>
          <t>largecap</t>
        </is>
      </c>
      <c r="H6" s="32" t="n">
        <v>62473.14</v>
      </c>
      <c r="I6" s="32" t="n">
        <v>2215</v>
      </c>
      <c r="J6" s="32" t="n">
        <v>-1.56</v>
      </c>
      <c r="K6" s="32" t="n">
        <v>709214</v>
      </c>
      <c r="L6" s="31" t="n">
        <v>10</v>
      </c>
      <c r="M6" s="31" t="inlineStr">
        <is>
          <t>Underperforming</t>
        </is>
      </c>
      <c r="N6" s="32">
        <f>IF(M6="Underperforming",-5,IF(L6&gt;=95,15,IF(L6&gt;=90,10,IF(L6&gt;=80,5,0))))</f>
        <v/>
      </c>
      <c r="O6" s="32" t="n">
        <v>68.42</v>
      </c>
      <c r="P6" s="32" t="n">
        <v>21.69</v>
      </c>
      <c r="Q6" s="32" t="inlineStr"/>
      <c r="R6" s="31" t="inlineStr">
        <is>
          <t>Earnings / Momentum Support</t>
        </is>
      </c>
      <c r="S6" s="31" t="inlineStr">
        <is>
          <t>Nifty Metal</t>
        </is>
      </c>
      <c r="T6" s="32" t="n">
        <v>31.49</v>
      </c>
      <c r="U6" s="32" t="n">
        <v>8.119999999999999</v>
      </c>
      <c r="V6" s="32" t="n">
        <v>-17.78</v>
      </c>
      <c r="W6" s="32" t="n">
        <v>-0.9399999999999999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Cyclical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Yes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Between 1.5 to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IF(B7=0,"",RANK(B7,$B$2:$B$358,0))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NAVINFLUOR</t>
        </is>
      </c>
      <c r="D7" s="31" t="inlineStr">
        <is>
          <t>Navin Fluorine International Limited</t>
        </is>
      </c>
      <c r="E7" s="31" t="inlineStr">
        <is>
          <t>chemicals</t>
        </is>
      </c>
      <c r="F7" s="31" t="inlineStr">
        <is>
          <t>chemicals</t>
        </is>
      </c>
      <c r="G7" s="31" t="inlineStr">
        <is>
          <t>largecap</t>
        </is>
      </c>
      <c r="H7" s="32" t="n">
        <v>43892.41</v>
      </c>
      <c r="I7" s="32" t="n">
        <v>8603.5</v>
      </c>
      <c r="J7" s="32" t="n">
        <v>0.54</v>
      </c>
      <c r="K7" s="32" t="n">
        <v>76404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78.06</v>
      </c>
      <c r="P7" s="32" t="n">
        <v>60.59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-3.41</v>
      </c>
      <c r="U7" s="32" t="n">
        <v>83.92</v>
      </c>
      <c r="V7" s="32" t="n">
        <v>90.41</v>
      </c>
      <c r="W7" s="32" t="n">
        <v>17.69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Shallow Cyclical (2 to 3 Years Growth)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IF(B8=0,"",RANK(B8,$B$2:$B$358,0))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SCPL</t>
        </is>
      </c>
      <c r="D8" s="31" t="inlineStr">
        <is>
          <t>Sheetal Cool Products Ltd</t>
        </is>
      </c>
      <c r="E8" s="31" t="inlineStr">
        <is>
          <t>fmcg</t>
        </is>
      </c>
      <c r="F8" s="31" t="inlineStr">
        <is>
          <t>food - processing - indian</t>
        </is>
      </c>
      <c r="G8" s="31" t="inlineStr">
        <is>
          <t>smallcap</t>
        </is>
      </c>
      <c r="H8" s="32" t="n">
        <v>678.77</v>
      </c>
      <c r="I8" s="32" t="n">
        <v>655.05</v>
      </c>
      <c r="J8" s="32" t="n">
        <v>1.33</v>
      </c>
      <c r="K8" s="32" t="n">
        <v>24090</v>
      </c>
      <c r="L8" s="31" t="n">
        <v>84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70.90000000000001</v>
      </c>
      <c r="P8" s="32" t="n">
        <v>59.07</v>
      </c>
      <c r="Q8" s="32" t="inlineStr"/>
      <c r="R8" s="31" t="inlineStr">
        <is>
          <t>Earnings / Momentum Support</t>
        </is>
      </c>
      <c r="S8" s="31" t="inlineStr">
        <is>
          <t>Nifty FMCG</t>
        </is>
      </c>
      <c r="T8" s="32" t="n">
        <v>-13.73</v>
      </c>
      <c r="U8" s="32" t="n">
        <v>62.03</v>
      </c>
      <c r="V8" s="32" t="n">
        <v>87.81999999999999</v>
      </c>
      <c r="W8" s="32" t="n">
        <v>24.27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IF(B9=0,"",RANK(B9,$B$2:$B$358,0))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APCOTEXIND</t>
        </is>
      </c>
      <c r="D9" s="31" t="inlineStr">
        <is>
          <t>Apcotex Industries Limited</t>
        </is>
      </c>
      <c r="E9" s="31" t="inlineStr">
        <is>
          <t>chemicals</t>
        </is>
      </c>
      <c r="F9" s="31" t="inlineStr">
        <is>
          <t>miscellaneous</t>
        </is>
      </c>
      <c r="G9" s="31" t="inlineStr">
        <is>
          <t>smallcap</t>
        </is>
      </c>
      <c r="H9" s="32" t="n">
        <v>3294.75</v>
      </c>
      <c r="I9" s="32" t="n">
        <v>631.6</v>
      </c>
      <c r="J9" s="32" t="n">
        <v>-0.61</v>
      </c>
      <c r="K9" s="32" t="n">
        <v>96163</v>
      </c>
      <c r="L9" s="31" t="n">
        <v>64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73.66</v>
      </c>
      <c r="P9" s="32" t="n">
        <v>65.93000000000001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-3.41</v>
      </c>
      <c r="U9" s="32" t="n">
        <v>61.71</v>
      </c>
      <c r="V9" s="32" t="n">
        <v>67.42</v>
      </c>
      <c r="W9" s="32" t="n">
        <v>15.43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Oligopoly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Cyclical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Fully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1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Sideways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Overhead supply in last 2 years in last 2 years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IF(B10=0,"",RANK(B10,$B$2:$B$358,0))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TALBROAUTO</t>
        </is>
      </c>
      <c r="D10" s="31" t="inlineStr">
        <is>
          <t>Talbros Automotive Components Limited</t>
        </is>
      </c>
      <c r="E10" s="31" t="inlineStr">
        <is>
          <t>auto</t>
        </is>
      </c>
      <c r="F10" s="31" t="inlineStr">
        <is>
          <t>auto ancillaries</t>
        </is>
      </c>
      <c r="G10" s="31" t="inlineStr">
        <is>
          <t>smallcap</t>
        </is>
      </c>
      <c r="H10" s="32" t="n">
        <v>2516.97</v>
      </c>
      <c r="I10" s="32" t="n">
        <v>431.8</v>
      </c>
      <c r="J10" s="32" t="n">
        <v>5.9</v>
      </c>
      <c r="K10" s="32" t="n">
        <v>1798087</v>
      </c>
      <c r="L10" s="31" t="n">
        <v>71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63.2</v>
      </c>
      <c r="P10" s="32" t="n">
        <v>43.31</v>
      </c>
      <c r="Q10" s="32" t="inlineStr"/>
      <c r="R10" s="31" t="inlineStr">
        <is>
          <t>Volume Spike / Accumulation</t>
        </is>
      </c>
      <c r="S10" s="31" t="inlineStr">
        <is>
          <t>Nifty Auto</t>
        </is>
      </c>
      <c r="T10" s="32" t="n">
        <v>13.41</v>
      </c>
      <c r="U10" s="32" t="n">
        <v>41.36</v>
      </c>
      <c r="V10" s="32" t="n">
        <v>24.64</v>
      </c>
      <c r="W10" s="32" t="n">
        <v>18.13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IF(B11=0,"",RANK(B11,$B$2:$B$358,0))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RPTECH</t>
        </is>
      </c>
      <c r="D11" s="31" t="inlineStr">
        <is>
          <t>Rashi Peripherals Ltd</t>
        </is>
      </c>
      <c r="E11" s="31" t="inlineStr">
        <is>
          <t>i.t</t>
        </is>
      </c>
      <c r="F11" s="31" t="inlineStr">
        <is>
          <t>trading</t>
        </is>
      </c>
      <c r="G11" s="31" t="inlineStr">
        <is>
          <t>midcap</t>
        </is>
      </c>
      <c r="H11" s="32" t="n">
        <v>5427.83</v>
      </c>
      <c r="I11" s="32" t="n">
        <v>853.4</v>
      </c>
      <c r="J11" s="32" t="n">
        <v>3.61</v>
      </c>
      <c r="K11" s="32" t="n">
        <v>412998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68.09999999999999</v>
      </c>
      <c r="P11" s="32" t="n">
        <v>73.83</v>
      </c>
      <c r="Q11" s="32" t="inlineStr"/>
      <c r="R11" s="31" t="inlineStr">
        <is>
          <t>Earnings / Momentum Support</t>
        </is>
      </c>
      <c r="S11" s="31" t="inlineStr">
        <is>
          <t>Nifty IT</t>
        </is>
      </c>
      <c r="T11" s="32" t="n">
        <v>-11.38</v>
      </c>
      <c r="U11" s="32" t="n">
        <v>178.9</v>
      </c>
      <c r="V11" s="32" t="n">
        <v>214.71</v>
      </c>
      <c r="W11" s="32" t="n">
        <v>35.12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IF(B12=0,"",RANK(B12,$B$2:$B$358,0))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PREMIERPOL</t>
        </is>
      </c>
      <c r="D12" s="31" t="inlineStr">
        <is>
          <t>Premier Polyfilm Limited</t>
        </is>
      </c>
      <c r="E12" s="31" t="inlineStr">
        <is>
          <t>plastic products</t>
        </is>
      </c>
      <c r="F12" s="31" t="inlineStr">
        <is>
          <t>plastics products</t>
        </is>
      </c>
      <c r="G12" s="31" t="inlineStr">
        <is>
          <t>smallcap</t>
        </is>
      </c>
      <c r="H12" s="32" t="n">
        <v>998.8200000000001</v>
      </c>
      <c r="I12" s="32" t="n">
        <v>91.45</v>
      </c>
      <c r="J12" s="32" t="n">
        <v>-4.1</v>
      </c>
      <c r="K12" s="32" t="n">
        <v>273939</v>
      </c>
      <c r="L12" s="31" t="n">
        <v>92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73.98999999999999</v>
      </c>
      <c r="P12" s="32" t="n">
        <v>58.06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-3.41</v>
      </c>
      <c r="U12" s="32" t="n">
        <v>104.62</v>
      </c>
      <c r="V12" s="32" t="n">
        <v>111.84</v>
      </c>
      <c r="W12" s="32" t="n">
        <v>32.74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IF(B13=0,"",RANK(B13,$B$2:$B$358,0))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PRICOLLTD</t>
        </is>
      </c>
      <c r="D13" s="31" t="inlineStr">
        <is>
          <t>Pricol Ltd.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midcap</t>
        </is>
      </c>
      <c r="H13" s="32" t="n">
        <v>9323.33</v>
      </c>
      <c r="I13" s="32" t="n">
        <v>779.35</v>
      </c>
      <c r="J13" s="32" t="n">
        <v>1.88</v>
      </c>
      <c r="K13" s="32" t="n">
        <v>303473</v>
      </c>
      <c r="L13" s="31" t="n">
        <v>41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68.8</v>
      </c>
      <c r="P13" s="32" t="n">
        <v>38.17</v>
      </c>
      <c r="Q13" s="32" t="inlineStr"/>
      <c r="R13" s="31" t="inlineStr">
        <is>
          <t>Earnings / Momentum Support</t>
        </is>
      </c>
      <c r="S13" s="31" t="inlineStr">
        <is>
          <t>Nifty Auto</t>
        </is>
      </c>
      <c r="T13" s="32" t="n">
        <v>13.41</v>
      </c>
      <c r="U13" s="32" t="n">
        <v>36.08</v>
      </c>
      <c r="V13" s="32" t="n">
        <v>19.98</v>
      </c>
      <c r="W13" s="32" t="n">
        <v>7.62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Oligopoly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Shallow Cyclical (2 to 3 Years Growth)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Fully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Allocated capital in Non-core Areas</t>
        </is>
      </c>
      <c r="AU13" s="31">
        <f>IF(AT13="Good",10,0)</f>
        <v/>
      </c>
      <c r="AV13" s="31" t="inlineStr">
        <is>
          <t>Yes only for next 1 to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Between 12 to 20%</t>
        </is>
      </c>
      <c r="BO13" s="31">
        <f>IF(BN13="More than 20%",10,IF(BN13="Between 12 to 20%",5,IF(BN13="Less than 12%",0,0)))</f>
        <v/>
      </c>
      <c r="BP13" s="31" t="inlineStr">
        <is>
          <t>Yes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Between 1.5 to 2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IF(B14=0,"",RANK(B14,$B$2:$B$358,0))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SUVEN</t>
        </is>
      </c>
      <c r="D14" s="31" t="inlineStr">
        <is>
          <t>Suven Life Sciences Limited</t>
        </is>
      </c>
      <c r="E14" s="31" t="inlineStr">
        <is>
          <t>healthcare</t>
        </is>
      </c>
      <c r="F14" s="31" t="inlineStr">
        <is>
          <t>miscellaneous</t>
        </is>
      </c>
      <c r="G14" s="31" t="inlineStr">
        <is>
          <t>smallcap</t>
        </is>
      </c>
      <c r="H14" s="32" t="n">
        <v>730.25</v>
      </c>
      <c r="I14" s="32" t="n">
        <v>377.15</v>
      </c>
      <c r="J14" s="32" t="n">
        <v>-0.22</v>
      </c>
      <c r="K14" s="32" t="n">
        <v>862473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71.31999999999999</v>
      </c>
      <c r="P14" s="32" t="n">
        <v>48.72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20.77</v>
      </c>
      <c r="U14" s="32" t="n">
        <v>70.08</v>
      </c>
      <c r="V14" s="32" t="n">
        <v>40.83</v>
      </c>
      <c r="W14" s="32" t="n">
        <v>29.67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IF(B15=0,"",RANK(B15,$B$2:$B$358,0))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SYRMA</t>
        </is>
      </c>
      <c r="D15" s="31" t="inlineStr">
        <is>
          <t>Syrma SGS Technology Ltd</t>
        </is>
      </c>
      <c r="E15" s="31" t="inlineStr">
        <is>
          <t>consumer discretionary</t>
        </is>
      </c>
      <c r="F15" s="31" t="inlineStr">
        <is>
          <t>electronics - components</t>
        </is>
      </c>
      <c r="G15" s="31" t="inlineStr">
        <is>
          <t>largecap</t>
        </is>
      </c>
      <c r="H15" s="32" t="n">
        <v>28101.19</v>
      </c>
      <c r="I15" s="32" t="n">
        <v>1634.8</v>
      </c>
      <c r="J15" s="32" t="n">
        <v>12.18</v>
      </c>
      <c r="K15" s="32" t="n">
        <v>13079561</v>
      </c>
      <c r="L15" s="31" t="n">
        <v>71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67.20999999999999</v>
      </c>
      <c r="P15" s="32" t="n">
        <v>59.81</v>
      </c>
      <c r="Q15" s="32" t="inlineStr"/>
      <c r="R15" s="31" t="inlineStr">
        <is>
          <t>Volume Spike / Accumulation</t>
        </is>
      </c>
      <c r="S15" s="31" t="inlineStr">
        <is>
          <t>Nifty 50</t>
        </is>
      </c>
      <c r="T15" s="32" t="n">
        <v>-3.41</v>
      </c>
      <c r="U15" s="32" t="n">
        <v>75.81999999999999</v>
      </c>
      <c r="V15" s="32" t="n">
        <v>82.02</v>
      </c>
      <c r="W15" s="32" t="n">
        <v>18.19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IF(B16=0,"",RANK(B16,$B$2:$B$358,0))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REDINGTON</t>
        </is>
      </c>
      <c r="D16" s="31" t="inlineStr">
        <is>
          <t>Redington (india) Limited</t>
        </is>
      </c>
      <c r="E16" s="31" t="inlineStr">
        <is>
          <t>services</t>
        </is>
      </c>
      <c r="F16" s="31" t="inlineStr">
        <is>
          <t>trading</t>
        </is>
      </c>
      <c r="G16" s="31" t="inlineStr">
        <is>
          <t>largecap</t>
        </is>
      </c>
      <c r="H16" s="32" t="n">
        <v>29027.28</v>
      </c>
      <c r="I16" s="32" t="n">
        <v>378.2</v>
      </c>
      <c r="J16" s="32" t="n">
        <v>1.86</v>
      </c>
      <c r="K16" s="32" t="n">
        <v>5166393</v>
      </c>
      <c r="L16" s="31" t="n">
        <v>83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71.45</v>
      </c>
      <c r="P16" s="32" t="n">
        <v>44.4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-3.41</v>
      </c>
      <c r="U16" s="32" t="n">
        <v>60.24</v>
      </c>
      <c r="V16" s="32" t="n">
        <v>65.89</v>
      </c>
      <c r="W16" s="32" t="n">
        <v>23.94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IF(B17=0,"",RANK(B17,$B$2:$B$358,0))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BLUSPRING</t>
        </is>
      </c>
      <c r="D17" s="31" t="inlineStr">
        <is>
          <t>Bluspring Enterprises Ltd</t>
        </is>
      </c>
      <c r="E17" s="31" t="inlineStr">
        <is>
          <t>miscellaneous</t>
        </is>
      </c>
      <c r="F17" s="31" t="inlineStr">
        <is>
          <t>diversified - large</t>
        </is>
      </c>
      <c r="G17" s="31" t="inlineStr">
        <is>
          <t>smallcap</t>
        </is>
      </c>
      <c r="H17" s="32" t="n">
        <v>2076.63</v>
      </c>
      <c r="I17" s="32" t="n">
        <v>137.19</v>
      </c>
      <c r="J17" s="32" t="n">
        <v>-1.27</v>
      </c>
      <c r="K17" s="32" t="n">
        <v>216374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74.16</v>
      </c>
      <c r="P17" s="32" t="n">
        <v>64.75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-3.41</v>
      </c>
      <c r="U17" s="32" t="n">
        <v>72.48999999999999</v>
      </c>
      <c r="V17" s="32" t="n">
        <v>78.58</v>
      </c>
      <c r="W17" s="32" t="n">
        <v>27.6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IF(B18=0,"",RANK(B18,$B$2:$B$358,0))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RML</t>
        </is>
      </c>
      <c r="D18" s="31" t="inlineStr">
        <is>
          <t>Rane (madras) Limited</t>
        </is>
      </c>
      <c r="E18" s="31" t="inlineStr">
        <is>
          <t>auto</t>
        </is>
      </c>
      <c r="F18" s="31" t="inlineStr">
        <is>
          <t>auto ancillaries</t>
        </is>
      </c>
      <c r="G18" s="31" t="inlineStr">
        <is>
          <t>smallcap</t>
        </is>
      </c>
      <c r="H18" s="32" t="n">
        <v>3581.5</v>
      </c>
      <c r="I18" s="32" t="n">
        <v>1388.2</v>
      </c>
      <c r="J18" s="32" t="n">
        <v>7.12</v>
      </c>
      <c r="K18" s="32" t="n">
        <v>976998</v>
      </c>
      <c r="L18" s="31" t="n">
        <v>73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67.03</v>
      </c>
      <c r="P18" s="32" t="n">
        <v>52.63</v>
      </c>
      <c r="Q18" s="32" t="inlineStr"/>
      <c r="R18" s="31" t="inlineStr">
        <is>
          <t>Volume Spike / Accumulation</t>
        </is>
      </c>
      <c r="S18" s="31" t="inlineStr">
        <is>
          <t>Nifty Auto</t>
        </is>
      </c>
      <c r="T18" s="32" t="n">
        <v>13.41</v>
      </c>
      <c r="U18" s="32" t="n">
        <v>34.14</v>
      </c>
      <c r="V18" s="32" t="n">
        <v>18.27</v>
      </c>
      <c r="W18" s="32" t="n">
        <v>18.8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IF(B19=0,"",RANK(B19,$B$2:$B$358,0))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MSTCLTD</t>
        </is>
      </c>
      <c r="D19" s="31" t="inlineStr">
        <is>
          <t>MSTC Ltd</t>
        </is>
      </c>
      <c r="E19" s="31" t="inlineStr">
        <is>
          <t>i.t</t>
        </is>
      </c>
      <c r="F19" s="31" t="inlineStr">
        <is>
          <t>trading</t>
        </is>
      </c>
      <c r="G19" s="31" t="inlineStr">
        <is>
          <t>midcap</t>
        </is>
      </c>
      <c r="H19" s="32" t="n">
        <v>5168.77</v>
      </c>
      <c r="I19" s="32" t="n">
        <v>785.65</v>
      </c>
      <c r="J19" s="32" t="n">
        <v>7.01</v>
      </c>
      <c r="K19" s="32" t="n">
        <v>1016067</v>
      </c>
      <c r="L19" s="31" t="n">
        <v>72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66.89</v>
      </c>
      <c r="P19" s="32" t="n">
        <v>46.83</v>
      </c>
      <c r="Q19" s="32" t="inlineStr"/>
      <c r="R19" s="31" t="inlineStr">
        <is>
          <t>Earnings / Momentum Support</t>
        </is>
      </c>
      <c r="S19" s="31" t="inlineStr">
        <is>
          <t>Nifty IT</t>
        </is>
      </c>
      <c r="T19" s="32" t="n">
        <v>-11.38</v>
      </c>
      <c r="U19" s="32" t="n">
        <v>49</v>
      </c>
      <c r="V19" s="32" t="n">
        <v>68.13</v>
      </c>
      <c r="W19" s="32" t="n">
        <v>18.4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IF(B20=0,"",RANK(B20,$B$2:$B$358,0))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CHEMBONDCH</t>
        </is>
      </c>
      <c r="D20" s="31" t="inlineStr">
        <is>
          <t>Chembond Chemicals Ltd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684.38</v>
      </c>
      <c r="I20" s="32" t="n">
        <v>267.15</v>
      </c>
      <c r="J20" s="32" t="n">
        <v>4.99</v>
      </c>
      <c r="K20" s="32" t="n">
        <v>9181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61.97</v>
      </c>
      <c r="P20" s="32" t="n">
        <v>47.95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-3.41</v>
      </c>
      <c r="U20" s="32" t="n">
        <v>35.92</v>
      </c>
      <c r="V20" s="32" t="n">
        <v>40.72</v>
      </c>
      <c r="W20" s="32" t="n">
        <v>16.77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IF(B21=0,"",RANK(B21,$B$2:$B$358,0))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VISHNU</t>
        </is>
      </c>
      <c r="D21" s="31" t="inlineStr">
        <is>
          <t>Vishnu Chemicals Limited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4725.53</v>
      </c>
      <c r="I21" s="32" t="n">
        <v>726.5</v>
      </c>
      <c r="J21" s="32" t="n">
        <v>3.49</v>
      </c>
      <c r="K21" s="32" t="n">
        <v>401102</v>
      </c>
      <c r="L21" s="31" t="n">
        <v>54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70.06999999999999</v>
      </c>
      <c r="P21" s="32" t="n">
        <v>44.83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-3.41</v>
      </c>
      <c r="U21" s="32" t="n">
        <v>46.29</v>
      </c>
      <c r="V21" s="32" t="n">
        <v>51.45</v>
      </c>
      <c r="W21" s="32" t="n">
        <v>11.64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IF(B22=0,"",RANK(B22,$B$2:$B$358,0))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VINDHYATEL</t>
        </is>
      </c>
      <c r="D22" s="31" t="inlineStr">
        <is>
          <t>Vindhya Telelinks Limited</t>
        </is>
      </c>
      <c r="E22" s="31" t="inlineStr">
        <is>
          <t>realty</t>
        </is>
      </c>
      <c r="F22" s="31" t="inlineStr">
        <is>
          <t>construction</t>
        </is>
      </c>
      <c r="G22" s="31" t="inlineStr">
        <is>
          <t>smallcap</t>
        </is>
      </c>
      <c r="H22" s="32" t="n">
        <v>3238.49</v>
      </c>
      <c r="I22" s="32" t="n">
        <v>2765</v>
      </c>
      <c r="J22" s="32" t="n">
        <v>1.18</v>
      </c>
      <c r="K22" s="32" t="n">
        <v>214917</v>
      </c>
      <c r="L22" s="31" t="n">
        <v>47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71.36</v>
      </c>
      <c r="P22" s="32" t="n">
        <v>51.96</v>
      </c>
      <c r="Q22" s="32" t="inlineStr"/>
      <c r="R22" s="31" t="inlineStr">
        <is>
          <t>Earnings / Momentum Support</t>
        </is>
      </c>
      <c r="S22" s="31" t="inlineStr">
        <is>
          <t>Nifty Realty</t>
        </is>
      </c>
      <c r="T22" s="32" t="n">
        <v>-8.119999999999999</v>
      </c>
      <c r="U22" s="32" t="n">
        <v>7.21</v>
      </c>
      <c r="V22" s="32" t="n">
        <v>16.68</v>
      </c>
      <c r="W22" s="32" t="n">
        <v>9.01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IF(B23=0,"",RANK(B23,$B$2:$B$358,0))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ICIL</t>
        </is>
      </c>
      <c r="D23" s="31" t="inlineStr">
        <is>
          <t>Indo Count Industries Limited</t>
        </is>
      </c>
      <c r="E23" s="31" t="inlineStr">
        <is>
          <t>textiles</t>
        </is>
      </c>
      <c r="F23" s="31" t="inlineStr">
        <is>
          <t>textiles - cotton/blended</t>
        </is>
      </c>
      <c r="G23" s="31" t="inlineStr">
        <is>
          <t>midcap</t>
        </is>
      </c>
      <c r="H23" s="32" t="n">
        <v>8908.48</v>
      </c>
      <c r="I23" s="32" t="n">
        <v>453.7</v>
      </c>
      <c r="J23" s="32" t="n">
        <v>0.87</v>
      </c>
      <c r="K23" s="32" t="n">
        <v>467699</v>
      </c>
      <c r="L23" s="31" t="n">
        <v>81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65.94</v>
      </c>
      <c r="P23" s="32" t="n">
        <v>56.05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-3.41</v>
      </c>
      <c r="U23" s="32" t="n">
        <v>92.11</v>
      </c>
      <c r="V23" s="32" t="n">
        <v>98.89</v>
      </c>
      <c r="W23" s="32" t="n">
        <v>22.98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IF(B24=0,"",RANK(B24,$B$2:$B$358,0))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OCCLLTD</t>
        </is>
      </c>
      <c r="D24" s="31" t="inlineStr">
        <is>
          <t>OCCL Ltd</t>
        </is>
      </c>
      <c r="E24" s="31" t="inlineStr">
        <is>
          <t>chemicals</t>
        </is>
      </c>
      <c r="F24" s="31" t="inlineStr">
        <is>
          <t>chemicals</t>
        </is>
      </c>
      <c r="G24" s="31" t="inlineStr">
        <is>
          <t>smallcap</t>
        </is>
      </c>
      <c r="H24" s="32" t="n">
        <v>818.84</v>
      </c>
      <c r="I24" s="32" t="n">
        <v>164.42</v>
      </c>
      <c r="J24" s="32" t="n">
        <v>0.3</v>
      </c>
      <c r="K24" s="32" t="n">
        <v>49800</v>
      </c>
      <c r="L24" s="31" t="n">
        <v>68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72.7</v>
      </c>
      <c r="P24" s="32" t="n">
        <v>49.31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-3.41</v>
      </c>
      <c r="U24" s="32" t="n">
        <v>26.31</v>
      </c>
      <c r="V24" s="32" t="n">
        <v>30.77</v>
      </c>
      <c r="W24" s="32" t="n">
        <v>17.24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IF(B25=0,"",RANK(B25,$B$2:$B$358,0))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KANORICHEM</t>
        </is>
      </c>
      <c r="D25" s="31" t="inlineStr">
        <is>
          <t>Kanoria Chemicals &amp; Industries Limited</t>
        </is>
      </c>
      <c r="E25" s="31" t="inlineStr">
        <is>
          <t>chemicals</t>
        </is>
      </c>
      <c r="F25" s="31" t="inlineStr">
        <is>
          <t>chemicals</t>
        </is>
      </c>
      <c r="G25" s="31" t="inlineStr">
        <is>
          <t>smallcap</t>
        </is>
      </c>
      <c r="H25" s="32" t="n">
        <v>679.6900000000001</v>
      </c>
      <c r="I25" s="32" t="n">
        <v>155.41</v>
      </c>
      <c r="J25" s="32" t="n">
        <v>-0.1</v>
      </c>
      <c r="K25" s="32" t="n">
        <v>11807</v>
      </c>
      <c r="L25" s="31" t="n">
        <v>90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70.13</v>
      </c>
      <c r="P25" s="32" t="n">
        <v>65.69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-3.41</v>
      </c>
      <c r="U25" s="32" t="n">
        <v>87.38</v>
      </c>
      <c r="V25" s="32" t="n">
        <v>93.98999999999999</v>
      </c>
      <c r="W25" s="32" t="n">
        <v>30.83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IF(B26=0,"",RANK(B26,$B$2:$B$358,0))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PASUPTAC</t>
        </is>
      </c>
      <c r="D26" s="31" t="inlineStr">
        <is>
          <t>Pasupati Acrylon Ltd</t>
        </is>
      </c>
      <c r="E26" s="31" t="inlineStr">
        <is>
          <t>textiles</t>
        </is>
      </c>
      <c r="F26" s="31" t="inlineStr">
        <is>
          <t>textiles - manmade</t>
        </is>
      </c>
      <c r="G26" s="31" t="inlineStr">
        <is>
          <t>smallcap</t>
        </is>
      </c>
      <c r="H26" s="32" t="n">
        <v>602.9</v>
      </c>
      <c r="I26" s="32" t="n">
        <v>67.31999999999999</v>
      </c>
      <c r="J26" s="32" t="n">
        <v>-0.47</v>
      </c>
      <c r="K26" s="32" t="n">
        <v>116622</v>
      </c>
      <c r="L26" s="31" t="n">
        <v>51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62.03</v>
      </c>
      <c r="P26" s="32" t="n">
        <v>47.47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-3.41</v>
      </c>
      <c r="U26" s="32" t="n">
        <v>60.36</v>
      </c>
      <c r="V26" s="32" t="n">
        <v>66.02</v>
      </c>
      <c r="W26" s="32" t="n">
        <v>10.83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IF(B27=0,"",RANK(B27,$B$2:$B$358,0))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INDOBORAX</t>
        </is>
      </c>
      <c r="D27" s="31" t="inlineStr">
        <is>
          <t>Indo Borax &amp; Chemicals Ltd</t>
        </is>
      </c>
      <c r="E27" s="31" t="inlineStr">
        <is>
          <t>chemicals</t>
        </is>
      </c>
      <c r="F27" s="31" t="inlineStr">
        <is>
          <t>chemicals</t>
        </is>
      </c>
      <c r="G27" s="31" t="inlineStr">
        <is>
          <t>smallcap</t>
        </is>
      </c>
      <c r="H27" s="32" t="n">
        <v>1652.31</v>
      </c>
      <c r="I27" s="32" t="n">
        <v>503.95</v>
      </c>
      <c r="J27" s="32" t="n">
        <v>-2.13</v>
      </c>
      <c r="K27" s="32" t="n">
        <v>392536</v>
      </c>
      <c r="L27" s="31" t="n">
        <v>91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78.12</v>
      </c>
      <c r="P27" s="32" t="n">
        <v>75.56999999999999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-3.41</v>
      </c>
      <c r="U27" s="32" t="n">
        <v>134.95</v>
      </c>
      <c r="V27" s="32" t="n">
        <v>143.24</v>
      </c>
      <c r="W27" s="32" t="n">
        <v>31.62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IF(B28=0,"",RANK(B28,$B$2:$B$358,0))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IOLCP</t>
        </is>
      </c>
      <c r="D28" s="31" t="inlineStr">
        <is>
          <t>Iol Chemicals And Pharmaceuticals Limited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5869.08</v>
      </c>
      <c r="I28" s="32" t="n">
        <v>213.04</v>
      </c>
      <c r="J28" s="32" t="n">
        <v>6.55</v>
      </c>
      <c r="K28" s="32" t="n">
        <v>10023570</v>
      </c>
      <c r="L28" s="31" t="n">
        <v>90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79.23</v>
      </c>
      <c r="P28" s="32" t="n">
        <v>81.76000000000001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20.77</v>
      </c>
      <c r="U28" s="32" t="n">
        <v>109.12</v>
      </c>
      <c r="V28" s="32" t="n">
        <v>73.16</v>
      </c>
      <c r="W28" s="32" t="n">
        <v>31.52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IF(B29=0,"",RANK(B29,$B$2:$B$358,0))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SENORES</t>
        </is>
      </c>
      <c r="D29" s="31" t="inlineStr">
        <is>
          <t>Senores Pharmaceuticals Ltd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midcap</t>
        </is>
      </c>
      <c r="H29" s="32" t="n">
        <v>6578.29</v>
      </c>
      <c r="I29" s="32" t="n">
        <v>1497.5</v>
      </c>
      <c r="J29" s="32" t="n">
        <v>4.84</v>
      </c>
      <c r="K29" s="32" t="n">
        <v>404434</v>
      </c>
      <c r="L29" s="31" t="n">
        <v>82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66.45</v>
      </c>
      <c r="P29" s="32" t="n">
        <v>59.82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20.77</v>
      </c>
      <c r="U29" s="32" t="n">
        <v>98.62</v>
      </c>
      <c r="V29" s="32" t="n">
        <v>64.47</v>
      </c>
      <c r="W29" s="32" t="n">
        <v>23.71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IF(B30=0,"",RANK(B30,$B$2:$B$358,0))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ALIVUS</t>
        </is>
      </c>
      <c r="D30" s="31" t="inlineStr">
        <is>
          <t>Alivus Life Sciences Ltd</t>
        </is>
      </c>
      <c r="E30" s="31" t="inlineStr">
        <is>
          <t>healthcare</t>
        </is>
      </c>
      <c r="F30" s="31" t="inlineStr">
        <is>
          <t>pharmaceuticals - indian - bulk drugs &amp; formln</t>
        </is>
      </c>
      <c r="G30" s="31" t="inlineStr">
        <is>
          <t>midcap</t>
        </is>
      </c>
      <c r="H30" s="32" t="n">
        <v>16769.47</v>
      </c>
      <c r="I30" s="32" t="n">
        <v>1388.9</v>
      </c>
      <c r="J30" s="32" t="n">
        <v>1.65</v>
      </c>
      <c r="K30" s="32" t="n">
        <v>128673</v>
      </c>
      <c r="L30" s="31" t="n">
        <v>64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74.23999999999999</v>
      </c>
      <c r="P30" s="32" t="n">
        <v>48.92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20.77</v>
      </c>
      <c r="U30" s="32" t="n">
        <v>48.56</v>
      </c>
      <c r="V30" s="32" t="n">
        <v>23.01</v>
      </c>
      <c r="W30" s="32" t="n">
        <v>15.55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IF(B31=0,"",RANK(B31,$B$2:$B$358,0))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AUROPHARMA</t>
        </is>
      </c>
      <c r="D31" s="31" t="inlineStr">
        <is>
          <t>Aurobindo Pharma Limited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largecap</t>
        </is>
      </c>
      <c r="H31" s="32" t="n">
        <v>95115.72</v>
      </c>
      <c r="I31" s="32" t="n">
        <v>1660</v>
      </c>
      <c r="J31" s="32" t="n">
        <v>0.42</v>
      </c>
      <c r="K31" s="32" t="n">
        <v>536717</v>
      </c>
      <c r="L31" s="31" t="n">
        <v>55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69.09</v>
      </c>
      <c r="P31" s="32" t="n">
        <v>41.85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20.77</v>
      </c>
      <c r="U31" s="32" t="n">
        <v>58.33</v>
      </c>
      <c r="V31" s="32" t="n">
        <v>31.1</v>
      </c>
      <c r="W31" s="32" t="n">
        <v>12.52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IF(B32=0,"",RANK(B32,$B$2:$B$358,0))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EMCURE</t>
        </is>
      </c>
      <c r="D32" s="31" t="inlineStr">
        <is>
          <t>Emcure Pharmaceuticals Ltd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largecap</t>
        </is>
      </c>
      <c r="H32" s="32" t="n">
        <v>36562.75</v>
      </c>
      <c r="I32" s="32" t="n">
        <v>1926.8</v>
      </c>
      <c r="J32" s="32" t="n">
        <v>-0.04</v>
      </c>
      <c r="K32" s="32" t="n">
        <v>118478</v>
      </c>
      <c r="L32" s="31" t="n">
        <v>48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63.8</v>
      </c>
      <c r="P32" s="32" t="n">
        <v>59.7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20.77</v>
      </c>
      <c r="U32" s="32" t="n">
        <v>40.7</v>
      </c>
      <c r="V32" s="32" t="n">
        <v>16.5</v>
      </c>
      <c r="W32" s="32" t="n">
        <v>9.41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IF(B33=0,"",RANK(B33,$B$2:$B$358,0))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IPCALAB</t>
        </is>
      </c>
      <c r="D33" s="31" t="inlineStr">
        <is>
          <t>Ipca Laboratories Limited</t>
        </is>
      </c>
      <c r="E33" s="31" t="inlineStr">
        <is>
          <t>healthcare</t>
        </is>
      </c>
      <c r="F33" s="31" t="inlineStr">
        <is>
          <t>pharmaceuticals - indian - bulk drugs &amp; formln</t>
        </is>
      </c>
      <c r="G33" s="31" t="inlineStr">
        <is>
          <t>largecap</t>
        </is>
      </c>
      <c r="H33" s="32" t="n">
        <v>49860.49</v>
      </c>
      <c r="I33" s="32" t="n">
        <v>1959.1</v>
      </c>
      <c r="J33" s="32" t="n">
        <v>-0.32</v>
      </c>
      <c r="K33" s="32" t="n">
        <v>92425</v>
      </c>
      <c r="L33" s="31" t="n">
        <v>55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69.33</v>
      </c>
      <c r="P33" s="32" t="n">
        <v>42.99</v>
      </c>
      <c r="Q33" s="32" t="inlineStr"/>
      <c r="R33" s="31" t="inlineStr">
        <is>
          <t>Earnings / Momentum Support</t>
        </is>
      </c>
      <c r="S33" s="31" t="inlineStr">
        <is>
          <t>Nifty Pharma</t>
        </is>
      </c>
      <c r="T33" s="32" t="n">
        <v>20.77</v>
      </c>
      <c r="U33" s="32" t="n">
        <v>47.72</v>
      </c>
      <c r="V33" s="32" t="n">
        <v>22.32</v>
      </c>
      <c r="W33" s="32" t="n">
        <v>12.36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IF(B34=0,"",RANK(B34,$B$2:$B$358,0))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VENKEYS</t>
        </is>
      </c>
      <c r="D34" s="31" t="inlineStr">
        <is>
          <t>Venky's (india) Limited</t>
        </is>
      </c>
      <c r="E34" s="31" t="inlineStr">
        <is>
          <t>fmcg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2337.93</v>
      </c>
      <c r="I34" s="32" t="n">
        <v>1648.3</v>
      </c>
      <c r="J34" s="32" t="n">
        <v>-0.68</v>
      </c>
      <c r="K34" s="32" t="n">
        <v>40538</v>
      </c>
      <c r="L34" s="31" t="n">
        <v>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62.13</v>
      </c>
      <c r="P34" s="32" t="n">
        <v>41.06</v>
      </c>
      <c r="Q34" s="32" t="inlineStr"/>
      <c r="R34" s="31" t="inlineStr">
        <is>
          <t>Earnings / Momentum Support</t>
        </is>
      </c>
      <c r="S34" s="31" t="inlineStr">
        <is>
          <t>Nifty FMCG</t>
        </is>
      </c>
      <c r="T34" s="32" t="n">
        <v>-13.73</v>
      </c>
      <c r="U34" s="32" t="n">
        <v>-7.57</v>
      </c>
      <c r="V34" s="32" t="n">
        <v>7.13</v>
      </c>
      <c r="W34" s="32" t="n">
        <v>-3.14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IF(B35=0,"",RANK(B35,$B$2:$B$358,0))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CUPID</t>
        </is>
      </c>
      <c r="D35" s="31" t="inlineStr">
        <is>
          <t>Cupid Limited</t>
        </is>
      </c>
      <c r="E35" s="31" t="inlineStr">
        <is>
          <t>fmcg</t>
        </is>
      </c>
      <c r="F35" s="31" t="inlineStr">
        <is>
          <t>personal care - indian</t>
        </is>
      </c>
      <c r="G35" s="31" t="inlineStr">
        <is>
          <t>largecap</t>
        </is>
      </c>
      <c r="H35" s="32" t="n">
        <v>38074.07</v>
      </c>
      <c r="I35" s="32" t="n">
        <v>280.95</v>
      </c>
      <c r="J35" s="32" t="n">
        <v>-0.78</v>
      </c>
      <c r="K35" s="32" t="n">
        <v>5517341</v>
      </c>
      <c r="L35" s="31" t="n">
        <v>99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86.83</v>
      </c>
      <c r="P35" s="32" t="n">
        <v>73.26000000000001</v>
      </c>
      <c r="Q35" s="32" t="inlineStr"/>
      <c r="R35" s="31" t="inlineStr">
        <is>
          <t>Earnings / Momentum Support</t>
        </is>
      </c>
      <c r="S35" s="31" t="inlineStr">
        <is>
          <t>Nifty FMCG</t>
        </is>
      </c>
      <c r="T35" s="32" t="n">
        <v>-13.73</v>
      </c>
      <c r="U35" s="32" t="n">
        <v>631.6900000000001</v>
      </c>
      <c r="V35" s="32" t="n">
        <v>748.13</v>
      </c>
      <c r="W35" s="32" t="n">
        <v>76.51000000000001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IF(B36=0,"",RANK(B36,$B$2:$B$358,0))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CENTUM</t>
        </is>
      </c>
      <c r="D36" s="31" t="inlineStr">
        <is>
          <t>Centum Electronics Limited</t>
        </is>
      </c>
      <c r="E36" s="31" t="inlineStr">
        <is>
          <t>aerospace &amp; defence</t>
        </is>
      </c>
      <c r="F36" s="31" t="inlineStr">
        <is>
          <t>electronics - components</t>
        </is>
      </c>
      <c r="G36" s="31" t="inlineStr">
        <is>
          <t>midcap</t>
        </is>
      </c>
      <c r="H36" s="32" t="n">
        <v>5560.16</v>
      </c>
      <c r="I36" s="32" t="n">
        <v>4376.9</v>
      </c>
      <c r="J36" s="32" t="n">
        <v>16.18</v>
      </c>
      <c r="K36" s="32" t="n">
        <v>827315</v>
      </c>
      <c r="L36" s="31" t="n">
        <v>45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62.8</v>
      </c>
      <c r="P36" s="32" t="n">
        <v>50.45</v>
      </c>
      <c r="Q36" s="32" t="inlineStr"/>
      <c r="R36" s="31" t="inlineStr">
        <is>
          <t>Volume Spike / Accumulation</t>
        </is>
      </c>
      <c r="S36" s="31" t="inlineStr">
        <is>
          <t>Nifty 50</t>
        </is>
      </c>
      <c r="T36" s="32" t="n">
        <v>-3.41</v>
      </c>
      <c r="U36" s="32" t="n">
        <v>27.21</v>
      </c>
      <c r="V36" s="32" t="n">
        <v>31.7</v>
      </c>
      <c r="W36" s="32" t="n">
        <v>8.59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IF(B37=0,"",RANK(B37,$B$2:$B$358,0))</f>
        <v/>
      </c>
      <c r="B37" s="32">
        <f>SUM(N37,Y37,AA37,AC37,AE37,AG37,AI37,AK37,AM37,AO37,AQ37,AS37,AU37,AW37,AY37,BA37,BC37,BE37,BG37,BI37,BK37,BM37,BO37,BQ37,BS37,BU37,BW37,BY37,CA37,CC37,CE37)</f>
        <v/>
      </c>
      <c r="C37" s="33" t="inlineStr">
        <is>
          <t>RADHIKAJWE</t>
        </is>
      </c>
      <c r="D37" s="33" t="inlineStr">
        <is>
          <t>Radhika Jeweltech Ltd</t>
        </is>
      </c>
      <c r="E37" s="31" t="inlineStr">
        <is>
          <t>consumer discretionary</t>
        </is>
      </c>
      <c r="F37" s="31" t="inlineStr">
        <is>
          <t>diamond cutting / jewellery</t>
        </is>
      </c>
      <c r="G37" s="31" t="inlineStr">
        <is>
          <t>smallcap</t>
        </is>
      </c>
      <c r="H37" s="32" t="n">
        <v>981.29</v>
      </c>
      <c r="I37" s="32" t="n">
        <v>94.28</v>
      </c>
      <c r="J37" s="32" t="n">
        <v>13.37</v>
      </c>
      <c r="K37" s="32" t="n">
        <v>31907643</v>
      </c>
      <c r="L37" s="31" t="n">
        <v>49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67.53</v>
      </c>
      <c r="P37" s="32" t="n">
        <v>23.92</v>
      </c>
      <c r="Q37" s="32" t="inlineStr"/>
      <c r="R37" s="31" t="inlineStr">
        <is>
          <t>Volume Spike / Accumulation</t>
        </is>
      </c>
      <c r="S37" s="31" t="inlineStr">
        <is>
          <t>Nifty 50</t>
        </is>
      </c>
      <c r="T37" s="32" t="n">
        <v>-3.41</v>
      </c>
      <c r="U37" s="32" t="n">
        <v>-11.67</v>
      </c>
      <c r="V37" s="32" t="n">
        <v>-8.56</v>
      </c>
      <c r="W37" s="32" t="n">
        <v>9.6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IF(B38=0,"",RANK(B38,$B$2:$B$358,0))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TBZ</t>
        </is>
      </c>
      <c r="D38" s="31" t="inlineStr">
        <is>
          <t>Tribhovandas Bhimji Zaveri Limited</t>
        </is>
      </c>
      <c r="E38" s="31" t="inlineStr">
        <is>
          <t>consumer discretionary</t>
        </is>
      </c>
      <c r="F38" s="31" t="inlineStr">
        <is>
          <t>diamond cutting / jewellery</t>
        </is>
      </c>
      <c r="G38" s="31" t="inlineStr">
        <is>
          <t>smallcap</t>
        </is>
      </c>
      <c r="H38" s="32" t="n">
        <v>3208.74</v>
      </c>
      <c r="I38" s="32" t="n">
        <v>528.9</v>
      </c>
      <c r="J38" s="32" t="n">
        <v>9.99</v>
      </c>
      <c r="K38" s="32" t="n">
        <v>318752</v>
      </c>
      <c r="L38" s="31" t="n">
        <v>99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88.41</v>
      </c>
      <c r="P38" s="32" t="n">
        <v>52.22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-3.41</v>
      </c>
      <c r="U38" s="32" t="n">
        <v>163.8</v>
      </c>
      <c r="V38" s="32" t="n">
        <v>173.11</v>
      </c>
      <c r="W38" s="32" t="n">
        <v>74.81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IF(B39=0,"",RANK(B39,$B$2:$B$358,0))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HFCL</t>
        </is>
      </c>
      <c r="D39" s="31" t="inlineStr">
        <is>
          <t>HFCL Ltd</t>
        </is>
      </c>
      <c r="E39" s="31" t="inlineStr">
        <is>
          <t>telecom</t>
        </is>
      </c>
      <c r="F39" s="31" t="inlineStr">
        <is>
          <t>cables - telephone</t>
        </is>
      </c>
      <c r="G39" s="31" t="inlineStr">
        <is>
          <t>largecap</t>
        </is>
      </c>
      <c r="H39" s="32" t="n">
        <v>35424.26</v>
      </c>
      <c r="I39" s="32" t="n">
        <v>243.01</v>
      </c>
      <c r="J39" s="32" t="n">
        <v>5</v>
      </c>
      <c r="K39" s="32" t="n">
        <v>4679636</v>
      </c>
      <c r="L39" s="31" t="n">
        <v>98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70.39</v>
      </c>
      <c r="P39" s="32" t="n">
        <v>58.66</v>
      </c>
      <c r="Q39" s="32" t="inlineStr"/>
      <c r="R39" s="31" t="inlineStr">
        <is>
          <t>Earnings / Momentum Support</t>
        </is>
      </c>
      <c r="S39" s="31" t="inlineStr">
        <is>
          <t>Nifty Infra</t>
        </is>
      </c>
      <c r="T39" s="32" t="n">
        <v>1.74</v>
      </c>
      <c r="U39" s="32" t="n">
        <v>161.74</v>
      </c>
      <c r="V39" s="32" t="n">
        <v>157.26</v>
      </c>
      <c r="W39" s="32" t="n">
        <v>53.93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Oligopoly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IF(B40=0,"",RANK(B40,$B$2:$B$358,0))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NRL</t>
        </is>
      </c>
      <c r="D40" s="31" t="inlineStr">
        <is>
          <t>Nupur Recyclers Ltd</t>
        </is>
      </c>
      <c r="E40" s="31" t="inlineStr">
        <is>
          <t>services</t>
        </is>
      </c>
      <c r="F40" s="31" t="inlineStr">
        <is>
          <t>trading</t>
        </is>
      </c>
      <c r="G40" s="31" t="inlineStr">
        <is>
          <t>smallcap</t>
        </is>
      </c>
      <c r="H40" s="32" t="n">
        <v>876.62</v>
      </c>
      <c r="I40" s="32" t="n">
        <v>132.78</v>
      </c>
      <c r="J40" s="32" t="n">
        <v>4.62</v>
      </c>
      <c r="K40" s="32" t="n">
        <v>251730</v>
      </c>
      <c r="L40" s="31" t="n">
        <v>92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87.45</v>
      </c>
      <c r="P40" s="32" t="n">
        <v>68.3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-3.41</v>
      </c>
      <c r="U40" s="32" t="n">
        <v>80.88</v>
      </c>
      <c r="V40" s="32" t="n">
        <v>87.26000000000001</v>
      </c>
      <c r="W40" s="32" t="n">
        <v>33.43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IF(B41=0,"",RANK(B41,$B$2:$B$358,0))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GARFIBRES</t>
        </is>
      </c>
      <c r="D41" s="31" t="inlineStr">
        <is>
          <t>Garware Technical Fibres Ltd</t>
        </is>
      </c>
      <c r="E41" s="31" t="inlineStr">
        <is>
          <t>textiles</t>
        </is>
      </c>
      <c r="F41" s="31" t="inlineStr">
        <is>
          <t>textiles - products</t>
        </is>
      </c>
      <c r="G41" s="31" t="inlineStr">
        <is>
          <t>midcap</t>
        </is>
      </c>
      <c r="H41" s="32" t="n">
        <v>7817.24</v>
      </c>
      <c r="I41" s="32" t="n">
        <v>819.25</v>
      </c>
      <c r="J41" s="32" t="n">
        <v>2.34</v>
      </c>
      <c r="K41" s="32" t="n">
        <v>29908</v>
      </c>
      <c r="L41" s="31" t="n">
        <v>33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60.37</v>
      </c>
      <c r="P41" s="32" t="n">
        <v>49.53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-3.41</v>
      </c>
      <c r="U41" s="32" t="n">
        <v>5.64</v>
      </c>
      <c r="V41" s="32" t="n">
        <v>9.369999999999999</v>
      </c>
      <c r="W41" s="32" t="n">
        <v>5.83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IF(B42=0,"",RANK(B42,$B$2:$B$358,0))</f>
        <v/>
      </c>
      <c r="B42" s="32">
        <f>SUM(N42,Y42,AA42,AC42,AE42,AG42,AI42,AK42,AM42,AO42,AQ42,AS42,AU42,AW42,AY42,BA42,BC42,BE42,BG42,BI42,BK42,BM42,BO42,BQ42,BS42,BU42,BW42,BY42,CA42,CC42,CE42)</f>
        <v/>
      </c>
      <c r="C42" s="33" t="inlineStr">
        <is>
          <t>ROLEXRINGS</t>
        </is>
      </c>
      <c r="D42" s="33" t="inlineStr">
        <is>
          <t>Rolex Rings Ltd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4676.5</v>
      </c>
      <c r="I42" s="32" t="n">
        <v>175.67</v>
      </c>
      <c r="J42" s="32" t="n">
        <v>2.3</v>
      </c>
      <c r="K42" s="32" t="n">
        <v>1410147</v>
      </c>
      <c r="L42" s="31" t="n">
        <v>29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60.63</v>
      </c>
      <c r="P42" s="32" t="n">
        <v>41.84</v>
      </c>
      <c r="Q42" s="32" t="inlineStr"/>
      <c r="R42" s="31" t="inlineStr">
        <is>
          <t>Earnings / Momentum Support</t>
        </is>
      </c>
      <c r="S42" s="31" t="inlineStr">
        <is>
          <t>Nifty Auto</t>
        </is>
      </c>
      <c r="T42" s="32" t="n">
        <v>13.41</v>
      </c>
      <c r="U42" s="32" t="n">
        <v>5.86</v>
      </c>
      <c r="V42" s="32" t="n">
        <v>-6.66</v>
      </c>
      <c r="W42" s="32" t="n">
        <v>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IF(B43=0,"",RANK(B43,$B$2:$B$358,0))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KDDL</t>
        </is>
      </c>
      <c r="D43" s="31" t="inlineStr">
        <is>
          <t>Kddl Limited</t>
        </is>
      </c>
      <c r="E43" s="31" t="inlineStr">
        <is>
          <t>consumer discretionary</t>
        </is>
      </c>
      <c r="F43" s="31" t="inlineStr">
        <is>
          <t>miscellaneous</t>
        </is>
      </c>
      <c r="G43" s="31" t="inlineStr">
        <is>
          <t>smallcap</t>
        </is>
      </c>
      <c r="H43" s="32" t="n">
        <v>4810.25</v>
      </c>
      <c r="I43" s="32" t="n">
        <v>3991.9</v>
      </c>
      <c r="J43" s="32" t="n">
        <v>2.07</v>
      </c>
      <c r="K43" s="32" t="n">
        <v>46216</v>
      </c>
      <c r="L43" s="31" t="n">
        <v>71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74.13</v>
      </c>
      <c r="P43" s="32" t="n">
        <v>46.05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-3.41</v>
      </c>
      <c r="U43" s="32" t="n">
        <v>65.13</v>
      </c>
      <c r="V43" s="32" t="n">
        <v>70.95999999999999</v>
      </c>
      <c r="W43" s="32" t="n">
        <v>18.3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IF(B44=0,"",RANK(B44,$B$2:$B$358,0))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STOVEKRAFT</t>
        </is>
      </c>
      <c r="D44" s="31" t="inlineStr">
        <is>
          <t>Stove Kraft Ltd</t>
        </is>
      </c>
      <c r="E44" s="31" t="inlineStr">
        <is>
          <t>consumer discretionary</t>
        </is>
      </c>
      <c r="F44" s="31" t="inlineStr">
        <is>
          <t>domestic appliances</t>
        </is>
      </c>
      <c r="G44" s="31" t="inlineStr">
        <is>
          <t>smallcap</t>
        </is>
      </c>
      <c r="H44" s="32" t="n">
        <v>2756.35</v>
      </c>
      <c r="I44" s="32" t="n">
        <v>849.25</v>
      </c>
      <c r="J44" s="32" t="n">
        <v>2.01</v>
      </c>
      <c r="K44" s="32" t="n">
        <v>174466</v>
      </c>
      <c r="L44" s="31" t="n">
        <v>54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72.02</v>
      </c>
      <c r="P44" s="32" t="n">
        <v>49.9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-3.41</v>
      </c>
      <c r="U44" s="32" t="n">
        <v>23.12</v>
      </c>
      <c r="V44" s="32" t="n">
        <v>27.46</v>
      </c>
      <c r="W44" s="32" t="n">
        <v>12.25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IF(B45=0,"",RANK(B45,$B$2:$B$358,0))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GAYAPROJ</t>
        </is>
      </c>
      <c r="D45" s="31" t="inlineStr">
        <is>
          <t>Gayatri Projects Limited</t>
        </is>
      </c>
      <c r="E45" s="31" t="inlineStr">
        <is>
          <t>realty</t>
        </is>
      </c>
      <c r="F45" s="31" t="inlineStr">
        <is>
          <t>construction</t>
        </is>
      </c>
      <c r="G45" s="31" t="inlineStr">
        <is>
          <t>smallcap</t>
        </is>
      </c>
      <c r="H45" s="32" t="n">
        <v>1010.31</v>
      </c>
      <c r="I45" s="32" t="n">
        <v>22.18</v>
      </c>
      <c r="J45" s="32" t="n">
        <v>1.93</v>
      </c>
      <c r="K45" s="32" t="n">
        <v>565332</v>
      </c>
      <c r="L45" s="31" t="n">
        <v>86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62.42</v>
      </c>
      <c r="P45" s="32" t="n">
        <v>28.08</v>
      </c>
      <c r="Q45" s="32" t="inlineStr"/>
      <c r="R45" s="31" t="inlineStr">
        <is>
          <t>Earnings / Momentum Support</t>
        </is>
      </c>
      <c r="S45" s="31" t="inlineStr">
        <is>
          <t>Nifty Realty</t>
        </is>
      </c>
      <c r="T45" s="32" t="n">
        <v>-8.119999999999999</v>
      </c>
      <c r="U45" s="32" t="n">
        <v>161.47</v>
      </c>
      <c r="V45" s="32" t="n">
        <v>184.58</v>
      </c>
      <c r="W45" s="32" t="n">
        <v>25.37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IF(B46=0,"",RANK(B46,$B$2:$B$358,0))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APARINDS</t>
        </is>
      </c>
      <c r="D46" s="31" t="inlineStr">
        <is>
          <t>Apar Industries Limited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largecap</t>
        </is>
      </c>
      <c r="H46" s="32" t="n">
        <v>72945.8</v>
      </c>
      <c r="I46" s="32" t="n">
        <v>17728</v>
      </c>
      <c r="J46" s="32" t="n">
        <v>1.76</v>
      </c>
      <c r="K46" s="32" t="n">
        <v>73366</v>
      </c>
      <c r="L46" s="31" t="n">
        <v>81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71.66</v>
      </c>
      <c r="P46" s="32" t="n">
        <v>44.41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-3.41</v>
      </c>
      <c r="U46" s="32" t="n">
        <v>124.06</v>
      </c>
      <c r="V46" s="32" t="n">
        <v>131.97</v>
      </c>
      <c r="W46" s="32" t="n">
        <v>23.17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IF(B47=0,"",RANK(B47,$B$2:$B$358,0))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JINDWORLD</t>
        </is>
      </c>
      <c r="D47" s="31" t="inlineStr">
        <is>
          <t>Jindal Worldwide Limited</t>
        </is>
      </c>
      <c r="E47" s="31" t="inlineStr">
        <is>
          <t>textiles</t>
        </is>
      </c>
      <c r="F47" s="31" t="inlineStr">
        <is>
          <t>textiles - products</t>
        </is>
      </c>
      <c r="G47" s="31" t="inlineStr">
        <is>
          <t>midcap</t>
        </is>
      </c>
      <c r="H47" s="32" t="n">
        <v>5765.96</v>
      </c>
      <c r="I47" s="32" t="n">
        <v>58.52</v>
      </c>
      <c r="J47" s="32" t="n">
        <v>1.76</v>
      </c>
      <c r="K47" s="32" t="n">
        <v>95411627</v>
      </c>
      <c r="L47" s="31" t="n">
        <v>93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80.15000000000001</v>
      </c>
      <c r="P47" s="32" t="n">
        <v>41.27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-3.41</v>
      </c>
      <c r="U47" s="32" t="n">
        <v>58.43</v>
      </c>
      <c r="V47" s="32" t="n">
        <v>64.02</v>
      </c>
      <c r="W47" s="32" t="n">
        <v>35.95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IF(B48=0,"",RANK(B48,$B$2:$B$358,0))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ATHERENERG</t>
        </is>
      </c>
      <c r="D48" s="31" t="inlineStr">
        <is>
          <t>Ather Energy Ltd</t>
        </is>
      </c>
      <c r="E48" s="31" t="inlineStr">
        <is>
          <t>auto</t>
        </is>
      </c>
      <c r="F48" s="31" t="inlineStr">
        <is>
          <t>automobiles - scooters and 3 - wheelers</t>
        </is>
      </c>
      <c r="G48" s="31" t="inlineStr">
        <is>
          <t>largecap</t>
        </is>
      </c>
      <c r="H48" s="32" t="n">
        <v>62429.45</v>
      </c>
      <c r="I48" s="32" t="n">
        <v>1599.3</v>
      </c>
      <c r="J48" s="32" t="n">
        <v>0.97</v>
      </c>
      <c r="K48" s="32" t="n">
        <v>3789386</v>
      </c>
      <c r="L48" s="31" t="n">
        <v>97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77.09</v>
      </c>
      <c r="P48" s="32" t="n">
        <v>67.47</v>
      </c>
      <c r="Q48" s="32" t="inlineStr"/>
      <c r="R48" s="31" t="inlineStr">
        <is>
          <t>Earnings / Momentum Support</t>
        </is>
      </c>
      <c r="S48" s="31" t="inlineStr">
        <is>
          <t>Nifty Auto</t>
        </is>
      </c>
      <c r="T48" s="32" t="n">
        <v>13.41</v>
      </c>
      <c r="U48" s="32" t="n">
        <v>275.68</v>
      </c>
      <c r="V48" s="32" t="n">
        <v>231.25</v>
      </c>
      <c r="W48" s="32" t="n">
        <v>46.25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IF(B49=0,"",RANK(B49,$B$2:$B$358,0))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CONFIPET</t>
        </is>
      </c>
      <c r="D49" s="31" t="inlineStr">
        <is>
          <t>Confidence Petroleum India Ltd</t>
        </is>
      </c>
      <c r="E49" s="31" t="inlineStr">
        <is>
          <t>miscellaneous</t>
        </is>
      </c>
      <c r="F49" s="31" t="inlineStr">
        <is>
          <t>miscellaneous</t>
        </is>
      </c>
      <c r="G49" s="31" t="inlineStr">
        <is>
          <t>smallcap</t>
        </is>
      </c>
      <c r="H49" s="32" t="n">
        <v>2740.32</v>
      </c>
      <c r="I49" s="32" t="n">
        <v>82.18000000000001</v>
      </c>
      <c r="J49" s="32" t="n">
        <v>-0.36</v>
      </c>
      <c r="K49" s="32" t="n">
        <v>2942312</v>
      </c>
      <c r="L49" s="31" t="n">
        <v>87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67.26000000000001</v>
      </c>
      <c r="P49" s="32" t="n">
        <v>60.79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-3.41</v>
      </c>
      <c r="U49" s="32" t="n">
        <v>71.2</v>
      </c>
      <c r="V49" s="32" t="n">
        <v>77.23999999999999</v>
      </c>
      <c r="W49" s="32" t="n">
        <v>26.18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IF(B50=0,"",RANK(B50,$B$2:$B$358,0))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SPAL</t>
        </is>
      </c>
      <c r="D50" s="31" t="inlineStr">
        <is>
          <t>S. P. Apparels Limited</t>
        </is>
      </c>
      <c r="E50" s="31" t="inlineStr">
        <is>
          <t>consumer discretionary</t>
        </is>
      </c>
      <c r="F50" s="31" t="inlineStr">
        <is>
          <t>textiles - products</t>
        </is>
      </c>
      <c r="G50" s="31" t="inlineStr">
        <is>
          <t>smallcap</t>
        </is>
      </c>
      <c r="H50" s="32" t="n">
        <v>2692.63</v>
      </c>
      <c r="I50" s="32" t="n">
        <v>1065.9</v>
      </c>
      <c r="J50" s="32" t="n">
        <v>-0.49</v>
      </c>
      <c r="K50" s="32" t="n">
        <v>29190</v>
      </c>
      <c r="L50" s="31" t="n">
        <v>64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62.89</v>
      </c>
      <c r="P50" s="32" t="n">
        <v>41.7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-3.41</v>
      </c>
      <c r="U50" s="32" t="n">
        <v>46.46</v>
      </c>
      <c r="V50" s="32" t="n">
        <v>51.63</v>
      </c>
      <c r="W50" s="32" t="n">
        <v>15.34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Between 12 to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IF(B51=0,"",RANK(B51,$B$2:$B$358,0))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SWANDEF</t>
        </is>
      </c>
      <c r="D51" s="31" t="inlineStr">
        <is>
          <t>Swan Defence and Heavy Industries Ltd</t>
        </is>
      </c>
      <c r="E51" s="31" t="inlineStr">
        <is>
          <t>transportation</t>
        </is>
      </c>
      <c r="F51" s="31" t="inlineStr">
        <is>
          <t>miscellaneous</t>
        </is>
      </c>
      <c r="G51" s="31" t="inlineStr">
        <is>
          <t>midcap</t>
        </is>
      </c>
      <c r="H51" s="32" t="n">
        <v>13276.96</v>
      </c>
      <c r="I51" s="32" t="n">
        <v>2496</v>
      </c>
      <c r="J51" s="32" t="n">
        <v>-0.96</v>
      </c>
      <c r="K51" s="32" t="n">
        <v>25333</v>
      </c>
      <c r="L51" s="31" t="n">
        <v>97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63.97</v>
      </c>
      <c r="P51" s="32" t="n">
        <v>55.04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-3.41</v>
      </c>
      <c r="U51" s="32" t="n">
        <v>405.46</v>
      </c>
      <c r="V51" s="32" t="n">
        <v>423.29</v>
      </c>
      <c r="W51" s="32" t="n">
        <v>51.86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More than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IF(B52=0,"",RANK(B52,$B$2:$B$358,0))</f>
        <v/>
      </c>
      <c r="B52" s="32">
        <f>SUM(N52,Y52,AA52,AC52,AE52,AG52,AI52,AK52,AM52,AO52,AQ52,AS52,AU52,AW52,AY52,BA52,BC52,BE52,BG52,BI52,BK52,BM52,BO52,BQ52,BS52,BU52,BW52,BY52,CA52,CC52,CE52)</f>
        <v/>
      </c>
      <c r="C52" s="33" t="inlineStr">
        <is>
          <t>ORIENTBELL</t>
        </is>
      </c>
      <c r="D52" s="33" t="inlineStr">
        <is>
          <t>Orient Bell Limited</t>
        </is>
      </c>
      <c r="E52" s="31" t="inlineStr">
        <is>
          <t>building materials</t>
        </is>
      </c>
      <c r="F52" s="31" t="inlineStr">
        <is>
          <t>ceramics - tiles / sanitaryware</t>
        </is>
      </c>
      <c r="G52" s="31" t="inlineStr">
        <is>
          <t>smallcap</t>
        </is>
      </c>
      <c r="H52" s="32" t="n">
        <v>617.99</v>
      </c>
      <c r="I52" s="32" t="n">
        <v>415.1</v>
      </c>
      <c r="J52" s="32" t="n">
        <v>-1.19</v>
      </c>
      <c r="K52" s="32" t="n">
        <v>107644</v>
      </c>
      <c r="L52" s="31" t="n">
        <v>11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74.29000000000001</v>
      </c>
      <c r="P52" s="32" t="n">
        <v>42.22</v>
      </c>
      <c r="Q52" s="32" t="inlineStr"/>
      <c r="R52" s="31" t="inlineStr">
        <is>
          <t>Earnings / Momentum Support</t>
        </is>
      </c>
      <c r="S52" s="31" t="inlineStr">
        <is>
          <t>Nifty Infra</t>
        </is>
      </c>
      <c r="T52" s="32" t="n">
        <v>1.74</v>
      </c>
      <c r="U52" s="32" t="n">
        <v>-1.57</v>
      </c>
      <c r="V52" s="32" t="n">
        <v>-3.25</v>
      </c>
      <c r="W52" s="32" t="n">
        <v>-0.16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IF(B53=0,"",RANK(B53,$B$2:$B$358,0))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IRISDOREME</t>
        </is>
      </c>
      <c r="D53" s="31" t="inlineStr">
        <is>
          <t>Iris Clothings Ltd</t>
        </is>
      </c>
      <c r="E53" s="31" t="inlineStr">
        <is>
          <t>consumer discretionary</t>
        </is>
      </c>
      <c r="F53" s="31" t="inlineStr">
        <is>
          <t>textiles - products</t>
        </is>
      </c>
      <c r="G53" s="31" t="inlineStr">
        <is>
          <t>smallcap</t>
        </is>
      </c>
      <c r="H53" s="32" t="n">
        <v>1210.13</v>
      </c>
      <c r="I53" s="32" t="n">
        <v>62.15</v>
      </c>
      <c r="J53" s="32" t="n">
        <v>-2.25</v>
      </c>
      <c r="K53" s="32" t="n">
        <v>948563</v>
      </c>
      <c r="L53" s="31" t="n">
        <v>91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85.77</v>
      </c>
      <c r="P53" s="32" t="n">
        <v>52.97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-3.41</v>
      </c>
      <c r="U53" s="32" t="n">
        <v>98.63</v>
      </c>
      <c r="V53" s="32" t="n">
        <v>105.63</v>
      </c>
      <c r="W53" s="32" t="n">
        <v>32.31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IF(B54=0,"",RANK(B54,$B$2:$B$358,0))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NILKAMAL</t>
        </is>
      </c>
      <c r="D54" s="31" t="inlineStr">
        <is>
          <t>Nilkamal Limited</t>
        </is>
      </c>
      <c r="E54" s="31" t="inlineStr">
        <is>
          <t>plastic products</t>
        </is>
      </c>
      <c r="F54" s="31" t="inlineStr">
        <is>
          <t>plastics products</t>
        </is>
      </c>
      <c r="G54" s="31" t="inlineStr">
        <is>
          <t>smallcap</t>
        </is>
      </c>
      <c r="H54" s="32" t="n">
        <v>3158.35</v>
      </c>
      <c r="I54" s="32" t="n">
        <v>2063.2</v>
      </c>
      <c r="J54" s="32" t="n">
        <v>-2.52</v>
      </c>
      <c r="K54" s="32" t="n">
        <v>30738</v>
      </c>
      <c r="L54" s="31" t="n">
        <v>84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82.91</v>
      </c>
      <c r="P54" s="32" t="n">
        <v>48.87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-3.41</v>
      </c>
      <c r="U54" s="32" t="n">
        <v>39.41</v>
      </c>
      <c r="V54" s="32" t="n">
        <v>44.33</v>
      </c>
      <c r="W54" s="32" t="n">
        <v>24.46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IF(B55=0,"",RANK(B55,$B$2:$B$358,0))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DIFFNKG</t>
        </is>
      </c>
      <c r="D55" s="31" t="inlineStr">
        <is>
          <t>Diffusion Engineers Ltd</t>
        </is>
      </c>
      <c r="E55" s="31" t="inlineStr">
        <is>
          <t>industrials</t>
        </is>
      </c>
      <c r="F55" s="31" t="inlineStr">
        <is>
          <t>electrodes - welding equipment</t>
        </is>
      </c>
      <c r="G55" s="31" t="inlineStr">
        <is>
          <t>smallcap</t>
        </is>
      </c>
      <c r="H55" s="32" t="n">
        <v>1777.37</v>
      </c>
      <c r="I55" s="32" t="n">
        <v>454.4</v>
      </c>
      <c r="J55" s="32" t="n">
        <v>-4.32</v>
      </c>
      <c r="K55" s="32" t="n">
        <v>545618</v>
      </c>
      <c r="L55" s="31" t="n">
        <v>66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68.90000000000001</v>
      </c>
      <c r="P55" s="32" t="n">
        <v>46.33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-3.41</v>
      </c>
      <c r="U55" s="32" t="n">
        <v>22.68</v>
      </c>
      <c r="V55" s="32" t="n">
        <v>27.01</v>
      </c>
      <c r="W55" s="32" t="n">
        <v>16.75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IF(B56=0,"",RANK(B56,$B$2:$B$358,0))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MENONBE</t>
        </is>
      </c>
      <c r="D56" s="31" t="inlineStr">
        <is>
          <t>Menon Bearings Limited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smallcap</t>
        </is>
      </c>
      <c r="H56" s="32" t="n">
        <v>1801.13</v>
      </c>
      <c r="I56" s="32" t="n">
        <v>306.35</v>
      </c>
      <c r="J56" s="32" t="n">
        <v>-4.68</v>
      </c>
      <c r="K56" s="32" t="n">
        <v>74902</v>
      </c>
      <c r="L56" s="31" t="n">
        <v>82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85.87</v>
      </c>
      <c r="P56" s="32" t="n">
        <v>63.59</v>
      </c>
      <c r="Q56" s="32" t="inlineStr"/>
      <c r="R56" s="31" t="inlineStr">
        <is>
          <t>Earnings / Momentum Support</t>
        </is>
      </c>
      <c r="S56" s="31" t="inlineStr">
        <is>
          <t>Nifty Auto</t>
        </is>
      </c>
      <c r="T56" s="32" t="n">
        <v>13.41</v>
      </c>
      <c r="U56" s="32" t="n">
        <v>59.56</v>
      </c>
      <c r="V56" s="32" t="n">
        <v>40.68</v>
      </c>
      <c r="W56" s="32" t="n">
        <v>23.69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IF(B57=0,"",RANK(B57,$B$2:$B$358,0))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SAKAR</t>
        </is>
      </c>
      <c r="D57" s="31" t="inlineStr">
        <is>
          <t>Sakar Healthcare Ltd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smallcap</t>
        </is>
      </c>
      <c r="H57" s="32" t="n">
        <v>2255.92</v>
      </c>
      <c r="I57" s="32" t="n">
        <v>1109.2</v>
      </c>
      <c r="J57" s="32" t="n">
        <v>9.4</v>
      </c>
      <c r="K57" s="32" t="n">
        <v>339553</v>
      </c>
      <c r="L57" s="31" t="n">
        <v>92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70.89</v>
      </c>
      <c r="P57" s="32" t="n">
        <v>51.4</v>
      </c>
      <c r="Q57" s="32" t="inlineStr"/>
      <c r="R57" s="31" t="inlineStr">
        <is>
          <t>Earnings / Momentum Support</t>
        </is>
      </c>
      <c r="S57" s="31" t="inlineStr">
        <is>
          <t>Nifty Pharma</t>
        </is>
      </c>
      <c r="T57" s="32" t="n">
        <v>20.77</v>
      </c>
      <c r="U57" s="32" t="n">
        <v>205.07</v>
      </c>
      <c r="V57" s="32" t="n">
        <v>152.61</v>
      </c>
      <c r="W57" s="32" t="n">
        <v>32.45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IF(B58=0,"",RANK(B58,$B$2:$B$358,0))</f>
        <v/>
      </c>
      <c r="B58" s="32">
        <f>SUM(N58,Y58,AA58,AC58,AE58,AG58,AI58,AK58,AM58,AO58,AQ58,AS58,AU58,AW58,AY58,BA58,BC58,BE58,BG58,BI58,BK58,BM58,BO58,BQ58,BS58,BU58,BW58,BY58,CA58,CC58,CE58)</f>
        <v/>
      </c>
      <c r="C58" s="33" t="inlineStr">
        <is>
          <t>HIKAL</t>
        </is>
      </c>
      <c r="D58" s="33" t="inlineStr">
        <is>
          <t>Hikal Limited</t>
        </is>
      </c>
      <c r="E58" s="31" t="inlineStr">
        <is>
          <t>healthcare</t>
        </is>
      </c>
      <c r="F58" s="31" t="inlineStr">
        <is>
          <t>pharmaceuticals - indian - bulk drugs</t>
        </is>
      </c>
      <c r="G58" s="31" t="inlineStr">
        <is>
          <t>smallcap</t>
        </is>
      </c>
      <c r="H58" s="32" t="n">
        <v>2740.98</v>
      </c>
      <c r="I58" s="32" t="n">
        <v>243</v>
      </c>
      <c r="J58" s="32" t="n">
        <v>9.31</v>
      </c>
      <c r="K58" s="32" t="n">
        <v>31089358</v>
      </c>
      <c r="L58" s="31" t="n">
        <v>14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53.43</v>
      </c>
      <c r="P58" s="32" t="n">
        <v>23.86</v>
      </c>
      <c r="Q58" s="32" t="inlineStr"/>
      <c r="R58" s="31" t="inlineStr">
        <is>
          <t>Volume Spike / Accumulation</t>
        </is>
      </c>
      <c r="S58" s="31" t="inlineStr">
        <is>
          <t>Nifty Pharma</t>
        </is>
      </c>
      <c r="T58" s="32" t="n">
        <v>20.77</v>
      </c>
      <c r="U58" s="32" t="n">
        <v>-14.96</v>
      </c>
      <c r="V58" s="32" t="n">
        <v>-29.59</v>
      </c>
      <c r="W58" s="32" t="n">
        <v>1.36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IF(B59=0,"",RANK(B59,$B$2:$B$358,0))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E2E</t>
        </is>
      </c>
      <c r="D59" s="31" t="inlineStr">
        <is>
          <t>E2E Networks Ltd</t>
        </is>
      </c>
      <c r="E59" s="31" t="inlineStr">
        <is>
          <t>i.t</t>
        </is>
      </c>
      <c r="F59" s="31" t="inlineStr">
        <is>
          <t>computers - software - medium / small</t>
        </is>
      </c>
      <c r="G59" s="31" t="inlineStr">
        <is>
          <t>midcap</t>
        </is>
      </c>
      <c r="H59" s="32" t="n">
        <v>12365.76</v>
      </c>
      <c r="I59" s="32" t="n">
        <v>630.2</v>
      </c>
      <c r="J59" s="32" t="n">
        <v>4.76</v>
      </c>
      <c r="K59" s="32" t="n">
        <v>1248683</v>
      </c>
      <c r="L59" s="31" t="n">
        <v>89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69.41</v>
      </c>
      <c r="P59" s="32" t="n">
        <v>52.31</v>
      </c>
      <c r="Q59" s="32" t="inlineStr"/>
      <c r="R59" s="31" t="inlineStr">
        <is>
          <t>Earnings / Momentum Support</t>
        </is>
      </c>
      <c r="S59" s="31" t="inlineStr">
        <is>
          <t>Nifty IT</t>
        </is>
      </c>
      <c r="T59" s="32" t="n">
        <v>-11.38</v>
      </c>
      <c r="U59" s="32" t="n">
        <v>107.43</v>
      </c>
      <c r="V59" s="32" t="n">
        <v>134.06</v>
      </c>
      <c r="W59" s="32" t="n">
        <v>28.74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IF(B60=0,"",RANK(B60,$B$2:$B$358,0))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ZYDUSWELL</t>
        </is>
      </c>
      <c r="D60" s="31" t="inlineStr">
        <is>
          <t>Zydus Wellness Limited</t>
        </is>
      </c>
      <c r="E60" s="31" t="inlineStr">
        <is>
          <t>fmcg</t>
        </is>
      </c>
      <c r="F60" s="31" t="inlineStr">
        <is>
          <t>food - processing - indian</t>
        </is>
      </c>
      <c r="G60" s="31" t="inlineStr">
        <is>
          <t>midcap</t>
        </is>
      </c>
      <c r="H60" s="32" t="n">
        <v>16916.61</v>
      </c>
      <c r="I60" s="32" t="n">
        <v>555.35</v>
      </c>
      <c r="J60" s="32" t="n">
        <v>4.45</v>
      </c>
      <c r="K60" s="32" t="n">
        <v>7627303</v>
      </c>
      <c r="L60" s="31" t="n">
        <v>52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54.44</v>
      </c>
      <c r="P60" s="32" t="n">
        <v>40.54</v>
      </c>
      <c r="Q60" s="32" t="inlineStr"/>
      <c r="R60" s="31" t="inlineStr">
        <is>
          <t>Volume Spike / Accumulation</t>
        </is>
      </c>
      <c r="S60" s="31" t="inlineStr">
        <is>
          <t>Nifty FMCG</t>
        </is>
      </c>
      <c r="T60" s="32" t="n">
        <v>-13.73</v>
      </c>
      <c r="U60" s="32" t="n">
        <v>40.31</v>
      </c>
      <c r="V60" s="32" t="n">
        <v>62.64</v>
      </c>
      <c r="W60" s="32" t="n">
        <v>10.88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IF(B61=0,"",RANK(B61,$B$2:$B$358,0))</f>
        <v/>
      </c>
      <c r="B61" s="32">
        <f>SUM(N61,Y61,AA61,AC61,AE61,AG61,AI61,AK61,AM61,AO61,AQ61,AS61,AU61,AW61,AY61,BA61,BC61,BE61,BG61,BI61,BK61,BM61,BO61,BQ61,BS61,BU61,BW61,BY61,CA61,CC61,CE61)</f>
        <v/>
      </c>
      <c r="C61" s="33" t="inlineStr">
        <is>
          <t>UNICHEMLAB</t>
        </is>
      </c>
      <c r="D61" s="33" t="inlineStr">
        <is>
          <t>Unichem Laboratories Limited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smallcap</t>
        </is>
      </c>
      <c r="H61" s="32" t="n">
        <v>3873.72</v>
      </c>
      <c r="I61" s="32" t="n">
        <v>569.75</v>
      </c>
      <c r="J61" s="32" t="n">
        <v>3.55</v>
      </c>
      <c r="K61" s="32" t="n">
        <v>309037</v>
      </c>
      <c r="L61" s="31" t="n">
        <v>64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59.66</v>
      </c>
      <c r="P61" s="32" t="n">
        <v>50.07</v>
      </c>
      <c r="Q61" s="32" t="inlineStr"/>
      <c r="R61" s="31" t="inlineStr">
        <is>
          <t>Earnings / Momentum Support</t>
        </is>
      </c>
      <c r="S61" s="31" t="inlineStr">
        <is>
          <t>Nifty Pharma</t>
        </is>
      </c>
      <c r="T61" s="32" t="n">
        <v>20.77</v>
      </c>
      <c r="U61" s="32" t="n">
        <v>10.04</v>
      </c>
      <c r="V61" s="32" t="n">
        <v>-8.880000000000001</v>
      </c>
      <c r="W61" s="32" t="n">
        <v>15.44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IF(B62=0,"",RANK(B62,$B$2:$B$358,0))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MARKSANS</t>
        </is>
      </c>
      <c r="D62" s="31" t="inlineStr">
        <is>
          <t>Marksans Pharma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14807.13</v>
      </c>
      <c r="I62" s="32" t="n">
        <v>335.05</v>
      </c>
      <c r="J62" s="32" t="n">
        <v>2.54</v>
      </c>
      <c r="K62" s="32" t="n">
        <v>2798363</v>
      </c>
      <c r="L62" s="31" t="n">
        <v>83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73.38</v>
      </c>
      <c r="P62" s="32" t="n">
        <v>59.36</v>
      </c>
      <c r="Q62" s="32" t="inlineStr"/>
      <c r="R62" s="31" t="inlineStr">
        <is>
          <t>Earnings / Momentum Support</t>
        </is>
      </c>
      <c r="S62" s="31" t="inlineStr">
        <is>
          <t>Nifty Pharma</t>
        </is>
      </c>
      <c r="T62" s="32" t="n">
        <v>20.77</v>
      </c>
      <c r="U62" s="32" t="n">
        <v>93.98</v>
      </c>
      <c r="V62" s="32" t="n">
        <v>60.62</v>
      </c>
      <c r="W62" s="32" t="n">
        <v>23.85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IF(B63=0,"",RANK(B63,$B$2:$B$358,0))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GPTHEALTH</t>
        </is>
      </c>
      <c r="D63" s="33" t="inlineStr">
        <is>
          <t>GPT Healthcare Ltd</t>
        </is>
      </c>
      <c r="E63" s="31" t="inlineStr">
        <is>
          <t>healthcare</t>
        </is>
      </c>
      <c r="F63" s="31" t="inlineStr">
        <is>
          <t>healthcare</t>
        </is>
      </c>
      <c r="G63" s="31" t="inlineStr">
        <is>
          <t>smallcap</t>
        </is>
      </c>
      <c r="H63" s="32" t="n">
        <v>1297.86</v>
      </c>
      <c r="I63" s="32" t="n">
        <v>161.37</v>
      </c>
      <c r="J63" s="32" t="n">
        <v>2.02</v>
      </c>
      <c r="K63" s="32" t="n">
        <v>173981</v>
      </c>
      <c r="L63" s="31" t="n">
        <v>21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58.24</v>
      </c>
      <c r="P63" s="32" t="n">
        <v>49.23</v>
      </c>
      <c r="Q63" s="32" t="inlineStr"/>
      <c r="R63" s="31" t="inlineStr">
        <is>
          <t>Earnings / Momentum Support</t>
        </is>
      </c>
      <c r="S63" s="31" t="inlineStr">
        <is>
          <t>Nifty Pharma</t>
        </is>
      </c>
      <c r="T63" s="32" t="n">
        <v>20.77</v>
      </c>
      <c r="U63" s="32" t="n">
        <v>4.52</v>
      </c>
      <c r="V63" s="32" t="n">
        <v>-13.45</v>
      </c>
      <c r="W63" s="32" t="n">
        <v>2.78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IF(B64=0,"",RANK(B64,$B$2:$B$358,0))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GLAND</t>
        </is>
      </c>
      <c r="D64" s="31" t="inlineStr">
        <is>
          <t>Gland Pharma Ltd</t>
        </is>
      </c>
      <c r="E64" s="31" t="inlineStr">
        <is>
          <t>healthcare</t>
        </is>
      </c>
      <c r="F64" s="31" t="inlineStr">
        <is>
          <t>pharmaceuticals - indian - formulations</t>
        </is>
      </c>
      <c r="G64" s="31" t="inlineStr">
        <is>
          <t>largecap</t>
        </is>
      </c>
      <c r="H64" s="32" t="n">
        <v>48372.78</v>
      </c>
      <c r="I64" s="32" t="n">
        <v>2974.3</v>
      </c>
      <c r="J64" s="32" t="n">
        <v>1.43</v>
      </c>
      <c r="K64" s="32" t="n">
        <v>1031320</v>
      </c>
      <c r="L64" s="31" t="n">
        <v>67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73.89</v>
      </c>
      <c r="P64" s="32" t="n">
        <v>62.78</v>
      </c>
      <c r="Q64" s="32" t="inlineStr"/>
      <c r="R64" s="31" t="inlineStr">
        <is>
          <t>Earnings / Momentum Support</t>
        </is>
      </c>
      <c r="S64" s="31" t="inlineStr">
        <is>
          <t>Nifty Pharma</t>
        </is>
      </c>
      <c r="T64" s="32" t="n">
        <v>20.77</v>
      </c>
      <c r="U64" s="32" t="n">
        <v>56.14</v>
      </c>
      <c r="V64" s="32" t="n">
        <v>29.29</v>
      </c>
      <c r="W64" s="32" t="n">
        <v>16.8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IF(B65=0,"",RANK(B65,$B$2:$B$358,0))</f>
        <v/>
      </c>
      <c r="B65" s="32">
        <f>SUM(N65,Y65,AA65,AC65,AE65,AG65,AI65,AK65,AM65,AO65,AQ65,AS65,AU65,AW65,AY65,BA65,BC65,BE65,BG65,BI65,BK65,BM65,BO65,BQ65,BS65,BU65,BW65,BY65,CA65,CC65,CE65)</f>
        <v/>
      </c>
      <c r="C65" s="33" t="inlineStr">
        <is>
          <t>LTFOODS</t>
        </is>
      </c>
      <c r="D65" s="33" t="inlineStr">
        <is>
          <t>L T Foods Ltd</t>
        </is>
      </c>
      <c r="E65" s="31" t="inlineStr">
        <is>
          <t>fmcg</t>
        </is>
      </c>
      <c r="F65" s="31" t="inlineStr">
        <is>
          <t>food - processing - indian</t>
        </is>
      </c>
      <c r="G65" s="31" t="inlineStr">
        <is>
          <t>midcap</t>
        </is>
      </c>
      <c r="H65" s="32" t="n">
        <v>15445.81</v>
      </c>
      <c r="I65" s="32" t="n">
        <v>448.95</v>
      </c>
      <c r="J65" s="32" t="n">
        <v>0.93</v>
      </c>
      <c r="K65" s="32" t="n">
        <v>729443</v>
      </c>
      <c r="L65" s="31" t="n">
        <v>3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63.69</v>
      </c>
      <c r="P65" s="32" t="n">
        <v>20.77</v>
      </c>
      <c r="Q65" s="32" t="inlineStr"/>
      <c r="R65" s="31" t="inlineStr">
        <is>
          <t>Earnings / Momentum Support</t>
        </is>
      </c>
      <c r="S65" s="31" t="inlineStr">
        <is>
          <t>Nifty FMCG</t>
        </is>
      </c>
      <c r="T65" s="32" t="n">
        <v>-13.73</v>
      </c>
      <c r="U65" s="32" t="n">
        <v>-23.43</v>
      </c>
      <c r="V65" s="32" t="n">
        <v>-11.25</v>
      </c>
      <c r="W65" s="32" t="n">
        <v>-6.38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B2C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IF(B66=0,"",RANK(B66,$B$2:$B$358,0))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GUFICBIO</t>
        </is>
      </c>
      <c r="D66" s="31" t="inlineStr">
        <is>
          <t>Gufic Biosciences Limited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smallcap</t>
        </is>
      </c>
      <c r="H66" s="32" t="n">
        <v>4461.57</v>
      </c>
      <c r="I66" s="32" t="n">
        <v>448</v>
      </c>
      <c r="J66" s="32" t="n">
        <v>0.7</v>
      </c>
      <c r="K66" s="32" t="n">
        <v>382048</v>
      </c>
      <c r="L66" s="31" t="n">
        <v>50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69.39</v>
      </c>
      <c r="P66" s="32" t="n">
        <v>56.59</v>
      </c>
      <c r="Q66" s="32" t="inlineStr"/>
      <c r="R66" s="31" t="inlineStr">
        <is>
          <t>Earnings / Momentum Support</t>
        </is>
      </c>
      <c r="S66" s="31" t="inlineStr">
        <is>
          <t>Nifty Pharma</t>
        </is>
      </c>
      <c r="T66" s="32" t="n">
        <v>20.77</v>
      </c>
      <c r="U66" s="32" t="n">
        <v>24.81</v>
      </c>
      <c r="V66" s="32" t="n">
        <v>3.35</v>
      </c>
      <c r="W66" s="32" t="n">
        <v>10.27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IF(B67=0,"",RANK(B67,$B$2:$B$358,0))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MANORAMA</t>
        </is>
      </c>
      <c r="D67" s="31" t="inlineStr">
        <is>
          <t>Manorama Industries Ltd</t>
        </is>
      </c>
      <c r="E67" s="31" t="inlineStr">
        <is>
          <t>fmcg</t>
        </is>
      </c>
      <c r="F67" s="31" t="inlineStr">
        <is>
          <t>food - processing - indian</t>
        </is>
      </c>
      <c r="G67" s="31" t="inlineStr">
        <is>
          <t>midcap</t>
        </is>
      </c>
      <c r="H67" s="32" t="n">
        <v>11902.3</v>
      </c>
      <c r="I67" s="32" t="n">
        <v>2003.6</v>
      </c>
      <c r="J67" s="32" t="n">
        <v>0.51</v>
      </c>
      <c r="K67" s="32" t="n">
        <v>213280</v>
      </c>
      <c r="L67" s="31" t="n">
        <v>23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74.89</v>
      </c>
      <c r="P67" s="32" t="n">
        <v>27.02</v>
      </c>
      <c r="Q67" s="32" t="inlineStr"/>
      <c r="R67" s="31" t="inlineStr">
        <is>
          <t>Earnings / Momentum Support</t>
        </is>
      </c>
      <c r="S67" s="31" t="inlineStr">
        <is>
          <t>Nifty FMCG</t>
        </is>
      </c>
      <c r="T67" s="32" t="n">
        <v>-13.73</v>
      </c>
      <c r="U67" s="32" t="n">
        <v>2.05</v>
      </c>
      <c r="V67" s="32" t="n">
        <v>18.29</v>
      </c>
      <c r="W67" s="32" t="n">
        <v>3.39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B2C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IF(B68=0,"",RANK(B68,$B$2:$B$358,0))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63MOONS</t>
        </is>
      </c>
      <c r="D68" s="31" t="inlineStr">
        <is>
          <t>63 Moons Technologies Ltd</t>
        </is>
      </c>
      <c r="E68" s="31" t="inlineStr">
        <is>
          <t>i.t</t>
        </is>
      </c>
      <c r="F68" s="31" t="inlineStr">
        <is>
          <t>computers - software - medium / small</t>
        </is>
      </c>
      <c r="G68" s="31" t="inlineStr">
        <is>
          <t>smallcap</t>
        </is>
      </c>
      <c r="H68" s="32" t="n">
        <v>4038.78</v>
      </c>
      <c r="I68" s="32" t="n">
        <v>872.7</v>
      </c>
      <c r="J68" s="32" t="n">
        <v>-0.43</v>
      </c>
      <c r="K68" s="32" t="n">
        <v>249471</v>
      </c>
      <c r="L68" s="31" t="n">
        <v>47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61.27</v>
      </c>
      <c r="P68" s="32" t="n">
        <v>29.28</v>
      </c>
      <c r="Q68" s="32" t="inlineStr"/>
      <c r="R68" s="31" t="inlineStr">
        <is>
          <t>Earnings / Momentum Support</t>
        </is>
      </c>
      <c r="S68" s="31" t="inlineStr">
        <is>
          <t>Nifty IT</t>
        </is>
      </c>
      <c r="T68" s="32" t="n">
        <v>-11.38</v>
      </c>
      <c r="U68" s="32" t="n">
        <v>-4.96</v>
      </c>
      <c r="V68" s="32" t="n">
        <v>7.25</v>
      </c>
      <c r="W68" s="32" t="n">
        <v>9.119999999999999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IF(B69=0,"",RANK(B69,$B$2:$B$358,0))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COFORGE</t>
        </is>
      </c>
      <c r="D69" s="31" t="inlineStr">
        <is>
          <t>Coforge (Niit Tech) Ltd</t>
        </is>
      </c>
      <c r="E69" s="31" t="inlineStr">
        <is>
          <t>i.t</t>
        </is>
      </c>
      <c r="F69" s="31" t="inlineStr">
        <is>
          <t>computers - software - large</t>
        </is>
      </c>
      <c r="G69" s="31" t="inlineStr">
        <is>
          <t>largecap</t>
        </is>
      </c>
      <c r="H69" s="32" t="n">
        <v>87334.03999999999</v>
      </c>
      <c r="I69" s="32" t="n">
        <v>1935</v>
      </c>
      <c r="J69" s="32" t="n">
        <v>-1.92</v>
      </c>
      <c r="K69" s="32" t="n">
        <v>1187703</v>
      </c>
      <c r="L69" s="31" t="n">
        <v>65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71.01000000000001</v>
      </c>
      <c r="P69" s="32" t="n">
        <v>22.08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-11.38</v>
      </c>
      <c r="U69" s="32" t="n">
        <v>20.07</v>
      </c>
      <c r="V69" s="32" t="n">
        <v>35.48</v>
      </c>
      <c r="W69" s="32" t="n">
        <v>15.61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IF(B70=0,"",RANK(B70,$B$2:$B$358,0))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RUBYMILLS</t>
        </is>
      </c>
      <c r="D70" s="31" t="inlineStr">
        <is>
          <t>The Ruby Mills Limited</t>
        </is>
      </c>
      <c r="E70" s="31" t="inlineStr">
        <is>
          <t>textiles</t>
        </is>
      </c>
      <c r="F70" s="31" t="inlineStr">
        <is>
          <t>textiles - composite</t>
        </is>
      </c>
      <c r="G70" s="31" t="inlineStr">
        <is>
          <t>smallcap</t>
        </is>
      </c>
      <c r="H70" s="32" t="n">
        <v>1432.24</v>
      </c>
      <c r="I70" s="32" t="n">
        <v>457</v>
      </c>
      <c r="J70" s="32" t="n">
        <v>6.7</v>
      </c>
      <c r="K70" s="32" t="n">
        <v>175583</v>
      </c>
      <c r="L70" s="31" t="n">
        <v>77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71.33</v>
      </c>
      <c r="P70" s="32" t="n">
        <v>54.03</v>
      </c>
      <c r="Q70" s="32" t="inlineStr"/>
      <c r="R70" s="31" t="inlineStr">
        <is>
          <t>Volume Spike / Accumulation</t>
        </is>
      </c>
      <c r="S70" s="31" t="inlineStr">
        <is>
          <t>Nifty 50</t>
        </is>
      </c>
      <c r="T70" s="32" t="n">
        <v>-3.41</v>
      </c>
      <c r="U70" s="32" t="n">
        <v>91.42</v>
      </c>
      <c r="V70" s="32" t="n">
        <v>98.17</v>
      </c>
      <c r="W70" s="32" t="n">
        <v>21.38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IF(B71=0,"",RANK(B71,$B$2:$B$358,0))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SHANTIGOLD</t>
        </is>
      </c>
      <c r="D71" s="31" t="inlineStr">
        <is>
          <t>Shanti Gold International Ltd</t>
        </is>
      </c>
      <c r="E71" s="31" t="inlineStr">
        <is>
          <t>consumer discretionary</t>
        </is>
      </c>
      <c r="F71" s="31" t="inlineStr">
        <is>
          <t>diamond cutting / jewellery</t>
        </is>
      </c>
      <c r="G71" s="31" t="inlineStr">
        <is>
          <t>smallcap</t>
        </is>
      </c>
      <c r="H71" s="32" t="n">
        <v>1967.14</v>
      </c>
      <c r="I71" s="32" t="n">
        <v>270.72</v>
      </c>
      <c r="J71" s="32" t="n">
        <v>5.61</v>
      </c>
      <c r="K71" s="32" t="n">
        <v>4067799</v>
      </c>
      <c r="L71" s="31" t="n">
        <v>33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62.29</v>
      </c>
      <c r="P71" s="32" t="n">
        <v>36.27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-3.41</v>
      </c>
      <c r="U71" s="32" t="n">
        <v>11.2</v>
      </c>
      <c r="V71" s="32" t="n">
        <v>15.12</v>
      </c>
      <c r="W71" s="32" t="n">
        <v>5.79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IF(B72=0,"",RANK(B72,$B$2:$B$358,0))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PARAS</t>
        </is>
      </c>
      <c r="D72" s="31" t="inlineStr">
        <is>
          <t>Paras Defence and Space Technologies Ltd</t>
        </is>
      </c>
      <c r="E72" s="31" t="inlineStr">
        <is>
          <t>aerospace &amp; defence</t>
        </is>
      </c>
      <c r="F72" s="31" t="inlineStr">
        <is>
          <t>engineering</t>
        </is>
      </c>
      <c r="G72" s="31" t="inlineStr">
        <is>
          <t>midcap</t>
        </is>
      </c>
      <c r="H72" s="32" t="n">
        <v>11402.3</v>
      </c>
      <c r="I72" s="32" t="n">
        <v>1489.4</v>
      </c>
      <c r="J72" s="32" t="n">
        <v>5.27</v>
      </c>
      <c r="K72" s="32" t="n">
        <v>1794488</v>
      </c>
      <c r="L72" s="31" t="n">
        <v>88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67.40000000000001</v>
      </c>
      <c r="P72" s="32" t="n">
        <v>67.31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-3.41</v>
      </c>
      <c r="U72" s="32" t="n">
        <v>114.22</v>
      </c>
      <c r="V72" s="32" t="n">
        <v>121.78</v>
      </c>
      <c r="W72" s="32" t="n">
        <v>27.21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IF(B73=0,"",RANK(B73,$B$2:$B$358,0))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SREEL</t>
        </is>
      </c>
      <c r="D73" s="31" t="inlineStr">
        <is>
          <t>Sreeleathers Limited</t>
        </is>
      </c>
      <c r="E73" s="31" t="inlineStr">
        <is>
          <t>consumer discretionary</t>
        </is>
      </c>
      <c r="F73" s="31" t="inlineStr">
        <is>
          <t>trading</t>
        </is>
      </c>
      <c r="G73" s="31" t="inlineStr">
        <is>
          <t>smallcap</t>
        </is>
      </c>
      <c r="H73" s="32" t="n">
        <v>614.8099999999999</v>
      </c>
      <c r="I73" s="32" t="n">
        <v>279.4</v>
      </c>
      <c r="J73" s="32" t="n">
        <v>5.23</v>
      </c>
      <c r="K73" s="32" t="n">
        <v>72657</v>
      </c>
      <c r="L73" s="31" t="n">
        <v>51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74.59999999999999</v>
      </c>
      <c r="P73" s="32" t="n">
        <v>52.95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-3.41</v>
      </c>
      <c r="U73" s="32" t="n">
        <v>13.09</v>
      </c>
      <c r="V73" s="32" t="n">
        <v>17.08</v>
      </c>
      <c r="W73" s="32" t="n">
        <v>10.59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IF(B74=0,"",RANK(B74,$B$2:$B$358,0))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MTARTECH</t>
        </is>
      </c>
      <c r="D74" s="31" t="inlineStr">
        <is>
          <t>MTAR Technologies Ltd</t>
        </is>
      </c>
      <c r="E74" s="31" t="inlineStr">
        <is>
          <t>aerospace &amp; defence</t>
        </is>
      </c>
      <c r="F74" s="31" t="inlineStr">
        <is>
          <t>engineering</t>
        </is>
      </c>
      <c r="G74" s="31" t="inlineStr">
        <is>
          <t>largecap</t>
        </is>
      </c>
      <c r="H74" s="32" t="n">
        <v>22026.94</v>
      </c>
      <c r="I74" s="32" t="n">
        <v>7519</v>
      </c>
      <c r="J74" s="32" t="n">
        <v>5</v>
      </c>
      <c r="K74" s="32" t="n">
        <v>176047</v>
      </c>
      <c r="L74" s="31" t="n">
        <v>96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60.95</v>
      </c>
      <c r="P74" s="32" t="n">
        <v>22.8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-3.41</v>
      </c>
      <c r="U74" s="32" t="n">
        <v>408.59</v>
      </c>
      <c r="V74" s="32" t="n">
        <v>426.54</v>
      </c>
      <c r="W74" s="32" t="n">
        <v>43.45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IF(B75=0,"",RANK(B75,$B$2:$B$358,0))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CHEVIOT</t>
        </is>
      </c>
      <c r="D75" s="31" t="inlineStr">
        <is>
          <t>Cheviot Company Ltd</t>
        </is>
      </c>
      <c r="E75" s="31" t="inlineStr">
        <is>
          <t>textiles</t>
        </is>
      </c>
      <c r="F75" s="31" t="inlineStr">
        <is>
          <t>textiles - jute - yarn / products</t>
        </is>
      </c>
      <c r="G75" s="31" t="inlineStr">
        <is>
          <t>smallcap</t>
        </is>
      </c>
      <c r="H75" s="32" t="n">
        <v>677.3099999999999</v>
      </c>
      <c r="I75" s="32" t="n">
        <v>1217.1</v>
      </c>
      <c r="J75" s="32" t="n">
        <v>4.98</v>
      </c>
      <c r="K75" s="32" t="n">
        <v>14214</v>
      </c>
      <c r="L75" s="31" t="n">
        <v>15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57.33</v>
      </c>
      <c r="P75" s="32" t="n">
        <v>22.59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-3.41</v>
      </c>
      <c r="U75" s="32" t="n">
        <v>-0.4</v>
      </c>
      <c r="V75" s="32" t="n">
        <v>3.11</v>
      </c>
      <c r="W75" s="32" t="n">
        <v>1.66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IF(B76=0,"",RANK(B76,$B$2:$B$358,0))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VINCOFE</t>
        </is>
      </c>
      <c r="D76" s="31" t="inlineStr">
        <is>
          <t>Vintage Coffee &amp; Beverages Ltd</t>
        </is>
      </c>
      <c r="E76" s="31" t="inlineStr">
        <is>
          <t>consumer discretionary</t>
        </is>
      </c>
      <c r="F76" s="31" t="inlineStr">
        <is>
          <t>trading</t>
        </is>
      </c>
      <c r="G76" s="31" t="inlineStr">
        <is>
          <t>smallcap</t>
        </is>
      </c>
      <c r="H76" s="32" t="n">
        <v>2486.17</v>
      </c>
      <c r="I76" s="32" t="n">
        <v>178.88</v>
      </c>
      <c r="J76" s="32" t="n">
        <v>4.82</v>
      </c>
      <c r="K76" s="32" t="n">
        <v>4026692</v>
      </c>
      <c r="L76" s="31" t="n">
        <v>38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61.41</v>
      </c>
      <c r="P76" s="32" t="n">
        <v>29.4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-3.41</v>
      </c>
      <c r="U76" s="32" t="n">
        <v>16.99</v>
      </c>
      <c r="V76" s="32" t="n">
        <v>21.11</v>
      </c>
      <c r="W76" s="32" t="n">
        <v>7.03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IF(B77=0,"",RANK(B77,$B$2:$B$358,0))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CEIGALL</t>
        </is>
      </c>
      <c r="D77" s="31" t="inlineStr">
        <is>
          <t>Ceigall India Ltd</t>
        </is>
      </c>
      <c r="E77" s="31" t="inlineStr">
        <is>
          <t>realty</t>
        </is>
      </c>
      <c r="F77" s="31" t="inlineStr">
        <is>
          <t>construction</t>
        </is>
      </c>
      <c r="G77" s="31" t="inlineStr">
        <is>
          <t>midcap</t>
        </is>
      </c>
      <c r="H77" s="32" t="n">
        <v>6198.21</v>
      </c>
      <c r="I77" s="32" t="n">
        <v>370.3</v>
      </c>
      <c r="J77" s="32" t="n">
        <v>4.08</v>
      </c>
      <c r="K77" s="32" t="n">
        <v>814931</v>
      </c>
      <c r="L77" s="31" t="n">
        <v>39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58.53</v>
      </c>
      <c r="P77" s="32" t="n">
        <v>30.1</v>
      </c>
      <c r="Q77" s="32" t="inlineStr"/>
      <c r="R77" s="31" t="inlineStr">
        <is>
          <t>Earnings / Momentum Support</t>
        </is>
      </c>
      <c r="S77" s="31" t="inlineStr">
        <is>
          <t>Nifty Realty</t>
        </is>
      </c>
      <c r="T77" s="32" t="n">
        <v>-8.119999999999999</v>
      </c>
      <c r="U77" s="32" t="n">
        <v>26.94</v>
      </c>
      <c r="V77" s="32" t="n">
        <v>38.16</v>
      </c>
      <c r="W77" s="32" t="n">
        <v>7.44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IF(B78=0,"",RANK(B78,$B$2:$B$358,0))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MUNJALAU</t>
        </is>
      </c>
      <c r="D78" s="31" t="inlineStr">
        <is>
          <t>Munjal Auto Industries Limited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smallcap</t>
        </is>
      </c>
      <c r="H78" s="32" t="n">
        <v>1122.8</v>
      </c>
      <c r="I78" s="32" t="n">
        <v>116.04</v>
      </c>
      <c r="J78" s="32" t="n">
        <v>3.35</v>
      </c>
      <c r="K78" s="32" t="n">
        <v>1017431</v>
      </c>
      <c r="L78" s="31" t="n">
        <v>55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66.59999999999999</v>
      </c>
      <c r="P78" s="32" t="n">
        <v>54.23</v>
      </c>
      <c r="Q78" s="32" t="inlineStr"/>
      <c r="R78" s="31" t="inlineStr">
        <is>
          <t>Earnings / Momentum Support</t>
        </is>
      </c>
      <c r="S78" s="31" t="inlineStr">
        <is>
          <t>Nifty Auto</t>
        </is>
      </c>
      <c r="T78" s="32" t="n">
        <v>13.41</v>
      </c>
      <c r="U78" s="32" t="n">
        <v>32.99</v>
      </c>
      <c r="V78" s="32" t="n">
        <v>17.26</v>
      </c>
      <c r="W78" s="32" t="n">
        <v>12.5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IF(B79=0,"",RANK(B79,$B$2:$B$358,0))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UNIPARTS</t>
        </is>
      </c>
      <c r="D79" s="31" t="inlineStr">
        <is>
          <t>Uniparts India Ltd</t>
        </is>
      </c>
      <c r="E79" s="31" t="inlineStr">
        <is>
          <t>industrials</t>
        </is>
      </c>
      <c r="F79" s="31" t="inlineStr">
        <is>
          <t>engineering</t>
        </is>
      </c>
      <c r="G79" s="31" t="inlineStr">
        <is>
          <t>smallcap</t>
        </is>
      </c>
      <c r="H79" s="32" t="n">
        <v>3945.73</v>
      </c>
      <c r="I79" s="32" t="n">
        <v>902.1</v>
      </c>
      <c r="J79" s="32" t="n">
        <v>3.21</v>
      </c>
      <c r="K79" s="32" t="n">
        <v>165683</v>
      </c>
      <c r="L79" s="31" t="n">
        <v>88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82.45999999999999</v>
      </c>
      <c r="P79" s="32" t="n">
        <v>69.7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-3.41</v>
      </c>
      <c r="U79" s="32" t="n">
        <v>127.29</v>
      </c>
      <c r="V79" s="32" t="n">
        <v>135.31</v>
      </c>
      <c r="W79" s="32" t="n">
        <v>27.11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IF(B80=0,"",RANK(B80,$B$2:$B$358,0))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KINGFA</t>
        </is>
      </c>
      <c r="D80" s="31" t="inlineStr">
        <is>
          <t>Kingfa Science &amp; Technology (india) Limited</t>
        </is>
      </c>
      <c r="E80" s="31" t="inlineStr">
        <is>
          <t>plastic products</t>
        </is>
      </c>
      <c r="F80" s="31" t="inlineStr">
        <is>
          <t>plastics products</t>
        </is>
      </c>
      <c r="G80" s="31" t="inlineStr">
        <is>
          <t>midcap</t>
        </is>
      </c>
      <c r="H80" s="32" t="n">
        <v>8039.36</v>
      </c>
      <c r="I80" s="32" t="n">
        <v>6056.5</v>
      </c>
      <c r="J80" s="32" t="n">
        <v>2.09</v>
      </c>
      <c r="K80" s="32" t="n">
        <v>12213</v>
      </c>
      <c r="L80" s="31" t="n">
        <v>49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69.26000000000001</v>
      </c>
      <c r="P80" s="32" t="n">
        <v>35.99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-3.41</v>
      </c>
      <c r="U80" s="32" t="n">
        <v>39.21</v>
      </c>
      <c r="V80" s="32" t="n">
        <v>44.12</v>
      </c>
      <c r="W80" s="32" t="n">
        <v>9.609999999999999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IF(B81=0,"",RANK(B81,$B$2:$B$358,0))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WELSPUNLIV</t>
        </is>
      </c>
      <c r="D81" s="31" t="inlineStr">
        <is>
          <t>Welspun Living Ltd</t>
        </is>
      </c>
      <c r="E81" s="31" t="inlineStr">
        <is>
          <t>textiles</t>
        </is>
      </c>
      <c r="F81" s="31" t="inlineStr">
        <is>
          <t>textiles - products</t>
        </is>
      </c>
      <c r="G81" s="31" t="inlineStr">
        <is>
          <t>midcap</t>
        </is>
      </c>
      <c r="H81" s="32" t="n">
        <v>19699.03</v>
      </c>
      <c r="I81" s="32" t="n">
        <v>211.95</v>
      </c>
      <c r="J81" s="32" t="n">
        <v>1.65</v>
      </c>
      <c r="K81" s="32" t="n">
        <v>6124120</v>
      </c>
      <c r="L81" s="31" t="n">
        <v>82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78.78</v>
      </c>
      <c r="P81" s="32" t="n">
        <v>40.23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-3.41</v>
      </c>
      <c r="U81" s="32" t="n">
        <v>82.98</v>
      </c>
      <c r="V81" s="32" t="n">
        <v>89.44</v>
      </c>
      <c r="W81" s="32" t="n">
        <v>23.59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IF(B82=0,"",RANK(B82,$B$2:$B$358,0))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CPPLUS</t>
        </is>
      </c>
      <c r="D82" s="31" t="inlineStr">
        <is>
          <t>Aditya Infotech Ltd</t>
        </is>
      </c>
      <c r="E82" s="31" t="inlineStr">
        <is>
          <t>consumer discretionary</t>
        </is>
      </c>
      <c r="F82" s="31" t="inlineStr">
        <is>
          <t>trading</t>
        </is>
      </c>
      <c r="G82" s="31" t="inlineStr">
        <is>
          <t>largecap</t>
        </is>
      </c>
      <c r="H82" s="32" t="n">
        <v>43658.89</v>
      </c>
      <c r="I82" s="32" t="n">
        <v>3752.9</v>
      </c>
      <c r="J82" s="32" t="n">
        <v>1.3</v>
      </c>
      <c r="K82" s="32" t="n">
        <v>170197</v>
      </c>
      <c r="L82" s="31" t="n">
        <v>89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70.5</v>
      </c>
      <c r="P82" s="32" t="n">
        <v>59.89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-3.41</v>
      </c>
      <c r="U82" s="32" t="n">
        <v>170.89</v>
      </c>
      <c r="V82" s="32" t="n">
        <v>180.45</v>
      </c>
      <c r="W82" s="32" t="n">
        <v>28.46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IF(B83=0,"",RANK(B83,$B$2:$B$358,0))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KPIL</t>
        </is>
      </c>
      <c r="D83" s="31" t="inlineStr">
        <is>
          <t>Kalpataru Projects International Ltd</t>
        </is>
      </c>
      <c r="E83" s="31" t="inlineStr">
        <is>
          <t>realty</t>
        </is>
      </c>
      <c r="F83" s="31" t="inlineStr">
        <is>
          <t>transmisson line towers / equipment</t>
        </is>
      </c>
      <c r="G83" s="31" t="inlineStr">
        <is>
          <t>largecap</t>
        </is>
      </c>
      <c r="H83" s="32" t="n">
        <v>24020.87</v>
      </c>
      <c r="I83" s="32" t="n">
        <v>1424.4</v>
      </c>
      <c r="J83" s="32" t="n">
        <v>1.27</v>
      </c>
      <c r="K83" s="32" t="n">
        <v>96907</v>
      </c>
      <c r="L83" s="31" t="n">
        <v>25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64.44</v>
      </c>
      <c r="P83" s="32" t="n">
        <v>34.49</v>
      </c>
      <c r="Q83" s="32" t="inlineStr"/>
      <c r="R83" s="31" t="inlineStr">
        <is>
          <t>Earnings / Momentum Support</t>
        </is>
      </c>
      <c r="S83" s="31" t="inlineStr">
        <is>
          <t>Nifty Realty</t>
        </is>
      </c>
      <c r="T83" s="32" t="n">
        <v>-8.119999999999999</v>
      </c>
      <c r="U83" s="32" t="n">
        <v>10.41</v>
      </c>
      <c r="V83" s="32" t="n">
        <v>20.17</v>
      </c>
      <c r="W83" s="32" t="n">
        <v>3.65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IF(B84=0,"",RANK(B84,$B$2:$B$358,0))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MODISONLTD</t>
        </is>
      </c>
      <c r="D84" s="31" t="inlineStr">
        <is>
          <t>Modison Ltd</t>
        </is>
      </c>
      <c r="E84" s="31" t="inlineStr">
        <is>
          <t>industrials</t>
        </is>
      </c>
      <c r="F84" s="31" t="inlineStr">
        <is>
          <t>electric equipment</t>
        </is>
      </c>
      <c r="G84" s="31" t="inlineStr">
        <is>
          <t>smallcap</t>
        </is>
      </c>
      <c r="H84" s="32" t="n">
        <v>1524.99</v>
      </c>
      <c r="I84" s="32" t="n">
        <v>475.6</v>
      </c>
      <c r="J84" s="32" t="n">
        <v>1.2</v>
      </c>
      <c r="K84" s="32" t="n">
        <v>336826</v>
      </c>
      <c r="L84" s="31" t="n">
        <v>96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80.63</v>
      </c>
      <c r="P84" s="32" t="n">
        <v>59.16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-3.41</v>
      </c>
      <c r="U84" s="32" t="n">
        <v>196.68</v>
      </c>
      <c r="V84" s="32" t="n">
        <v>207.15</v>
      </c>
      <c r="W84" s="32" t="n">
        <v>44.05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IF(B85=0,"",RANK(B85,$B$2:$B$358,0))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KRYSTAL</t>
        </is>
      </c>
      <c r="D85" s="31" t="inlineStr">
        <is>
          <t>Krystal Integrated Services Ltd</t>
        </is>
      </c>
      <c r="E85" s="31" t="inlineStr">
        <is>
          <t>miscellaneous</t>
        </is>
      </c>
      <c r="F85" s="31" t="inlineStr">
        <is>
          <t>miscellaneous</t>
        </is>
      </c>
      <c r="G85" s="31" t="inlineStr">
        <is>
          <t>smallcap</t>
        </is>
      </c>
      <c r="H85" s="32" t="n">
        <v>914.6</v>
      </c>
      <c r="I85" s="32" t="n">
        <v>661.5</v>
      </c>
      <c r="J85" s="32" t="n">
        <v>1.05</v>
      </c>
      <c r="K85" s="32" t="n">
        <v>12891</v>
      </c>
      <c r="L85" s="31" t="n">
        <v>21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64.98999999999999</v>
      </c>
      <c r="P85" s="32" t="n">
        <v>36.75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-3.41</v>
      </c>
      <c r="U85" s="32" t="n">
        <v>-1.06</v>
      </c>
      <c r="V85" s="32" t="n">
        <v>2.43</v>
      </c>
      <c r="W85" s="32" t="n">
        <v>2.79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IF(B86=0,"",RANK(B86,$B$2:$B$358,0))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CENTENKA</t>
        </is>
      </c>
      <c r="D86" s="31" t="inlineStr">
        <is>
          <t>Century Enka Limited</t>
        </is>
      </c>
      <c r="E86" s="31" t="inlineStr">
        <is>
          <t>textiles</t>
        </is>
      </c>
      <c r="F86" s="31" t="inlineStr">
        <is>
          <t>textiles - manmade</t>
        </is>
      </c>
      <c r="G86" s="31" t="inlineStr">
        <is>
          <t>smallcap</t>
        </is>
      </c>
      <c r="H86" s="32" t="n">
        <v>1330.48</v>
      </c>
      <c r="I86" s="32" t="n">
        <v>607.05</v>
      </c>
      <c r="J86" s="32" t="n">
        <v>-0.3</v>
      </c>
      <c r="K86" s="32" t="n">
        <v>131351</v>
      </c>
      <c r="L86" s="31" t="n">
        <v>46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66.56</v>
      </c>
      <c r="P86" s="32" t="n">
        <v>64.28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-3.41</v>
      </c>
      <c r="U86" s="32" t="n">
        <v>22.3</v>
      </c>
      <c r="V86" s="32" t="n">
        <v>26.62</v>
      </c>
      <c r="W86" s="32" t="n">
        <v>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IF(B87=0,"",RANK(B87,$B$2:$B$358,0))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ASIANHOTNR</t>
        </is>
      </c>
      <c r="D87" s="31" t="inlineStr">
        <is>
          <t>Asian Hotels (north) Limited</t>
        </is>
      </c>
      <c r="E87" s="31" t="inlineStr">
        <is>
          <t>services</t>
        </is>
      </c>
      <c r="F87" s="31" t="inlineStr">
        <is>
          <t>hotels</t>
        </is>
      </c>
      <c r="G87" s="31" t="inlineStr">
        <is>
          <t>smallcap</t>
        </is>
      </c>
      <c r="H87" s="32" t="n">
        <v>1640.31</v>
      </c>
      <c r="I87" s="32" t="n">
        <v>382.65</v>
      </c>
      <c r="J87" s="32" t="n">
        <v>-0.55</v>
      </c>
      <c r="K87" s="32" t="n">
        <v>22793</v>
      </c>
      <c r="L87" s="31" t="n">
        <v>47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70.26000000000001</v>
      </c>
      <c r="P87" s="32" t="n">
        <v>34.6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-3.41</v>
      </c>
      <c r="U87" s="32" t="n">
        <v>16.82</v>
      </c>
      <c r="V87" s="32" t="n">
        <v>20.94</v>
      </c>
      <c r="W87" s="32" t="n">
        <v>9.119999999999999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IF(B88=0,"",RANK(B88,$B$2:$B$358,0))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HITECHCORP</t>
        </is>
      </c>
      <c r="D88" s="31" t="inlineStr">
        <is>
          <t>Hitech Corporation</t>
        </is>
      </c>
      <c r="E88" s="31" t="inlineStr">
        <is>
          <t>industrials</t>
        </is>
      </c>
      <c r="F88" s="31" t="inlineStr">
        <is>
          <t>packaging</t>
        </is>
      </c>
      <c r="G88" s="31" t="inlineStr">
        <is>
          <t>smallcap</t>
        </is>
      </c>
      <c r="H88" s="32" t="n">
        <v>578.8200000000001</v>
      </c>
      <c r="I88" s="32" t="n">
        <v>334.35</v>
      </c>
      <c r="J88" s="32" t="n">
        <v>-0.79</v>
      </c>
      <c r="K88" s="32" t="n">
        <v>7494</v>
      </c>
      <c r="L88" s="31" t="n">
        <v>85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82.3</v>
      </c>
      <c r="P88" s="32" t="n">
        <v>67.58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-3.41</v>
      </c>
      <c r="U88" s="32" t="n">
        <v>66.38</v>
      </c>
      <c r="V88" s="32" t="n">
        <v>72.25</v>
      </c>
      <c r="W88" s="32" t="n">
        <v>24.55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IF(B89=0,"",RANK(B89,$B$2:$B$358,0))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ARROWGREEN</t>
        </is>
      </c>
      <c r="D89" s="31" t="inlineStr">
        <is>
          <t>Arrow Greentech Limited</t>
        </is>
      </c>
      <c r="E89" s="31" t="inlineStr">
        <is>
          <t>plastic products</t>
        </is>
      </c>
      <c r="F89" s="31" t="inlineStr">
        <is>
          <t>plastics products</t>
        </is>
      </c>
      <c r="G89" s="31" t="inlineStr">
        <is>
          <t>smallcap</t>
        </is>
      </c>
      <c r="H89" s="32" t="n">
        <v>1228.31</v>
      </c>
      <c r="I89" s="32" t="n">
        <v>805.1</v>
      </c>
      <c r="J89" s="32" t="n">
        <v>-1.11</v>
      </c>
      <c r="K89" s="32" t="n">
        <v>19575</v>
      </c>
      <c r="L89" s="31" t="n">
        <v>34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66.53</v>
      </c>
      <c r="P89" s="32" t="n">
        <v>43.33</v>
      </c>
      <c r="Q89" s="32" t="inlineStr"/>
      <c r="R89" s="31" t="inlineStr">
        <is>
          <t>Earnings / Momentum Support</t>
        </is>
      </c>
      <c r="S89" s="31" t="inlineStr">
        <is>
          <t>Nifty Infra</t>
        </is>
      </c>
      <c r="T89" s="32" t="n">
        <v>1.74</v>
      </c>
      <c r="U89" s="32" t="n">
        <v>2.57</v>
      </c>
      <c r="V89" s="32" t="n">
        <v>0.82</v>
      </c>
      <c r="W89" s="32" t="n">
        <v>5.97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IF(B90=0,"",RANK(B90,$B$2:$B$358,0))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IGPL</t>
        </is>
      </c>
      <c r="D90" s="31" t="inlineStr">
        <is>
          <t>Ig Petrochemicals Limited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smallcap</t>
        </is>
      </c>
      <c r="H90" s="32" t="n">
        <v>1747.3</v>
      </c>
      <c r="I90" s="32" t="n">
        <v>558.8</v>
      </c>
      <c r="J90" s="32" t="n">
        <v>-1.52</v>
      </c>
      <c r="K90" s="32" t="n">
        <v>83345</v>
      </c>
      <c r="L90" s="31" t="n">
        <v>59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71.40000000000001</v>
      </c>
      <c r="P90" s="32" t="n">
        <v>29.49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-3.41</v>
      </c>
      <c r="U90" s="32" t="n">
        <v>30.33</v>
      </c>
      <c r="V90" s="32" t="n">
        <v>34.93</v>
      </c>
      <c r="W90" s="32" t="n">
        <v>13.25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IF(B91=0,"",RANK(B91,$B$2:$B$358,0))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ADOR</t>
        </is>
      </c>
      <c r="D91" s="31" t="inlineStr">
        <is>
          <t>Ador Welding Ltd</t>
        </is>
      </c>
      <c r="E91" s="31" t="inlineStr">
        <is>
          <t>industrials</t>
        </is>
      </c>
      <c r="F91" s="31" t="inlineStr">
        <is>
          <t>electrodes - welding equipment</t>
        </is>
      </c>
      <c r="G91" s="31" t="inlineStr">
        <is>
          <t>smallcap</t>
        </is>
      </c>
      <c r="H91" s="32" t="n">
        <v>2913.93</v>
      </c>
      <c r="I91" s="32" t="n">
        <v>1644.1</v>
      </c>
      <c r="J91" s="32" t="n">
        <v>-1.81</v>
      </c>
      <c r="K91" s="32" t="n">
        <v>37401</v>
      </c>
      <c r="L91" s="31" t="n">
        <v>83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83.09</v>
      </c>
      <c r="P91" s="32" t="n">
        <v>66.95</v>
      </c>
      <c r="Q91" s="32" t="inlineStr"/>
      <c r="R91" s="31" t="inlineStr">
        <is>
          <t>Earnings / Momentum Support</t>
        </is>
      </c>
      <c r="S91" s="31" t="inlineStr">
        <is>
          <t>Nifty 50</t>
        </is>
      </c>
      <c r="T91" s="32" t="n">
        <v>-3.41</v>
      </c>
      <c r="U91" s="32" t="n">
        <v>78.27</v>
      </c>
      <c r="V91" s="32" t="n">
        <v>84.56</v>
      </c>
      <c r="W91" s="32" t="n">
        <v>23.84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IF(B92=0,"",RANK(B92,$B$2:$B$358,0))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KMEW</t>
        </is>
      </c>
      <c r="D92" s="31" t="inlineStr">
        <is>
          <t>Knowledge Marine &amp; Engineering Works Ltd</t>
        </is>
      </c>
      <c r="E92" s="31" t="inlineStr">
        <is>
          <t>transportation</t>
        </is>
      </c>
      <c r="F92" s="31" t="inlineStr">
        <is>
          <t>miscellaneous</t>
        </is>
      </c>
      <c r="G92" s="31" t="inlineStr">
        <is>
          <t>midcap</t>
        </is>
      </c>
      <c r="H92" s="32" t="n">
        <v>7414.88</v>
      </c>
      <c r="I92" s="32" t="n">
        <v>2961.6</v>
      </c>
      <c r="J92" s="32" t="n">
        <v>-2.37</v>
      </c>
      <c r="K92" s="32" t="n">
        <v>80097</v>
      </c>
      <c r="L92" s="31" t="n">
        <v>96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80.93000000000001</v>
      </c>
      <c r="P92" s="32" t="n">
        <v>57.75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-3.41</v>
      </c>
      <c r="U92" s="32" t="n">
        <v>246.67</v>
      </c>
      <c r="V92" s="32" t="n">
        <v>258.91</v>
      </c>
      <c r="W92" s="32" t="n">
        <v>44.65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IF(B93=0,"",RANK(B93,$B$2:$B$358,0))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RBZJEWEL</t>
        </is>
      </c>
      <c r="D93" s="31" t="inlineStr">
        <is>
          <t>RBZ Jewellers Ltd</t>
        </is>
      </c>
      <c r="E93" s="31" t="inlineStr">
        <is>
          <t>consumer discretionary</t>
        </is>
      </c>
      <c r="F93" s="31" t="inlineStr">
        <is>
          <t>diamond cutting / jewellery</t>
        </is>
      </c>
      <c r="G93" s="31" t="inlineStr">
        <is>
          <t>smallcap</t>
        </is>
      </c>
      <c r="H93" s="32" t="n">
        <v>802.76</v>
      </c>
      <c r="I93" s="32" t="n">
        <v>190.71</v>
      </c>
      <c r="J93" s="32" t="n">
        <v>-4.97</v>
      </c>
      <c r="K93" s="32" t="n">
        <v>1090155</v>
      </c>
      <c r="L93" s="31" t="n">
        <v>75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70.64</v>
      </c>
      <c r="P93" s="32" t="n">
        <v>31.23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-3.41</v>
      </c>
      <c r="U93" s="32" t="n">
        <v>46.15</v>
      </c>
      <c r="V93" s="32" t="n">
        <v>51.3</v>
      </c>
      <c r="W93" s="32" t="n">
        <v>20.04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IF(B94=0,"",RANK(B94,$B$2:$B$358,0))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RPEL</t>
        </is>
      </c>
      <c r="D94" s="31" t="inlineStr">
        <is>
          <t>Raghav Productivity Enhancers Ltd</t>
        </is>
      </c>
      <c r="E94" s="31" t="inlineStr">
        <is>
          <t>building materials</t>
        </is>
      </c>
      <c r="F94" s="31" t="inlineStr">
        <is>
          <t>refractories / intermediates</t>
        </is>
      </c>
      <c r="G94" s="31" t="inlineStr">
        <is>
          <t>midcap</t>
        </is>
      </c>
      <c r="H94" s="32" t="n">
        <v>8299.01</v>
      </c>
      <c r="I94" s="32" t="n">
        <v>1681.2</v>
      </c>
      <c r="J94" s="32" t="n">
        <v>-6.97</v>
      </c>
      <c r="K94" s="32" t="n">
        <v>312911</v>
      </c>
      <c r="L94" s="31" t="n">
        <v>93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84.64</v>
      </c>
      <c r="P94" s="32" t="n">
        <v>64.52</v>
      </c>
      <c r="Q94" s="32" t="inlineStr"/>
      <c r="R94" s="31" t="inlineStr">
        <is>
          <t>Earnings / Momentum Support</t>
        </is>
      </c>
      <c r="S94" s="31" t="inlineStr">
        <is>
          <t>Nifty Infra</t>
        </is>
      </c>
      <c r="T94" s="32" t="n">
        <v>1.74</v>
      </c>
      <c r="U94" s="32" t="n">
        <v>89.84999999999999</v>
      </c>
      <c r="V94" s="32" t="n">
        <v>86.59999999999999</v>
      </c>
      <c r="W94" s="32" t="n">
        <v>35.04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IF(B95=0,"",RANK(B95,$B$2:$B$358,0))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MOREPENLAB</t>
        </is>
      </c>
      <c r="D95" s="31" t="inlineStr">
        <is>
          <t>Morepen Laboratories Limited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midcap</t>
        </is>
      </c>
      <c r="H95" s="32" t="n">
        <v>6232.43</v>
      </c>
      <c r="I95" s="32" t="n">
        <v>118.88</v>
      </c>
      <c r="J95" s="32" t="n">
        <v>4.52</v>
      </c>
      <c r="K95" s="32" t="n">
        <v>21606889</v>
      </c>
      <c r="L95" s="31" t="n">
        <v>98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87.27</v>
      </c>
      <c r="P95" s="32" t="n">
        <v>52.5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20.77</v>
      </c>
      <c r="U95" s="32" t="n">
        <v>130.66</v>
      </c>
      <c r="V95" s="32" t="n">
        <v>91</v>
      </c>
      <c r="W95" s="32" t="n">
        <v>61.94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IF(B96=0,"",RANK(B96,$B$2:$B$358,0))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INDSWFTLAB</t>
        </is>
      </c>
      <c r="D96" s="31" t="inlineStr">
        <is>
          <t>Ind-swift Laboratories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smallcap</t>
        </is>
      </c>
      <c r="H96" s="32" t="n">
        <v>3095.4</v>
      </c>
      <c r="I96" s="32" t="n">
        <v>368.7</v>
      </c>
      <c r="J96" s="32" t="n">
        <v>3.58</v>
      </c>
      <c r="K96" s="32" t="n">
        <v>650855</v>
      </c>
      <c r="L96" s="31" t="n">
        <v>98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86.26000000000001</v>
      </c>
      <c r="P96" s="32" t="n">
        <v>74.54000000000001</v>
      </c>
      <c r="Q96" s="32" t="inlineStr"/>
      <c r="R96" s="31" t="inlineStr">
        <is>
          <t>Earnings / Momentum Support</t>
        </is>
      </c>
      <c r="S96" s="31" t="inlineStr">
        <is>
          <t>Nifty Pharma</t>
        </is>
      </c>
      <c r="T96" s="32" t="n">
        <v>20.77</v>
      </c>
      <c r="U96" s="32" t="n">
        <v>248.8</v>
      </c>
      <c r="V96" s="32" t="n">
        <v>188.82</v>
      </c>
      <c r="W96" s="32" t="n">
        <v>60.54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IF(B97=0,"",RANK(B97,$B$2:$B$358,0))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HNDFDS</t>
        </is>
      </c>
      <c r="D97" s="31" t="inlineStr">
        <is>
          <t>Hindustan Foods Ltd</t>
        </is>
      </c>
      <c r="E97" s="31" t="inlineStr">
        <is>
          <t>fmcg</t>
        </is>
      </c>
      <c r="F97" s="31" t="inlineStr">
        <is>
          <t>diversified - large</t>
        </is>
      </c>
      <c r="G97" s="31" t="inlineStr">
        <is>
          <t>midcap</t>
        </is>
      </c>
      <c r="H97" s="32" t="n">
        <v>7452.11</v>
      </c>
      <c r="I97" s="32" t="n">
        <v>628.9</v>
      </c>
      <c r="J97" s="32" t="n">
        <v>2.25</v>
      </c>
      <c r="K97" s="32" t="n">
        <v>100524</v>
      </c>
      <c r="L97" s="31" t="n">
        <v>16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64.31999999999999</v>
      </c>
      <c r="P97" s="32" t="n">
        <v>42.2</v>
      </c>
      <c r="Q97" s="32" t="inlineStr"/>
      <c r="R97" s="31" t="inlineStr">
        <is>
          <t>Earnings / Momentum Support</t>
        </is>
      </c>
      <c r="S97" s="31" t="inlineStr">
        <is>
          <t>Nifty FMCG</t>
        </is>
      </c>
      <c r="T97" s="32" t="n">
        <v>-13.73</v>
      </c>
      <c r="U97" s="32" t="n">
        <v>-1.7</v>
      </c>
      <c r="V97" s="32" t="n">
        <v>13.95</v>
      </c>
      <c r="W97" s="32" t="n">
        <v>1.82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IF(B98=0,"",RANK(B98,$B$2:$B$358,0))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GRANULES</t>
        </is>
      </c>
      <c r="D98" s="31" t="inlineStr">
        <is>
          <t>Granules India Limited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largecap</t>
        </is>
      </c>
      <c r="H98" s="32" t="n">
        <v>21020.61</v>
      </c>
      <c r="I98" s="32" t="n">
        <v>867.3</v>
      </c>
      <c r="J98" s="32" t="n">
        <v>2.24</v>
      </c>
      <c r="K98" s="32" t="n">
        <v>1033026</v>
      </c>
      <c r="L98" s="31" t="n">
        <v>57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63.75</v>
      </c>
      <c r="P98" s="32" t="n">
        <v>38.85</v>
      </c>
      <c r="Q98" s="32" t="inlineStr"/>
      <c r="R98" s="31" t="inlineStr">
        <is>
          <t>Earnings / Momentum Support</t>
        </is>
      </c>
      <c r="S98" s="31" t="inlineStr">
        <is>
          <t>Nifty Pharma</t>
        </is>
      </c>
      <c r="T98" s="32" t="n">
        <v>20.77</v>
      </c>
      <c r="U98" s="32" t="n">
        <v>66.22</v>
      </c>
      <c r="V98" s="32" t="n">
        <v>37.64</v>
      </c>
      <c r="W98" s="32" t="n">
        <v>12.94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IF(B99=0,"",RANK(B99,$B$2:$B$358,0))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BAFNAPH</t>
        </is>
      </c>
      <c r="D99" s="31" t="inlineStr">
        <is>
          <t>Bafna Pharmaceuticals Ltd</t>
        </is>
      </c>
      <c r="E99" s="31" t="inlineStr">
        <is>
          <t>healthcare</t>
        </is>
      </c>
      <c r="F99" s="31" t="inlineStr">
        <is>
          <t>pharmaceuticals - indian - formulations</t>
        </is>
      </c>
      <c r="G99" s="31" t="inlineStr">
        <is>
          <t>smallcap</t>
        </is>
      </c>
      <c r="H99" s="32" t="n">
        <v>699.87</v>
      </c>
      <c r="I99" s="32" t="n">
        <v>301.75</v>
      </c>
      <c r="J99" s="32" t="n">
        <v>1.99</v>
      </c>
      <c r="K99" s="32" t="n">
        <v>3079</v>
      </c>
      <c r="L99" s="31" t="n">
        <v>96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71.59999999999999</v>
      </c>
      <c r="P99" s="32" t="n">
        <v>59.08</v>
      </c>
      <c r="Q99" s="32" t="inlineStr"/>
      <c r="R99" s="31" t="inlineStr">
        <is>
          <t>Earnings / Momentum Support</t>
        </is>
      </c>
      <c r="S99" s="31" t="inlineStr">
        <is>
          <t>Nifty Pharma</t>
        </is>
      </c>
      <c r="T99" s="32" t="n">
        <v>20.77</v>
      </c>
      <c r="U99" s="32" t="n">
        <v>193.74</v>
      </c>
      <c r="V99" s="32" t="n">
        <v>143.22</v>
      </c>
      <c r="W99" s="32" t="n">
        <v>42.64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IF(B100=0,"",RANK(B100,$B$2:$B$358,0))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LAURUSLABS</t>
        </is>
      </c>
      <c r="D100" s="31" t="inlineStr">
        <is>
          <t>Laurus Labs Limited</t>
        </is>
      </c>
      <c r="E100" s="31" t="inlineStr">
        <is>
          <t>healthcare</t>
        </is>
      </c>
      <c r="F100" s="31" t="inlineStr">
        <is>
          <t>pharmaceuticals - indian - bulk drugs &amp; formln</t>
        </is>
      </c>
      <c r="G100" s="31" t="inlineStr">
        <is>
          <t>largecap</t>
        </is>
      </c>
      <c r="H100" s="32" t="n">
        <v>99405.92</v>
      </c>
      <c r="I100" s="32" t="n">
        <v>1876.7</v>
      </c>
      <c r="J100" s="32" t="n">
        <v>1.99</v>
      </c>
      <c r="K100" s="32" t="n">
        <v>1148664</v>
      </c>
      <c r="L100" s="31" t="n">
        <v>80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73.56999999999999</v>
      </c>
      <c r="P100" s="32" t="n">
        <v>71.15000000000001</v>
      </c>
      <c r="Q100" s="32" t="inlineStr"/>
      <c r="R100" s="31" t="inlineStr">
        <is>
          <t>Earnings / Momentum Support</t>
        </is>
      </c>
      <c r="S100" s="31" t="inlineStr">
        <is>
          <t>Nifty Pharma</t>
        </is>
      </c>
      <c r="T100" s="32" t="n">
        <v>20.77</v>
      </c>
      <c r="U100" s="32" t="n">
        <v>109.32</v>
      </c>
      <c r="V100" s="32" t="n">
        <v>73.31999999999999</v>
      </c>
      <c r="W100" s="32" t="n">
        <v>22.42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IF(B101=0,"",RANK(B101,$B$2:$B$358,0))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BANARISUG</t>
        </is>
      </c>
      <c r="D101" s="31" t="inlineStr">
        <is>
          <t>Bannari Amman Sugars Limited</t>
        </is>
      </c>
      <c r="E101" s="31" t="inlineStr">
        <is>
          <t>fmcg</t>
        </is>
      </c>
      <c r="F101" s="31" t="inlineStr">
        <is>
          <t>sugar</t>
        </is>
      </c>
      <c r="G101" s="31" t="inlineStr">
        <is>
          <t>smallcap</t>
        </is>
      </c>
      <c r="H101" s="32" t="n">
        <v>4769.22</v>
      </c>
      <c r="I101" s="32" t="n">
        <v>3832.3</v>
      </c>
      <c r="J101" s="32" t="n">
        <v>0.76</v>
      </c>
      <c r="K101" s="32" t="n">
        <v>2346</v>
      </c>
      <c r="L101" s="31" t="n">
        <v>6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58.35</v>
      </c>
      <c r="P101" s="32" t="n">
        <v>30.16</v>
      </c>
      <c r="Q101" s="32" t="inlineStr"/>
      <c r="R101" s="31" t="inlineStr">
        <is>
          <t>Earnings / Momentum Support</t>
        </is>
      </c>
      <c r="S101" s="31" t="inlineStr">
        <is>
          <t>Nifty FMCG</t>
        </is>
      </c>
      <c r="T101" s="32" t="n">
        <v>-13.73</v>
      </c>
      <c r="U101" s="32" t="n">
        <v>-8.01</v>
      </c>
      <c r="V101" s="32" t="n">
        <v>6.63</v>
      </c>
      <c r="W101" s="32" t="n">
        <v>-2.32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B2C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IF(B102=0,"",RANK(B102,$B$2:$B$358,0))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MAWANASUG</t>
        </is>
      </c>
      <c r="D102" s="31" t="inlineStr">
        <is>
          <t>Mawana Sugars Limited</t>
        </is>
      </c>
      <c r="E102" s="31" t="inlineStr">
        <is>
          <t>fmcg</t>
        </is>
      </c>
      <c r="F102" s="31" t="inlineStr">
        <is>
          <t>sugar</t>
        </is>
      </c>
      <c r="G102" s="31" t="inlineStr">
        <is>
          <t>smallcap</t>
        </is>
      </c>
      <c r="H102" s="32" t="n">
        <v>568.88</v>
      </c>
      <c r="I102" s="32" t="n">
        <v>145.11</v>
      </c>
      <c r="J102" s="32" t="n">
        <v>-0.22</v>
      </c>
      <c r="K102" s="32" t="n">
        <v>304058</v>
      </c>
      <c r="L102" s="31" t="n">
        <v>38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74.06999999999999</v>
      </c>
      <c r="P102" s="32" t="n">
        <v>42.52</v>
      </c>
      <c r="Q102" s="32" t="inlineStr"/>
      <c r="R102" s="31" t="inlineStr">
        <is>
          <t>Earnings / Momentum Support</t>
        </is>
      </c>
      <c r="S102" s="31" t="inlineStr">
        <is>
          <t>Nifty FMCG</t>
        </is>
      </c>
      <c r="T102" s="32" t="n">
        <v>-13.73</v>
      </c>
      <c r="U102" s="32" t="n">
        <v>20.77</v>
      </c>
      <c r="V102" s="32" t="n">
        <v>39.99</v>
      </c>
      <c r="W102" s="32" t="n">
        <v>7.14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B2C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IF(B103=0,"",RANK(B103,$B$2:$B$358,0))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NOVARTIND</t>
        </is>
      </c>
      <c r="D103" s="31" t="inlineStr">
        <is>
          <t>Novartis India Ltd</t>
        </is>
      </c>
      <c r="E103" s="31" t="inlineStr">
        <is>
          <t>healthcare</t>
        </is>
      </c>
      <c r="F103" s="31" t="inlineStr">
        <is>
          <t>pharmaceuticals - multinational</t>
        </is>
      </c>
      <c r="G103" s="31" t="inlineStr">
        <is>
          <t>smallcap</t>
        </is>
      </c>
      <c r="H103" s="32" t="n">
        <v>4065.83</v>
      </c>
      <c r="I103" s="32" t="n">
        <v>1639.6</v>
      </c>
      <c r="J103" s="32" t="n">
        <v>-0.43</v>
      </c>
      <c r="K103" s="32" t="n">
        <v>73338</v>
      </c>
      <c r="L103" s="31" t="n">
        <v>69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65.23999999999999</v>
      </c>
      <c r="P103" s="32" t="n">
        <v>63.72</v>
      </c>
      <c r="Q103" s="32" t="inlineStr"/>
      <c r="R103" s="31" t="inlineStr">
        <is>
          <t>Volume Spike / Accumulation</t>
        </is>
      </c>
      <c r="S103" s="31" t="inlineStr">
        <is>
          <t>Nifty Pharma</t>
        </is>
      </c>
      <c r="T103" s="32" t="n">
        <v>20.77</v>
      </c>
      <c r="U103" s="32" t="n">
        <v>75.58</v>
      </c>
      <c r="V103" s="32" t="n">
        <v>45.39</v>
      </c>
      <c r="W103" s="32" t="n">
        <v>17.55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Yes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Between 12 to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IF(B104=0,"",RANK(B104,$B$2:$B$358,0))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AVTNPL</t>
        </is>
      </c>
      <c r="D104" s="31" t="inlineStr">
        <is>
          <t>Avt Natural Products Limited</t>
        </is>
      </c>
      <c r="E104" s="31" t="inlineStr">
        <is>
          <t>fmcg</t>
        </is>
      </c>
      <c r="F104" s="31" t="inlineStr">
        <is>
          <t>solvent extraction</t>
        </is>
      </c>
      <c r="G104" s="31" t="inlineStr">
        <is>
          <t>smallcap</t>
        </is>
      </c>
      <c r="H104" s="32" t="n">
        <v>1386.09</v>
      </c>
      <c r="I104" s="32" t="n">
        <v>90.09999999999999</v>
      </c>
      <c r="J104" s="32" t="n">
        <v>-1.01</v>
      </c>
      <c r="K104" s="32" t="n">
        <v>126113</v>
      </c>
      <c r="L104" s="31" t="n">
        <v>14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75.76000000000001</v>
      </c>
      <c r="P104" s="32" t="n">
        <v>42.71</v>
      </c>
      <c r="Q104" s="32" t="inlineStr"/>
      <c r="R104" s="31" t="inlineStr">
        <is>
          <t>Earnings / Momentum Support</t>
        </is>
      </c>
      <c r="S104" s="31" t="inlineStr">
        <is>
          <t>Nifty FMCG</t>
        </is>
      </c>
      <c r="T104" s="32" t="n">
        <v>-13.73</v>
      </c>
      <c r="U104" s="32" t="n">
        <v>2.14</v>
      </c>
      <c r="V104" s="32" t="n">
        <v>18.39</v>
      </c>
      <c r="W104" s="32" t="n">
        <v>1.38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B2C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IF(B105=0,"",RANK(B105,$B$2:$B$358,0))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SHILPAMED</t>
        </is>
      </c>
      <c r="D105" s="31" t="inlineStr">
        <is>
          <t>Shilpa Medicare Limited</t>
        </is>
      </c>
      <c r="E105" s="31" t="inlineStr">
        <is>
          <t>healthcare</t>
        </is>
      </c>
      <c r="F105" s="31" t="inlineStr">
        <is>
          <t>pharmaceuticals - indian - formulations</t>
        </is>
      </c>
      <c r="G105" s="31" t="inlineStr">
        <is>
          <t>midcap</t>
        </is>
      </c>
      <c r="H105" s="32" t="n">
        <v>18857.02</v>
      </c>
      <c r="I105" s="32" t="n">
        <v>939.5</v>
      </c>
      <c r="J105" s="32" t="n">
        <v>-2.56</v>
      </c>
      <c r="K105" s="32" t="n">
        <v>1088314</v>
      </c>
      <c r="L105" s="31" t="n">
        <v>95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91.47</v>
      </c>
      <c r="P105" s="32" t="n">
        <v>79.20999999999999</v>
      </c>
      <c r="Q105" s="32" t="inlineStr"/>
      <c r="R105" s="31" t="inlineStr">
        <is>
          <t>Earnings / Momentum Support</t>
        </is>
      </c>
      <c r="S105" s="31" t="inlineStr">
        <is>
          <t>Nifty Pharma</t>
        </is>
      </c>
      <c r="T105" s="32" t="n">
        <v>20.77</v>
      </c>
      <c r="U105" s="32" t="n">
        <v>128.7</v>
      </c>
      <c r="V105" s="32" t="n">
        <v>89.37</v>
      </c>
      <c r="W105" s="32" t="n">
        <v>39.84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IF(B106=0,"",RANK(B106,$B$2:$B$358,0))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PCJEWELLER</t>
        </is>
      </c>
      <c r="D106" s="33" t="inlineStr">
        <is>
          <t>Pc Jeweller Limited</t>
        </is>
      </c>
      <c r="E106" s="31" t="inlineStr">
        <is>
          <t>consumer discretionary</t>
        </is>
      </c>
      <c r="F106" s="31" t="inlineStr">
        <is>
          <t>diamond cutting / jewellery</t>
        </is>
      </c>
      <c r="G106" s="31" t="inlineStr">
        <is>
          <t>midcap</t>
        </is>
      </c>
      <c r="H106" s="32" t="n">
        <v>11516.69</v>
      </c>
      <c r="I106" s="32" t="n">
        <v>13.93</v>
      </c>
      <c r="J106" s="32" t="n">
        <v>17.45</v>
      </c>
      <c r="K106" s="32" t="n">
        <v>2196523618</v>
      </c>
      <c r="L106" s="31" t="n">
        <v>29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65.13</v>
      </c>
      <c r="P106" s="32" t="n">
        <v>21.75</v>
      </c>
      <c r="Q106" s="32" t="inlineStr"/>
      <c r="R106" s="31" t="inlineStr">
        <is>
          <t>Earnings / Momentum Support</t>
        </is>
      </c>
      <c r="S106" s="31" t="inlineStr">
        <is>
          <t>Nifty 50</t>
        </is>
      </c>
      <c r="T106" s="32" t="n">
        <v>-3.41</v>
      </c>
      <c r="U106" s="32" t="n">
        <v>-10.49</v>
      </c>
      <c r="V106" s="32" t="n">
        <v>-7.33</v>
      </c>
      <c r="W106" s="32" t="n">
        <v>5.03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IF(B107=0,"",RANK(B107,$B$2:$B$358,0))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CARTRADE</t>
        </is>
      </c>
      <c r="D107" s="31" t="inlineStr">
        <is>
          <t>Cartrade Tech Ltd</t>
        </is>
      </c>
      <c r="E107" s="31" t="inlineStr">
        <is>
          <t>consumer discretionary</t>
        </is>
      </c>
      <c r="F107" s="31" t="inlineStr">
        <is>
          <t>miscellaneous</t>
        </is>
      </c>
      <c r="G107" s="31" t="inlineStr">
        <is>
          <t>midcap</t>
        </is>
      </c>
      <c r="H107" s="32" t="n">
        <v>14407.87</v>
      </c>
      <c r="I107" s="32" t="n">
        <v>3179.9</v>
      </c>
      <c r="J107" s="32" t="n">
        <v>5.99</v>
      </c>
      <c r="K107" s="32" t="n">
        <v>1233314</v>
      </c>
      <c r="L107" s="31" t="n">
        <v>70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67.2</v>
      </c>
      <c r="P107" s="32" t="n">
        <v>48.62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-3.41</v>
      </c>
      <c r="U107" s="32" t="n">
        <v>14.93</v>
      </c>
      <c r="V107" s="32" t="n">
        <v>18.99</v>
      </c>
      <c r="W107" s="32" t="n">
        <v>18.08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IF(B108=0,"",RANK(B108,$B$2:$B$358,0))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WSTCSTPAPR</t>
        </is>
      </c>
      <c r="D108" s="33" t="inlineStr">
        <is>
          <t>West Coast Paper Mills Limited</t>
        </is>
      </c>
      <c r="E108" s="31" t="inlineStr">
        <is>
          <t>building materials</t>
        </is>
      </c>
      <c r="F108" s="31" t="inlineStr">
        <is>
          <t>paper</t>
        </is>
      </c>
      <c r="G108" s="31" t="inlineStr">
        <is>
          <t>smallcap</t>
        </is>
      </c>
      <c r="H108" s="32" t="n">
        <v>4294.83</v>
      </c>
      <c r="I108" s="32" t="n">
        <v>687.5</v>
      </c>
      <c r="J108" s="32" t="n">
        <v>5.73</v>
      </c>
      <c r="K108" s="32" t="n">
        <v>605527</v>
      </c>
      <c r="L108" s="31" t="n">
        <v>12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70.84999999999999</v>
      </c>
      <c r="P108" s="32" t="n">
        <v>50.84</v>
      </c>
      <c r="Q108" s="32" t="inlineStr"/>
      <c r="R108" s="31" t="inlineStr">
        <is>
          <t>Earnings / Momentum Support</t>
        </is>
      </c>
      <c r="S108" s="31" t="inlineStr">
        <is>
          <t>Nifty Infra</t>
        </is>
      </c>
      <c r="T108" s="32" t="n">
        <v>1.74</v>
      </c>
      <c r="U108" s="32" t="n">
        <v>-6.14</v>
      </c>
      <c r="V108" s="32" t="n">
        <v>-7.75</v>
      </c>
      <c r="W108" s="32" t="n">
        <v>0.65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IF(B109=0,"",RANK(B109,$B$2:$B$358,0))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MOLDTECH</t>
        </is>
      </c>
      <c r="D109" s="33" t="inlineStr">
        <is>
          <t>Mold-tek Technologies Limited</t>
        </is>
      </c>
      <c r="E109" s="31" t="inlineStr">
        <is>
          <t>realty</t>
        </is>
      </c>
      <c r="F109" s="31" t="inlineStr">
        <is>
          <t>engineering - turnkey services</t>
        </is>
      </c>
      <c r="G109" s="31" t="inlineStr">
        <is>
          <t>smallcap</t>
        </is>
      </c>
      <c r="H109" s="32" t="n">
        <v>601.91</v>
      </c>
      <c r="I109" s="32" t="n">
        <v>219.18</v>
      </c>
      <c r="J109" s="32" t="n">
        <v>4.89</v>
      </c>
      <c r="K109" s="32" t="n">
        <v>131595</v>
      </c>
      <c r="L109" s="31" t="n">
        <v>4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74.66</v>
      </c>
      <c r="P109" s="32" t="n">
        <v>40.97</v>
      </c>
      <c r="Q109" s="32" t="inlineStr"/>
      <c r="R109" s="31" t="inlineStr">
        <is>
          <t>Earnings / Momentum Support</t>
        </is>
      </c>
      <c r="S109" s="31" t="inlineStr">
        <is>
          <t>Nifty Realty</t>
        </is>
      </c>
      <c r="T109" s="32" t="n">
        <v>-8.119999999999999</v>
      </c>
      <c r="U109" s="32" t="n">
        <v>-19.67</v>
      </c>
      <c r="V109" s="32" t="n">
        <v>-12.57</v>
      </c>
      <c r="W109" s="32" t="n">
        <v>-4.45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IF(B110=0,"",RANK(B110,$B$2:$B$358,0))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IDEA</t>
        </is>
      </c>
      <c r="D110" s="31" t="inlineStr">
        <is>
          <t>Vodafone Idea Ltd</t>
        </is>
      </c>
      <c r="E110" s="31" t="inlineStr">
        <is>
          <t>telecom-service</t>
        </is>
      </c>
      <c r="F110" s="31" t="inlineStr">
        <is>
          <t>telecommunications - service provider</t>
        </is>
      </c>
      <c r="G110" s="31" t="inlineStr">
        <is>
          <t>largecap</t>
        </is>
      </c>
      <c r="H110" s="32" t="n">
        <v>162731.24</v>
      </c>
      <c r="I110" s="32" t="n">
        <v>15.6</v>
      </c>
      <c r="J110" s="32" t="n">
        <v>3.86</v>
      </c>
      <c r="K110" s="32" t="n">
        <v>695355022</v>
      </c>
      <c r="L110" s="31" t="n">
        <v>72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66.29000000000001</v>
      </c>
      <c r="P110" s="32" t="n">
        <v>33.7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-3.41</v>
      </c>
      <c r="U110" s="32" t="n">
        <v>107.75</v>
      </c>
      <c r="V110" s="32" t="n">
        <v>115.08</v>
      </c>
      <c r="W110" s="32" t="n">
        <v>18.41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Oligopoly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IF(B111=0,"",RANK(B111,$B$2:$B$358,0))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JKPAPER</t>
        </is>
      </c>
      <c r="D111" s="33" t="inlineStr">
        <is>
          <t>Jk Paper Limited</t>
        </is>
      </c>
      <c r="E111" s="31" t="inlineStr">
        <is>
          <t>building materials</t>
        </is>
      </c>
      <c r="F111" s="31" t="inlineStr">
        <is>
          <t>paper</t>
        </is>
      </c>
      <c r="G111" s="31" t="inlineStr">
        <is>
          <t>midcap</t>
        </is>
      </c>
      <c r="H111" s="32" t="n">
        <v>7357.92</v>
      </c>
      <c r="I111" s="32" t="n">
        <v>420.05</v>
      </c>
      <c r="J111" s="32" t="n">
        <v>3.51</v>
      </c>
      <c r="K111" s="32" t="n">
        <v>2617975</v>
      </c>
      <c r="L111" s="31" t="n">
        <v>10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63.95</v>
      </c>
      <c r="P111" s="32" t="n">
        <v>31.84</v>
      </c>
      <c r="Q111" s="32" t="inlineStr"/>
      <c r="R111" s="31" t="inlineStr">
        <is>
          <t>Earnings / Momentum Support</t>
        </is>
      </c>
      <c r="S111" s="31" t="inlineStr">
        <is>
          <t>Nifty Infra</t>
        </is>
      </c>
      <c r="T111" s="32" t="n">
        <v>1.74</v>
      </c>
      <c r="U111" s="32" t="n">
        <v>-4.04</v>
      </c>
      <c r="V111" s="32" t="n">
        <v>-5.68</v>
      </c>
      <c r="W111" s="32" t="n">
        <v>-0.71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IF(B112=0,"",RANK(B112,$B$2:$B$358,0))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LOTUSDEV</t>
        </is>
      </c>
      <c r="D112" s="33" t="inlineStr">
        <is>
          <t>Sri Lotus Developers &amp; Realty Ltd</t>
        </is>
      </c>
      <c r="E112" s="31" t="inlineStr">
        <is>
          <t>realty</t>
        </is>
      </c>
      <c r="F112" s="31" t="inlineStr">
        <is>
          <t>construction</t>
        </is>
      </c>
      <c r="G112" s="31" t="inlineStr">
        <is>
          <t>midcap</t>
        </is>
      </c>
      <c r="H112" s="32" t="n">
        <v>9444.59</v>
      </c>
      <c r="I112" s="32" t="n">
        <v>199.71</v>
      </c>
      <c r="J112" s="32" t="n">
        <v>3.34</v>
      </c>
      <c r="K112" s="32" t="n">
        <v>1307102</v>
      </c>
      <c r="L112" s="31" t="n">
        <v>1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61.03</v>
      </c>
      <c r="P112" s="32" t="n">
        <v>20.96</v>
      </c>
      <c r="Q112" s="32" t="inlineStr"/>
      <c r="R112" s="31" t="inlineStr">
        <is>
          <t>Earnings / Momentum Support</t>
        </is>
      </c>
      <c r="S112" s="31" t="inlineStr">
        <is>
          <t>Nifty Realty</t>
        </is>
      </c>
      <c r="T112" s="32" t="n">
        <v>5.1</v>
      </c>
      <c r="U112" s="32" t="n">
        <v>-33.28</v>
      </c>
      <c r="V112" s="32" t="n">
        <v>-36.52</v>
      </c>
      <c r="W112" s="32" t="n">
        <v>-7.53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IF(B113=0,"",RANK(B113,$B$2:$B$358,0))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AZAD</t>
        </is>
      </c>
      <c r="D113" s="31" t="inlineStr">
        <is>
          <t>Azad Engineering Ltd</t>
        </is>
      </c>
      <c r="E113" s="31" t="inlineStr">
        <is>
          <t>aerospace &amp; defence</t>
        </is>
      </c>
      <c r="F113" s="31" t="inlineStr">
        <is>
          <t>engineering</t>
        </is>
      </c>
      <c r="G113" s="31" t="inlineStr">
        <is>
          <t>midcap</t>
        </is>
      </c>
      <c r="H113" s="32" t="n">
        <v>17936.29</v>
      </c>
      <c r="I113" s="32" t="n">
        <v>2868</v>
      </c>
      <c r="J113" s="32" t="n">
        <v>3.27</v>
      </c>
      <c r="K113" s="32" t="n">
        <v>493178</v>
      </c>
      <c r="L113" s="31" t="n">
        <v>71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67.68000000000001</v>
      </c>
      <c r="P113" s="32" t="n">
        <v>40.97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-3.41</v>
      </c>
      <c r="U113" s="32" t="n">
        <v>76.08</v>
      </c>
      <c r="V113" s="32" t="n">
        <v>82.29000000000001</v>
      </c>
      <c r="W113" s="32" t="n">
        <v>18.16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IF(B114=0,"",RANK(B114,$B$2:$B$358,0))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SANSERA</t>
        </is>
      </c>
      <c r="D114" s="31" t="inlineStr">
        <is>
          <t>Sansera Engineering Ltd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largecap</t>
        </is>
      </c>
      <c r="H114" s="32" t="n">
        <v>23604.77</v>
      </c>
      <c r="I114" s="32" t="n">
        <v>3896.3</v>
      </c>
      <c r="J114" s="32" t="n">
        <v>3.01</v>
      </c>
      <c r="K114" s="32" t="n">
        <v>134580</v>
      </c>
      <c r="L114" s="31" t="n">
        <v>87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76.19</v>
      </c>
      <c r="P114" s="32" t="n">
        <v>63.25</v>
      </c>
      <c r="Q114" s="32" t="inlineStr"/>
      <c r="R114" s="31" t="inlineStr">
        <is>
          <t>Earnings / Momentum Support</t>
        </is>
      </c>
      <c r="S114" s="31" t="inlineStr">
        <is>
          <t>Nifty Auto</t>
        </is>
      </c>
      <c r="T114" s="32" t="n">
        <v>13.41</v>
      </c>
      <c r="U114" s="32" t="n">
        <v>137.65</v>
      </c>
      <c r="V114" s="32" t="n">
        <v>109.54</v>
      </c>
      <c r="W114" s="32" t="n">
        <v>26.81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IF(B115=0,"",RANK(B115,$B$2:$B$358,0))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3" t="inlineStr">
        <is>
          <t>SSWL</t>
        </is>
      </c>
      <c r="D115" s="33" t="inlineStr">
        <is>
          <t>Steel Strips Wheels Limited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midcap</t>
        </is>
      </c>
      <c r="H115" s="32" t="n">
        <v>5687.57</v>
      </c>
      <c r="I115" s="32" t="n">
        <v>371.3</v>
      </c>
      <c r="J115" s="32" t="n">
        <v>2.61</v>
      </c>
      <c r="K115" s="32" t="n">
        <v>2780026</v>
      </c>
      <c r="L115" s="31" t="n">
        <v>33</v>
      </c>
      <c r="M115" s="31" t="inlineStr">
        <is>
          <t>Underperforming</t>
        </is>
      </c>
      <c r="N115" s="32">
        <f>IF(M115="Underperforming",-5,IF(L115&gt;=95,15,IF(L115&gt;=90,10,IF(L115&gt;=80,5,0))))</f>
        <v/>
      </c>
      <c r="O115" s="32" t="n">
        <v>78.27</v>
      </c>
      <c r="P115" s="32" t="n">
        <v>41.7</v>
      </c>
      <c r="Q115" s="32" t="inlineStr"/>
      <c r="R115" s="31" t="inlineStr">
        <is>
          <t>Earnings / Momentum Support</t>
        </is>
      </c>
      <c r="S115" s="31" t="inlineStr">
        <is>
          <t>Nifty Auto</t>
        </is>
      </c>
      <c r="T115" s="32" t="n">
        <v>13.41</v>
      </c>
      <c r="U115" s="32" t="n">
        <v>4.51</v>
      </c>
      <c r="V115" s="32" t="n">
        <v>-7.85</v>
      </c>
      <c r="W115" s="32" t="n">
        <v>5.81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IF(B116=0,"",RANK(B116,$B$2:$B$358,0))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SKIPPER</t>
        </is>
      </c>
      <c r="D116" s="31" t="inlineStr">
        <is>
          <t>Skipper Limited</t>
        </is>
      </c>
      <c r="E116" s="31" t="inlineStr">
        <is>
          <t>industrials</t>
        </is>
      </c>
      <c r="F116" s="31" t="inlineStr">
        <is>
          <t>engineering</t>
        </is>
      </c>
      <c r="G116" s="31" t="inlineStr">
        <is>
          <t>midcap</t>
        </is>
      </c>
      <c r="H116" s="32" t="n">
        <v>7218.95</v>
      </c>
      <c r="I116" s="32" t="n">
        <v>604.4</v>
      </c>
      <c r="J116" s="32" t="n">
        <v>2.25</v>
      </c>
      <c r="K116" s="32" t="n">
        <v>4277657</v>
      </c>
      <c r="L116" s="31" t="n">
        <v>33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67.51000000000001</v>
      </c>
      <c r="P116" s="32" t="n">
        <v>36.45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-3.41</v>
      </c>
      <c r="U116" s="32" t="n">
        <v>4.02</v>
      </c>
      <c r="V116" s="32" t="n">
        <v>7.69</v>
      </c>
      <c r="W116" s="32" t="n">
        <v>5.87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IF(B117=0,"",RANK(B117,$B$2:$B$358,0))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WHEELS</t>
        </is>
      </c>
      <c r="D117" s="31" t="inlineStr">
        <is>
          <t>Wheels India Limited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smallcap</t>
        </is>
      </c>
      <c r="H117" s="32" t="n">
        <v>4214.45</v>
      </c>
      <c r="I117" s="32" t="n">
        <v>1755.4</v>
      </c>
      <c r="J117" s="32" t="n">
        <v>1.77</v>
      </c>
      <c r="K117" s="32" t="n">
        <v>341864</v>
      </c>
      <c r="L117" s="31" t="n">
        <v>80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68.43000000000001</v>
      </c>
      <c r="P117" s="32" t="n">
        <v>54.61</v>
      </c>
      <c r="Q117" s="32" t="inlineStr"/>
      <c r="R117" s="31" t="inlineStr">
        <is>
          <t>Earnings / Momentum Support</t>
        </is>
      </c>
      <c r="S117" s="31" t="inlineStr">
        <is>
          <t>Nifty Auto</t>
        </is>
      </c>
      <c r="T117" s="32" t="n">
        <v>13.41</v>
      </c>
      <c r="U117" s="32" t="n">
        <v>83.06</v>
      </c>
      <c r="V117" s="32" t="n">
        <v>61.41</v>
      </c>
      <c r="W117" s="32" t="n">
        <v>22.54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IF(B118=0,"",RANK(B118,$B$2:$B$358,0))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MAZDA</t>
        </is>
      </c>
      <c r="D118" s="31" t="inlineStr">
        <is>
          <t>Mazda Limited</t>
        </is>
      </c>
      <c r="E118" s="31" t="inlineStr">
        <is>
          <t>industrials</t>
        </is>
      </c>
      <c r="F118" s="31" t="inlineStr">
        <is>
          <t>engineering</t>
        </is>
      </c>
      <c r="G118" s="31" t="inlineStr">
        <is>
          <t>smallcap</t>
        </is>
      </c>
      <c r="H118" s="32" t="n">
        <v>540.6799999999999</v>
      </c>
      <c r="I118" s="32" t="n">
        <v>274.2</v>
      </c>
      <c r="J118" s="32" t="n">
        <v>1.56</v>
      </c>
      <c r="K118" s="32" t="n">
        <v>36482</v>
      </c>
      <c r="L118" s="31" t="n">
        <v>30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68.62</v>
      </c>
      <c r="P118" s="32" t="n">
        <v>30.67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-3.41</v>
      </c>
      <c r="U118" s="32" t="n">
        <v>-2.55</v>
      </c>
      <c r="V118" s="32" t="n">
        <v>0.88</v>
      </c>
      <c r="W118" s="32" t="n">
        <v>5.13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IF(B119=0,"",RANK(B119,$B$2:$B$358,0))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AYMSYNTEX</t>
        </is>
      </c>
      <c r="D119" s="31" t="inlineStr">
        <is>
          <t>Aym Syntex Limited</t>
        </is>
      </c>
      <c r="E119" s="31" t="inlineStr">
        <is>
          <t>textiles</t>
        </is>
      </c>
      <c r="F119" s="31" t="inlineStr">
        <is>
          <t>textiles - processing</t>
        </is>
      </c>
      <c r="G119" s="31" t="inlineStr">
        <is>
          <t>smallcap</t>
        </is>
      </c>
      <c r="H119" s="32" t="n">
        <v>1824.87</v>
      </c>
      <c r="I119" s="32" t="n">
        <v>315.2</v>
      </c>
      <c r="J119" s="32" t="n">
        <v>1.45</v>
      </c>
      <c r="K119" s="32" t="n">
        <v>78696</v>
      </c>
      <c r="L119" s="31" t="n">
        <v>75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69.51000000000001</v>
      </c>
      <c r="P119" s="32" t="n">
        <v>43.78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-3.41</v>
      </c>
      <c r="U119" s="32" t="n">
        <v>64.26000000000001</v>
      </c>
      <c r="V119" s="32" t="n">
        <v>70.06</v>
      </c>
      <c r="W119" s="32" t="n">
        <v>20.22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IF(B120=0,"",RANK(B120,$B$2:$B$358,0))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NAHARINDUS</t>
        </is>
      </c>
      <c r="D120" s="31" t="inlineStr">
        <is>
          <t>Nahar Industrial Enterprises Limited</t>
        </is>
      </c>
      <c r="E120" s="31" t="inlineStr">
        <is>
          <t>textiles</t>
        </is>
      </c>
      <c r="F120" s="31" t="inlineStr">
        <is>
          <t>textiles - cotton/blended</t>
        </is>
      </c>
      <c r="G120" s="31" t="inlineStr">
        <is>
          <t>smallcap</t>
        </is>
      </c>
      <c r="H120" s="32" t="n">
        <v>594.64</v>
      </c>
      <c r="I120" s="32" t="n">
        <v>139.05</v>
      </c>
      <c r="J120" s="32" t="n">
        <v>1.03</v>
      </c>
      <c r="K120" s="32" t="n">
        <v>36943</v>
      </c>
      <c r="L120" s="31" t="n">
        <v>42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67.78</v>
      </c>
      <c r="P120" s="32" t="n">
        <v>30.6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-3.41</v>
      </c>
      <c r="U120" s="32" t="n">
        <v>21.73</v>
      </c>
      <c r="V120" s="32" t="n">
        <v>26.03</v>
      </c>
      <c r="W120" s="32" t="n">
        <v>8.109999999999999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IF(B121=0,"",RANK(B121,$B$2:$B$358,0))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VIDHIING</t>
        </is>
      </c>
      <c r="D121" s="33" t="inlineStr">
        <is>
          <t>Vidhi Specialty Food Ingredients</t>
        </is>
      </c>
      <c r="E121" s="31" t="inlineStr">
        <is>
          <t>chemicals</t>
        </is>
      </c>
      <c r="F121" s="31" t="inlineStr">
        <is>
          <t>dyes and pigments</t>
        </is>
      </c>
      <c r="G121" s="31" t="inlineStr">
        <is>
          <t>smallcap</t>
        </is>
      </c>
      <c r="H121" s="32" t="n">
        <v>1736.84</v>
      </c>
      <c r="I121" s="32" t="n">
        <v>349</v>
      </c>
      <c r="J121" s="32" t="n">
        <v>0.36</v>
      </c>
      <c r="K121" s="32" t="n">
        <v>11998</v>
      </c>
      <c r="L121" s="31" t="n">
        <v>19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60.87</v>
      </c>
      <c r="P121" s="32" t="n">
        <v>20.7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-3.41</v>
      </c>
      <c r="U121" s="32" t="n">
        <v>-9.08</v>
      </c>
      <c r="V121" s="32" t="n">
        <v>-5.88</v>
      </c>
      <c r="W121" s="32" t="n">
        <v>2.6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IF(B122=0,"",RANK(B122,$B$2:$B$358,0))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HAPPYFORGE</t>
        </is>
      </c>
      <c r="D122" s="31" t="inlineStr">
        <is>
          <t>Happy Forgings Ltd</t>
        </is>
      </c>
      <c r="E122" s="31" t="inlineStr">
        <is>
          <t>industrials</t>
        </is>
      </c>
      <c r="F122" s="31" t="inlineStr">
        <is>
          <t>castings &amp; forgings</t>
        </is>
      </c>
      <c r="G122" s="31" t="inlineStr">
        <is>
          <t>largecap</t>
        </is>
      </c>
      <c r="H122" s="32" t="n">
        <v>21126.68</v>
      </c>
      <c r="I122" s="32" t="n">
        <v>2231.4</v>
      </c>
      <c r="J122" s="32" t="n">
        <v>-0.32</v>
      </c>
      <c r="K122" s="32" t="n">
        <v>45858</v>
      </c>
      <c r="L122" s="31" t="n">
        <v>92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82.73</v>
      </c>
      <c r="P122" s="32" t="n">
        <v>64.95999999999999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-3.41</v>
      </c>
      <c r="U122" s="32" t="n">
        <v>153.33</v>
      </c>
      <c r="V122" s="32" t="n">
        <v>162.27</v>
      </c>
      <c r="W122" s="32" t="n">
        <v>34.41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Between 1.5 to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IF(B123=0,"",RANK(B123,$B$2:$B$358,0))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UNIMECH</t>
        </is>
      </c>
      <c r="D123" s="31" t="inlineStr">
        <is>
          <t>Unimech Aerospace and Manufacturing Ltd</t>
        </is>
      </c>
      <c r="E123" s="31" t="inlineStr">
        <is>
          <t>aerospace &amp; defence</t>
        </is>
      </c>
      <c r="F123" s="31" t="inlineStr">
        <is>
          <t>engineering</t>
        </is>
      </c>
      <c r="G123" s="31" t="inlineStr">
        <is>
          <t>midcap</t>
        </is>
      </c>
      <c r="H123" s="32" t="n">
        <v>7642.26</v>
      </c>
      <c r="I123" s="32" t="n">
        <v>1495.7</v>
      </c>
      <c r="J123" s="32" t="n">
        <v>-0.47</v>
      </c>
      <c r="K123" s="32" t="n">
        <v>169474</v>
      </c>
      <c r="L123" s="31" t="n">
        <v>48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73.19</v>
      </c>
      <c r="P123" s="32" t="n">
        <v>43.59</v>
      </c>
      <c r="Q123" s="32" t="inlineStr"/>
      <c r="R123" s="31" t="inlineStr">
        <is>
          <t>Earnings / Momentum Support</t>
        </is>
      </c>
      <c r="S123" s="31" t="inlineStr">
        <is>
          <t>Nifty Infra</t>
        </is>
      </c>
      <c r="T123" s="32" t="n">
        <v>1.74</v>
      </c>
      <c r="U123" s="32" t="n">
        <v>6.57</v>
      </c>
      <c r="V123" s="32" t="n">
        <v>4.75</v>
      </c>
      <c r="W123" s="32" t="n">
        <v>9.23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IF(B124=0,"",RANK(B124,$B$2:$B$358,0))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CASTROLIND</t>
        </is>
      </c>
      <c r="D124" s="31" t="inlineStr">
        <is>
          <t>Castrol India Limited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midcap</t>
        </is>
      </c>
      <c r="H124" s="32" t="n">
        <v>18820.03</v>
      </c>
      <c r="I124" s="32" t="n">
        <v>189.01</v>
      </c>
      <c r="J124" s="32" t="n">
        <v>-0.66</v>
      </c>
      <c r="K124" s="32" t="n">
        <v>1639217</v>
      </c>
      <c r="L124" s="31" t="n">
        <v>17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67.76000000000001</v>
      </c>
      <c r="P124" s="32" t="n">
        <v>30.78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-3.41</v>
      </c>
      <c r="U124" s="32" t="n">
        <v>2.29</v>
      </c>
      <c r="V124" s="32" t="n">
        <v>5.9</v>
      </c>
      <c r="W124" s="32" t="n">
        <v>1.95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Between 50% to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IF(B125=0,"",RANK(B125,$B$2:$B$358,0))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INDIGOPNTS</t>
        </is>
      </c>
      <c r="D125" s="33" t="inlineStr">
        <is>
          <t>Indigo Paints Ltd</t>
        </is>
      </c>
      <c r="E125" s="31" t="inlineStr">
        <is>
          <t>building materials</t>
        </is>
      </c>
      <c r="F125" s="31" t="inlineStr">
        <is>
          <t>paints / varnishes</t>
        </is>
      </c>
      <c r="G125" s="31" t="inlineStr">
        <is>
          <t>midcap</t>
        </is>
      </c>
      <c r="H125" s="32" t="n">
        <v>5653.38</v>
      </c>
      <c r="I125" s="32" t="n">
        <v>1178</v>
      </c>
      <c r="J125" s="32" t="n">
        <v>-0.66</v>
      </c>
      <c r="K125" s="32" t="n">
        <v>77673</v>
      </c>
      <c r="L125" s="31" t="n">
        <v>32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68.44</v>
      </c>
      <c r="P125" s="32" t="n">
        <v>24.71</v>
      </c>
      <c r="Q125" s="32" t="inlineStr"/>
      <c r="R125" s="31" t="inlineStr">
        <is>
          <t>Earnings / Momentum Support</t>
        </is>
      </c>
      <c r="S125" s="31" t="inlineStr">
        <is>
          <t>Nifty Infra</t>
        </is>
      </c>
      <c r="T125" s="32" t="n">
        <v>1.74</v>
      </c>
      <c r="U125" s="32" t="n">
        <v>-11.05</v>
      </c>
      <c r="V125" s="32" t="n">
        <v>-12.57</v>
      </c>
      <c r="W125" s="32" t="n">
        <v>5.62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IF(B126=0,"",RANK(B126,$B$2:$B$358,0))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GREENPLY</t>
        </is>
      </c>
      <c r="D126" s="33" t="inlineStr">
        <is>
          <t>Greenply Industries Limited</t>
        </is>
      </c>
      <c r="E126" s="31" t="inlineStr">
        <is>
          <t>building materials</t>
        </is>
      </c>
      <c r="F126" s="31" t="inlineStr">
        <is>
          <t>miscellaneous</t>
        </is>
      </c>
      <c r="G126" s="31" t="inlineStr">
        <is>
          <t>smallcap</t>
        </is>
      </c>
      <c r="H126" s="32" t="n">
        <v>3805.77</v>
      </c>
      <c r="I126" s="32" t="n">
        <v>302.2</v>
      </c>
      <c r="J126" s="32" t="n">
        <v>-0.82</v>
      </c>
      <c r="K126" s="32" t="n">
        <v>389935</v>
      </c>
      <c r="L126" s="31" t="n">
        <v>40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59.81</v>
      </c>
      <c r="P126" s="32" t="n">
        <v>26.51</v>
      </c>
      <c r="Q126" s="32" t="inlineStr"/>
      <c r="R126" s="31" t="inlineStr">
        <is>
          <t>Earnings / Momentum Support</t>
        </is>
      </c>
      <c r="S126" s="31" t="inlineStr">
        <is>
          <t>Nifty Infra</t>
        </is>
      </c>
      <c r="T126" s="32" t="n">
        <v>1.74</v>
      </c>
      <c r="U126" s="32" t="n">
        <v>-4.23</v>
      </c>
      <c r="V126" s="32" t="n">
        <v>-5.87</v>
      </c>
      <c r="W126" s="32" t="n">
        <v>7.57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IF(B127=0,"",RANK(B127,$B$2:$B$358,0))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SHALPAINTS</t>
        </is>
      </c>
      <c r="D127" s="33" t="inlineStr">
        <is>
          <t>Shalimar Paints Limited</t>
        </is>
      </c>
      <c r="E127" s="31" t="inlineStr">
        <is>
          <t>building materials</t>
        </is>
      </c>
      <c r="F127" s="31" t="inlineStr">
        <is>
          <t>paints / varnishes</t>
        </is>
      </c>
      <c r="G127" s="31" t="inlineStr">
        <is>
          <t>smallcap</t>
        </is>
      </c>
      <c r="H127" s="32" t="n">
        <v>715.48</v>
      </c>
      <c r="I127" s="32" t="n">
        <v>83.90000000000001</v>
      </c>
      <c r="J127" s="32" t="n">
        <v>-1.84</v>
      </c>
      <c r="K127" s="32" t="n">
        <v>336078</v>
      </c>
      <c r="L127" s="31" t="n">
        <v>1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64.98</v>
      </c>
      <c r="P127" s="32" t="n">
        <v>29.41</v>
      </c>
      <c r="Q127" s="32" t="inlineStr"/>
      <c r="R127" s="31" t="inlineStr">
        <is>
          <t>Earnings / Momentum Support</t>
        </is>
      </c>
      <c r="S127" s="31" t="inlineStr">
        <is>
          <t>Nifty Infra</t>
        </is>
      </c>
      <c r="T127" s="32" t="n">
        <v>1.74</v>
      </c>
      <c r="U127" s="32" t="n">
        <v>-49.3</v>
      </c>
      <c r="V127" s="32" t="n">
        <v>-50.16</v>
      </c>
      <c r="W127" s="32" t="n">
        <v>-14.15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IF(B128=0,"",RANK(B128,$B$2:$B$358,0))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COMSYN</t>
        </is>
      </c>
      <c r="D128" s="31" t="inlineStr">
        <is>
          <t>Commercial Syn Bags Ltd</t>
        </is>
      </c>
      <c r="E128" s="31" t="inlineStr">
        <is>
          <t>industrials</t>
        </is>
      </c>
      <c r="F128" s="31" t="inlineStr">
        <is>
          <t>packaging</t>
        </is>
      </c>
      <c r="G128" s="31" t="inlineStr">
        <is>
          <t>smallcap</t>
        </is>
      </c>
      <c r="H128" s="32" t="n">
        <v>1215.42</v>
      </c>
      <c r="I128" s="32" t="n">
        <v>294.2</v>
      </c>
      <c r="J128" s="32" t="n">
        <v>-2.36</v>
      </c>
      <c r="K128" s="32" t="n">
        <v>242835</v>
      </c>
      <c r="L128" s="31" t="n">
        <v>95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80.97</v>
      </c>
      <c r="P128" s="32" t="n">
        <v>70.51000000000001</v>
      </c>
      <c r="Q128" s="32" t="inlineStr"/>
      <c r="R128" s="31" t="inlineStr">
        <is>
          <t>Earnings / Momentum Support</t>
        </is>
      </c>
      <c r="S128" s="31" t="inlineStr">
        <is>
          <t>Nifty 50</t>
        </is>
      </c>
      <c r="T128" s="32" t="n">
        <v>-3.41</v>
      </c>
      <c r="U128" s="32" t="n">
        <v>95.63</v>
      </c>
      <c r="V128" s="32" t="n">
        <v>102.54</v>
      </c>
      <c r="W128" s="32" t="n">
        <v>38.81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IF(B129=0,"",RANK(B129,$B$2:$B$358,0))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KPRMILL</t>
        </is>
      </c>
      <c r="D129" s="31" t="inlineStr">
        <is>
          <t>K.p.r. Mill Limited</t>
        </is>
      </c>
      <c r="E129" s="31" t="inlineStr">
        <is>
          <t>consumer discretionary</t>
        </is>
      </c>
      <c r="F129" s="31" t="inlineStr">
        <is>
          <t>textiles - products</t>
        </is>
      </c>
      <c r="G129" s="31" t="inlineStr">
        <is>
          <t>largecap</t>
        </is>
      </c>
      <c r="H129" s="32" t="n">
        <v>40549.39</v>
      </c>
      <c r="I129" s="32" t="n">
        <v>1154.7</v>
      </c>
      <c r="J129" s="32" t="n">
        <v>-2.66</v>
      </c>
      <c r="K129" s="32" t="n">
        <v>204839</v>
      </c>
      <c r="L129" s="31" t="n">
        <v>37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63.63</v>
      </c>
      <c r="P129" s="32" t="n">
        <v>49.36</v>
      </c>
      <c r="Q129" s="32" t="inlineStr"/>
      <c r="R129" s="31" t="inlineStr">
        <is>
          <t>Earnings / Momentum Support</t>
        </is>
      </c>
      <c r="S129" s="31" t="inlineStr">
        <is>
          <t>Nifty 50</t>
        </is>
      </c>
      <c r="T129" s="32" t="n">
        <v>-3.41</v>
      </c>
      <c r="U129" s="32" t="n">
        <v>20.52</v>
      </c>
      <c r="V129" s="32" t="n">
        <v>24.78</v>
      </c>
      <c r="W129" s="32" t="n">
        <v>6.64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IF(B130=0,"",RANK(B130,$B$2:$B$358,0))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MARINE</t>
        </is>
      </c>
      <c r="D130" s="31" t="inlineStr">
        <is>
          <t>Marine Electricals (India) Ltd</t>
        </is>
      </c>
      <c r="E130" s="31" t="inlineStr">
        <is>
          <t>industrials</t>
        </is>
      </c>
      <c r="F130" s="31" t="inlineStr">
        <is>
          <t>electric equipment</t>
        </is>
      </c>
      <c r="G130" s="31" t="inlineStr">
        <is>
          <t>midcap</t>
        </is>
      </c>
      <c r="H130" s="32" t="n">
        <v>6047.7</v>
      </c>
      <c r="I130" s="32" t="n">
        <v>419.95</v>
      </c>
      <c r="J130" s="32" t="n">
        <v>-2.82</v>
      </c>
      <c r="K130" s="32" t="n">
        <v>522124</v>
      </c>
      <c r="L130" s="31" t="n">
        <v>94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80.97</v>
      </c>
      <c r="P130" s="32" t="n">
        <v>46.18</v>
      </c>
      <c r="Q130" s="32" t="inlineStr"/>
      <c r="R130" s="31" t="inlineStr">
        <is>
          <t>Earnings / Momentum Support</t>
        </is>
      </c>
      <c r="S130" s="31" t="inlineStr">
        <is>
          <t>Nifty 50</t>
        </is>
      </c>
      <c r="T130" s="32" t="n">
        <v>-3.41</v>
      </c>
      <c r="U130" s="32" t="n">
        <v>147.61</v>
      </c>
      <c r="V130" s="32" t="n">
        <v>156.35</v>
      </c>
      <c r="W130" s="32" t="n">
        <v>37.67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IF(B131=0,"",RANK(B131,$B$2:$B$358,0))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OMAXE</t>
        </is>
      </c>
      <c r="D131" s="33" t="inlineStr">
        <is>
          <t>Omaxe Limited</t>
        </is>
      </c>
      <c r="E131" s="31" t="inlineStr">
        <is>
          <t>realty</t>
        </is>
      </c>
      <c r="F131" s="31" t="inlineStr">
        <is>
          <t>construction</t>
        </is>
      </c>
      <c r="G131" s="31" t="inlineStr">
        <is>
          <t>smallcap</t>
        </is>
      </c>
      <c r="H131" s="32" t="n">
        <v>2494.4</v>
      </c>
      <c r="I131" s="32" t="n">
        <v>129.82</v>
      </c>
      <c r="J131" s="32" t="n">
        <v>-4.81</v>
      </c>
      <c r="K131" s="32" t="n">
        <v>2495006</v>
      </c>
      <c r="L131" s="31" t="n">
        <v>18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81.25</v>
      </c>
      <c r="P131" s="32" t="n">
        <v>40.16</v>
      </c>
      <c r="Q131" s="32" t="inlineStr"/>
      <c r="R131" s="31" t="inlineStr">
        <is>
          <t>Earnings / Momentum Support</t>
        </is>
      </c>
      <c r="S131" s="31" t="inlineStr">
        <is>
          <t>Nifty Realty</t>
        </is>
      </c>
      <c r="T131" s="32" t="n">
        <v>-8.119999999999999</v>
      </c>
      <c r="U131" s="32" t="n">
        <v>-11.01</v>
      </c>
      <c r="V131" s="32" t="n">
        <v>-3.15</v>
      </c>
      <c r="W131" s="32" t="n">
        <v>2.25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IF(B132=0,"",RANK(B132,$B$2:$B$358,0))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BIRLACABLE</t>
        </is>
      </c>
      <c r="D132" s="31" t="inlineStr">
        <is>
          <t>Birla Cable Limited</t>
        </is>
      </c>
      <c r="E132" s="31" t="inlineStr">
        <is>
          <t>industrials</t>
        </is>
      </c>
      <c r="F132" s="31" t="inlineStr">
        <is>
          <t>cables - telephone</t>
        </is>
      </c>
      <c r="G132" s="31" t="inlineStr">
        <is>
          <t>smallcap</t>
        </is>
      </c>
      <c r="H132" s="32" t="n">
        <v>1129.65</v>
      </c>
      <c r="I132" s="32" t="n">
        <v>357.75</v>
      </c>
      <c r="J132" s="32" t="n">
        <v>-4.99</v>
      </c>
      <c r="K132" s="32" t="n">
        <v>780466</v>
      </c>
      <c r="L132" s="31" t="n">
        <v>26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79.54000000000001</v>
      </c>
      <c r="P132" s="32" t="n">
        <v>51.02</v>
      </c>
      <c r="Q132" s="32" t="inlineStr"/>
      <c r="R132" s="31" t="inlineStr">
        <is>
          <t>Earnings / Momentum Support</t>
        </is>
      </c>
      <c r="S132" s="31" t="inlineStr">
        <is>
          <t>Nifty Infra</t>
        </is>
      </c>
      <c r="T132" s="32" t="n">
        <v>1.74</v>
      </c>
      <c r="U132" s="32" t="n">
        <v>2.54</v>
      </c>
      <c r="V132" s="32" t="n">
        <v>0.78</v>
      </c>
      <c r="W132" s="32" t="n">
        <v>4.22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IF(B133=0,"",RANK(B133,$B$2:$B$358,0))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UEL</t>
        </is>
      </c>
      <c r="D133" s="31" t="inlineStr">
        <is>
          <t>Ujaas Energy Ltd</t>
        </is>
      </c>
      <c r="E133" s="31" t="inlineStr">
        <is>
          <t>power &amp; utilities</t>
        </is>
      </c>
      <c r="F133" s="31" t="inlineStr">
        <is>
          <t>power generation and supply</t>
        </is>
      </c>
      <c r="G133" s="31" t="inlineStr">
        <is>
          <t>smallcap</t>
        </is>
      </c>
      <c r="H133" s="32" t="n">
        <v>3222.89</v>
      </c>
      <c r="I133" s="32" t="n">
        <v>229.52</v>
      </c>
      <c r="J133" s="32" t="n">
        <v>-5</v>
      </c>
      <c r="K133" s="32" t="n">
        <v>34311</v>
      </c>
      <c r="L133" s="31" t="n">
        <v>93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64.61</v>
      </c>
      <c r="P133" s="32" t="n">
        <v>20.93</v>
      </c>
      <c r="Q133" s="32" t="inlineStr"/>
      <c r="R133" s="31" t="inlineStr">
        <is>
          <t>Earnings / Momentum Support</t>
        </is>
      </c>
      <c r="S133" s="31" t="inlineStr">
        <is>
          <t>Nifty IT</t>
        </is>
      </c>
      <c r="T133" s="32" t="n">
        <v>-11.38</v>
      </c>
      <c r="U133" s="32" t="n">
        <v>113.18</v>
      </c>
      <c r="V133" s="32" t="n">
        <v>140.54</v>
      </c>
      <c r="W133" s="32" t="n">
        <v>35.98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IF(B134=0,"",RANK(B134,$B$2:$B$358,0))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THEMISMED</t>
        </is>
      </c>
      <c r="D134" s="33" t="inlineStr">
        <is>
          <t>Themis Medicare Limited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smallcap</t>
        </is>
      </c>
      <c r="H134" s="32" t="n">
        <v>1109.07</v>
      </c>
      <c r="I134" s="32" t="n">
        <v>133.07</v>
      </c>
      <c r="J134" s="32" t="n">
        <v>10.5</v>
      </c>
      <c r="K134" s="32" t="n">
        <v>4732951</v>
      </c>
      <c r="L134" s="31" t="n">
        <v>45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60.11</v>
      </c>
      <c r="P134" s="32" t="n">
        <v>39.18</v>
      </c>
      <c r="Q134" s="32" t="inlineStr"/>
      <c r="R134" s="31" t="inlineStr">
        <is>
          <t>Volume Spike / Accumulation</t>
        </is>
      </c>
      <c r="S134" s="31" t="inlineStr">
        <is>
          <t>Nifty Pharma</t>
        </is>
      </c>
      <c r="T134" s="32" t="n">
        <v>20.77</v>
      </c>
      <c r="U134" s="32" t="n">
        <v>20.06</v>
      </c>
      <c r="V134" s="32" t="n">
        <v>-0.59</v>
      </c>
      <c r="W134" s="32" t="n">
        <v>8.630000000000001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IF(B135=0,"",RANK(B135,$B$2:$B$358,0))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3" t="inlineStr">
        <is>
          <t>SOLARA</t>
        </is>
      </c>
      <c r="D135" s="33" t="inlineStr">
        <is>
          <t>Solara Active Pharma Sciences Ltd</t>
        </is>
      </c>
      <c r="E135" s="31" t="inlineStr">
        <is>
          <t>healthcare</t>
        </is>
      </c>
      <c r="F135" s="31" t="inlineStr">
        <is>
          <t>pharmaceuticals - indian - bulk drugs &amp; formln</t>
        </is>
      </c>
      <c r="G135" s="31" t="inlineStr">
        <is>
          <t>smallcap</t>
        </is>
      </c>
      <c r="H135" s="32" t="n">
        <v>3083.64</v>
      </c>
      <c r="I135" s="32" t="n">
        <v>697.05</v>
      </c>
      <c r="J135" s="32" t="n">
        <v>9.06</v>
      </c>
      <c r="K135" s="32" t="n">
        <v>2187893</v>
      </c>
      <c r="L135" s="31" t="n">
        <v>27</v>
      </c>
      <c r="M135" s="31" t="inlineStr">
        <is>
          <t>Underperforming</t>
        </is>
      </c>
      <c r="N135" s="32">
        <f>IF(M135="Underperforming",-5,IF(L135&gt;=95,15,IF(L135&gt;=90,10,IF(L135&gt;=80,5,0))))</f>
        <v/>
      </c>
      <c r="O135" s="32" t="n">
        <v>62.95</v>
      </c>
      <c r="P135" s="32" t="n">
        <v>27.51</v>
      </c>
      <c r="Q135" s="32" t="inlineStr"/>
      <c r="R135" s="31" t="inlineStr">
        <is>
          <t>Earnings / Momentum Support</t>
        </is>
      </c>
      <c r="S135" s="31" t="inlineStr">
        <is>
          <t>Nifty Pharma</t>
        </is>
      </c>
      <c r="T135" s="32" t="n">
        <v>20.77</v>
      </c>
      <c r="U135" s="32" t="n">
        <v>-3.85</v>
      </c>
      <c r="V135" s="32" t="n">
        <v>-20.39</v>
      </c>
      <c r="W135" s="32" t="n">
        <v>4.34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IF(B136=0,"",RANK(B136,$B$2:$B$358,0))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KOPRAN</t>
        </is>
      </c>
      <c r="D136" s="31" t="inlineStr">
        <is>
          <t>Kopran Limited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smallcap</t>
        </is>
      </c>
      <c r="H136" s="32" t="n">
        <v>1122.83</v>
      </c>
      <c r="I136" s="32" t="n">
        <v>245.87</v>
      </c>
      <c r="J136" s="32" t="n">
        <v>5.73</v>
      </c>
      <c r="K136" s="32" t="n">
        <v>2037485</v>
      </c>
      <c r="L136" s="31" t="n">
        <v>60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70.51000000000001</v>
      </c>
      <c r="P136" s="32" t="n">
        <v>40.61</v>
      </c>
      <c r="Q136" s="32" t="inlineStr"/>
      <c r="R136" s="31" t="inlineStr">
        <is>
          <t>Volume Spike / Accumulation</t>
        </is>
      </c>
      <c r="S136" s="31" t="inlineStr">
        <is>
          <t>Nifty Pharma</t>
        </is>
      </c>
      <c r="T136" s="32" t="n">
        <v>20.77</v>
      </c>
      <c r="U136" s="32" t="n">
        <v>33.6</v>
      </c>
      <c r="V136" s="32" t="n">
        <v>10.63</v>
      </c>
      <c r="W136" s="32" t="n">
        <v>14.27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IF(B137=0,"",RANK(B137,$B$2:$B$358,0))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WOCKPHARMA</t>
        </is>
      </c>
      <c r="D137" s="31" t="inlineStr">
        <is>
          <t>Wockhardt Limited</t>
        </is>
      </c>
      <c r="E137" s="31" t="inlineStr">
        <is>
          <t>healthcare</t>
        </is>
      </c>
      <c r="F137" s="31" t="inlineStr">
        <is>
          <t>pharmaceuticals - indian - bulk drugs &amp; formln</t>
        </is>
      </c>
      <c r="G137" s="31" t="inlineStr">
        <is>
          <t>largecap</t>
        </is>
      </c>
      <c r="H137" s="32" t="n">
        <v>33939.74</v>
      </c>
      <c r="I137" s="32" t="n">
        <v>2208</v>
      </c>
      <c r="J137" s="32" t="n">
        <v>5.71</v>
      </c>
      <c r="K137" s="32" t="n">
        <v>4319658</v>
      </c>
      <c r="L137" s="31" t="n">
        <v>50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65.41</v>
      </c>
      <c r="P137" s="32" t="n">
        <v>48.92</v>
      </c>
      <c r="Q137" s="32" t="inlineStr"/>
      <c r="R137" s="31" t="inlineStr">
        <is>
          <t>Earnings / Momentum Support</t>
        </is>
      </c>
      <c r="S137" s="31" t="inlineStr">
        <is>
          <t>Nifty Pharma</t>
        </is>
      </c>
      <c r="T137" s="32" t="n">
        <v>20.77</v>
      </c>
      <c r="U137" s="32" t="n">
        <v>41.24</v>
      </c>
      <c r="V137" s="32" t="n">
        <v>16.95</v>
      </c>
      <c r="W137" s="32" t="n">
        <v>10.56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IF(B138=0,"",RANK(B138,$B$2:$B$358,0))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BLISSGVS</t>
        </is>
      </c>
      <c r="D138" s="31" t="inlineStr">
        <is>
          <t>Bliss Gvs Pharma Limited</t>
        </is>
      </c>
      <c r="E138" s="31" t="inlineStr">
        <is>
          <t>healthcare</t>
        </is>
      </c>
      <c r="F138" s="31" t="inlineStr">
        <is>
          <t>pharmaceuticals - indian - formulations</t>
        </is>
      </c>
      <c r="G138" s="31" t="inlineStr">
        <is>
          <t>midcap</t>
        </is>
      </c>
      <c r="H138" s="32" t="n">
        <v>7116.37</v>
      </c>
      <c r="I138" s="32" t="n">
        <v>691.35</v>
      </c>
      <c r="J138" s="32" t="n">
        <v>3.03</v>
      </c>
      <c r="K138" s="32" t="n">
        <v>581762</v>
      </c>
      <c r="L138" s="31" t="n">
        <v>97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86.77</v>
      </c>
      <c r="P138" s="32" t="n">
        <v>74.26000000000001</v>
      </c>
      <c r="Q138" s="32" t="inlineStr"/>
      <c r="R138" s="31" t="inlineStr">
        <is>
          <t>Earnings / Momentum Support</t>
        </is>
      </c>
      <c r="S138" s="31" t="inlineStr">
        <is>
          <t>Nifty Pharma</t>
        </is>
      </c>
      <c r="T138" s="32" t="n">
        <v>20.77</v>
      </c>
      <c r="U138" s="32" t="n">
        <v>332.18</v>
      </c>
      <c r="V138" s="32" t="n">
        <v>257.86</v>
      </c>
      <c r="W138" s="32" t="n">
        <v>49.34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IF(B139=0,"",RANK(B139,$B$2:$B$358,0))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ZIMLAB</t>
        </is>
      </c>
      <c r="D139" s="31" t="inlineStr">
        <is>
          <t>Zim Laboratories Ltd</t>
        </is>
      </c>
      <c r="E139" s="31" t="inlineStr">
        <is>
          <t>healthcare</t>
        </is>
      </c>
      <c r="F139" s="31" t="inlineStr">
        <is>
          <t>pharmaceuticals - indian - bulk drugs &amp; formln</t>
        </is>
      </c>
      <c r="G139" s="31" t="inlineStr">
        <is>
          <t>smallcap</t>
        </is>
      </c>
      <c r="H139" s="32" t="n">
        <v>672.04</v>
      </c>
      <c r="I139" s="32" t="n">
        <v>129.16</v>
      </c>
      <c r="J139" s="32" t="n">
        <v>2.92</v>
      </c>
      <c r="K139" s="32" t="n">
        <v>83808</v>
      </c>
      <c r="L139" s="31" t="n">
        <v>69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66.59999999999999</v>
      </c>
      <c r="P139" s="32" t="n">
        <v>60.25</v>
      </c>
      <c r="Q139" s="32" t="inlineStr"/>
      <c r="R139" s="31" t="inlineStr">
        <is>
          <t>Earnings / Momentum Support</t>
        </is>
      </c>
      <c r="S139" s="31" t="inlineStr">
        <is>
          <t>Nifty Pharma</t>
        </is>
      </c>
      <c r="T139" s="32" t="n">
        <v>20.77</v>
      </c>
      <c r="U139" s="32" t="n">
        <v>70.15000000000001</v>
      </c>
      <c r="V139" s="32" t="n">
        <v>40.89</v>
      </c>
      <c r="W139" s="32" t="n">
        <v>17.32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IF(B140=0,"",RANK(B140,$B$2:$B$358,0))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DIVISLAB</t>
        </is>
      </c>
      <c r="D140" s="31" t="inlineStr">
        <is>
          <t>Divi's Laboratories Limited</t>
        </is>
      </c>
      <c r="E140" s="31" t="inlineStr">
        <is>
          <t>healthcare</t>
        </is>
      </c>
      <c r="F140" s="31" t="inlineStr">
        <is>
          <t>pharmaceuticals - indian - bulk drugs</t>
        </is>
      </c>
      <c r="G140" s="31" t="inlineStr">
        <is>
          <t>largecap</t>
        </is>
      </c>
      <c r="H140" s="32" t="n">
        <v>241576.41</v>
      </c>
      <c r="I140" s="32" t="n">
        <v>9315</v>
      </c>
      <c r="J140" s="32" t="n">
        <v>2.36</v>
      </c>
      <c r="K140" s="32" t="n">
        <v>502162</v>
      </c>
      <c r="L140" s="31" t="n">
        <v>68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83.56</v>
      </c>
      <c r="P140" s="32" t="n">
        <v>45.34</v>
      </c>
      <c r="Q140" s="32" t="inlineStr"/>
      <c r="R140" s="31" t="inlineStr">
        <is>
          <t>Earnings / Momentum Support</t>
        </is>
      </c>
      <c r="S140" s="31" t="inlineStr">
        <is>
          <t>Nifty Pharma</t>
        </is>
      </c>
      <c r="T140" s="32" t="n">
        <v>20.77</v>
      </c>
      <c r="U140" s="32" t="n">
        <v>52.06</v>
      </c>
      <c r="V140" s="32" t="n">
        <v>25.91</v>
      </c>
      <c r="W140" s="32" t="n">
        <v>17.22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IF(B141=0,"",RANK(B141,$B$2:$B$358,0))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LINCOLN</t>
        </is>
      </c>
      <c r="D141" s="33" t="inlineStr">
        <is>
          <t>Lincoln Pharmaceuticals Limited</t>
        </is>
      </c>
      <c r="E141" s="31" t="inlineStr">
        <is>
          <t>healthcare</t>
        </is>
      </c>
      <c r="F141" s="31" t="inlineStr">
        <is>
          <t>pharmaceuticals - indian - formulations</t>
        </is>
      </c>
      <c r="G141" s="31" t="inlineStr">
        <is>
          <t>smallcap</t>
        </is>
      </c>
      <c r="H141" s="32" t="n">
        <v>1243.45</v>
      </c>
      <c r="I141" s="32" t="n">
        <v>632.35</v>
      </c>
      <c r="J141" s="32" t="n">
        <v>1.86</v>
      </c>
      <c r="K141" s="32" t="n">
        <v>75014</v>
      </c>
      <c r="L141" s="31" t="n">
        <v>20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53.33</v>
      </c>
      <c r="P141" s="32" t="n">
        <v>27.74</v>
      </c>
      <c r="Q141" s="32" t="inlineStr"/>
      <c r="R141" s="31" t="inlineStr">
        <is>
          <t>Earnings / Momentum Support</t>
        </is>
      </c>
      <c r="S141" s="31" t="inlineStr">
        <is>
          <t>Nifty Pharma</t>
        </is>
      </c>
      <c r="T141" s="32" t="n">
        <v>20.77</v>
      </c>
      <c r="U141" s="32" t="n">
        <v>11.47</v>
      </c>
      <c r="V141" s="32" t="n">
        <v>-7.7</v>
      </c>
      <c r="W141" s="32" t="n">
        <v>2.7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IF(B142=0,"",RANK(B142,$B$2:$B$358,0))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KRBL</t>
        </is>
      </c>
      <c r="D142" s="31" t="inlineStr">
        <is>
          <t>Krbl Limited</t>
        </is>
      </c>
      <c r="E142" s="31" t="inlineStr">
        <is>
          <t>fmcg</t>
        </is>
      </c>
      <c r="F142" s="31" t="inlineStr">
        <is>
          <t>food - processing - indian</t>
        </is>
      </c>
      <c r="G142" s="31" t="inlineStr">
        <is>
          <t>midcap</t>
        </is>
      </c>
      <c r="H142" s="32" t="n">
        <v>9658.01</v>
      </c>
      <c r="I142" s="32" t="n">
        <v>427.3</v>
      </c>
      <c r="J142" s="32" t="n">
        <v>1.27</v>
      </c>
      <c r="K142" s="32" t="n">
        <v>690366</v>
      </c>
      <c r="L142" s="31" t="n">
        <v>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63.42</v>
      </c>
      <c r="P142" s="32" t="n">
        <v>14.97</v>
      </c>
      <c r="Q142" s="32" t="inlineStr"/>
      <c r="R142" s="31" t="inlineStr">
        <is>
          <t>Earnings / Momentum Support</t>
        </is>
      </c>
      <c r="S142" s="31" t="inlineStr">
        <is>
          <t>Nifty FMCG</t>
        </is>
      </c>
      <c r="T142" s="32" t="n">
        <v>-13.73</v>
      </c>
      <c r="U142" s="32" t="n">
        <v>-11.1</v>
      </c>
      <c r="V142" s="32" t="n">
        <v>3.05</v>
      </c>
      <c r="W142" s="32" t="n">
        <v>-1.82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B2C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IF(B143=0,"",RANK(B143,$B$2:$B$358,0))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NEULANDLAB</t>
        </is>
      </c>
      <c r="D143" s="31" t="inlineStr">
        <is>
          <t>Neuland Laboratories Limited</t>
        </is>
      </c>
      <c r="E143" s="31" t="inlineStr">
        <is>
          <t>healthcare</t>
        </is>
      </c>
      <c r="F143" s="31" t="inlineStr">
        <is>
          <t>pharmaceuticals - indian - bulk drugs</t>
        </is>
      </c>
      <c r="G143" s="31" t="inlineStr">
        <is>
          <t>largecap</t>
        </is>
      </c>
      <c r="H143" s="32" t="n">
        <v>29072.53</v>
      </c>
      <c r="I143" s="32" t="n">
        <v>22870</v>
      </c>
      <c r="J143" s="32" t="n">
        <v>0.93</v>
      </c>
      <c r="K143" s="32" t="n">
        <v>22291</v>
      </c>
      <c r="L143" s="31" t="n">
        <v>72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72.47</v>
      </c>
      <c r="P143" s="32" t="n">
        <v>58.24</v>
      </c>
      <c r="Q143" s="32" t="inlineStr"/>
      <c r="R143" s="31" t="inlineStr">
        <is>
          <t>Earnings / Momentum Support</t>
        </is>
      </c>
      <c r="S143" s="31" t="inlineStr">
        <is>
          <t>Nifty Pharma</t>
        </is>
      </c>
      <c r="T143" s="32" t="n">
        <v>20.77</v>
      </c>
      <c r="U143" s="32" t="n">
        <v>57.01</v>
      </c>
      <c r="V143" s="32" t="n">
        <v>30.01</v>
      </c>
      <c r="W143" s="32" t="n">
        <v>18.61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IF(B144=0,"",RANK(B144,$B$2:$B$358,0))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VIJAYA</t>
        </is>
      </c>
      <c r="D144" s="31" t="inlineStr">
        <is>
          <t>Vijaya Diagnostic Centre Ltd</t>
        </is>
      </c>
      <c r="E144" s="31" t="inlineStr">
        <is>
          <t>healthcare</t>
        </is>
      </c>
      <c r="F144" s="31" t="inlineStr">
        <is>
          <t>healthcare</t>
        </is>
      </c>
      <c r="G144" s="31" t="inlineStr">
        <is>
          <t>midcap</t>
        </is>
      </c>
      <c r="H144" s="32" t="n">
        <v>15364.54</v>
      </c>
      <c r="I144" s="32" t="n">
        <v>1497.5</v>
      </c>
      <c r="J144" s="32" t="n">
        <v>0.29</v>
      </c>
      <c r="K144" s="32" t="n">
        <v>101311</v>
      </c>
      <c r="L144" s="31" t="n">
        <v>48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67.51000000000001</v>
      </c>
      <c r="P144" s="32" t="n">
        <v>60.42</v>
      </c>
      <c r="Q144" s="32" t="inlineStr"/>
      <c r="R144" s="31" t="inlineStr">
        <is>
          <t>Earnings / Momentum Support</t>
        </is>
      </c>
      <c r="S144" s="31" t="inlineStr">
        <is>
          <t>Nifty Pharma</t>
        </is>
      </c>
      <c r="T144" s="32" t="n">
        <v>20.77</v>
      </c>
      <c r="U144" s="32" t="n">
        <v>34.86</v>
      </c>
      <c r="V144" s="32" t="n">
        <v>11.67</v>
      </c>
      <c r="W144" s="32" t="n">
        <v>9.4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IF(B145=0,"",RANK(B145,$B$2:$B$358,0))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CAPLIPOINT</t>
        </is>
      </c>
      <c r="D145" s="31" t="inlineStr">
        <is>
          <t>Caplin Point Laboratories Limited</t>
        </is>
      </c>
      <c r="E145" s="31" t="inlineStr">
        <is>
          <t>healthcare</t>
        </is>
      </c>
      <c r="F145" s="31" t="inlineStr">
        <is>
          <t>pharmaceuticals - indian - formulations</t>
        </is>
      </c>
      <c r="G145" s="31" t="inlineStr">
        <is>
          <t>largecap</t>
        </is>
      </c>
      <c r="H145" s="32" t="n">
        <v>21365.37</v>
      </c>
      <c r="I145" s="32" t="n">
        <v>2814</v>
      </c>
      <c r="J145" s="32" t="n">
        <v>0.11</v>
      </c>
      <c r="K145" s="32" t="n">
        <v>111399</v>
      </c>
      <c r="L145" s="31" t="n">
        <v>63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73.79000000000001</v>
      </c>
      <c r="P145" s="32" t="n">
        <v>42.75</v>
      </c>
      <c r="Q145" s="32" t="inlineStr"/>
      <c r="R145" s="31" t="inlineStr">
        <is>
          <t>Earnings / Momentum Support</t>
        </is>
      </c>
      <c r="S145" s="31" t="inlineStr">
        <is>
          <t>Nifty Pharma</t>
        </is>
      </c>
      <c r="T145" s="32" t="n">
        <v>20.77</v>
      </c>
      <c r="U145" s="32" t="n">
        <v>31.88</v>
      </c>
      <c r="V145" s="32" t="n">
        <v>9.199999999999999</v>
      </c>
      <c r="W145" s="32" t="n">
        <v>15.12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Between 12 to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IF(B146=0,"",RANK(B146,$B$2:$B$358,0))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INNOVACAP</t>
        </is>
      </c>
      <c r="D146" s="31" t="inlineStr">
        <is>
          <t>Innova Captab Ltd</t>
        </is>
      </c>
      <c r="E146" s="31" t="inlineStr">
        <is>
          <t>healthcare</t>
        </is>
      </c>
      <c r="F146" s="31" t="inlineStr">
        <is>
          <t>pharmaceuticals - indian - bulk drugs &amp; formln</t>
        </is>
      </c>
      <c r="G146" s="31" t="inlineStr">
        <is>
          <t>midcap</t>
        </is>
      </c>
      <c r="H146" s="32" t="n">
        <v>6726.22</v>
      </c>
      <c r="I146" s="32" t="n">
        <v>1164.4</v>
      </c>
      <c r="J146" s="32" t="n">
        <v>-0.9399999999999999</v>
      </c>
      <c r="K146" s="32" t="n">
        <v>104975</v>
      </c>
      <c r="L146" s="31" t="n">
        <v>62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75.86</v>
      </c>
      <c r="P146" s="32" t="n">
        <v>63.62</v>
      </c>
      <c r="Q146" s="32" t="inlineStr"/>
      <c r="R146" s="31" t="inlineStr">
        <is>
          <t>Earnings / Momentum Support</t>
        </is>
      </c>
      <c r="S146" s="31" t="inlineStr">
        <is>
          <t>Nifty Pharma</t>
        </is>
      </c>
      <c r="T146" s="32" t="n">
        <v>20.77</v>
      </c>
      <c r="U146" s="32" t="n">
        <v>29.7</v>
      </c>
      <c r="V146" s="32" t="n">
        <v>7.4</v>
      </c>
      <c r="W146" s="32" t="n">
        <v>14.56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IF(B147=0,"",RANK(B147,$B$2:$B$358,0))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MVGJL</t>
        </is>
      </c>
      <c r="D147" s="33" t="inlineStr">
        <is>
          <t>Manoj Vaibhav Gems N Jewellers Ltd</t>
        </is>
      </c>
      <c r="E147" s="31" t="inlineStr">
        <is>
          <t>consumer discretionary</t>
        </is>
      </c>
      <c r="F147" s="31" t="inlineStr">
        <is>
          <t>diamond cutting / jewellery</t>
        </is>
      </c>
      <c r="G147" s="31" t="inlineStr">
        <is>
          <t>smallcap</t>
        </is>
      </c>
      <c r="H147" s="32" t="n">
        <v>878.77</v>
      </c>
      <c r="I147" s="32" t="n">
        <v>215.88</v>
      </c>
      <c r="J147" s="32" t="n">
        <v>20</v>
      </c>
      <c r="K147" s="32" t="n">
        <v>3202765</v>
      </c>
      <c r="L147" s="31" t="n">
        <v>19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58.57</v>
      </c>
      <c r="P147" s="32" t="n">
        <v>14.18</v>
      </c>
      <c r="Q147" s="32" t="inlineStr"/>
      <c r="R147" s="31" t="inlineStr">
        <is>
          <t>Volume Spike / Accumulation</t>
        </is>
      </c>
      <c r="S147" s="31" t="inlineStr">
        <is>
          <t>Nifty 50</t>
        </is>
      </c>
      <c r="T147" s="32" t="n">
        <v>-3.41</v>
      </c>
      <c r="U147" s="32" t="n">
        <v>-8.800000000000001</v>
      </c>
      <c r="V147" s="32" t="n">
        <v>-5.58</v>
      </c>
      <c r="W147" s="32" t="n">
        <v>2.54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IF(B148=0,"",RANK(B148,$B$2:$B$358,0))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FCL</t>
        </is>
      </c>
      <c r="D148" s="31" t="inlineStr">
        <is>
          <t>Fineotex Chemical Limited</t>
        </is>
      </c>
      <c r="E148" s="31" t="inlineStr">
        <is>
          <t>chemicals</t>
        </is>
      </c>
      <c r="F148" s="31" t="inlineStr">
        <is>
          <t>chemicals</t>
        </is>
      </c>
      <c r="G148" s="31" t="inlineStr">
        <is>
          <t>midcap</t>
        </is>
      </c>
      <c r="H148" s="32" t="n">
        <v>5998.34</v>
      </c>
      <c r="I148" s="32" t="n">
        <v>56.66</v>
      </c>
      <c r="J148" s="32" t="n">
        <v>10</v>
      </c>
      <c r="K148" s="32" t="n">
        <v>42019821</v>
      </c>
      <c r="L148" s="31" t="n">
        <v>87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76.95</v>
      </c>
      <c r="P148" s="32" t="n">
        <v>47.92</v>
      </c>
      <c r="Q148" s="32" t="inlineStr"/>
      <c r="R148" s="31" t="inlineStr">
        <is>
          <t>Earnings / Momentum Support</t>
        </is>
      </c>
      <c r="S148" s="31" t="inlineStr">
        <is>
          <t>Nifty 50</t>
        </is>
      </c>
      <c r="T148" s="32" t="n">
        <v>-3.41</v>
      </c>
      <c r="U148" s="32" t="n">
        <v>118.77</v>
      </c>
      <c r="V148" s="32" t="n">
        <v>126.49</v>
      </c>
      <c r="W148" s="32" t="n">
        <v>26.63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IF(B149=0,"",RANK(B149,$B$2:$B$358,0))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NRBBEARING</t>
        </is>
      </c>
      <c r="D149" s="31" t="inlineStr">
        <is>
          <t>Nrb Bearing Limited</t>
        </is>
      </c>
      <c r="E149" s="31" t="inlineStr">
        <is>
          <t>industrials</t>
        </is>
      </c>
      <c r="F149" s="31" t="inlineStr">
        <is>
          <t>bearings</t>
        </is>
      </c>
      <c r="G149" s="31" t="inlineStr">
        <is>
          <t>smallcap</t>
        </is>
      </c>
      <c r="H149" s="32" t="n">
        <v>4332.44</v>
      </c>
      <c r="I149" s="32" t="n">
        <v>483</v>
      </c>
      <c r="J149" s="32" t="n">
        <v>8.050000000000001</v>
      </c>
      <c r="K149" s="32" t="n">
        <v>1028877</v>
      </c>
      <c r="L149" s="31" t="n">
        <v>63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64.45999999999999</v>
      </c>
      <c r="P149" s="32" t="n">
        <v>50.08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-3.41</v>
      </c>
      <c r="U149" s="32" t="n">
        <v>63.11</v>
      </c>
      <c r="V149" s="32" t="n">
        <v>68.86</v>
      </c>
      <c r="W149" s="32" t="n">
        <v>15.04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Between 12 to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IF(B150=0,"",RANK(B150,$B$2:$B$358,0))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AVALON</t>
        </is>
      </c>
      <c r="D150" s="31" t="inlineStr">
        <is>
          <t>Avalon Technologies Ltd</t>
        </is>
      </c>
      <c r="E150" s="31" t="inlineStr">
        <is>
          <t>consumer discretionary</t>
        </is>
      </c>
      <c r="F150" s="31" t="inlineStr">
        <is>
          <t>electronics - components</t>
        </is>
      </c>
      <c r="G150" s="31" t="inlineStr">
        <is>
          <t>midcap</t>
        </is>
      </c>
      <c r="H150" s="32" t="n">
        <v>14675.87</v>
      </c>
      <c r="I150" s="32" t="n">
        <v>2352.5</v>
      </c>
      <c r="J150" s="32" t="n">
        <v>7.1</v>
      </c>
      <c r="K150" s="32" t="n">
        <v>1652753</v>
      </c>
      <c r="L150" s="31" t="n">
        <v>89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80.55</v>
      </c>
      <c r="P150" s="32" t="n">
        <v>59.92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-3.41</v>
      </c>
      <c r="U150" s="32" t="n">
        <v>138</v>
      </c>
      <c r="V150" s="32" t="n">
        <v>146.4</v>
      </c>
      <c r="W150" s="32" t="n">
        <v>29.47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IF(B151=0,"",RANK(B151,$B$2:$B$358,0))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UNIVPHOTO</t>
        </is>
      </c>
      <c r="D151" s="31" t="inlineStr">
        <is>
          <t>Universus Photo Imagings Ltd</t>
        </is>
      </c>
      <c r="E151" s="31" t="inlineStr">
        <is>
          <t>consumer discretionary</t>
        </is>
      </c>
      <c r="F151" s="31" t="inlineStr">
        <is>
          <t>photographic and allied products</t>
        </is>
      </c>
      <c r="G151" s="31" t="inlineStr">
        <is>
          <t>smallcap</t>
        </is>
      </c>
      <c r="H151" s="32" t="n">
        <v>536.8200000000001</v>
      </c>
      <c r="I151" s="32" t="n">
        <v>514.9</v>
      </c>
      <c r="J151" s="32" t="n">
        <v>5</v>
      </c>
      <c r="K151" s="32" t="n">
        <v>5224</v>
      </c>
      <c r="L151" s="31" t="n">
        <v>85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63.44</v>
      </c>
      <c r="P151" s="32" t="n">
        <v>17.3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-3.41</v>
      </c>
      <c r="U151" s="32" t="n">
        <v>92.23999999999999</v>
      </c>
      <c r="V151" s="32" t="n">
        <v>99.02</v>
      </c>
      <c r="W151" s="32" t="n">
        <v>24.85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IF(B152=0,"",RANK(B152,$B$2:$B$358,0))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EBGNG</t>
        </is>
      </c>
      <c r="D152" s="31" t="inlineStr">
        <is>
          <t>GNG Electronics Ltd</t>
        </is>
      </c>
      <c r="E152" s="31" t="inlineStr">
        <is>
          <t>services</t>
        </is>
      </c>
      <c r="F152" s="31" t="inlineStr">
        <is>
          <t>trading</t>
        </is>
      </c>
      <c r="G152" s="31" t="inlineStr">
        <is>
          <t>midcap</t>
        </is>
      </c>
      <c r="H152" s="32" t="n">
        <v>6854.94</v>
      </c>
      <c r="I152" s="32" t="n">
        <v>619.1</v>
      </c>
      <c r="J152" s="32" t="n">
        <v>2.97</v>
      </c>
      <c r="K152" s="32" t="n">
        <v>413604</v>
      </c>
      <c r="L152" s="31" t="n">
        <v>77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62.56</v>
      </c>
      <c r="P152" s="32" t="n">
        <v>35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-3.41</v>
      </c>
      <c r="U152" s="32" t="n">
        <v>65.06999999999999</v>
      </c>
      <c r="V152" s="32" t="n">
        <v>70.89</v>
      </c>
      <c r="W152" s="32" t="n">
        <v>20.74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Between 1.5 to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IF(B153=0,"",RANK(B153,$B$2:$B$358,0))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TITAGARH</t>
        </is>
      </c>
      <c r="D153" s="31" t="inlineStr">
        <is>
          <t>Titagarh Rail Systems Ltd</t>
        </is>
      </c>
      <c r="E153" s="31" t="inlineStr">
        <is>
          <t>industrials</t>
        </is>
      </c>
      <c r="F153" s="31" t="inlineStr">
        <is>
          <t>engineering</t>
        </is>
      </c>
      <c r="G153" s="31" t="inlineStr">
        <is>
          <t>midcap</t>
        </is>
      </c>
      <c r="H153" s="32" t="n">
        <v>11741.53</v>
      </c>
      <c r="I153" s="32" t="n">
        <v>896.45</v>
      </c>
      <c r="J153" s="32" t="n">
        <v>2.82</v>
      </c>
      <c r="K153" s="32" t="n">
        <v>1383593</v>
      </c>
      <c r="L153" s="31" t="n">
        <v>19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56.88</v>
      </c>
      <c r="P153" s="32" t="n">
        <v>26.25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-3.41</v>
      </c>
      <c r="U153" s="32" t="n">
        <v>3.92</v>
      </c>
      <c r="V153" s="32" t="n">
        <v>7.59</v>
      </c>
      <c r="W153" s="32" t="n">
        <v>2.31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IF(B154=0,"",RANK(B154,$B$2:$B$358,0))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XPROINDIA</t>
        </is>
      </c>
      <c r="D154" s="31" t="inlineStr">
        <is>
          <t>Xpro India Limited</t>
        </is>
      </c>
      <c r="E154" s="31" t="inlineStr">
        <is>
          <t>industrials</t>
        </is>
      </c>
      <c r="F154" s="31" t="inlineStr">
        <is>
          <t>packaging</t>
        </is>
      </c>
      <c r="G154" s="31" t="inlineStr">
        <is>
          <t>smallcap</t>
        </is>
      </c>
      <c r="H154" s="32" t="n">
        <v>3110.06</v>
      </c>
      <c r="I154" s="32" t="n">
        <v>1362</v>
      </c>
      <c r="J154" s="32" t="n">
        <v>2.78</v>
      </c>
      <c r="K154" s="32" t="n">
        <v>340774</v>
      </c>
      <c r="L154" s="31" t="n">
        <v>32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56.21</v>
      </c>
      <c r="P154" s="32" t="n">
        <v>40.04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-3.41</v>
      </c>
      <c r="U154" s="32" t="n">
        <v>8.289999999999999</v>
      </c>
      <c r="V154" s="32" t="n">
        <v>12.11</v>
      </c>
      <c r="W154" s="32" t="n">
        <v>5.57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IF(B155=0,"",RANK(B155,$B$2:$B$358,0))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RGL</t>
        </is>
      </c>
      <c r="D155" s="31" t="inlineStr">
        <is>
          <t>Renaissance Global Ltd</t>
        </is>
      </c>
      <c r="E155" s="31" t="inlineStr">
        <is>
          <t>consumer discretionary</t>
        </is>
      </c>
      <c r="F155" s="31" t="inlineStr">
        <is>
          <t>diamond cutting / jewellery</t>
        </is>
      </c>
      <c r="G155" s="31" t="inlineStr">
        <is>
          <t>smallcap</t>
        </is>
      </c>
      <c r="H155" s="32" t="n">
        <v>1602.58</v>
      </c>
      <c r="I155" s="32" t="n">
        <v>153.1</v>
      </c>
      <c r="J155" s="32" t="n">
        <v>2.57</v>
      </c>
      <c r="K155" s="32" t="n">
        <v>1856449</v>
      </c>
      <c r="L155" s="31" t="n">
        <v>68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72.08</v>
      </c>
      <c r="P155" s="32" t="n">
        <v>24.09</v>
      </c>
      <c r="Q155" s="32" t="inlineStr"/>
      <c r="R155" s="31" t="inlineStr">
        <is>
          <t>Earnings / Momentum Support</t>
        </is>
      </c>
      <c r="S155" s="31" t="inlineStr">
        <is>
          <t>Nifty 50</t>
        </is>
      </c>
      <c r="T155" s="32" t="n">
        <v>-3.41</v>
      </c>
      <c r="U155" s="32" t="n">
        <v>31.88</v>
      </c>
      <c r="V155" s="32" t="n">
        <v>36.53</v>
      </c>
      <c r="W155" s="32" t="n">
        <v>17.21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IF(B156=0,"",RANK(B156,$B$2:$B$358,0))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GOCLCORP</t>
        </is>
      </c>
      <c r="D156" s="31" t="inlineStr">
        <is>
          <t>Gocl Corporation Limited</t>
        </is>
      </c>
      <c r="E156" s="31" t="inlineStr">
        <is>
          <t>miscellaneous</t>
        </is>
      </c>
      <c r="F156" s="31" t="inlineStr">
        <is>
          <t>diversified - medium / small</t>
        </is>
      </c>
      <c r="G156" s="31" t="inlineStr">
        <is>
          <t>smallcap</t>
        </is>
      </c>
      <c r="H156" s="32" t="n">
        <v>2118.98</v>
      </c>
      <c r="I156" s="32" t="n">
        <v>436.95</v>
      </c>
      <c r="J156" s="32" t="n">
        <v>2.22</v>
      </c>
      <c r="K156" s="32" t="n">
        <v>182392</v>
      </c>
      <c r="L156" s="31" t="n">
        <v>42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61.85</v>
      </c>
      <c r="P156" s="32" t="n">
        <v>47.35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-3.41</v>
      </c>
      <c r="U156" s="32" t="n">
        <v>18.88</v>
      </c>
      <c r="V156" s="32" t="n">
        <v>23.08</v>
      </c>
      <c r="W156" s="32" t="n">
        <v>7.94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IF(B157=0,"",RANK(B157,$B$2:$B$358,0))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ARVIND</t>
        </is>
      </c>
      <c r="D157" s="31" t="inlineStr">
        <is>
          <t>Arvind Limited</t>
        </is>
      </c>
      <c r="E157" s="31" t="inlineStr">
        <is>
          <t>textiles</t>
        </is>
      </c>
      <c r="F157" s="31" t="inlineStr">
        <is>
          <t>textiles - cotton/blended</t>
        </is>
      </c>
      <c r="G157" s="31" t="inlineStr">
        <is>
          <t>midcap</t>
        </is>
      </c>
      <c r="H157" s="32" t="n">
        <v>15042.49</v>
      </c>
      <c r="I157" s="32" t="n">
        <v>564.5</v>
      </c>
      <c r="J157" s="32" t="n">
        <v>2.09</v>
      </c>
      <c r="K157" s="32" t="n">
        <v>478679</v>
      </c>
      <c r="L157" s="31" t="n">
        <v>69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65.62</v>
      </c>
      <c r="P157" s="32" t="n">
        <v>59.4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-3.41</v>
      </c>
      <c r="U157" s="32" t="n">
        <v>92.86</v>
      </c>
      <c r="V157" s="32" t="n">
        <v>99.67</v>
      </c>
      <c r="W157" s="32" t="n">
        <v>17.57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IF(B158=0,"",RANK(B158,$B$2:$B$358,0))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THEJO</t>
        </is>
      </c>
      <c r="D158" s="31" t="inlineStr">
        <is>
          <t>Thejo Engineering Ltd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smallcap</t>
        </is>
      </c>
      <c r="H158" s="32" t="n">
        <v>2305.41</v>
      </c>
      <c r="I158" s="32" t="n">
        <v>2160.2</v>
      </c>
      <c r="J158" s="32" t="n">
        <v>1.64</v>
      </c>
      <c r="K158" s="32" t="n">
        <v>19040</v>
      </c>
      <c r="L158" s="31" t="n">
        <v>52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63.67</v>
      </c>
      <c r="P158" s="32" t="n">
        <v>36</v>
      </c>
      <c r="Q158" s="32" t="inlineStr"/>
      <c r="R158" s="31" t="inlineStr">
        <is>
          <t>Earnings / Momentum Support</t>
        </is>
      </c>
      <c r="S158" s="31" t="inlineStr">
        <is>
          <t>Nifty 50</t>
        </is>
      </c>
      <c r="T158" s="32" t="n">
        <v>-3.41</v>
      </c>
      <c r="U158" s="32" t="n">
        <v>10.89</v>
      </c>
      <c r="V158" s="32" t="n">
        <v>14.8</v>
      </c>
      <c r="W158" s="32" t="n">
        <v>11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IF(B159=0,"",RANK(B159,$B$2:$B$358,0))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SKYGOLD</t>
        </is>
      </c>
      <c r="D159" s="31" t="inlineStr">
        <is>
          <t>Sky Gold Ltd</t>
        </is>
      </c>
      <c r="E159" s="31" t="inlineStr">
        <is>
          <t>consumer discretionary</t>
        </is>
      </c>
      <c r="F159" s="31" t="inlineStr">
        <is>
          <t>diamond cutting / jewellery</t>
        </is>
      </c>
      <c r="G159" s="31" t="inlineStr">
        <is>
          <t>midcap</t>
        </is>
      </c>
      <c r="H159" s="32" t="n">
        <v>12102.62</v>
      </c>
      <c r="I159" s="32" t="n">
        <v>788.15</v>
      </c>
      <c r="J159" s="32" t="n">
        <v>0.86</v>
      </c>
      <c r="K159" s="32" t="n">
        <v>683200</v>
      </c>
      <c r="L159" s="31" t="n">
        <v>93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76.01000000000001</v>
      </c>
      <c r="P159" s="32" t="n">
        <v>66.05</v>
      </c>
      <c r="Q159" s="32" t="inlineStr"/>
      <c r="R159" s="31" t="inlineStr">
        <is>
          <t>Earnings / Momentum Support</t>
        </is>
      </c>
      <c r="S159" s="31" t="inlineStr">
        <is>
          <t>Nifty 50</t>
        </is>
      </c>
      <c r="T159" s="32" t="n">
        <v>-3.41</v>
      </c>
      <c r="U159" s="32" t="n">
        <v>180.14</v>
      </c>
      <c r="V159" s="32" t="n">
        <v>190.03</v>
      </c>
      <c r="W159" s="32" t="n">
        <v>34.61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IF(B160=0,"",RANK(B160,$B$2:$B$358,0))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WELCORP</t>
        </is>
      </c>
      <c r="D160" s="31" t="inlineStr">
        <is>
          <t>Welspun Corp Limited</t>
        </is>
      </c>
      <c r="E160" s="31" t="inlineStr">
        <is>
          <t>industrials</t>
        </is>
      </c>
      <c r="F160" s="31" t="inlineStr">
        <is>
          <t>steel - large</t>
        </is>
      </c>
      <c r="G160" s="31" t="inlineStr">
        <is>
          <t>largecap</t>
        </is>
      </c>
      <c r="H160" s="32" t="n">
        <v>68337.60000000001</v>
      </c>
      <c r="I160" s="32" t="n">
        <v>2597.9</v>
      </c>
      <c r="J160" s="32" t="n">
        <v>0.28</v>
      </c>
      <c r="K160" s="32" t="n">
        <v>1503451</v>
      </c>
      <c r="L160" s="31" t="n">
        <v>83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94.68000000000001</v>
      </c>
      <c r="P160" s="32" t="n">
        <v>77.02</v>
      </c>
      <c r="Q160" s="32" t="inlineStr"/>
      <c r="R160" s="31" t="inlineStr">
        <is>
          <t>Earnings / Momentum Support</t>
        </is>
      </c>
      <c r="S160" s="31" t="inlineStr">
        <is>
          <t>Nifty Metal</t>
        </is>
      </c>
      <c r="T160" s="32" t="n">
        <v>31.49</v>
      </c>
      <c r="U160" s="32" t="n">
        <v>71.81999999999999</v>
      </c>
      <c r="V160" s="32" t="n">
        <v>30.67</v>
      </c>
      <c r="W160" s="32" t="n">
        <v>23.89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IF(B161=0,"",RANK(B161,$B$2:$B$358,0))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PANACHE</t>
        </is>
      </c>
      <c r="D161" s="31" t="inlineStr">
        <is>
          <t>Panache Digilife Ltd</t>
        </is>
      </c>
      <c r="E161" s="31" t="inlineStr">
        <is>
          <t>i.t</t>
        </is>
      </c>
      <c r="F161" s="31" t="inlineStr">
        <is>
          <t>computers - hardware</t>
        </is>
      </c>
      <c r="G161" s="31" t="inlineStr">
        <is>
          <t>smallcap</t>
        </is>
      </c>
      <c r="H161" s="32" t="n">
        <v>840.74</v>
      </c>
      <c r="I161" s="32" t="n">
        <v>526</v>
      </c>
      <c r="J161" s="32" t="n">
        <v>0.19</v>
      </c>
      <c r="K161" s="32" t="n">
        <v>6263</v>
      </c>
      <c r="L161" s="31" t="n">
        <v>88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70.98</v>
      </c>
      <c r="P161" s="32" t="n">
        <v>35.23</v>
      </c>
      <c r="Q161" s="32" t="inlineStr"/>
      <c r="R161" s="31" t="inlineStr">
        <is>
          <t>Earnings / Momentum Support</t>
        </is>
      </c>
      <c r="S161" s="31" t="inlineStr">
        <is>
          <t>Nifty IT</t>
        </is>
      </c>
      <c r="T161" s="32" t="n">
        <v>-11.38</v>
      </c>
      <c r="U161" s="32" t="n">
        <v>107.17</v>
      </c>
      <c r="V161" s="32" t="n">
        <v>133.76</v>
      </c>
      <c r="W161" s="32" t="n">
        <v>27.26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IF(B162=0,"",RANK(B162,$B$2:$B$358,0))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NOCIL</t>
        </is>
      </c>
      <c r="D162" s="33" t="inlineStr">
        <is>
          <t>Nocil Limited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smallcap</t>
        </is>
      </c>
      <c r="H162" s="32" t="n">
        <v>2880.18</v>
      </c>
      <c r="I162" s="32" t="n">
        <v>172.23</v>
      </c>
      <c r="J162" s="32" t="n">
        <v>-0.12</v>
      </c>
      <c r="K162" s="32" t="n">
        <v>416468</v>
      </c>
      <c r="L162" s="31" t="n">
        <v>16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54.35</v>
      </c>
      <c r="P162" s="32" t="n">
        <v>20.2</v>
      </c>
      <c r="Q162" s="32" t="inlineStr"/>
      <c r="R162" s="31" t="inlineStr">
        <is>
          <t>Earnings / Momentum Support</t>
        </is>
      </c>
      <c r="S162" s="31" t="inlineStr">
        <is>
          <t>Nifty 50</t>
        </is>
      </c>
      <c r="T162" s="32" t="n">
        <v>-3.41</v>
      </c>
      <c r="U162" s="32" t="n">
        <v>-3.86</v>
      </c>
      <c r="V162" s="32" t="n">
        <v>-0.47</v>
      </c>
      <c r="W162" s="32" t="n">
        <v>1.7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IF(B163=0,"",RANK(B163,$B$2:$B$358,0))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RACLGEAR</t>
        </is>
      </c>
      <c r="D163" s="31" t="inlineStr">
        <is>
          <t>RACL Geartech Ltd</t>
        </is>
      </c>
      <c r="E163" s="31" t="inlineStr">
        <is>
          <t>auto</t>
        </is>
      </c>
      <c r="F163" s="31" t="inlineStr">
        <is>
          <t>auto ancillaries</t>
        </is>
      </c>
      <c r="G163" s="31" t="inlineStr">
        <is>
          <t>smallcap</t>
        </is>
      </c>
      <c r="H163" s="32" t="n">
        <v>1857.92</v>
      </c>
      <c r="I163" s="32" t="n">
        <v>1573.7</v>
      </c>
      <c r="J163" s="32" t="n">
        <v>-0.15</v>
      </c>
      <c r="K163" s="32" t="n">
        <v>27158</v>
      </c>
      <c r="L163" s="31" t="n">
        <v>45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62.48</v>
      </c>
      <c r="P163" s="32" t="n">
        <v>50.35</v>
      </c>
      <c r="Q163" s="32" t="inlineStr"/>
      <c r="R163" s="31" t="inlineStr">
        <is>
          <t>Earnings / Momentum Support</t>
        </is>
      </c>
      <c r="S163" s="31" t="inlineStr">
        <is>
          <t>Nifty Auto</t>
        </is>
      </c>
      <c r="T163" s="32" t="n">
        <v>13.41</v>
      </c>
      <c r="U163" s="32" t="n">
        <v>47.44</v>
      </c>
      <c r="V163" s="32" t="n">
        <v>30</v>
      </c>
      <c r="W163" s="32" t="n">
        <v>8.640000000000001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IF(B164=0,"",RANK(B164,$B$2:$B$358,0))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SUTLEJTEX</t>
        </is>
      </c>
      <c r="D164" s="31" t="inlineStr">
        <is>
          <t>Sutlej Textiles And Industries Limited</t>
        </is>
      </c>
      <c r="E164" s="31" t="inlineStr">
        <is>
          <t>textiles</t>
        </is>
      </c>
      <c r="F164" s="31" t="inlineStr">
        <is>
          <t>textiles - cotton/blended</t>
        </is>
      </c>
      <c r="G164" s="31" t="inlineStr">
        <is>
          <t>smallcap</t>
        </is>
      </c>
      <c r="H164" s="32" t="n">
        <v>669.9</v>
      </c>
      <c r="I164" s="32" t="n">
        <v>40.75</v>
      </c>
      <c r="J164" s="32" t="n">
        <v>-0.34</v>
      </c>
      <c r="K164" s="32" t="n">
        <v>68622</v>
      </c>
      <c r="L164" s="31" t="n">
        <v>26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62.64</v>
      </c>
      <c r="P164" s="32" t="n">
        <v>28.91</v>
      </c>
      <c r="Q164" s="32" t="inlineStr"/>
      <c r="R164" s="31" t="inlineStr">
        <is>
          <t>Earnings / Momentum Support</t>
        </is>
      </c>
      <c r="S164" s="31" t="inlineStr">
        <is>
          <t>Nifty 50</t>
        </is>
      </c>
      <c r="T164" s="32" t="n">
        <v>-3.41</v>
      </c>
      <c r="U164" s="32" t="n">
        <v>8.630000000000001</v>
      </c>
      <c r="V164" s="32" t="n">
        <v>12.47</v>
      </c>
      <c r="W164" s="32" t="n">
        <v>3.87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IF(B165=0,"",RANK(B165,$B$2:$B$358,0))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QUADFUTURE</t>
        </is>
      </c>
      <c r="D165" s="33" t="inlineStr">
        <is>
          <t>Quadrant Future Tek Ltd</t>
        </is>
      </c>
      <c r="E165" s="31" t="inlineStr">
        <is>
          <t>industrials</t>
        </is>
      </c>
      <c r="F165" s="31" t="inlineStr">
        <is>
          <t>cables - power</t>
        </is>
      </c>
      <c r="G165" s="31" t="inlineStr">
        <is>
          <t>smallcap</t>
        </is>
      </c>
      <c r="H165" s="32" t="n">
        <v>1671.6</v>
      </c>
      <c r="I165" s="32" t="n">
        <v>415.65</v>
      </c>
      <c r="J165" s="32" t="n">
        <v>-0.54</v>
      </c>
      <c r="K165" s="32" t="n">
        <v>432652</v>
      </c>
      <c r="L165" s="31" t="n">
        <v>14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58.68</v>
      </c>
      <c r="P165" s="32" t="n">
        <v>36.67</v>
      </c>
      <c r="Q165" s="32" t="inlineStr"/>
      <c r="R165" s="31" t="inlineStr">
        <is>
          <t>Earnings / Momentum Support</t>
        </is>
      </c>
      <c r="S165" s="31" t="inlineStr">
        <is>
          <t>Nifty Energy</t>
        </is>
      </c>
      <c r="T165" s="32" t="n">
        <v>8.41</v>
      </c>
      <c r="U165" s="32" t="n">
        <v>-21.81</v>
      </c>
      <c r="V165" s="32" t="n">
        <v>-27.87</v>
      </c>
      <c r="W165" s="32" t="n">
        <v>1.4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IF(B166=0,"",RANK(B166,$B$2:$B$358,0))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ORIENTHOT</t>
        </is>
      </c>
      <c r="D166" s="31" t="inlineStr">
        <is>
          <t>Oriental Hotels Limited</t>
        </is>
      </c>
      <c r="E166" s="31" t="inlineStr">
        <is>
          <t>services</t>
        </is>
      </c>
      <c r="F166" s="31" t="inlineStr">
        <is>
          <t>hotels</t>
        </is>
      </c>
      <c r="G166" s="31" t="inlineStr">
        <is>
          <t>smallcap</t>
        </is>
      </c>
      <c r="H166" s="32" t="n">
        <v>2499.14</v>
      </c>
      <c r="I166" s="32" t="n">
        <v>139.11</v>
      </c>
      <c r="J166" s="32" t="n">
        <v>-0.59</v>
      </c>
      <c r="K166" s="32" t="n">
        <v>347072</v>
      </c>
      <c r="L166" s="31" t="n">
        <v>49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62.91</v>
      </c>
      <c r="P166" s="32" t="n">
        <v>40.19</v>
      </c>
      <c r="Q166" s="32" t="inlineStr"/>
      <c r="R166" s="31" t="inlineStr">
        <is>
          <t>Earnings / Momentum Support</t>
        </is>
      </c>
      <c r="S166" s="31" t="inlineStr">
        <is>
          <t>Nifty 50</t>
        </is>
      </c>
      <c r="T166" s="32" t="n">
        <v>-3.41</v>
      </c>
      <c r="U166" s="32" t="n">
        <v>0.25</v>
      </c>
      <c r="V166" s="32" t="n">
        <v>3.78</v>
      </c>
      <c r="W166" s="32" t="n">
        <v>9.609999999999999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IF(B167=0,"",RANK(B167,$B$2:$B$358,0))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RSWM</t>
        </is>
      </c>
      <c r="D167" s="31" t="inlineStr">
        <is>
          <t>Rswm Limited</t>
        </is>
      </c>
      <c r="E167" s="31" t="inlineStr">
        <is>
          <t>textiles</t>
        </is>
      </c>
      <c r="F167" s="31" t="inlineStr">
        <is>
          <t>textiles - cotton/blended</t>
        </is>
      </c>
      <c r="G167" s="31" t="inlineStr">
        <is>
          <t>smallcap</t>
        </is>
      </c>
      <c r="H167" s="32" t="n">
        <v>1039.2</v>
      </c>
      <c r="I167" s="32" t="n">
        <v>217.69</v>
      </c>
      <c r="J167" s="32" t="n">
        <v>-1.33</v>
      </c>
      <c r="K167" s="32" t="n">
        <v>35426</v>
      </c>
      <c r="L167" s="31" t="n">
        <v>51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64.75</v>
      </c>
      <c r="P167" s="32" t="n">
        <v>48.19</v>
      </c>
      <c r="Q167" s="32" t="inlineStr"/>
      <c r="R167" s="31" t="inlineStr">
        <is>
          <t>Earnings / Momentum Support</t>
        </is>
      </c>
      <c r="S167" s="31" t="inlineStr">
        <is>
          <t>Nifty 50</t>
        </is>
      </c>
      <c r="T167" s="32" t="n">
        <v>-3.41</v>
      </c>
      <c r="U167" s="32" t="n">
        <v>43.39</v>
      </c>
      <c r="V167" s="32" t="n">
        <v>48.45</v>
      </c>
      <c r="W167" s="32" t="n">
        <v>10.76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IF(B168=0,"",RANK(B168,$B$2:$B$358,0))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MATRIMONY</t>
        </is>
      </c>
      <c r="D168" s="31" t="inlineStr">
        <is>
          <t>Matrimony.com Ltd</t>
        </is>
      </c>
      <c r="E168" s="31" t="inlineStr">
        <is>
          <t>miscellaneous</t>
        </is>
      </c>
      <c r="F168" s="31" t="inlineStr">
        <is>
          <t>miscellaneous</t>
        </is>
      </c>
      <c r="G168" s="31" t="inlineStr">
        <is>
          <t>smallcap</t>
        </is>
      </c>
      <c r="H168" s="32" t="n">
        <v>1093.73</v>
      </c>
      <c r="I168" s="32" t="n">
        <v>521.45</v>
      </c>
      <c r="J168" s="32" t="n">
        <v>-1.44</v>
      </c>
      <c r="K168" s="32" t="n">
        <v>7444</v>
      </c>
      <c r="L168" s="31" t="n">
        <v>43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64.56999999999999</v>
      </c>
      <c r="P168" s="32" t="n">
        <v>32.97</v>
      </c>
      <c r="Q168" s="32" t="inlineStr"/>
      <c r="R168" s="31" t="inlineStr">
        <is>
          <t>Earnings / Momentum Support</t>
        </is>
      </c>
      <c r="S168" s="31" t="inlineStr">
        <is>
          <t>Nifty 50</t>
        </is>
      </c>
      <c r="T168" s="32" t="n">
        <v>-3.41</v>
      </c>
      <c r="U168" s="32" t="n">
        <v>4.8</v>
      </c>
      <c r="V168" s="32" t="n">
        <v>8.5</v>
      </c>
      <c r="W168" s="32" t="n">
        <v>8.210000000000001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IF(B169=0,"",RANK(B169,$B$2:$B$358,0))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VRLLOG</t>
        </is>
      </c>
      <c r="D169" s="31" t="inlineStr">
        <is>
          <t>Vrl Logistics Limited</t>
        </is>
      </c>
      <c r="E169" s="31" t="inlineStr">
        <is>
          <t>transportation</t>
        </is>
      </c>
      <c r="F169" s="31" t="inlineStr">
        <is>
          <t>miscellaneous</t>
        </is>
      </c>
      <c r="G169" s="31" t="inlineStr">
        <is>
          <t>midcap</t>
        </is>
      </c>
      <c r="H169" s="32" t="n">
        <v>5207.87</v>
      </c>
      <c r="I169" s="32" t="n">
        <v>292.75</v>
      </c>
      <c r="J169" s="32" t="n">
        <v>-1.66</v>
      </c>
      <c r="K169" s="32" t="n">
        <v>144481</v>
      </c>
      <c r="L169" s="31" t="n">
        <v>46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65.43000000000001</v>
      </c>
      <c r="P169" s="32" t="n">
        <v>25.23</v>
      </c>
      <c r="Q169" s="32" t="inlineStr"/>
      <c r="R169" s="31" t="inlineStr">
        <is>
          <t>Earnings / Momentum Support</t>
        </is>
      </c>
      <c r="S169" s="31" t="inlineStr">
        <is>
          <t>Nifty 50</t>
        </is>
      </c>
      <c r="T169" s="32" t="n">
        <v>-3.41</v>
      </c>
      <c r="U169" s="32" t="n">
        <v>14.67</v>
      </c>
      <c r="V169" s="32" t="n">
        <v>18.72</v>
      </c>
      <c r="W169" s="32" t="n">
        <v>8.92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IF(B170=0,"",RANK(B170,$B$2:$B$358,0))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NITINSPIN</t>
        </is>
      </c>
      <c r="D170" s="31" t="inlineStr">
        <is>
          <t>Nitin Spinners Limited</t>
        </is>
      </c>
      <c r="E170" s="31" t="inlineStr">
        <is>
          <t>textiles</t>
        </is>
      </c>
      <c r="F170" s="31" t="inlineStr">
        <is>
          <t>textiles - cotton/blended</t>
        </is>
      </c>
      <c r="G170" s="31" t="inlineStr">
        <is>
          <t>smallcap</t>
        </is>
      </c>
      <c r="H170" s="32" t="n">
        <v>3592.74</v>
      </c>
      <c r="I170" s="32" t="n">
        <v>627.45</v>
      </c>
      <c r="J170" s="32" t="n">
        <v>-1.82</v>
      </c>
      <c r="K170" s="32" t="n">
        <v>38469</v>
      </c>
      <c r="L170" s="31" t="n">
        <v>73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75.06</v>
      </c>
      <c r="P170" s="32" t="n">
        <v>64.19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-3.41</v>
      </c>
      <c r="U170" s="32" t="n">
        <v>93.68000000000001</v>
      </c>
      <c r="V170" s="32" t="n">
        <v>100.52</v>
      </c>
      <c r="W170" s="32" t="n">
        <v>19.14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IF(B171=0,"",RANK(B171,$B$2:$B$358,0))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GHCLTEXTIL</t>
        </is>
      </c>
      <c r="D171" s="31" t="inlineStr">
        <is>
          <t>GHCL Textiles Ltd</t>
        </is>
      </c>
      <c r="E171" s="31" t="inlineStr">
        <is>
          <t>textiles</t>
        </is>
      </c>
      <c r="F171" s="31" t="inlineStr">
        <is>
          <t>textiles - spinning - synthetic / blended</t>
        </is>
      </c>
      <c r="G171" s="31" t="inlineStr">
        <is>
          <t>smallcap</t>
        </is>
      </c>
      <c r="H171" s="32" t="n">
        <v>1306.85</v>
      </c>
      <c r="I171" s="32" t="n">
        <v>133.36</v>
      </c>
      <c r="J171" s="32" t="n">
        <v>-2.46</v>
      </c>
      <c r="K171" s="32" t="n">
        <v>359899</v>
      </c>
      <c r="L171" s="31" t="n">
        <v>79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77.13</v>
      </c>
      <c r="P171" s="32" t="n">
        <v>45.85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-3.41</v>
      </c>
      <c r="U171" s="32" t="n">
        <v>79.70999999999999</v>
      </c>
      <c r="V171" s="32" t="n">
        <v>86.06</v>
      </c>
      <c r="W171" s="32" t="n">
        <v>21.92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IF(B172=0,"",RANK(B172,$B$2:$B$358,0))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ARIES</t>
        </is>
      </c>
      <c r="D172" s="31" t="inlineStr">
        <is>
          <t>Aries Agro Limited</t>
        </is>
      </c>
      <c r="E172" s="31" t="inlineStr">
        <is>
          <t>chemicals</t>
        </is>
      </c>
      <c r="F172" s="31" t="inlineStr">
        <is>
          <t>fertilizers</t>
        </is>
      </c>
      <c r="G172" s="31" t="inlineStr">
        <is>
          <t>smallcap</t>
        </is>
      </c>
      <c r="H172" s="32" t="n">
        <v>650.35</v>
      </c>
      <c r="I172" s="32" t="n">
        <v>485.95</v>
      </c>
      <c r="J172" s="32" t="n">
        <v>-2.83</v>
      </c>
      <c r="K172" s="32" t="n">
        <v>113668</v>
      </c>
      <c r="L172" s="31" t="n">
        <v>66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79.88</v>
      </c>
      <c r="P172" s="32" t="n">
        <v>24.69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-3.41</v>
      </c>
      <c r="U172" s="32" t="n">
        <v>21.25</v>
      </c>
      <c r="V172" s="32" t="n">
        <v>25.53</v>
      </c>
      <c r="W172" s="32" t="n">
        <v>16.67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IF(B173=0,"",RANK(B173,$B$2:$B$358,0))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SETL</t>
        </is>
      </c>
      <c r="D173" s="31" t="inlineStr">
        <is>
          <t>Standard Enginnering Technology Ltd</t>
        </is>
      </c>
      <c r="E173" s="31" t="inlineStr">
        <is>
          <t>industrials</t>
        </is>
      </c>
      <c r="F173" s="31" t="inlineStr">
        <is>
          <t>engineering</t>
        </is>
      </c>
      <c r="G173" s="31" t="inlineStr">
        <is>
          <t>midcap</t>
        </is>
      </c>
      <c r="H173" s="32" t="n">
        <v>8158.21</v>
      </c>
      <c r="I173" s="32" t="n">
        <v>388.55</v>
      </c>
      <c r="J173" s="32" t="n">
        <v>-4.99</v>
      </c>
      <c r="K173" s="32" t="n">
        <v>1261874</v>
      </c>
      <c r="L173" s="31" t="n">
        <v>94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89.53</v>
      </c>
      <c r="P173" s="32" t="n">
        <v>67.5</v>
      </c>
      <c r="Q173" s="32" t="inlineStr"/>
      <c r="R173" s="31" t="inlineStr">
        <is>
          <t>Earnings / Momentum Support</t>
        </is>
      </c>
      <c r="S173" s="31" t="inlineStr">
        <is>
          <t>Nifty Infra</t>
        </is>
      </c>
      <c r="T173" s="32" t="n">
        <v>1.74</v>
      </c>
      <c r="U173" s="32" t="n">
        <v>52.76</v>
      </c>
      <c r="V173" s="32" t="n">
        <v>50.14</v>
      </c>
      <c r="W173" s="32" t="n">
        <v>37.4</v>
      </c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IF(B174=0,"",RANK(B174,$B$2:$B$358,0))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ANUHPHR</t>
        </is>
      </c>
      <c r="D174" s="33" t="inlineStr">
        <is>
          <t>Anuh Pharma Ltd</t>
        </is>
      </c>
      <c r="E174" s="31" t="inlineStr">
        <is>
          <t>healthcare</t>
        </is>
      </c>
      <c r="F174" s="31" t="inlineStr">
        <is>
          <t>pharmaceuticals - indian - bulk drugs</t>
        </is>
      </c>
      <c r="G174" s="31" t="inlineStr">
        <is>
          <t>smallcap</t>
        </is>
      </c>
      <c r="H174" s="32" t="n">
        <v>812.8200000000001</v>
      </c>
      <c r="I174" s="32" t="n">
        <v>90.29000000000001</v>
      </c>
      <c r="J174" s="32" t="n">
        <v>11.33</v>
      </c>
      <c r="K174" s="32" t="n">
        <v>1069062</v>
      </c>
      <c r="L174" s="31" t="n">
        <v>15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54.91</v>
      </c>
      <c r="P174" s="32" t="n">
        <v>11.04</v>
      </c>
      <c r="Q174" s="32" t="inlineStr"/>
      <c r="R174" s="31" t="inlineStr">
        <is>
          <t>Volume Spike / Accumulation</t>
        </is>
      </c>
      <c r="S174" s="31" t="inlineStr">
        <is>
          <t>Nifty Pharma</t>
        </is>
      </c>
      <c r="T174" s="32" t="n">
        <v>20.77</v>
      </c>
      <c r="U174" s="32" t="n">
        <v>-2.28</v>
      </c>
      <c r="V174" s="32" t="n">
        <v>-19.08</v>
      </c>
      <c r="W174" s="32" t="n">
        <v>1.5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IF(B175=0,"",RANK(B175,$B$2:$B$358,0))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SUPRIYA</t>
        </is>
      </c>
      <c r="D175" s="31" t="inlineStr">
        <is>
          <t>Supriya Lifescience Ltd</t>
        </is>
      </c>
      <c r="E175" s="31" t="inlineStr">
        <is>
          <t>healthcare</t>
        </is>
      </c>
      <c r="F175" s="31" t="inlineStr">
        <is>
          <t>pharmaceuticals - indian - bulk drugs &amp; formln</t>
        </is>
      </c>
      <c r="G175" s="31" t="inlineStr">
        <is>
          <t>midcap</t>
        </is>
      </c>
      <c r="H175" s="32" t="n">
        <v>6863.98</v>
      </c>
      <c r="I175" s="32" t="n">
        <v>909.1</v>
      </c>
      <c r="J175" s="32" t="n">
        <v>6.6</v>
      </c>
      <c r="K175" s="32" t="n">
        <v>1225649</v>
      </c>
      <c r="L175" s="31" t="n">
        <v>34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54.35</v>
      </c>
      <c r="P175" s="32" t="n">
        <v>40.85</v>
      </c>
      <c r="Q175" s="32" t="inlineStr"/>
      <c r="R175" s="31" t="inlineStr">
        <is>
          <t>Earnings / Momentum Support</t>
        </is>
      </c>
      <c r="S175" s="31" t="inlineStr">
        <is>
          <t>Nifty Pharma</t>
        </is>
      </c>
      <c r="T175" s="32" t="n">
        <v>20.77</v>
      </c>
      <c r="U175" s="32" t="n">
        <v>31.05</v>
      </c>
      <c r="V175" s="32" t="n">
        <v>8.51</v>
      </c>
      <c r="W175" s="32" t="n">
        <v>5.95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IF(B176=0,"",RANK(B176,$B$2:$B$358,0))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BALRAMCHIN</t>
        </is>
      </c>
      <c r="D176" s="31" t="inlineStr">
        <is>
          <t>Balrampur Chini Mills Limited</t>
        </is>
      </c>
      <c r="E176" s="31" t="inlineStr">
        <is>
          <t>fmcg</t>
        </is>
      </c>
      <c r="F176" s="31" t="inlineStr">
        <is>
          <t>sugar</t>
        </is>
      </c>
      <c r="G176" s="31" t="inlineStr">
        <is>
          <t>midcap</t>
        </is>
      </c>
      <c r="H176" s="32" t="n">
        <v>14590.11</v>
      </c>
      <c r="I176" s="32" t="n">
        <v>711.55</v>
      </c>
      <c r="J176" s="32" t="n">
        <v>3.03</v>
      </c>
      <c r="K176" s="32" t="n">
        <v>5509645</v>
      </c>
      <c r="L176" s="31" t="n">
        <v>35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67.19</v>
      </c>
      <c r="P176" s="32" t="n">
        <v>56.4</v>
      </c>
      <c r="Q176" s="32" t="inlineStr"/>
      <c r="R176" s="31" t="inlineStr">
        <is>
          <t>Earnings / Momentum Support</t>
        </is>
      </c>
      <c r="S176" s="31" t="inlineStr">
        <is>
          <t>Nifty FMCG</t>
        </is>
      </c>
      <c r="T176" s="32" t="n">
        <v>-13.73</v>
      </c>
      <c r="U176" s="32" t="n">
        <v>-1.41</v>
      </c>
      <c r="V176" s="32" t="n">
        <v>14.28</v>
      </c>
      <c r="W176" s="32" t="n">
        <v>6.14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IF(B177=0,"",RANK(B177,$B$2:$B$358,0))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DBOL</t>
        </is>
      </c>
      <c r="D177" s="31" t="inlineStr">
        <is>
          <t>Dhampur Bio Organics Ltd</t>
        </is>
      </c>
      <c r="E177" s="31" t="inlineStr">
        <is>
          <t>fmcg</t>
        </is>
      </c>
      <c r="F177" s="31" t="inlineStr">
        <is>
          <t>sugar</t>
        </is>
      </c>
      <c r="G177" s="31" t="inlineStr">
        <is>
          <t>smallcap</t>
        </is>
      </c>
      <c r="H177" s="32" t="n">
        <v>829.78</v>
      </c>
      <c r="I177" s="32" t="n">
        <v>127.52</v>
      </c>
      <c r="J177" s="32" t="n">
        <v>2.02</v>
      </c>
      <c r="K177" s="32" t="n">
        <v>207124</v>
      </c>
      <c r="L177" s="31" t="n">
        <v>28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61.11</v>
      </c>
      <c r="P177" s="32" t="n">
        <v>38.38</v>
      </c>
      <c r="Q177" s="32" t="inlineStr"/>
      <c r="R177" s="31" t="inlineStr">
        <is>
          <t>Earnings / Momentum Support</t>
        </is>
      </c>
      <c r="S177" s="31" t="inlineStr">
        <is>
          <t>Nifty FMCG</t>
        </is>
      </c>
      <c r="T177" s="32" t="n">
        <v>-13.73</v>
      </c>
      <c r="U177" s="32" t="n">
        <v>9.539999999999999</v>
      </c>
      <c r="V177" s="32" t="n">
        <v>26.97</v>
      </c>
      <c r="W177" s="32" t="n">
        <v>4.56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IF(B178=0,"",RANK(B178,$B$2:$B$358,0))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SMSPHARMA</t>
        </is>
      </c>
      <c r="D178" s="31" t="inlineStr">
        <is>
          <t>Sms Pharmaceuticals Limited</t>
        </is>
      </c>
      <c r="E178" s="31" t="inlineStr">
        <is>
          <t>healthcare</t>
        </is>
      </c>
      <c r="F178" s="31" t="inlineStr">
        <is>
          <t>pharmaceuticals - indian - bulk drugs</t>
        </is>
      </c>
      <c r="G178" s="31" t="inlineStr">
        <is>
          <t>smallcap</t>
        </is>
      </c>
      <c r="H178" s="32" t="n">
        <v>3675.84</v>
      </c>
      <c r="I178" s="32" t="n">
        <v>397.95</v>
      </c>
      <c r="J178" s="32" t="n">
        <v>1.39</v>
      </c>
      <c r="K178" s="32" t="n">
        <v>3870958</v>
      </c>
      <c r="L178" s="31" t="n">
        <v>57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55.74</v>
      </c>
      <c r="P178" s="32" t="n">
        <v>29.79</v>
      </c>
      <c r="Q178" s="32" t="inlineStr"/>
      <c r="R178" s="31" t="inlineStr">
        <is>
          <t>Volume Spike / Accumulation</t>
        </is>
      </c>
      <c r="S178" s="31" t="inlineStr">
        <is>
          <t>Nifty Pharma</t>
        </is>
      </c>
      <c r="T178" s="32" t="n">
        <v>20.77</v>
      </c>
      <c r="U178" s="32" t="n">
        <v>66.37</v>
      </c>
      <c r="V178" s="32" t="n">
        <v>37.76</v>
      </c>
      <c r="W178" s="32" t="n">
        <v>12.76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IF(B179=0,"",RANK(B179,$B$2:$B$358,0))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ONEPOINT</t>
        </is>
      </c>
      <c r="D179" s="31" t="inlineStr">
        <is>
          <t>One Point One Solutions Ltd</t>
        </is>
      </c>
      <c r="E179" s="31" t="inlineStr">
        <is>
          <t>i.t</t>
        </is>
      </c>
      <c r="F179" s="31" t="inlineStr">
        <is>
          <t>computers - software - medium / small</t>
        </is>
      </c>
      <c r="G179" s="31" t="inlineStr">
        <is>
          <t>smallcap</t>
        </is>
      </c>
      <c r="H179" s="32" t="n">
        <v>1499</v>
      </c>
      <c r="I179" s="32" t="n">
        <v>57.73</v>
      </c>
      <c r="J179" s="32" t="n">
        <v>1.26</v>
      </c>
      <c r="K179" s="32" t="n">
        <v>1177260</v>
      </c>
      <c r="L179" s="31" t="n">
        <v>32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52.74</v>
      </c>
      <c r="P179" s="32" t="n">
        <v>10.79</v>
      </c>
      <c r="Q179" s="32" t="inlineStr"/>
      <c r="R179" s="31" t="inlineStr">
        <is>
          <t>Earnings / Momentum Support</t>
        </is>
      </c>
      <c r="S179" s="31" t="inlineStr">
        <is>
          <t>Nifty IT</t>
        </is>
      </c>
      <c r="T179" s="32" t="n">
        <v>-11.38</v>
      </c>
      <c r="U179" s="32" t="n">
        <v>28.49</v>
      </c>
      <c r="V179" s="32" t="n">
        <v>44.98</v>
      </c>
      <c r="W179" s="32" t="n">
        <v>5.6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IF(B180=0,"",RANK(B180,$B$2:$B$358,0))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SUBEXLTD</t>
        </is>
      </c>
      <c r="D180" s="31" t="inlineStr">
        <is>
          <t>Subex Ltd</t>
        </is>
      </c>
      <c r="E180" s="31" t="inlineStr">
        <is>
          <t>i.t</t>
        </is>
      </c>
      <c r="F180" s="31" t="inlineStr">
        <is>
          <t>computers - software - medium / small</t>
        </is>
      </c>
      <c r="G180" s="31" t="inlineStr">
        <is>
          <t>smallcap</t>
        </is>
      </c>
      <c r="H180" s="32" t="n">
        <v>971.14</v>
      </c>
      <c r="I180" s="32" t="n">
        <v>16.74</v>
      </c>
      <c r="J180" s="32" t="n">
        <v>-3.13</v>
      </c>
      <c r="K180" s="32" t="n">
        <v>2594174</v>
      </c>
      <c r="L180" s="31" t="n">
        <v>79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69</v>
      </c>
      <c r="P180" s="32" t="n">
        <v>36.11</v>
      </c>
      <c r="Q180" s="32" t="inlineStr"/>
      <c r="R180" s="31" t="inlineStr">
        <is>
          <t>Earnings / Momentum Support</t>
        </is>
      </c>
      <c r="S180" s="31" t="inlineStr">
        <is>
          <t>Nifty IT</t>
        </is>
      </c>
      <c r="T180" s="32" t="n">
        <v>-11.38</v>
      </c>
      <c r="U180" s="32" t="n">
        <v>33.85</v>
      </c>
      <c r="V180" s="32" t="n">
        <v>51.03</v>
      </c>
      <c r="W180" s="32" t="n">
        <v>21.66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IF(B181=0,"",RANK(B181,$B$2:$B$358,0))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ANDHRAPAP</t>
        </is>
      </c>
      <c r="D181" s="33" t="inlineStr">
        <is>
          <t>Andhra Paper Ltd</t>
        </is>
      </c>
      <c r="E181" s="31" t="inlineStr">
        <is>
          <t>building materials</t>
        </is>
      </c>
      <c r="F181" s="31" t="inlineStr">
        <is>
          <t>paper</t>
        </is>
      </c>
      <c r="G181" s="31" t="inlineStr">
        <is>
          <t>smallcap</t>
        </is>
      </c>
      <c r="H181" s="32" t="n">
        <v>1281.59</v>
      </c>
      <c r="I181" s="32" t="n">
        <v>72.2</v>
      </c>
      <c r="J181" s="32" t="n">
        <v>12.02</v>
      </c>
      <c r="K181" s="32" t="n">
        <v>27336653</v>
      </c>
      <c r="L181" s="31" t="n">
        <v>2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54.16</v>
      </c>
      <c r="P181" s="32" t="n">
        <v>9.98</v>
      </c>
      <c r="Q181" s="32" t="inlineStr"/>
      <c r="R181" s="31" t="inlineStr">
        <is>
          <t>Volume Spike / Accumulation</t>
        </is>
      </c>
      <c r="S181" s="31" t="inlineStr">
        <is>
          <t>Nifty Infra</t>
        </is>
      </c>
      <c r="T181" s="32" t="n">
        <v>1.74</v>
      </c>
      <c r="U181" s="32" t="n">
        <v>-25.32</v>
      </c>
      <c r="V181" s="32" t="n">
        <v>-26.6</v>
      </c>
      <c r="W181" s="32" t="n">
        <v>-7.37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IF(B182=0,"",RANK(B182,$B$2:$B$358,0))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BODALCHEM</t>
        </is>
      </c>
      <c r="D182" s="31" t="inlineStr">
        <is>
          <t>Bodal Chemicals Limited</t>
        </is>
      </c>
      <c r="E182" s="31" t="inlineStr">
        <is>
          <t>chemicals</t>
        </is>
      </c>
      <c r="F182" s="31" t="inlineStr">
        <is>
          <t>dyes and pigments</t>
        </is>
      </c>
      <c r="G182" s="31" t="inlineStr">
        <is>
          <t>smallcap</t>
        </is>
      </c>
      <c r="H182" s="32" t="n">
        <v>1959.94</v>
      </c>
      <c r="I182" s="32" t="n">
        <v>171.18</v>
      </c>
      <c r="J182" s="32" t="n">
        <v>10</v>
      </c>
      <c r="K182" s="32" t="n">
        <v>4910182</v>
      </c>
      <c r="L182" s="31" t="n">
        <v>97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87.09999999999999</v>
      </c>
      <c r="P182" s="32" t="n">
        <v>37.56</v>
      </c>
      <c r="Q182" s="32" t="inlineStr"/>
      <c r="R182" s="31" t="inlineStr">
        <is>
          <t>Earnings / Momentum Support</t>
        </is>
      </c>
      <c r="S182" s="31" t="inlineStr">
        <is>
          <t>Nifty IT</t>
        </is>
      </c>
      <c r="T182" s="32" t="n">
        <v>-11.38</v>
      </c>
      <c r="U182" s="32" t="n">
        <v>138.9</v>
      </c>
      <c r="V182" s="32" t="n">
        <v>169.57</v>
      </c>
      <c r="W182" s="32" t="n">
        <v>52.41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IF(B183=0,"",RANK(B183,$B$2:$B$358,0))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STLTECH</t>
        </is>
      </c>
      <c r="D183" s="31" t="inlineStr">
        <is>
          <t>Sterlite Technologies Limited</t>
        </is>
      </c>
      <c r="E183" s="31" t="inlineStr">
        <is>
          <t>industrials</t>
        </is>
      </c>
      <c r="F183" s="31" t="inlineStr">
        <is>
          <t>cables - telephone</t>
        </is>
      </c>
      <c r="G183" s="31" t="inlineStr">
        <is>
          <t>largecap</t>
        </is>
      </c>
      <c r="H183" s="32" t="n">
        <v>38485.68</v>
      </c>
      <c r="I183" s="32" t="n">
        <v>786.3</v>
      </c>
      <c r="J183" s="32" t="n">
        <v>4.99</v>
      </c>
      <c r="K183" s="32" t="n">
        <v>532828</v>
      </c>
      <c r="L183" s="31" t="n">
        <v>99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77.5</v>
      </c>
      <c r="P183" s="32" t="n">
        <v>73.98999999999999</v>
      </c>
      <c r="Q183" s="32" t="inlineStr"/>
      <c r="R183" s="31" t="inlineStr">
        <is>
          <t>Earnings / Momentum Support</t>
        </is>
      </c>
      <c r="S183" s="31" t="inlineStr">
        <is>
          <t>Nifty Infra</t>
        </is>
      </c>
      <c r="T183" s="32" t="n">
        <v>1.74</v>
      </c>
      <c r="U183" s="32" t="n">
        <v>350.72</v>
      </c>
      <c r="V183" s="32" t="n">
        <v>343.01</v>
      </c>
      <c r="W183" s="32" t="n">
        <v>71.36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IF(B184=0,"",RANK(B184,$B$2:$B$358,0))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RAYMOND</t>
        </is>
      </c>
      <c r="D184" s="31" t="inlineStr">
        <is>
          <t>Raymond Limited</t>
        </is>
      </c>
      <c r="E184" s="31" t="inlineStr">
        <is>
          <t>transportation</t>
        </is>
      </c>
      <c r="F184" s="31" t="inlineStr">
        <is>
          <t>transport - airlines</t>
        </is>
      </c>
      <c r="G184" s="31" t="inlineStr">
        <is>
          <t>smallcap</t>
        </is>
      </c>
      <c r="H184" s="32" t="n">
        <v>4932.11</v>
      </c>
      <c r="I184" s="32" t="n">
        <v>772.4</v>
      </c>
      <c r="J184" s="32" t="n">
        <v>4.26</v>
      </c>
      <c r="K184" s="32" t="n">
        <v>3293248</v>
      </c>
      <c r="L184" s="31" t="n">
        <v>65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71.63</v>
      </c>
      <c r="P184" s="32" t="n">
        <v>45.5</v>
      </c>
      <c r="Q184" s="32" t="inlineStr"/>
      <c r="R184" s="31" t="inlineStr">
        <is>
          <t>Earnings / Momentum Support</t>
        </is>
      </c>
      <c r="S184" s="31" t="inlineStr">
        <is>
          <t>Nifty 50</t>
        </is>
      </c>
      <c r="T184" s="32" t="n">
        <v>-3.41</v>
      </c>
      <c r="U184" s="32" t="n">
        <v>21.11</v>
      </c>
      <c r="V184" s="32" t="n">
        <v>25.39</v>
      </c>
      <c r="W184" s="32" t="n">
        <v>16.5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IF(B185=0,"",RANK(B185,$B$2:$B$358,0))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EXICOM</t>
        </is>
      </c>
      <c r="D185" s="31" t="inlineStr">
        <is>
          <t>Exicom Tele-Systems Ltd</t>
        </is>
      </c>
      <c r="E185" s="31" t="inlineStr">
        <is>
          <t>industrials</t>
        </is>
      </c>
      <c r="F185" s="31" t="inlineStr">
        <is>
          <t>electric equipment</t>
        </is>
      </c>
      <c r="G185" s="31" t="inlineStr">
        <is>
          <t>smallcap</t>
        </is>
      </c>
      <c r="H185" s="32" t="n">
        <v>2473.53</v>
      </c>
      <c r="I185" s="32" t="n">
        <v>184.33</v>
      </c>
      <c r="J185" s="32" t="n">
        <v>3.64</v>
      </c>
      <c r="K185" s="32" t="n">
        <v>4232220</v>
      </c>
      <c r="L185" s="31" t="n">
        <v>62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63.47</v>
      </c>
      <c r="P185" s="32" t="n">
        <v>38.23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-3.41</v>
      </c>
      <c r="U185" s="32" t="n">
        <v>22.29</v>
      </c>
      <c r="V185" s="32" t="n">
        <v>26.61</v>
      </c>
      <c r="W185" s="32" t="n">
        <v>14.67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IF(B186=0,"",RANK(B186,$B$2:$B$358,0))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BLUESTONE</t>
        </is>
      </c>
      <c r="D186" s="31" t="inlineStr">
        <is>
          <t>Bluestone Jewellery and Lifestyle Ltd</t>
        </is>
      </c>
      <c r="E186" s="31" t="inlineStr">
        <is>
          <t>consumer discretionary</t>
        </is>
      </c>
      <c r="F186" s="31" t="inlineStr">
        <is>
          <t>diamond cutting / jewellery</t>
        </is>
      </c>
      <c r="G186" s="31" t="inlineStr">
        <is>
          <t>midcap</t>
        </is>
      </c>
      <c r="H186" s="32" t="n">
        <v>12843.66</v>
      </c>
      <c r="I186" s="32" t="n">
        <v>870</v>
      </c>
      <c r="J186" s="32" t="n">
        <v>3.23</v>
      </c>
      <c r="K186" s="32" t="n">
        <v>1213108</v>
      </c>
      <c r="L186" s="31" t="n">
        <v>74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72.13</v>
      </c>
      <c r="P186" s="32" t="n">
        <v>48.74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-3.41</v>
      </c>
      <c r="U186" s="32" t="n">
        <v>39.47</v>
      </c>
      <c r="V186" s="32" t="n">
        <v>44.39</v>
      </c>
      <c r="W186" s="32" t="n">
        <v>19.8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IF(B187=0,"",RANK(B187,$B$2:$B$358,0))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SHREEJISPG</t>
        </is>
      </c>
      <c r="D187" s="31" t="inlineStr">
        <is>
          <t>Shreeji Shipping Global Ltd</t>
        </is>
      </c>
      <c r="E187" s="31" t="inlineStr">
        <is>
          <t>transportation</t>
        </is>
      </c>
      <c r="F187" s="31" t="inlineStr">
        <is>
          <t>shipping</t>
        </is>
      </c>
      <c r="G187" s="31" t="inlineStr">
        <is>
          <t>midcap</t>
        </is>
      </c>
      <c r="H187" s="32" t="n">
        <v>11080.89</v>
      </c>
      <c r="I187" s="32" t="n">
        <v>699.8</v>
      </c>
      <c r="J187" s="32" t="n">
        <v>2.89</v>
      </c>
      <c r="K187" s="32" t="n">
        <v>1404657</v>
      </c>
      <c r="L187" s="31" t="n">
        <v>91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77.27</v>
      </c>
      <c r="P187" s="32" t="n">
        <v>56.05</v>
      </c>
      <c r="Q187" s="32" t="inlineStr"/>
      <c r="R187" s="31" t="inlineStr">
        <is>
          <t>Earnings / Momentum Support</t>
        </is>
      </c>
      <c r="S187" s="31" t="inlineStr">
        <is>
          <t>Nifty 50</t>
        </is>
      </c>
      <c r="T187" s="32" t="n">
        <v>-3.41</v>
      </c>
      <c r="U187" s="32" t="n">
        <v>169.14</v>
      </c>
      <c r="V187" s="32" t="n">
        <v>178.63</v>
      </c>
      <c r="W187" s="32" t="n">
        <v>31.56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IF(B188=0,"",RANK(B188,$B$2:$B$358,0))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TIRUPATIFL</t>
        </is>
      </c>
      <c r="D188" s="31" t="inlineStr">
        <is>
          <t>Tirupati Forge Ltd</t>
        </is>
      </c>
      <c r="E188" s="31" t="inlineStr">
        <is>
          <t>industrials</t>
        </is>
      </c>
      <c r="F188" s="31" t="inlineStr">
        <is>
          <t>castings &amp; forgings</t>
        </is>
      </c>
      <c r="G188" s="31" t="inlineStr">
        <is>
          <t>smallcap</t>
        </is>
      </c>
      <c r="H188" s="32" t="n">
        <v>897.9299999999999</v>
      </c>
      <c r="I188" s="32" t="n">
        <v>70.84999999999999</v>
      </c>
      <c r="J188" s="32" t="n">
        <v>2.61</v>
      </c>
      <c r="K188" s="32" t="n">
        <v>330327</v>
      </c>
      <c r="L188" s="31" t="n">
        <v>86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66.84</v>
      </c>
      <c r="P188" s="32" t="n">
        <v>53.28</v>
      </c>
      <c r="Q188" s="32" t="inlineStr"/>
      <c r="R188" s="31" t="inlineStr">
        <is>
          <t>Earnings / Momentum Support</t>
        </is>
      </c>
      <c r="S188" s="31" t="inlineStr">
        <is>
          <t>Nifty 50</t>
        </is>
      </c>
      <c r="T188" s="32" t="n">
        <v>-3.41</v>
      </c>
      <c r="U188" s="32" t="n">
        <v>72.28</v>
      </c>
      <c r="V188" s="32" t="n">
        <v>78.36</v>
      </c>
      <c r="W188" s="32" t="n">
        <v>25.43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IF(B189=0,"",RANK(B189,$B$2:$B$358,0))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SOLARINDS</t>
        </is>
      </c>
      <c r="D189" s="31" t="inlineStr">
        <is>
          <t>Solar Industries India Limited</t>
        </is>
      </c>
      <c r="E189" s="31" t="inlineStr">
        <is>
          <t>aerospace &amp; defence</t>
        </is>
      </c>
      <c r="F189" s="31" t="inlineStr">
        <is>
          <t>chemicals</t>
        </is>
      </c>
      <c r="G189" s="31" t="inlineStr">
        <is>
          <t>largecap</t>
        </is>
      </c>
      <c r="H189" s="32" t="n">
        <v>194055.92</v>
      </c>
      <c r="I189" s="32" t="n">
        <v>21950</v>
      </c>
      <c r="J189" s="32" t="n">
        <v>2.35</v>
      </c>
      <c r="K189" s="32" t="n">
        <v>227176</v>
      </c>
      <c r="L189" s="31" t="n">
        <v>58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76.29000000000001</v>
      </c>
      <c r="P189" s="32" t="n">
        <v>39.75</v>
      </c>
      <c r="Q189" s="32" t="inlineStr"/>
      <c r="R189" s="31" t="inlineStr">
        <is>
          <t>Earnings / Momentum Support</t>
        </is>
      </c>
      <c r="S189" s="31" t="inlineStr">
        <is>
          <t>Nifty 50</t>
        </is>
      </c>
      <c r="T189" s="32" t="n">
        <v>-3.41</v>
      </c>
      <c r="U189" s="32" t="n">
        <v>54.21</v>
      </c>
      <c r="V189" s="32" t="n">
        <v>59.65</v>
      </c>
      <c r="W189" s="32" t="n">
        <v>12.95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IF(B190=0,"",RANK(B190,$B$2:$B$358,0))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ANANTRAJ</t>
        </is>
      </c>
      <c r="D190" s="31" t="inlineStr">
        <is>
          <t>Anant Raj Limited</t>
        </is>
      </c>
      <c r="E190" s="31" t="inlineStr">
        <is>
          <t>realty</t>
        </is>
      </c>
      <c r="F190" s="31" t="inlineStr">
        <is>
          <t>construction</t>
        </is>
      </c>
      <c r="G190" s="31" t="inlineStr">
        <is>
          <t>largecap</t>
        </is>
      </c>
      <c r="H190" s="32" t="n">
        <v>22508.5</v>
      </c>
      <c r="I190" s="32" t="n">
        <v>638.25</v>
      </c>
      <c r="J190" s="32" t="n">
        <v>2.05</v>
      </c>
      <c r="K190" s="32" t="n">
        <v>5173652</v>
      </c>
      <c r="L190" s="31" t="n">
        <v>24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59.86</v>
      </c>
      <c r="P190" s="32" t="n">
        <v>23.99</v>
      </c>
      <c r="Q190" s="32" t="inlineStr"/>
      <c r="R190" s="31" t="inlineStr">
        <is>
          <t>Earnings / Momentum Support</t>
        </is>
      </c>
      <c r="S190" s="31" t="inlineStr">
        <is>
          <t>Nifty Realty</t>
        </is>
      </c>
      <c r="T190" s="32" t="n">
        <v>-8.119999999999999</v>
      </c>
      <c r="U190" s="32" t="n">
        <v>0.49</v>
      </c>
      <c r="V190" s="32" t="n">
        <v>9.369999999999999</v>
      </c>
      <c r="W190" s="32" t="n">
        <v>3.59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IF(B191=0,"",RANK(B191,$B$2:$B$358,0))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HMT</t>
        </is>
      </c>
      <c r="D191" s="31" t="inlineStr">
        <is>
          <t>Hmt Limited</t>
        </is>
      </c>
      <c r="E191" s="31" t="inlineStr">
        <is>
          <t>consumer discretionary</t>
        </is>
      </c>
      <c r="F191" s="31" t="inlineStr">
        <is>
          <t>miscellaneous</t>
        </is>
      </c>
      <c r="G191" s="31" t="inlineStr">
        <is>
          <t>midcap</t>
        </is>
      </c>
      <c r="H191" s="32" t="n">
        <v>8056.58</v>
      </c>
      <c r="I191" s="32" t="n">
        <v>68.18000000000001</v>
      </c>
      <c r="J191" s="32" t="n">
        <v>1.9</v>
      </c>
      <c r="K191" s="32" t="n">
        <v>29199</v>
      </c>
      <c r="L191" s="31" t="n">
        <v>49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60.45</v>
      </c>
      <c r="P191" s="32" t="n">
        <v>18.47</v>
      </c>
      <c r="Q191" s="32" t="inlineStr"/>
      <c r="R191" s="31" t="inlineStr">
        <is>
          <t>Earnings / Momentum Support</t>
        </is>
      </c>
      <c r="S191" s="31" t="inlineStr">
        <is>
          <t>Nifty 50</t>
        </is>
      </c>
      <c r="T191" s="32" t="n">
        <v>-3.41</v>
      </c>
      <c r="U191" s="32" t="n">
        <v>17.02</v>
      </c>
      <c r="V191" s="32" t="n">
        <v>21.15</v>
      </c>
      <c r="W191" s="32" t="n">
        <v>9.960000000000001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IF(B192=0,"",RANK(B192,$B$2:$B$358,0))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VALIANTORG</t>
        </is>
      </c>
      <c r="D192" s="33" t="inlineStr">
        <is>
          <t>Valiant Organics Ltd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smallcap</t>
        </is>
      </c>
      <c r="H192" s="32" t="n">
        <v>897.8099999999999</v>
      </c>
      <c r="I192" s="32" t="n">
        <v>326.1</v>
      </c>
      <c r="J192" s="32" t="n">
        <v>1.83</v>
      </c>
      <c r="K192" s="32" t="n">
        <v>27827</v>
      </c>
      <c r="L192" s="31" t="n">
        <v>20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58.75</v>
      </c>
      <c r="P192" s="32" t="n">
        <v>34.72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-3.41</v>
      </c>
      <c r="U192" s="32" t="n">
        <v>-9.76</v>
      </c>
      <c r="V192" s="32" t="n">
        <v>-6.58</v>
      </c>
      <c r="W192" s="32" t="n">
        <v>2.64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IF(B193=0,"",RANK(B193,$B$2:$B$358,0))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BOSCH-HCIL</t>
        </is>
      </c>
      <c r="D193" s="31" t="inlineStr">
        <is>
          <t>Bosch Home Comfort India Ltd</t>
        </is>
      </c>
      <c r="E193" s="31" t="inlineStr">
        <is>
          <t>consumer discretionary</t>
        </is>
      </c>
      <c r="F193" s="31" t="inlineStr">
        <is>
          <t>air-conditioners</t>
        </is>
      </c>
      <c r="G193" s="31" t="inlineStr">
        <is>
          <t>smallcap</t>
        </is>
      </c>
      <c r="H193" s="32" t="n">
        <v>4945.48</v>
      </c>
      <c r="I193" s="32" t="n">
        <v>1849.1</v>
      </c>
      <c r="J193" s="32" t="n">
        <v>1.67</v>
      </c>
      <c r="K193" s="32" t="n">
        <v>64899</v>
      </c>
      <c r="L193" s="31" t="n">
        <v>46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71.65000000000001</v>
      </c>
      <c r="P193" s="32" t="n">
        <v>27.74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-3.41</v>
      </c>
      <c r="U193" s="32" t="n">
        <v>5.17</v>
      </c>
      <c r="V193" s="32" t="n">
        <v>8.880000000000001</v>
      </c>
      <c r="W193" s="32" t="n">
        <v>8.710000000000001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IF(B194=0,"",RANK(B194,$B$2:$B$358,0))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TVSSRICHAK</t>
        </is>
      </c>
      <c r="D194" s="31" t="inlineStr">
        <is>
          <t>Tvs Srichakra Limited</t>
        </is>
      </c>
      <c r="E194" s="31" t="inlineStr">
        <is>
          <t>auto</t>
        </is>
      </c>
      <c r="F194" s="31" t="inlineStr">
        <is>
          <t>tyres</t>
        </is>
      </c>
      <c r="G194" s="31" t="inlineStr">
        <is>
          <t>smallcap</t>
        </is>
      </c>
      <c r="H194" s="32" t="n">
        <v>4010.38</v>
      </c>
      <c r="I194" s="32" t="n">
        <v>5305</v>
      </c>
      <c r="J194" s="32" t="n">
        <v>1.29</v>
      </c>
      <c r="K194" s="32" t="n">
        <v>6409</v>
      </c>
      <c r="L194" s="31" t="n">
        <v>38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73.17</v>
      </c>
      <c r="P194" s="32" t="n">
        <v>32.71</v>
      </c>
      <c r="Q194" s="32" t="inlineStr"/>
      <c r="R194" s="31" t="inlineStr">
        <is>
          <t>Earnings / Momentum Support</t>
        </is>
      </c>
      <c r="S194" s="31" t="inlineStr">
        <is>
          <t>Nifty Auto</t>
        </is>
      </c>
      <c r="T194" s="32" t="n">
        <v>13.41</v>
      </c>
      <c r="U194" s="32" t="n">
        <v>30.29</v>
      </c>
      <c r="V194" s="32" t="n">
        <v>14.88</v>
      </c>
      <c r="W194" s="32" t="n">
        <v>7.03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IF(B195=0,"",RANK(B195,$B$2:$B$358,0))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TATVA</t>
        </is>
      </c>
      <c r="D195" s="31" t="inlineStr">
        <is>
          <t>Tatva Chintan Pharma Chem Ltd</t>
        </is>
      </c>
      <c r="E195" s="31" t="inlineStr">
        <is>
          <t>chemicals</t>
        </is>
      </c>
      <c r="F195" s="31" t="inlineStr">
        <is>
          <t>chemicals</t>
        </is>
      </c>
      <c r="G195" s="31" t="inlineStr">
        <is>
          <t>smallcap</t>
        </is>
      </c>
      <c r="H195" s="32" t="n">
        <v>3926.36</v>
      </c>
      <c r="I195" s="32" t="n">
        <v>1695.8</v>
      </c>
      <c r="J195" s="32" t="n">
        <v>1.03</v>
      </c>
      <c r="K195" s="32" t="n">
        <v>88807</v>
      </c>
      <c r="L195" s="31" t="n">
        <v>79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65.54000000000001</v>
      </c>
      <c r="P195" s="32" t="n">
        <v>33.61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-3.41</v>
      </c>
      <c r="U195" s="32" t="n">
        <v>68.42</v>
      </c>
      <c r="V195" s="32" t="n">
        <v>74.36</v>
      </c>
      <c r="W195" s="32" t="n">
        <v>21.78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IF(B196=0,"",RANK(B196,$B$2:$B$358,0))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TBOTEK</t>
        </is>
      </c>
      <c r="D196" s="31" t="inlineStr">
        <is>
          <t>TBO Tek Ltd</t>
        </is>
      </c>
      <c r="E196" s="31" t="inlineStr">
        <is>
          <t>i.t</t>
        </is>
      </c>
      <c r="F196" s="31" t="inlineStr">
        <is>
          <t>travel agencies</t>
        </is>
      </c>
      <c r="G196" s="31" t="inlineStr">
        <is>
          <t>midcap</t>
        </is>
      </c>
      <c r="H196" s="32" t="n">
        <v>18339.39</v>
      </c>
      <c r="I196" s="32" t="n">
        <v>1705.4</v>
      </c>
      <c r="J196" s="32" t="n">
        <v>0.98</v>
      </c>
      <c r="K196" s="32" t="n">
        <v>172047</v>
      </c>
      <c r="L196" s="31" t="n">
        <v>54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66.65000000000001</v>
      </c>
      <c r="P196" s="32" t="n">
        <v>27.51</v>
      </c>
      <c r="Q196" s="32" t="inlineStr"/>
      <c r="R196" s="31" t="inlineStr">
        <is>
          <t>Earnings / Momentum Support</t>
        </is>
      </c>
      <c r="S196" s="31" t="inlineStr">
        <is>
          <t>Nifty IT</t>
        </is>
      </c>
      <c r="T196" s="32" t="n">
        <v>-11.38</v>
      </c>
      <c r="U196" s="32" t="n">
        <v>9.529999999999999</v>
      </c>
      <c r="V196" s="32" t="n">
        <v>23.59</v>
      </c>
      <c r="W196" s="32" t="n">
        <v>11.49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IF(B197=0,"",RANK(B197,$B$2:$B$358,0))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CYIENTDLM</t>
        </is>
      </c>
      <c r="D197" s="31" t="inlineStr">
        <is>
          <t>Cyient DLM Ltd</t>
        </is>
      </c>
      <c r="E197" s="31" t="inlineStr">
        <is>
          <t>aerospace &amp; defence</t>
        </is>
      </c>
      <c r="F197" s="31" t="inlineStr">
        <is>
          <t>electronics - components</t>
        </is>
      </c>
      <c r="G197" s="31" t="inlineStr">
        <is>
          <t>midcap</t>
        </is>
      </c>
      <c r="H197" s="32" t="n">
        <v>6802.76</v>
      </c>
      <c r="I197" s="32" t="n">
        <v>865.35</v>
      </c>
      <c r="J197" s="32" t="n">
        <v>0.98</v>
      </c>
      <c r="K197" s="32" t="n">
        <v>271098</v>
      </c>
      <c r="L197" s="31" t="n">
        <v>78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90.09999999999999</v>
      </c>
      <c r="P197" s="32" t="n">
        <v>73.47</v>
      </c>
      <c r="Q197" s="32" t="inlineStr"/>
      <c r="R197" s="31" t="inlineStr">
        <is>
          <t>Earnings / Momentum Support</t>
        </is>
      </c>
      <c r="S197" s="31" t="inlineStr">
        <is>
          <t>Nifty Infra</t>
        </is>
      </c>
      <c r="T197" s="32" t="n">
        <v>1.74</v>
      </c>
      <c r="U197" s="32" t="n">
        <v>20.92</v>
      </c>
      <c r="V197" s="32" t="n">
        <v>18.85</v>
      </c>
      <c r="W197" s="32" t="n">
        <v>21.45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IF(B198=0,"",RANK(B198,$B$2:$B$358,0))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UNIVASTU</t>
        </is>
      </c>
      <c r="D198" s="31" t="inlineStr">
        <is>
          <t>Univastu India Ltd</t>
        </is>
      </c>
      <c r="E198" s="31" t="inlineStr">
        <is>
          <t>realty</t>
        </is>
      </c>
      <c r="F198" s="31" t="inlineStr">
        <is>
          <t>construction</t>
        </is>
      </c>
      <c r="G198" s="31" t="inlineStr">
        <is>
          <t>smallcap</t>
        </is>
      </c>
      <c r="H198" s="32" t="n">
        <v>636.16</v>
      </c>
      <c r="I198" s="32" t="n">
        <v>169.89</v>
      </c>
      <c r="J198" s="32" t="n">
        <v>0.92</v>
      </c>
      <c r="K198" s="32" t="n">
        <v>72463</v>
      </c>
      <c r="L198" s="31" t="n">
        <v>78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80.92</v>
      </c>
      <c r="P198" s="32" t="n">
        <v>75.43000000000001</v>
      </c>
      <c r="Q198" s="32" t="inlineStr"/>
      <c r="R198" s="31" t="inlineStr">
        <is>
          <t>Earnings / Momentum Support</t>
        </is>
      </c>
      <c r="S198" s="31" t="inlineStr">
        <is>
          <t>Nifty Realty</t>
        </is>
      </c>
      <c r="T198" s="32" t="n">
        <v>-8.119999999999999</v>
      </c>
      <c r="U198" s="32" t="n">
        <v>20.87</v>
      </c>
      <c r="V198" s="32" t="n">
        <v>31.55</v>
      </c>
      <c r="W198" s="32" t="n">
        <v>21.42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IF(B199=0,"",RANK(B199,$B$2:$B$358,0))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INDORAMA</t>
        </is>
      </c>
      <c r="D199" s="31" t="inlineStr">
        <is>
          <t>Indo Rama Synthetics (india) Limited</t>
        </is>
      </c>
      <c r="E199" s="31" t="inlineStr">
        <is>
          <t>textiles</t>
        </is>
      </c>
      <c r="F199" s="31" t="inlineStr">
        <is>
          <t>textiles - manmade</t>
        </is>
      </c>
      <c r="G199" s="31" t="inlineStr">
        <is>
          <t>smallcap</t>
        </is>
      </c>
      <c r="H199" s="32" t="n">
        <v>1905.08</v>
      </c>
      <c r="I199" s="32" t="n">
        <v>73.56</v>
      </c>
      <c r="J199" s="32" t="n">
        <v>0.82</v>
      </c>
      <c r="K199" s="32" t="n">
        <v>2102406</v>
      </c>
      <c r="L199" s="31" t="n">
        <v>81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76.84</v>
      </c>
      <c r="P199" s="32" t="n">
        <v>52.27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-3.41</v>
      </c>
      <c r="U199" s="32" t="n">
        <v>39.77</v>
      </c>
      <c r="V199" s="32" t="n">
        <v>44.7</v>
      </c>
      <c r="W199" s="32" t="n">
        <v>23.38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More than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IF(B200=0,"",RANK(B200,$B$2:$B$358,0))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NAZARA</t>
        </is>
      </c>
      <c r="D200" s="31" t="inlineStr">
        <is>
          <t>Nazara Technologies Ltd</t>
        </is>
      </c>
      <c r="E200" s="31" t="inlineStr">
        <is>
          <t>i.t</t>
        </is>
      </c>
      <c r="F200" s="31" t="inlineStr">
        <is>
          <t>telecommunications - service provider</t>
        </is>
      </c>
      <c r="G200" s="31" t="inlineStr">
        <is>
          <t>midcap</t>
        </is>
      </c>
      <c r="H200" s="32" t="n">
        <v>14181.82</v>
      </c>
      <c r="I200" s="32" t="n">
        <v>370.3</v>
      </c>
      <c r="J200" s="32" t="n">
        <v>0.45</v>
      </c>
      <c r="K200" s="32" t="n">
        <v>1205780</v>
      </c>
      <c r="L200" s="31" t="n">
        <v>61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72.62</v>
      </c>
      <c r="P200" s="32" t="n">
        <v>29.63</v>
      </c>
      <c r="Q200" s="32" t="inlineStr"/>
      <c r="R200" s="31" t="inlineStr">
        <is>
          <t>Earnings / Momentum Support</t>
        </is>
      </c>
      <c r="S200" s="31" t="inlineStr">
        <is>
          <t>Nifty IT</t>
        </is>
      </c>
      <c r="T200" s="32" t="n">
        <v>-11.38</v>
      </c>
      <c r="U200" s="32" t="n">
        <v>33.65</v>
      </c>
      <c r="V200" s="32" t="n">
        <v>50.81</v>
      </c>
      <c r="W200" s="32" t="n">
        <v>14.29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Oligopoly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IF(B201=0,"",RANK(B201,$B$2:$B$358,0))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SOMANYCERA</t>
        </is>
      </c>
      <c r="D201" s="33" t="inlineStr">
        <is>
          <t>Somany Ceramics Limited</t>
        </is>
      </c>
      <c r="E201" s="31" t="inlineStr">
        <is>
          <t>building materials</t>
        </is>
      </c>
      <c r="F201" s="31" t="inlineStr">
        <is>
          <t>ceramics - tiles / sanitaryware</t>
        </is>
      </c>
      <c r="G201" s="31" t="inlineStr">
        <is>
          <t>smallcap</t>
        </is>
      </c>
      <c r="H201" s="32" t="n">
        <v>2285.85</v>
      </c>
      <c r="I201" s="32" t="n">
        <v>559.4</v>
      </c>
      <c r="J201" s="32" t="n">
        <v>0.37</v>
      </c>
      <c r="K201" s="32" t="n">
        <v>84012</v>
      </c>
      <c r="L201" s="31" t="n">
        <v>25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64.69</v>
      </c>
      <c r="P201" s="32" t="n">
        <v>32.67</v>
      </c>
      <c r="Q201" s="32" t="inlineStr"/>
      <c r="R201" s="31" t="inlineStr">
        <is>
          <t>Earnings / Momentum Support</t>
        </is>
      </c>
      <c r="S201" s="31" t="inlineStr">
        <is>
          <t>Nifty Infra</t>
        </is>
      </c>
      <c r="T201" s="32" t="n">
        <v>1.74</v>
      </c>
      <c r="U201" s="32" t="n">
        <v>-5.67</v>
      </c>
      <c r="V201" s="32" t="n">
        <v>-7.28</v>
      </c>
      <c r="W201" s="32" t="n">
        <v>3.64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IF(B202=0,"",RANK(B202,$B$2:$B$358,0))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AEGISVOPAK</t>
        </is>
      </c>
      <c r="D202" s="31" t="inlineStr">
        <is>
          <t>Aegis Vopak Terminals Ltd</t>
        </is>
      </c>
      <c r="E202" s="31" t="inlineStr">
        <is>
          <t>transportation</t>
        </is>
      </c>
      <c r="F202" s="31" t="inlineStr">
        <is>
          <t>miscellaneous</t>
        </is>
      </c>
      <c r="G202" s="31" t="inlineStr">
        <is>
          <t>largecap</t>
        </is>
      </c>
      <c r="H202" s="32" t="n">
        <v>31522.36</v>
      </c>
      <c r="I202" s="32" t="n">
        <v>285.35</v>
      </c>
      <c r="J202" s="32" t="n">
        <v>0.3</v>
      </c>
      <c r="K202" s="32" t="n">
        <v>615354</v>
      </c>
      <c r="L202" s="31" t="n">
        <v>65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60.47</v>
      </c>
      <c r="P202" s="32" t="n">
        <v>42.93</v>
      </c>
      <c r="Q202" s="32" t="inlineStr"/>
      <c r="R202" s="31" t="inlineStr">
        <is>
          <t>Earnings / Momentum Support</t>
        </is>
      </c>
      <c r="S202" s="31" t="inlineStr">
        <is>
          <t>Nifty 50</t>
        </is>
      </c>
      <c r="T202" s="32" t="n">
        <v>-3.41</v>
      </c>
      <c r="U202" s="32" t="n">
        <v>20.1</v>
      </c>
      <c r="V202" s="32" t="n">
        <v>24.34</v>
      </c>
      <c r="W202" s="32" t="n">
        <v>16.22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IF(B203=0,"",RANK(B203,$B$2:$B$358,0))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ANDHRSUGAR</t>
        </is>
      </c>
      <c r="D203" s="31" t="inlineStr">
        <is>
          <t>The Andhra Sugars Limited</t>
        </is>
      </c>
      <c r="E203" s="31" t="inlineStr">
        <is>
          <t>chemicals</t>
        </is>
      </c>
      <c r="F203" s="31" t="inlineStr">
        <is>
          <t>chlor alkali / soda ash</t>
        </is>
      </c>
      <c r="G203" s="31" t="inlineStr">
        <is>
          <t>smallcap</t>
        </is>
      </c>
      <c r="H203" s="32" t="n">
        <v>1348.71</v>
      </c>
      <c r="I203" s="32" t="n">
        <v>99.40000000000001</v>
      </c>
      <c r="J203" s="32" t="n">
        <v>-0.11</v>
      </c>
      <c r="K203" s="32" t="n">
        <v>443882</v>
      </c>
      <c r="L203" s="31" t="n">
        <v>53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62.57</v>
      </c>
      <c r="P203" s="32" t="n">
        <v>15.22</v>
      </c>
      <c r="Q203" s="32" t="inlineStr"/>
      <c r="R203" s="31" t="inlineStr">
        <is>
          <t>Earnings / Momentum Support</t>
        </is>
      </c>
      <c r="S203" s="31" t="inlineStr">
        <is>
          <t>Nifty 50</t>
        </is>
      </c>
      <c r="T203" s="32" t="n">
        <v>-3.41</v>
      </c>
      <c r="U203" s="32" t="n">
        <v>31.1</v>
      </c>
      <c r="V203" s="32" t="n">
        <v>35.72</v>
      </c>
      <c r="W203" s="32" t="n">
        <v>11.12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IF(B204=0,"",RANK(B204,$B$2:$B$358,0))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ASAHIINDIA</t>
        </is>
      </c>
      <c r="D204" s="31" t="inlineStr">
        <is>
          <t>Asahi India Glass Limited</t>
        </is>
      </c>
      <c r="E204" s="31" t="inlineStr">
        <is>
          <t>building materials</t>
        </is>
      </c>
      <c r="F204" s="31" t="inlineStr">
        <is>
          <t>glass &amp; glass products</t>
        </is>
      </c>
      <c r="G204" s="31" t="inlineStr">
        <is>
          <t>largecap</t>
        </is>
      </c>
      <c r="H204" s="32" t="n">
        <v>24368.49</v>
      </c>
      <c r="I204" s="32" t="n">
        <v>954.65</v>
      </c>
      <c r="J204" s="32" t="n">
        <v>-0.13</v>
      </c>
      <c r="K204" s="32" t="n">
        <v>106030</v>
      </c>
      <c r="L204" s="31" t="n">
        <v>16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59.56</v>
      </c>
      <c r="P204" s="32" t="n">
        <v>26.49</v>
      </c>
      <c r="Q204" s="32" t="inlineStr"/>
      <c r="R204" s="31" t="inlineStr">
        <is>
          <t>Earnings / Momentum Support</t>
        </is>
      </c>
      <c r="S204" s="31" t="inlineStr">
        <is>
          <t>Nifty Infra</t>
        </is>
      </c>
      <c r="T204" s="32" t="n">
        <v>1.74</v>
      </c>
      <c r="U204" s="32" t="n">
        <v>4.9</v>
      </c>
      <c r="V204" s="32" t="n">
        <v>3.11</v>
      </c>
      <c r="W204" s="32" t="n">
        <v>1.92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IF(B205=0,"",RANK(B205,$B$2:$B$358,0))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CRAFTSMAN</t>
        </is>
      </c>
      <c r="D205" s="31" t="inlineStr">
        <is>
          <t>Craftsman Automation Ltd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largecap</t>
        </is>
      </c>
      <c r="H205" s="32" t="n">
        <v>29810.82</v>
      </c>
      <c r="I205" s="32" t="n">
        <v>11297</v>
      </c>
      <c r="J205" s="32" t="n">
        <v>-0.89</v>
      </c>
      <c r="K205" s="32" t="n">
        <v>27397</v>
      </c>
      <c r="L205" s="31" t="n">
        <v>53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74.45</v>
      </c>
      <c r="P205" s="32" t="n">
        <v>67.06</v>
      </c>
      <c r="Q205" s="32" t="inlineStr"/>
      <c r="R205" s="31" t="inlineStr">
        <is>
          <t>Earnings / Momentum Support</t>
        </is>
      </c>
      <c r="S205" s="31" t="inlineStr">
        <is>
          <t>Nifty Auto</t>
        </is>
      </c>
      <c r="T205" s="32" t="n">
        <v>13.41</v>
      </c>
      <c r="U205" s="32" t="n">
        <v>42.38</v>
      </c>
      <c r="V205" s="32" t="n">
        <v>25.54</v>
      </c>
      <c r="W205" s="32" t="n">
        <v>11.32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IF(B206=0,"",RANK(B206,$B$2:$B$358,0))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ACMESOLAR</t>
        </is>
      </c>
      <c r="D206" s="31" t="inlineStr">
        <is>
          <t>ACME Solar Holdings Ltd</t>
        </is>
      </c>
      <c r="E206" s="31" t="inlineStr">
        <is>
          <t>realty</t>
        </is>
      </c>
      <c r="F206" s="31" t="inlineStr">
        <is>
          <t>engineering - turnkey services</t>
        </is>
      </c>
      <c r="G206" s="31" t="inlineStr">
        <is>
          <t>largecap</t>
        </is>
      </c>
      <c r="H206" s="32" t="n">
        <v>29547.35</v>
      </c>
      <c r="I206" s="32" t="n">
        <v>413.15</v>
      </c>
      <c r="J206" s="32" t="n">
        <v>-1.16</v>
      </c>
      <c r="K206" s="32" t="n">
        <v>1367600</v>
      </c>
      <c r="L206" s="31" t="n">
        <v>61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71.67</v>
      </c>
      <c r="P206" s="32" t="n">
        <v>48.2</v>
      </c>
      <c r="Q206" s="32" t="inlineStr"/>
      <c r="R206" s="31" t="inlineStr">
        <is>
          <t>Earnings / Momentum Support</t>
        </is>
      </c>
      <c r="S206" s="31" t="inlineStr">
        <is>
          <t>Nifty Realty</t>
        </is>
      </c>
      <c r="T206" s="32" t="n">
        <v>-8.119999999999999</v>
      </c>
      <c r="U206" s="32" t="n">
        <v>39.94</v>
      </c>
      <c r="V206" s="32" t="n">
        <v>52.31</v>
      </c>
      <c r="W206" s="32" t="n">
        <v>14.48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More than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IF(B207=0,"",RANK(B207,$B$2:$B$358,0))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LOKESHMACH</t>
        </is>
      </c>
      <c r="D207" s="31" t="inlineStr">
        <is>
          <t>Lokesh Machines Limited</t>
        </is>
      </c>
      <c r="E207" s="31" t="inlineStr">
        <is>
          <t>industrials</t>
        </is>
      </c>
      <c r="F207" s="31" t="inlineStr">
        <is>
          <t>engineering</t>
        </is>
      </c>
      <c r="G207" s="31" t="inlineStr">
        <is>
          <t>smallcap</t>
        </is>
      </c>
      <c r="H207" s="32" t="n">
        <v>794.71</v>
      </c>
      <c r="I207" s="32" t="n">
        <v>357.7</v>
      </c>
      <c r="J207" s="32" t="n">
        <v>-1.89</v>
      </c>
      <c r="K207" s="32" t="n">
        <v>47124</v>
      </c>
      <c r="L207" s="31" t="n">
        <v>86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70.97</v>
      </c>
      <c r="P207" s="32" t="n">
        <v>43.04</v>
      </c>
      <c r="Q207" s="32" t="inlineStr"/>
      <c r="R207" s="31" t="inlineStr">
        <is>
          <t>Earnings / Momentum Support</t>
        </is>
      </c>
      <c r="S207" s="31" t="inlineStr">
        <is>
          <t>Nifty 50</t>
        </is>
      </c>
      <c r="T207" s="32" t="n">
        <v>-3.41</v>
      </c>
      <c r="U207" s="32" t="n">
        <v>80.2</v>
      </c>
      <c r="V207" s="32" t="n">
        <v>86.56</v>
      </c>
      <c r="W207" s="32" t="n">
        <v>24.97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IF(B208=0,"",RANK(B208,$B$2:$B$358,0))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KAPSTON</t>
        </is>
      </c>
      <c r="D208" s="31" t="inlineStr">
        <is>
          <t>Kapston Services Ltd</t>
        </is>
      </c>
      <c r="E208" s="31" t="inlineStr">
        <is>
          <t>miscellaneous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1777.39</v>
      </c>
      <c r="I208" s="32" t="n">
        <v>566.5</v>
      </c>
      <c r="J208" s="32" t="n">
        <v>-3</v>
      </c>
      <c r="K208" s="32" t="n">
        <v>81363</v>
      </c>
      <c r="L208" s="31" t="n">
        <v>94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74.42</v>
      </c>
      <c r="P208" s="32" t="n">
        <v>38.7</v>
      </c>
      <c r="Q208" s="32" t="inlineStr"/>
      <c r="R208" s="31" t="inlineStr">
        <is>
          <t>Earnings / Momentum Support</t>
        </is>
      </c>
      <c r="S208" s="31" t="inlineStr">
        <is>
          <t>Nifty 50</t>
        </is>
      </c>
      <c r="T208" s="32" t="n">
        <v>-3.41</v>
      </c>
      <c r="U208" s="32" t="n">
        <v>140.88</v>
      </c>
      <c r="V208" s="32" t="n">
        <v>149.38</v>
      </c>
      <c r="W208" s="32" t="n">
        <v>36.82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IF(B209=0,"",RANK(B209,$B$2:$B$358,0))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BAJAJHIND</t>
        </is>
      </c>
      <c r="D209" s="33" t="inlineStr">
        <is>
          <t>Bajaj Hindusthan Sugar Limited</t>
        </is>
      </c>
      <c r="E209" s="31" t="inlineStr">
        <is>
          <t>fmcg</t>
        </is>
      </c>
      <c r="F209" s="31" t="inlineStr">
        <is>
          <t>sugar</t>
        </is>
      </c>
      <c r="G209" s="31" t="inlineStr">
        <is>
          <t>midcap</t>
        </is>
      </c>
      <c r="H209" s="32" t="n">
        <v>5226</v>
      </c>
      <c r="I209" s="32" t="n">
        <v>22.77</v>
      </c>
      <c r="J209" s="32" t="n">
        <v>4.16</v>
      </c>
      <c r="K209" s="32" t="n">
        <v>47854998</v>
      </c>
      <c r="L209" s="31" t="n">
        <v>1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62.16</v>
      </c>
      <c r="P209" s="32" t="n">
        <v>20.61</v>
      </c>
      <c r="Q209" s="32" t="inlineStr"/>
      <c r="R209" s="31" t="inlineStr">
        <is>
          <t>Earnings / Momentum Support</t>
        </is>
      </c>
      <c r="S209" s="31" t="inlineStr">
        <is>
          <t>Nifty FMCG</t>
        </is>
      </c>
      <c r="T209" s="32" t="n">
        <v>-13.73</v>
      </c>
      <c r="U209" s="32" t="n">
        <v>-34.37</v>
      </c>
      <c r="V209" s="32" t="n">
        <v>-23.92</v>
      </c>
      <c r="W209" s="32" t="n">
        <v>-9.02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B2C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IF(B210=0,"",RANK(B210,$B$2:$B$358,0))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ENTERO</t>
        </is>
      </c>
      <c r="D210" s="31" t="inlineStr">
        <is>
          <t>Entero Healthcare Solutions Ltd</t>
        </is>
      </c>
      <c r="E210" s="31" t="inlineStr">
        <is>
          <t>healthcare</t>
        </is>
      </c>
      <c r="F210" s="31" t="inlineStr">
        <is>
          <t>trading</t>
        </is>
      </c>
      <c r="G210" s="31" t="inlineStr">
        <is>
          <t>midcap</t>
        </is>
      </c>
      <c r="H210" s="32" t="n">
        <v>7954.28</v>
      </c>
      <c r="I210" s="32" t="n">
        <v>1898.4</v>
      </c>
      <c r="J210" s="32" t="n">
        <v>3.87</v>
      </c>
      <c r="K210" s="32" t="n">
        <v>322283</v>
      </c>
      <c r="L210" s="31" t="n">
        <v>84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78.29000000000001</v>
      </c>
      <c r="P210" s="32" t="n">
        <v>37.66</v>
      </c>
      <c r="Q210" s="32" t="inlineStr"/>
      <c r="R210" s="31" t="inlineStr">
        <is>
          <t>Earnings / Momentum Support</t>
        </is>
      </c>
      <c r="S210" s="31" t="inlineStr">
        <is>
          <t>Nifty Pharma</t>
        </is>
      </c>
      <c r="T210" s="32" t="n">
        <v>20.77</v>
      </c>
      <c r="U210" s="32" t="n">
        <v>51.88</v>
      </c>
      <c r="V210" s="32" t="n">
        <v>25.76</v>
      </c>
      <c r="W210" s="32" t="n">
        <v>24.35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IF(B211=0,"",RANK(B211,$B$2:$B$358,0))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PPLPHARMA</t>
        </is>
      </c>
      <c r="D211" s="33" t="inlineStr">
        <is>
          <t>Piramal Pharma Ltd</t>
        </is>
      </c>
      <c r="E211" s="31" t="inlineStr">
        <is>
          <t>healthcare</t>
        </is>
      </c>
      <c r="F211" s="31" t="inlineStr">
        <is>
          <t>pharmaceuticals - indian - bulk drugs &amp; formln</t>
        </is>
      </c>
      <c r="G211" s="31" t="inlineStr">
        <is>
          <t>largecap</t>
        </is>
      </c>
      <c r="H211" s="32" t="n">
        <v>28520.14</v>
      </c>
      <c r="I211" s="32" t="n">
        <v>219.66</v>
      </c>
      <c r="J211" s="32" t="n">
        <v>2.54</v>
      </c>
      <c r="K211" s="32" t="n">
        <v>6407335</v>
      </c>
      <c r="L211" s="31" t="n">
        <v>43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69.05</v>
      </c>
      <c r="P211" s="32" t="n">
        <v>32.6</v>
      </c>
      <c r="Q211" s="32" t="inlineStr"/>
      <c r="R211" s="31" t="inlineStr">
        <is>
          <t>Earnings / Momentum Support</t>
        </is>
      </c>
      <c r="S211" s="31" t="inlineStr">
        <is>
          <t>Nifty Pharma</t>
        </is>
      </c>
      <c r="T211" s="32" t="n">
        <v>20.77</v>
      </c>
      <c r="U211" s="32" t="n">
        <v>6.76</v>
      </c>
      <c r="V211" s="32" t="n">
        <v>-11.6</v>
      </c>
      <c r="W211" s="32" t="n">
        <v>8.16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IF(B212=0,"",RANK(B212,$B$2:$B$358,0))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UGARSUGAR</t>
        </is>
      </c>
      <c r="D212" s="33" t="inlineStr">
        <is>
          <t>The Ugar Sugar Works Limited</t>
        </is>
      </c>
      <c r="E212" s="31" t="inlineStr">
        <is>
          <t>fmcg</t>
        </is>
      </c>
      <c r="F212" s="31" t="inlineStr">
        <is>
          <t>sugar</t>
        </is>
      </c>
      <c r="G212" s="31" t="inlineStr">
        <is>
          <t>smallcap</t>
        </is>
      </c>
      <c r="H212" s="32" t="n">
        <v>600.1900000000001</v>
      </c>
      <c r="I212" s="32" t="n">
        <v>54.19</v>
      </c>
      <c r="J212" s="32" t="n">
        <v>1.57</v>
      </c>
      <c r="K212" s="32" t="n">
        <v>656681</v>
      </c>
      <c r="L212" s="31" t="n">
        <v>4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70.59999999999999</v>
      </c>
      <c r="P212" s="32" t="n">
        <v>28.22</v>
      </c>
      <c r="Q212" s="32" t="inlineStr"/>
      <c r="R212" s="31" t="inlineStr">
        <is>
          <t>Earnings / Momentum Support</t>
        </is>
      </c>
      <c r="S212" s="31" t="inlineStr">
        <is>
          <t>Nifty FMCG</t>
        </is>
      </c>
      <c r="T212" s="32" t="n">
        <v>-13.73</v>
      </c>
      <c r="U212" s="32" t="n">
        <v>-17.32</v>
      </c>
      <c r="V212" s="32" t="n">
        <v>-4.17</v>
      </c>
      <c r="W212" s="32" t="n">
        <v>-3.8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B2C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IF(B213=0,"",RANK(B213,$B$2:$B$358,0))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AGARWALEYE</t>
        </is>
      </c>
      <c r="D213" s="31" t="inlineStr">
        <is>
          <t>Dr Agarwals Health Care Ltd</t>
        </is>
      </c>
      <c r="E213" s="31" t="inlineStr">
        <is>
          <t>healthcare</t>
        </is>
      </c>
      <c r="F213" s="31" t="inlineStr">
        <is>
          <t>healthcare</t>
        </is>
      </c>
      <c r="G213" s="31" t="inlineStr">
        <is>
          <t>midcap</t>
        </is>
      </c>
      <c r="H213" s="32" t="n">
        <v>16296.1</v>
      </c>
      <c r="I213" s="32" t="n">
        <v>518.25</v>
      </c>
      <c r="J213" s="32" t="n">
        <v>0.8100000000000001</v>
      </c>
      <c r="K213" s="32" t="n">
        <v>402398</v>
      </c>
      <c r="L213" s="31" t="n">
        <v>37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58.86</v>
      </c>
      <c r="P213" s="32" t="n">
        <v>34.97</v>
      </c>
      <c r="Q213" s="32" t="inlineStr"/>
      <c r="R213" s="31" t="inlineStr">
        <is>
          <t>Earnings / Momentum Support</t>
        </is>
      </c>
      <c r="S213" s="31" t="inlineStr">
        <is>
          <t>Nifty Pharma</t>
        </is>
      </c>
      <c r="T213" s="32" t="n">
        <v>20.77</v>
      </c>
      <c r="U213" s="32" t="n">
        <v>20.82</v>
      </c>
      <c r="V213" s="32" t="n">
        <v>0.05</v>
      </c>
      <c r="W213" s="32" t="n">
        <v>6.77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IF(B214=0,"",RANK(B214,$B$2:$B$358,0))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YATHARTH</t>
        </is>
      </c>
      <c r="D214" s="31" t="inlineStr">
        <is>
          <t>Yatharth Hospital &amp; Trauma Care Services Ltd</t>
        </is>
      </c>
      <c r="E214" s="31" t="inlineStr">
        <is>
          <t>healthcare</t>
        </is>
      </c>
      <c r="F214" s="31" t="inlineStr">
        <is>
          <t>healthcare</t>
        </is>
      </c>
      <c r="G214" s="31" t="inlineStr">
        <is>
          <t>midcap</t>
        </is>
      </c>
      <c r="H214" s="32" t="n">
        <v>9549.68</v>
      </c>
      <c r="I214" s="32" t="n">
        <v>994.8</v>
      </c>
      <c r="J214" s="32" t="n">
        <v>0.37</v>
      </c>
      <c r="K214" s="32" t="n">
        <v>357062</v>
      </c>
      <c r="L214" s="31" t="n">
        <v>50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69.45999999999999</v>
      </c>
      <c r="P214" s="32" t="n">
        <v>40.44</v>
      </c>
      <c r="Q214" s="32" t="inlineStr"/>
      <c r="R214" s="31" t="inlineStr">
        <is>
          <t>Earnings / Momentum Support</t>
        </is>
      </c>
      <c r="S214" s="31" t="inlineStr">
        <is>
          <t>Nifty Pharma</t>
        </is>
      </c>
      <c r="T214" s="32" t="n">
        <v>20.77</v>
      </c>
      <c r="U214" s="32" t="n">
        <v>26.91</v>
      </c>
      <c r="V214" s="32" t="n">
        <v>5.09</v>
      </c>
      <c r="W214" s="32" t="n">
        <v>10.46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IF(B215=0,"",RANK(B215,$B$2:$B$358,0))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BLSE</t>
        </is>
      </c>
      <c r="D215" s="31" t="inlineStr">
        <is>
          <t>BLS E-Services Ltd</t>
        </is>
      </c>
      <c r="E215" s="31" t="inlineStr">
        <is>
          <t>i.t</t>
        </is>
      </c>
      <c r="F215" s="31" t="inlineStr">
        <is>
          <t>computers - software - medium / small</t>
        </is>
      </c>
      <c r="G215" s="31" t="inlineStr">
        <is>
          <t>smallcap</t>
        </is>
      </c>
      <c r="H215" s="32" t="n">
        <v>2907.86</v>
      </c>
      <c r="I215" s="32" t="n">
        <v>319.45</v>
      </c>
      <c r="J215" s="32" t="n">
        <v>-0.19</v>
      </c>
      <c r="K215" s="32" t="n">
        <v>384135</v>
      </c>
      <c r="L215" s="31" t="n">
        <v>87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80.45</v>
      </c>
      <c r="P215" s="32" t="n">
        <v>58.04</v>
      </c>
      <c r="Q215" s="32" t="inlineStr"/>
      <c r="R215" s="31" t="inlineStr">
        <is>
          <t>Earnings / Momentum Support</t>
        </is>
      </c>
      <c r="S215" s="31" t="inlineStr">
        <is>
          <t>Nifty IT</t>
        </is>
      </c>
      <c r="T215" s="32" t="n">
        <v>-11.38</v>
      </c>
      <c r="U215" s="32" t="n">
        <v>81.59</v>
      </c>
      <c r="V215" s="32" t="n">
        <v>104.9</v>
      </c>
      <c r="W215" s="32" t="n">
        <v>26.94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IF(B216=0,"",RANK(B216,$B$2:$B$358,0))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SAILIFE</t>
        </is>
      </c>
      <c r="D216" s="31" t="inlineStr">
        <is>
          <t>Sai Life Sciences Ltd</t>
        </is>
      </c>
      <c r="E216" s="31" t="inlineStr">
        <is>
          <t>healthcare</t>
        </is>
      </c>
      <c r="F216" s="31" t="inlineStr">
        <is>
          <t>pharmaceuticals - indian - bulk drugs &amp; formln</t>
        </is>
      </c>
      <c r="G216" s="31" t="inlineStr">
        <is>
          <t>largecap</t>
        </is>
      </c>
      <c r="H216" s="32" t="n">
        <v>33632.47</v>
      </c>
      <c r="I216" s="32" t="n">
        <v>1579.6</v>
      </c>
      <c r="J216" s="32" t="n">
        <v>-0.3</v>
      </c>
      <c r="K216" s="32" t="n">
        <v>456700</v>
      </c>
      <c r="L216" s="31" t="n">
        <v>76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84.97</v>
      </c>
      <c r="P216" s="32" t="n">
        <v>44.27</v>
      </c>
      <c r="Q216" s="32" t="inlineStr"/>
      <c r="R216" s="31" t="inlineStr">
        <is>
          <t>Earnings / Momentum Support</t>
        </is>
      </c>
      <c r="S216" s="31" t="inlineStr">
        <is>
          <t>Nifty Pharma</t>
        </is>
      </c>
      <c r="T216" s="32" t="n">
        <v>20.77</v>
      </c>
      <c r="U216" s="32" t="n">
        <v>84.17</v>
      </c>
      <c r="V216" s="32" t="n">
        <v>52.5</v>
      </c>
      <c r="W216" s="32" t="n">
        <v>20.34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Above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IF(B217=0,"",RANK(B217,$B$2:$B$358,0))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SYNCOMF</t>
        </is>
      </c>
      <c r="D217" s="33" t="inlineStr">
        <is>
          <t>Syncom Formulations (India) Ltd</t>
        </is>
      </c>
      <c r="E217" s="31" t="inlineStr">
        <is>
          <t>healthcare</t>
        </is>
      </c>
      <c r="F217" s="31" t="inlineStr">
        <is>
          <t>pharmaceuticals - indian - bulk drugs &amp; formln</t>
        </is>
      </c>
      <c r="G217" s="31" t="inlineStr">
        <is>
          <t>smallcap</t>
        </is>
      </c>
      <c r="H217" s="32" t="n">
        <v>1934.52</v>
      </c>
      <c r="I217" s="32" t="n">
        <v>20.27</v>
      </c>
      <c r="J217" s="32" t="n">
        <v>-1.51</v>
      </c>
      <c r="K217" s="32" t="n">
        <v>11295960</v>
      </c>
      <c r="L217" s="31" t="n">
        <v>61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76.66</v>
      </c>
      <c r="P217" s="32" t="n">
        <v>26.72</v>
      </c>
      <c r="Q217" s="32" t="inlineStr"/>
      <c r="R217" s="31" t="inlineStr">
        <is>
          <t>Earnings / Momentum Support</t>
        </is>
      </c>
      <c r="S217" s="31" t="inlineStr">
        <is>
          <t>Nifty Pharma</t>
        </is>
      </c>
      <c r="T217" s="32" t="n">
        <v>20.77</v>
      </c>
      <c r="U217" s="32" t="n">
        <v>19.58</v>
      </c>
      <c r="V217" s="32" t="n">
        <v>-0.98</v>
      </c>
      <c r="W217" s="32" t="n">
        <v>14.41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IF(B218=0,"",RANK(B218,$B$2:$B$358,0))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KABRAEXTRU</t>
        </is>
      </c>
      <c r="D218" s="31" t="inlineStr">
        <is>
          <t>Kabra Extrusion Technik Limited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smallcap</t>
        </is>
      </c>
      <c r="H218" s="32" t="n">
        <v>2025.45</v>
      </c>
      <c r="I218" s="32" t="n">
        <v>634.5</v>
      </c>
      <c r="J218" s="32" t="n">
        <v>9.56</v>
      </c>
      <c r="K218" s="32" t="n">
        <v>759426</v>
      </c>
      <c r="L218" s="31" t="n">
        <v>53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83.70999999999999</v>
      </c>
      <c r="P218" s="32" t="n">
        <v>55.27</v>
      </c>
      <c r="Q218" s="32" t="inlineStr"/>
      <c r="R218" s="31" t="inlineStr">
        <is>
          <t>Earnings / Momentum Support</t>
        </is>
      </c>
      <c r="S218" s="31" t="inlineStr">
        <is>
          <t>Nifty Infra</t>
        </is>
      </c>
      <c r="T218" s="32" t="n">
        <v>1.74</v>
      </c>
      <c r="U218" s="32" t="n">
        <v>6.76</v>
      </c>
      <c r="V218" s="32" t="n">
        <v>4.94</v>
      </c>
      <c r="W218" s="32" t="n">
        <v>11.12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IF(B219=0,"",RANK(B219,$B$2:$B$358,0))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AEROENTER</t>
        </is>
      </c>
      <c r="D219" s="33" t="inlineStr">
        <is>
          <t>Aeroflex Enterprises Ltd</t>
        </is>
      </c>
      <c r="E219" s="31" t="inlineStr">
        <is>
          <t>metals &amp; mining</t>
        </is>
      </c>
      <c r="F219" s="31" t="inlineStr">
        <is>
          <t>steel - medium / small</t>
        </is>
      </c>
      <c r="G219" s="31" t="inlineStr">
        <is>
          <t>smallcap</t>
        </is>
      </c>
      <c r="H219" s="32" t="n">
        <v>1604.78</v>
      </c>
      <c r="I219" s="32" t="n">
        <v>154.73</v>
      </c>
      <c r="J219" s="32" t="n">
        <v>9.109999999999999</v>
      </c>
      <c r="K219" s="32" t="n">
        <v>3260028</v>
      </c>
      <c r="L219" s="31" t="n">
        <v>46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66.15000000000001</v>
      </c>
      <c r="P219" s="32" t="n">
        <v>54.08</v>
      </c>
      <c r="Q219" s="32" t="inlineStr"/>
      <c r="R219" s="31" t="inlineStr">
        <is>
          <t>Earnings / Momentum Support</t>
        </is>
      </c>
      <c r="S219" s="31" t="inlineStr">
        <is>
          <t>Nifty Metal</t>
        </is>
      </c>
      <c r="T219" s="32" t="n">
        <v>31.49</v>
      </c>
      <c r="U219" s="32" t="n">
        <v>6.38</v>
      </c>
      <c r="V219" s="32" t="n">
        <v>-19.1</v>
      </c>
      <c r="W219" s="32" t="n">
        <v>8.710000000000001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IF(B220=0,"",RANK(B220,$B$2:$B$358,0))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PITTIENG</t>
        </is>
      </c>
      <c r="D220" s="31" t="inlineStr">
        <is>
          <t>Pitti Engineering Ltd</t>
        </is>
      </c>
      <c r="E220" s="31" t="inlineStr">
        <is>
          <t>industrials</t>
        </is>
      </c>
      <c r="F220" s="31" t="inlineStr">
        <is>
          <t>engineering</t>
        </is>
      </c>
      <c r="G220" s="31" t="inlineStr">
        <is>
          <t>smallcap</t>
        </is>
      </c>
      <c r="H220" s="32" t="n">
        <v>4085.04</v>
      </c>
      <c r="I220" s="32" t="n">
        <v>1176.2</v>
      </c>
      <c r="J220" s="32" t="n">
        <v>8.42</v>
      </c>
      <c r="K220" s="32" t="n">
        <v>1699396</v>
      </c>
      <c r="L220" s="31" t="n">
        <v>39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63.26</v>
      </c>
      <c r="P220" s="32" t="n">
        <v>17.24</v>
      </c>
      <c r="Q220" s="32" t="inlineStr"/>
      <c r="R220" s="31" t="inlineStr">
        <is>
          <t>Volume Spike / Accumulation</t>
        </is>
      </c>
      <c r="S220" s="31" t="inlineStr">
        <is>
          <t>Nifty 50</t>
        </is>
      </c>
      <c r="T220" s="32" t="n">
        <v>-3.41</v>
      </c>
      <c r="U220" s="32" t="n">
        <v>19.45</v>
      </c>
      <c r="V220" s="32" t="n">
        <v>23.66</v>
      </c>
      <c r="W220" s="32" t="n">
        <v>7.35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IF(B221=0,"",RANK(B221,$B$2:$B$358,0))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SHREEPUSHK</t>
        </is>
      </c>
      <c r="D221" s="31" t="inlineStr">
        <is>
          <t>Shree Pushkar Chemicals &amp; Fertilisers Limited</t>
        </is>
      </c>
      <c r="E221" s="31" t="inlineStr">
        <is>
          <t>chemicals</t>
        </is>
      </c>
      <c r="F221" s="31" t="inlineStr">
        <is>
          <t>dyes and pigments</t>
        </is>
      </c>
      <c r="G221" s="31" t="inlineStr">
        <is>
          <t>smallcap</t>
        </is>
      </c>
      <c r="H221" s="32" t="n">
        <v>1536.85</v>
      </c>
      <c r="I221" s="32" t="n">
        <v>514.9</v>
      </c>
      <c r="J221" s="32" t="n">
        <v>8.34</v>
      </c>
      <c r="K221" s="32" t="n">
        <v>399174</v>
      </c>
      <c r="L221" s="31" t="n">
        <v>63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66.81</v>
      </c>
      <c r="P221" s="32" t="n">
        <v>38.58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-3.41</v>
      </c>
      <c r="U221" s="32" t="n">
        <v>37.19</v>
      </c>
      <c r="V221" s="32" t="n">
        <v>42.03</v>
      </c>
      <c r="W221" s="32" t="n">
        <v>14.89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IF(B222=0,"",RANK(B222,$B$2:$B$358,0))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JASH</t>
        </is>
      </c>
      <c r="D222" s="33" t="inlineStr">
        <is>
          <t>Jash Engineering Ltd</t>
        </is>
      </c>
      <c r="E222" s="31" t="inlineStr">
        <is>
          <t>industrials</t>
        </is>
      </c>
      <c r="F222" s="31" t="inlineStr">
        <is>
          <t>engineering</t>
        </is>
      </c>
      <c r="G222" s="31" t="inlineStr">
        <is>
          <t>smallcap</t>
        </is>
      </c>
      <c r="H222" s="32" t="n">
        <v>3023.82</v>
      </c>
      <c r="I222" s="32" t="n">
        <v>511.15</v>
      </c>
      <c r="J222" s="32" t="n">
        <v>6.82</v>
      </c>
      <c r="K222" s="32" t="n">
        <v>484422</v>
      </c>
      <c r="L222" s="31" t="n">
        <v>29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52.87</v>
      </c>
      <c r="P222" s="32" t="n">
        <v>20.07</v>
      </c>
      <c r="Q222" s="32" t="inlineStr"/>
      <c r="R222" s="31" t="inlineStr">
        <is>
          <t>Earnings / Momentum Support</t>
        </is>
      </c>
      <c r="S222" s="31" t="inlineStr">
        <is>
          <t>Nifty Infra</t>
        </is>
      </c>
      <c r="T222" s="32" t="n">
        <v>1.74</v>
      </c>
      <c r="U222" s="32" t="n">
        <v>-14.52</v>
      </c>
      <c r="V222" s="32" t="n">
        <v>-15.98</v>
      </c>
      <c r="W222" s="32" t="n">
        <v>5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IF(B223=0,"",RANK(B223,$B$2:$B$358,0))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SPECTRUM</t>
        </is>
      </c>
      <c r="D223" s="31" t="inlineStr">
        <is>
          <t>Spectrum Electrical Industries Ltd</t>
        </is>
      </c>
      <c r="E223" s="31" t="inlineStr">
        <is>
          <t>industrials</t>
        </is>
      </c>
      <c r="F223" s="31" t="inlineStr">
        <is>
          <t>electric equipment</t>
        </is>
      </c>
      <c r="G223" s="31" t="inlineStr">
        <is>
          <t>smallcap</t>
        </is>
      </c>
      <c r="H223" s="32" t="n">
        <v>3721.67</v>
      </c>
      <c r="I223" s="32" t="n">
        <v>2486.8</v>
      </c>
      <c r="J223" s="32" t="n">
        <v>5</v>
      </c>
      <c r="K223" s="32" t="n">
        <v>5740</v>
      </c>
      <c r="L223" s="31" t="n">
        <v>76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68.03</v>
      </c>
      <c r="P223" s="32" t="n">
        <v>59.01</v>
      </c>
      <c r="Q223" s="32" t="inlineStr"/>
      <c r="R223" s="31" t="inlineStr">
        <is>
          <t>Earnings / Momentum Support</t>
        </is>
      </c>
      <c r="S223" s="31" t="inlineStr">
        <is>
          <t>Nifty Infra</t>
        </is>
      </c>
      <c r="T223" s="32" t="n">
        <v>1.74</v>
      </c>
      <c r="U223" s="32" t="n">
        <v>26.67</v>
      </c>
      <c r="V223" s="32" t="n">
        <v>24.5</v>
      </c>
      <c r="W223" s="32" t="n">
        <v>20.59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Between 0.7 to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IF(B224=0,"",RANK(B224,$B$2:$B$358,0))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BHAGERIA</t>
        </is>
      </c>
      <c r="D224" s="31" t="inlineStr">
        <is>
          <t>Bhageria Industries Limited</t>
        </is>
      </c>
      <c r="E224" s="31" t="inlineStr">
        <is>
          <t>chemicals</t>
        </is>
      </c>
      <c r="F224" s="31" t="inlineStr">
        <is>
          <t>dyes and pigments</t>
        </is>
      </c>
      <c r="G224" s="31" t="inlineStr">
        <is>
          <t>smallcap</t>
        </is>
      </c>
      <c r="H224" s="32" t="n">
        <v>1329.62</v>
      </c>
      <c r="I224" s="32" t="n">
        <v>319.85</v>
      </c>
      <c r="J224" s="32" t="n">
        <v>4.99</v>
      </c>
      <c r="K224" s="32" t="n">
        <v>141581</v>
      </c>
      <c r="L224" s="31" t="n">
        <v>77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75.16</v>
      </c>
      <c r="P224" s="32" t="n">
        <v>36.39</v>
      </c>
      <c r="Q224" s="32" t="inlineStr"/>
      <c r="R224" s="31" t="inlineStr">
        <is>
          <t>Earnings / Momentum Support</t>
        </is>
      </c>
      <c r="S224" s="31" t="inlineStr">
        <is>
          <t>Nifty IT</t>
        </is>
      </c>
      <c r="T224" s="32" t="n">
        <v>-11.38</v>
      </c>
      <c r="U224" s="32" t="n">
        <v>54.84</v>
      </c>
      <c r="V224" s="32" t="n">
        <v>74.72</v>
      </c>
      <c r="W224" s="32" t="n">
        <v>21.39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IF(B225=0,"",RANK(B225,$B$2:$B$358,0))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OAL</t>
        </is>
      </c>
      <c r="D225" s="31" t="inlineStr">
        <is>
          <t>Oriental Aromatics Ltd</t>
        </is>
      </c>
      <c r="E225" s="31" t="inlineStr">
        <is>
          <t>chemicals</t>
        </is>
      </c>
      <c r="F225" s="31" t="inlineStr">
        <is>
          <t>chemicals</t>
        </is>
      </c>
      <c r="G225" s="31" t="inlineStr">
        <is>
          <t>smallcap</t>
        </is>
      </c>
      <c r="H225" s="32" t="n">
        <v>1749.65</v>
      </c>
      <c r="I225" s="32" t="n">
        <v>537.35</v>
      </c>
      <c r="J225" s="32" t="n">
        <v>3.36</v>
      </c>
      <c r="K225" s="32" t="n">
        <v>139317</v>
      </c>
      <c r="L225" s="31" t="n">
        <v>86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76.39</v>
      </c>
      <c r="P225" s="32" t="n">
        <v>33.41</v>
      </c>
      <c r="Q225" s="32" t="inlineStr"/>
      <c r="R225" s="31" t="inlineStr">
        <is>
          <t>Earnings / Momentum Support</t>
        </is>
      </c>
      <c r="S225" s="31" t="inlineStr">
        <is>
          <t>Nifty IT</t>
        </is>
      </c>
      <c r="T225" s="32" t="n">
        <v>-11.38</v>
      </c>
      <c r="U225" s="32" t="n">
        <v>53.66</v>
      </c>
      <c r="V225" s="32" t="n">
        <v>73.38</v>
      </c>
      <c r="W225" s="32" t="n">
        <v>25.36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IF(B226=0,"",RANK(B226,$B$2:$B$358,0))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KRN</t>
        </is>
      </c>
      <c r="D226" s="31" t="inlineStr">
        <is>
          <t>KRN Heat Exchanger and Refrigeration Ltd</t>
        </is>
      </c>
      <c r="E226" s="31" t="inlineStr">
        <is>
          <t>industrials</t>
        </is>
      </c>
      <c r="F226" s="31" t="inlineStr">
        <is>
          <t>engineering</t>
        </is>
      </c>
      <c r="G226" s="31" t="inlineStr">
        <is>
          <t>midcap</t>
        </is>
      </c>
      <c r="H226" s="32" t="n">
        <v>10333.93</v>
      </c>
      <c r="I226" s="32" t="n">
        <v>1625.4</v>
      </c>
      <c r="J226" s="32" t="n">
        <v>2.96</v>
      </c>
      <c r="K226" s="32" t="n">
        <v>329624</v>
      </c>
      <c r="L226" s="31" t="n">
        <v>74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72.51000000000001</v>
      </c>
      <c r="P226" s="32" t="n">
        <v>36.9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-3.41</v>
      </c>
      <c r="U226" s="32" t="n">
        <v>80.59999999999999</v>
      </c>
      <c r="V226" s="32" t="n">
        <v>86.97</v>
      </c>
      <c r="W226" s="32" t="n">
        <v>19.74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IF(B227=0,"",RANK(B227,$B$2:$B$358,0))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BOSCHLTD</t>
        </is>
      </c>
      <c r="D227" s="33" t="inlineStr">
        <is>
          <t>Bosch Limited</t>
        </is>
      </c>
      <c r="E227" s="31" t="inlineStr">
        <is>
          <t>auto</t>
        </is>
      </c>
      <c r="F227" s="31" t="inlineStr">
        <is>
          <t>auto ancillaries</t>
        </is>
      </c>
      <c r="G227" s="31" t="inlineStr">
        <is>
          <t>largecap</t>
        </is>
      </c>
      <c r="H227" s="32" t="n">
        <v>138100.74</v>
      </c>
      <c r="I227" s="32" t="n">
        <v>48025</v>
      </c>
      <c r="J227" s="32" t="n">
        <v>2.57</v>
      </c>
      <c r="K227" s="32" t="n">
        <v>54963</v>
      </c>
      <c r="L227" s="31" t="n">
        <v>24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68.06999999999999</v>
      </c>
      <c r="P227" s="32" t="n">
        <v>40.93</v>
      </c>
      <c r="Q227" s="32" t="inlineStr"/>
      <c r="R227" s="31" t="inlineStr">
        <is>
          <t>Earnings / Momentum Support</t>
        </is>
      </c>
      <c r="S227" s="31" t="inlineStr">
        <is>
          <t>Nifty Auto</t>
        </is>
      </c>
      <c r="T227" s="32" t="n">
        <v>13.41</v>
      </c>
      <c r="U227" s="32" t="n">
        <v>8.26</v>
      </c>
      <c r="V227" s="32" t="n">
        <v>-4.55</v>
      </c>
      <c r="W227" s="32" t="n">
        <v>3.48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IF(B228=0,"",RANK(B228,$B$2:$B$358,0))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TNPL</t>
        </is>
      </c>
      <c r="D228" s="33" t="inlineStr">
        <is>
          <t>Tamil Nadu Newsprint &amp; Papers Limited</t>
        </is>
      </c>
      <c r="E228" s="31" t="inlineStr">
        <is>
          <t>building materials</t>
        </is>
      </c>
      <c r="F228" s="31" t="inlineStr">
        <is>
          <t>paper</t>
        </is>
      </c>
      <c r="G228" s="31" t="inlineStr">
        <is>
          <t>smallcap</t>
        </is>
      </c>
      <c r="H228" s="32" t="n">
        <v>1077.96</v>
      </c>
      <c r="I228" s="32" t="n">
        <v>159.5</v>
      </c>
      <c r="J228" s="32" t="n">
        <v>2.41</v>
      </c>
      <c r="K228" s="32" t="n">
        <v>2376677</v>
      </c>
      <c r="L228" s="31" t="n">
        <v>8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58.73</v>
      </c>
      <c r="P228" s="32" t="n">
        <v>11.82</v>
      </c>
      <c r="Q228" s="32" t="inlineStr"/>
      <c r="R228" s="31" t="inlineStr">
        <is>
          <t>Volume Spike / Accumulation</t>
        </is>
      </c>
      <c r="S228" s="31" t="inlineStr">
        <is>
          <t>Nifty Infra</t>
        </is>
      </c>
      <c r="T228" s="32" t="n">
        <v>1.74</v>
      </c>
      <c r="U228" s="32" t="n">
        <v>-12.81</v>
      </c>
      <c r="V228" s="32" t="n">
        <v>-14.31</v>
      </c>
      <c r="W228" s="32" t="n">
        <v>-1.85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IF(B229=0,"",RANK(B229,$B$2:$B$358,0))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WENDT</t>
        </is>
      </c>
      <c r="D229" s="33" t="inlineStr">
        <is>
          <t>Wendt (india) Limited</t>
        </is>
      </c>
      <c r="E229" s="31" t="inlineStr">
        <is>
          <t>industrials</t>
        </is>
      </c>
      <c r="F229" s="31" t="inlineStr">
        <is>
          <t>abrasives and grinding wheels</t>
        </is>
      </c>
      <c r="G229" s="31" t="inlineStr">
        <is>
          <t>smallcap</t>
        </is>
      </c>
      <c r="H229" s="32" t="n">
        <v>1632</v>
      </c>
      <c r="I229" s="32" t="n">
        <v>8340</v>
      </c>
      <c r="J229" s="32" t="n">
        <v>2.21</v>
      </c>
      <c r="K229" s="32" t="n">
        <v>8810</v>
      </c>
      <c r="L229" s="31" t="n">
        <v>14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56.6</v>
      </c>
      <c r="P229" s="32" t="n">
        <v>37.75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-3.41</v>
      </c>
      <c r="U229" s="32" t="n">
        <v>-16.95</v>
      </c>
      <c r="V229" s="32" t="n">
        <v>-14.02</v>
      </c>
      <c r="W229" s="32" t="n">
        <v>1.49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Between 1.5 to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IF(B230=0,"",RANK(B230,$B$2:$B$358,0))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SHAILY</t>
        </is>
      </c>
      <c r="D230" s="31" t="inlineStr">
        <is>
          <t>Shaily Engineering Plastics Ltd</t>
        </is>
      </c>
      <c r="E230" s="31" t="inlineStr">
        <is>
          <t>plastic products</t>
        </is>
      </c>
      <c r="F230" s="31" t="inlineStr">
        <is>
          <t>plastics products</t>
        </is>
      </c>
      <c r="G230" s="31" t="inlineStr">
        <is>
          <t>midcap</t>
        </is>
      </c>
      <c r="H230" s="32" t="n">
        <v>15078.62</v>
      </c>
      <c r="I230" s="32" t="n">
        <v>3348.7</v>
      </c>
      <c r="J230" s="32" t="n">
        <v>2.15</v>
      </c>
      <c r="K230" s="32" t="n">
        <v>174319</v>
      </c>
      <c r="L230" s="31" t="n">
        <v>57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66.70999999999999</v>
      </c>
      <c r="P230" s="32" t="n">
        <v>29.71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-3.41</v>
      </c>
      <c r="U230" s="32" t="n">
        <v>49.44</v>
      </c>
      <c r="V230" s="32" t="n">
        <v>54.72</v>
      </c>
      <c r="W230" s="32" t="n">
        <v>12.91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IF(B231=0,"",RANK(B231,$B$2:$B$358,0))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INDIANHUME</t>
        </is>
      </c>
      <c r="D231" s="33" t="inlineStr">
        <is>
          <t>Indian Hume Pipe Company Limited</t>
        </is>
      </c>
      <c r="E231" s="31" t="inlineStr">
        <is>
          <t>realty</t>
        </is>
      </c>
      <c r="F231" s="31" t="inlineStr">
        <is>
          <t>construction</t>
        </is>
      </c>
      <c r="G231" s="31" t="inlineStr">
        <is>
          <t>smallcap</t>
        </is>
      </c>
      <c r="H231" s="32" t="n">
        <v>2043</v>
      </c>
      <c r="I231" s="32" t="n">
        <v>394.9</v>
      </c>
      <c r="J231" s="32" t="n">
        <v>1.83</v>
      </c>
      <c r="K231" s="32" t="n">
        <v>45044</v>
      </c>
      <c r="L231" s="31" t="n">
        <v>24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58.94</v>
      </c>
      <c r="P231" s="32" t="n">
        <v>27.88</v>
      </c>
      <c r="Q231" s="32" t="inlineStr"/>
      <c r="R231" s="31" t="inlineStr">
        <is>
          <t>Earnings / Momentum Support</t>
        </is>
      </c>
      <c r="S231" s="31" t="inlineStr">
        <is>
          <t>Nifty Realty</t>
        </is>
      </c>
      <c r="T231" s="32" t="n">
        <v>-8.119999999999999</v>
      </c>
      <c r="U231" s="32" t="n">
        <v>-9.41</v>
      </c>
      <c r="V231" s="32" t="n">
        <v>-1.4</v>
      </c>
      <c r="W231" s="32" t="n">
        <v>3.61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Between 1.5 to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IF(B232=0,"",RANK(B232,$B$2:$B$358,0))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MOTISONS</t>
        </is>
      </c>
      <c r="D232" s="33" t="inlineStr">
        <is>
          <t>Motisons Jewellers Ltd</t>
        </is>
      </c>
      <c r="E232" s="31" t="inlineStr">
        <is>
          <t>consumer discretionary</t>
        </is>
      </c>
      <c r="F232" s="31" t="inlineStr">
        <is>
          <t>diamond cutting / jewellery</t>
        </is>
      </c>
      <c r="G232" s="31" t="inlineStr">
        <is>
          <t>smallcap</t>
        </is>
      </c>
      <c r="H232" s="32" t="n">
        <v>1874.61</v>
      </c>
      <c r="I232" s="32" t="n">
        <v>16.77</v>
      </c>
      <c r="J232" s="32" t="n">
        <v>1.76</v>
      </c>
      <c r="K232" s="32" t="n">
        <v>50923605</v>
      </c>
      <c r="L232" s="31" t="n">
        <v>38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60.62</v>
      </c>
      <c r="P232" s="32" t="n">
        <v>19.38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-3.41</v>
      </c>
      <c r="U232" s="32" t="n">
        <v>-14.61</v>
      </c>
      <c r="V232" s="32" t="n">
        <v>-11.6</v>
      </c>
      <c r="W232" s="32" t="n">
        <v>7.11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IF(B233=0,"",RANK(B233,$B$2:$B$358,0))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KAMDHENU</t>
        </is>
      </c>
      <c r="D233" s="33" t="inlineStr">
        <is>
          <t>Kamdhenu Limited</t>
        </is>
      </c>
      <c r="E233" s="31" t="inlineStr">
        <is>
          <t>metals &amp; mining</t>
        </is>
      </c>
      <c r="F233" s="31" t="inlineStr">
        <is>
          <t>steel - medium / small</t>
        </is>
      </c>
      <c r="G233" s="31" t="inlineStr">
        <is>
          <t>smallcap</t>
        </is>
      </c>
      <c r="H233" s="32" t="n">
        <v>1106.11</v>
      </c>
      <c r="I233" s="32" t="n">
        <v>39.88</v>
      </c>
      <c r="J233" s="32" t="n">
        <v>1.63</v>
      </c>
      <c r="K233" s="32" t="n">
        <v>817834</v>
      </c>
      <c r="L233" s="31" t="n">
        <v>59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74.25</v>
      </c>
      <c r="P233" s="32" t="n">
        <v>50.8</v>
      </c>
      <c r="Q233" s="32" t="inlineStr"/>
      <c r="R233" s="31" t="inlineStr">
        <is>
          <t>Earnings / Momentum Support</t>
        </is>
      </c>
      <c r="S233" s="31" t="inlineStr">
        <is>
          <t>Nifty Metal</t>
        </is>
      </c>
      <c r="T233" s="32" t="n">
        <v>31.49</v>
      </c>
      <c r="U233" s="32" t="n">
        <v>12.5</v>
      </c>
      <c r="V233" s="32" t="n">
        <v>-14.45</v>
      </c>
      <c r="W233" s="32" t="n">
        <v>13.64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IF(B234=0,"",RANK(B234,$B$2:$B$358,0))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JINDALSAW</t>
        </is>
      </c>
      <c r="D234" s="33" t="inlineStr">
        <is>
          <t>Jindal Saw Limited</t>
        </is>
      </c>
      <c r="E234" s="31" t="inlineStr">
        <is>
          <t>industrials</t>
        </is>
      </c>
      <c r="F234" s="31" t="inlineStr">
        <is>
          <t>steel - large</t>
        </is>
      </c>
      <c r="G234" s="31" t="inlineStr">
        <is>
          <t>midcap</t>
        </is>
      </c>
      <c r="H234" s="32" t="n">
        <v>19524.19</v>
      </c>
      <c r="I234" s="32" t="n">
        <v>309.55</v>
      </c>
      <c r="J234" s="32" t="n">
        <v>1.39</v>
      </c>
      <c r="K234" s="32" t="n">
        <v>2210468</v>
      </c>
      <c r="L234" s="31" t="n">
        <v>48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69.56999999999999</v>
      </c>
      <c r="P234" s="32" t="n">
        <v>47.73</v>
      </c>
      <c r="Q234" s="32" t="inlineStr"/>
      <c r="R234" s="31" t="inlineStr">
        <is>
          <t>Earnings / Momentum Support</t>
        </is>
      </c>
      <c r="S234" s="31" t="inlineStr">
        <is>
          <t>Nifty Metal</t>
        </is>
      </c>
      <c r="T234" s="32" t="n">
        <v>31.49</v>
      </c>
      <c r="U234" s="32" t="n">
        <v>19.01</v>
      </c>
      <c r="V234" s="32" t="n">
        <v>-9.49</v>
      </c>
      <c r="W234" s="32" t="n">
        <v>9.5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IF(B235=0,"",RANK(B235,$B$2:$B$358,0))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NRAIL</t>
        </is>
      </c>
      <c r="D235" s="31" t="inlineStr">
        <is>
          <t>N R Agarwal Industries Ltd</t>
        </is>
      </c>
      <c r="E235" s="31" t="inlineStr">
        <is>
          <t>building materials</t>
        </is>
      </c>
      <c r="F235" s="31" t="inlineStr">
        <is>
          <t>paper</t>
        </is>
      </c>
      <c r="G235" s="31" t="inlineStr">
        <is>
          <t>smallcap</t>
        </is>
      </c>
      <c r="H235" s="32" t="n">
        <v>993.92</v>
      </c>
      <c r="I235" s="32" t="n">
        <v>589.95</v>
      </c>
      <c r="J235" s="32" t="n">
        <v>1.02</v>
      </c>
      <c r="K235" s="32" t="n">
        <v>145834</v>
      </c>
      <c r="L235" s="31" t="n">
        <v>19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65.37</v>
      </c>
      <c r="P235" s="32" t="n">
        <v>31.65</v>
      </c>
      <c r="Q235" s="32" t="inlineStr"/>
      <c r="R235" s="31" t="inlineStr">
        <is>
          <t>Earnings / Momentum Support</t>
        </is>
      </c>
      <c r="S235" s="31" t="inlineStr">
        <is>
          <t>Nifty Infra</t>
        </is>
      </c>
      <c r="T235" s="32" t="n">
        <v>1.74</v>
      </c>
      <c r="U235" s="32" t="n">
        <v>19.09</v>
      </c>
      <c r="V235" s="32" t="n">
        <v>17.05</v>
      </c>
      <c r="W235" s="32" t="n">
        <v>2.3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IF(B236=0,"",RANK(B236,$B$2:$B$358,0))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EIMCOELECO</t>
        </is>
      </c>
      <c r="D236" s="33" t="inlineStr">
        <is>
          <t>Eimco Elecon (india) Limited</t>
        </is>
      </c>
      <c r="E236" s="31" t="inlineStr">
        <is>
          <t>industrials</t>
        </is>
      </c>
      <c r="F236" s="31" t="inlineStr">
        <is>
          <t>engineering</t>
        </is>
      </c>
      <c r="G236" s="31" t="inlineStr">
        <is>
          <t>smallcap</t>
        </is>
      </c>
      <c r="H236" s="32" t="n">
        <v>1300.42</v>
      </c>
      <c r="I236" s="32" t="n">
        <v>2268</v>
      </c>
      <c r="J236" s="32" t="n">
        <v>0.6</v>
      </c>
      <c r="K236" s="32" t="n">
        <v>14898</v>
      </c>
      <c r="L236" s="31" t="n">
        <v>6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73.40000000000001</v>
      </c>
      <c r="P236" s="32" t="n">
        <v>48.18</v>
      </c>
      <c r="Q236" s="32" t="inlineStr"/>
      <c r="R236" s="31" t="inlineStr">
        <is>
          <t>Earnings / Momentum Support</t>
        </is>
      </c>
      <c r="S236" s="31" t="inlineStr">
        <is>
          <t>Nifty Infra</t>
        </is>
      </c>
      <c r="T236" s="32" t="n">
        <v>1.74</v>
      </c>
      <c r="U236" s="32" t="n">
        <v>-24.29</v>
      </c>
      <c r="V236" s="32" t="n">
        <v>-25.59</v>
      </c>
      <c r="W236" s="32" t="n">
        <v>-2.2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IF(B237=0,"",RANK(B237,$B$2:$B$358,0))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JSWDULUX</t>
        </is>
      </c>
      <c r="D237" s="33" t="inlineStr">
        <is>
          <t>JSW Dulux Ltd</t>
        </is>
      </c>
      <c r="E237" s="31" t="inlineStr">
        <is>
          <t>building materials</t>
        </is>
      </c>
      <c r="F237" s="31" t="inlineStr">
        <is>
          <t>paints / varnishes</t>
        </is>
      </c>
      <c r="G237" s="31" t="inlineStr">
        <is>
          <t>midcap</t>
        </is>
      </c>
      <c r="H237" s="32" t="n">
        <v>14456.77</v>
      </c>
      <c r="I237" s="32" t="n">
        <v>3186.8</v>
      </c>
      <c r="J237" s="32" t="n">
        <v>0.39</v>
      </c>
      <c r="K237" s="32" t="n">
        <v>31552</v>
      </c>
      <c r="L237" s="31" t="n">
        <v>10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55.46</v>
      </c>
      <c r="P237" s="32" t="n">
        <v>14.21</v>
      </c>
      <c r="Q237" s="32" t="inlineStr"/>
      <c r="R237" s="31" t="inlineStr">
        <is>
          <t>Earnings / Momentum Support</t>
        </is>
      </c>
      <c r="S237" s="31" t="inlineStr">
        <is>
          <t>Nifty Infra</t>
        </is>
      </c>
      <c r="T237" s="32" t="n">
        <v>1.74</v>
      </c>
      <c r="U237" s="32" t="n">
        <v>-10.69</v>
      </c>
      <c r="V237" s="32" t="n">
        <v>-12.22</v>
      </c>
      <c r="W237" s="32" t="n">
        <v>-1.05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IF(B238=0,"",RANK(B238,$B$2:$B$358,0))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KENNAMET</t>
        </is>
      </c>
      <c r="D238" s="31" t="inlineStr">
        <is>
          <t>Kennametal India Ltd</t>
        </is>
      </c>
      <c r="E238" s="31" t="inlineStr">
        <is>
          <t>industrials</t>
        </is>
      </c>
      <c r="F238" s="31" t="inlineStr">
        <is>
          <t>castings &amp; forgings</t>
        </is>
      </c>
      <c r="G238" s="31" t="inlineStr">
        <is>
          <t>midcap</t>
        </is>
      </c>
      <c r="H238" s="32" t="n">
        <v>10304.5</v>
      </c>
      <c r="I238" s="32" t="n">
        <v>4693</v>
      </c>
      <c r="J238" s="32" t="n">
        <v>0.1</v>
      </c>
      <c r="K238" s="32" t="n">
        <v>32325</v>
      </c>
      <c r="L238" s="31" t="n">
        <v>42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85.22</v>
      </c>
      <c r="P238" s="32" t="n">
        <v>48.77</v>
      </c>
      <c r="Q238" s="32" t="inlineStr"/>
      <c r="R238" s="31" t="inlineStr">
        <is>
          <t>Earnings / Momentum Support</t>
        </is>
      </c>
      <c r="S238" s="31" t="inlineStr">
        <is>
          <t>Nifty Infra</t>
        </is>
      </c>
      <c r="T238" s="32" t="n">
        <v>1.74</v>
      </c>
      <c r="U238" s="32" t="n">
        <v>22.24</v>
      </c>
      <c r="V238" s="32" t="n">
        <v>20.15</v>
      </c>
      <c r="W238" s="32" t="n">
        <v>8.039999999999999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IF(B239=0,"",RANK(B239,$B$2:$B$358,0))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ELGIEQUIP</t>
        </is>
      </c>
      <c r="D239" s="31" t="inlineStr">
        <is>
          <t>Elgi Equipments Limited</t>
        </is>
      </c>
      <c r="E239" s="31" t="inlineStr">
        <is>
          <t>industrials</t>
        </is>
      </c>
      <c r="F239" s="31" t="inlineStr">
        <is>
          <t>compressors / drilling equipment</t>
        </is>
      </c>
      <c r="G239" s="31" t="inlineStr">
        <is>
          <t>largecap</t>
        </is>
      </c>
      <c r="H239" s="32" t="n">
        <v>20348.73</v>
      </c>
      <c r="I239" s="32" t="n">
        <v>642.4</v>
      </c>
      <c r="J239" s="32" t="n">
        <v>0.05</v>
      </c>
      <c r="K239" s="32" t="n">
        <v>807924</v>
      </c>
      <c r="L239" s="31" t="n">
        <v>40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67.53</v>
      </c>
      <c r="P239" s="32" t="n">
        <v>26.71</v>
      </c>
      <c r="Q239" s="32" t="inlineStr"/>
      <c r="R239" s="31" t="inlineStr">
        <is>
          <t>Earnings / Momentum Support</t>
        </is>
      </c>
      <c r="S239" s="31" t="inlineStr">
        <is>
          <t>Nifty 50</t>
        </is>
      </c>
      <c r="T239" s="32" t="n">
        <v>-3.41</v>
      </c>
      <c r="U239" s="32" t="n">
        <v>35.23</v>
      </c>
      <c r="V239" s="32" t="n">
        <v>40</v>
      </c>
      <c r="W239" s="32" t="n">
        <v>7.52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IF(B240=0,"",RANK(B240,$B$2:$B$358,0))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YUKEN</t>
        </is>
      </c>
      <c r="D240" s="31" t="inlineStr">
        <is>
          <t>Yuken India Ltd</t>
        </is>
      </c>
      <c r="E240" s="31" t="inlineStr">
        <is>
          <t>industrials</t>
        </is>
      </c>
      <c r="F240" s="31" t="inlineStr">
        <is>
          <t>engineering</t>
        </is>
      </c>
      <c r="G240" s="31" t="inlineStr">
        <is>
          <t>smallcap</t>
        </is>
      </c>
      <c r="H240" s="32" t="n">
        <v>1373.07</v>
      </c>
      <c r="I240" s="32" t="n">
        <v>1005.6</v>
      </c>
      <c r="J240" s="32" t="n">
        <v>-0.51</v>
      </c>
      <c r="K240" s="32" t="n">
        <v>9288</v>
      </c>
      <c r="L240" s="31" t="n">
        <v>56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71.78</v>
      </c>
      <c r="P240" s="32" t="n">
        <v>24.49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-3.41</v>
      </c>
      <c r="U240" s="32" t="n">
        <v>4.6</v>
      </c>
      <c r="V240" s="32" t="n">
        <v>8.289999999999999</v>
      </c>
      <c r="W240" s="32" t="n">
        <v>12.67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IF(B241=0,"",RANK(B241,$B$2:$B$358,0))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DYNAMATECH</t>
        </is>
      </c>
      <c r="D241" s="31" t="inlineStr">
        <is>
          <t>Dynamatic Technologies Limited</t>
        </is>
      </c>
      <c r="E241" s="31" t="inlineStr">
        <is>
          <t>aerospace &amp; defence</t>
        </is>
      </c>
      <c r="F241" s="31" t="inlineStr">
        <is>
          <t>engineering</t>
        </is>
      </c>
      <c r="G241" s="31" t="inlineStr">
        <is>
          <t>midcap</t>
        </is>
      </c>
      <c r="H241" s="32" t="n">
        <v>7914.75</v>
      </c>
      <c r="I241" s="32" t="n">
        <v>11569</v>
      </c>
      <c r="J241" s="32" t="n">
        <v>-0.73</v>
      </c>
      <c r="K241" s="32" t="n">
        <v>17282</v>
      </c>
      <c r="L241" s="31" t="n">
        <v>62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59.16</v>
      </c>
      <c r="P241" s="32" t="n">
        <v>22.78</v>
      </c>
      <c r="Q241" s="32" t="inlineStr"/>
      <c r="R241" s="31" t="inlineStr">
        <is>
          <t>Earnings / Momentum Support</t>
        </is>
      </c>
      <c r="S241" s="31" t="inlineStr">
        <is>
          <t>Nifty 50</t>
        </is>
      </c>
      <c r="T241" s="32" t="n">
        <v>-3.41</v>
      </c>
      <c r="U241" s="32" t="n">
        <v>76.42</v>
      </c>
      <c r="V241" s="32" t="n">
        <v>82.64</v>
      </c>
      <c r="W241" s="32" t="n">
        <v>14.87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Between 1.5 to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Between 0.7 to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IF(B242=0,"",RANK(B242,$B$2:$B$358,0))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GANDHAR</t>
        </is>
      </c>
      <c r="D242" s="31" t="inlineStr">
        <is>
          <t>Gandhar Oil Refinery (India) Ltd</t>
        </is>
      </c>
      <c r="E242" s="31" t="inlineStr">
        <is>
          <t>energy</t>
        </is>
      </c>
      <c r="F242" s="31" t="inlineStr">
        <is>
          <t>refineries</t>
        </is>
      </c>
      <c r="G242" s="31" t="inlineStr">
        <is>
          <t>smallcap</t>
        </is>
      </c>
      <c r="H242" s="32" t="n">
        <v>2619.26</v>
      </c>
      <c r="I242" s="32" t="n">
        <v>264.85</v>
      </c>
      <c r="J242" s="32" t="n">
        <v>-1.03</v>
      </c>
      <c r="K242" s="32" t="n">
        <v>719670</v>
      </c>
      <c r="L242" s="31" t="n">
        <v>61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69.97</v>
      </c>
      <c r="P242" s="32" t="n">
        <v>73.73999999999999</v>
      </c>
      <c r="Q242" s="32" t="inlineStr"/>
      <c r="R242" s="31" t="inlineStr">
        <is>
          <t>Earnings / Momentum Support</t>
        </is>
      </c>
      <c r="S242" s="31" t="inlineStr">
        <is>
          <t>Nifty Energy</t>
        </is>
      </c>
      <c r="T242" s="32" t="n">
        <v>8.41</v>
      </c>
      <c r="U242" s="32" t="n">
        <v>24.11</v>
      </c>
      <c r="V242" s="32" t="n">
        <v>14.48</v>
      </c>
      <c r="W242" s="32" t="n">
        <v>14.4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IF(B243=0,"",RANK(B243,$B$2:$B$358,0))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CHENNPETRO</t>
        </is>
      </c>
      <c r="D243" s="31" t="inlineStr">
        <is>
          <t>Chennai Petroleum Corporation Limited</t>
        </is>
      </c>
      <c r="E243" s="31" t="inlineStr">
        <is>
          <t>energy</t>
        </is>
      </c>
      <c r="F243" s="31" t="inlineStr">
        <is>
          <t>refineries</t>
        </is>
      </c>
      <c r="G243" s="31" t="inlineStr">
        <is>
          <t>largecap</t>
        </is>
      </c>
      <c r="H243" s="32" t="n">
        <v>21624.91</v>
      </c>
      <c r="I243" s="32" t="n">
        <v>1430.2</v>
      </c>
      <c r="J243" s="32" t="n">
        <v>-1.51</v>
      </c>
      <c r="K243" s="32" t="n">
        <v>567726</v>
      </c>
      <c r="L243" s="31" t="n">
        <v>58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74.15000000000001</v>
      </c>
      <c r="P243" s="32" t="n">
        <v>57.81</v>
      </c>
      <c r="Q243" s="32" t="inlineStr"/>
      <c r="R243" s="31" t="inlineStr">
        <is>
          <t>Earnings / Momentum Support</t>
        </is>
      </c>
      <c r="S243" s="31" t="inlineStr">
        <is>
          <t>Nifty Energy</t>
        </is>
      </c>
      <c r="T243" s="32" t="n">
        <v>8.41</v>
      </c>
      <c r="U243" s="32" t="n">
        <v>56.41</v>
      </c>
      <c r="V243" s="32" t="n">
        <v>44.28</v>
      </c>
      <c r="W243" s="32" t="n">
        <v>12.99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Oligopoly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IF(B244=0,"",RANK(B244,$B$2:$B$358,0))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SIGMAADV</t>
        </is>
      </c>
      <c r="D244" s="31" t="inlineStr">
        <is>
          <t>Sigma Advanced System Ltd</t>
        </is>
      </c>
      <c r="E244" s="31" t="inlineStr">
        <is>
          <t>aerospace &amp; defence</t>
        </is>
      </c>
      <c r="F244" s="31" t="inlineStr">
        <is>
          <t>electronics - components</t>
        </is>
      </c>
      <c r="G244" s="31" t="inlineStr">
        <is>
          <t>midcap</t>
        </is>
      </c>
      <c r="H244" s="32" t="n">
        <v>14447.19</v>
      </c>
      <c r="I244" s="32" t="n">
        <v>740.15</v>
      </c>
      <c r="J244" s="32" t="n">
        <v>-2.92</v>
      </c>
      <c r="K244" s="32" t="n">
        <v>162011</v>
      </c>
      <c r="L244" s="31" t="n">
        <v>98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75.87</v>
      </c>
      <c r="P244" s="32" t="n">
        <v>64.72</v>
      </c>
      <c r="Q244" s="32" t="inlineStr"/>
      <c r="R244" s="31" t="inlineStr">
        <is>
          <t>Earnings / Momentum Support</t>
        </is>
      </c>
      <c r="S244" s="31" t="inlineStr">
        <is>
          <t>Nifty 50</t>
        </is>
      </c>
      <c r="T244" s="32" t="n">
        <v>-3.41</v>
      </c>
      <c r="U244" s="32" t="n">
        <v>432.89</v>
      </c>
      <c r="V244" s="32" t="n">
        <v>451.69</v>
      </c>
      <c r="W244" s="32" t="n">
        <v>68.25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IF(B245=0,"",RANK(B245,$B$2:$B$358,0))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VOLTAMP</t>
        </is>
      </c>
      <c r="D245" s="31" t="inlineStr">
        <is>
          <t>Voltamp Transformers Limited</t>
        </is>
      </c>
      <c r="E245" s="31" t="inlineStr">
        <is>
          <t>industrials</t>
        </is>
      </c>
      <c r="F245" s="31" t="inlineStr">
        <is>
          <t>electric equipment</t>
        </is>
      </c>
      <c r="G245" s="31" t="inlineStr">
        <is>
          <t>midcap</t>
        </is>
      </c>
      <c r="H245" s="32" t="n">
        <v>11551.73</v>
      </c>
      <c r="I245" s="32" t="n">
        <v>11067</v>
      </c>
      <c r="J245" s="32" t="n">
        <v>-3.07</v>
      </c>
      <c r="K245" s="32" t="n">
        <v>35462</v>
      </c>
      <c r="L245" s="31" t="n">
        <v>54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67.41</v>
      </c>
      <c r="P245" s="32" t="n">
        <v>32.08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-3.41</v>
      </c>
      <c r="U245" s="32" t="n">
        <v>46.84</v>
      </c>
      <c r="V245" s="32" t="n">
        <v>52.02</v>
      </c>
      <c r="W245" s="32" t="n">
        <v>11.56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IF(B246=0,"",RANK(B246,$B$2:$B$358,0))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STAR</t>
        </is>
      </c>
      <c r="D246" s="33" t="inlineStr">
        <is>
          <t>Strides Shasun Limited</t>
        </is>
      </c>
      <c r="E246" s="31" t="inlineStr">
        <is>
          <t>healthcare</t>
        </is>
      </c>
      <c r="F246" s="31" t="inlineStr">
        <is>
          <t>pharmaceuticals - indian - bulk drugs &amp; formln</t>
        </is>
      </c>
      <c r="G246" s="31" t="inlineStr">
        <is>
          <t>midcap</t>
        </is>
      </c>
      <c r="H246" s="32" t="n">
        <v>9766.620000000001</v>
      </c>
      <c r="I246" s="32" t="n">
        <v>1178.8</v>
      </c>
      <c r="J246" s="32" t="n">
        <v>11.25</v>
      </c>
      <c r="K246" s="32" t="n">
        <v>2617272</v>
      </c>
      <c r="L246" s="31" t="n">
        <v>27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55.17</v>
      </c>
      <c r="P246" s="32" t="n">
        <v>8.880000000000001</v>
      </c>
      <c r="Q246" s="32" t="inlineStr"/>
      <c r="R246" s="31" t="inlineStr">
        <is>
          <t>Earnings / Momentum Support</t>
        </is>
      </c>
      <c r="S246" s="31" t="inlineStr">
        <is>
          <t>Nifty Pharma</t>
        </is>
      </c>
      <c r="T246" s="32" t="n">
        <v>20.77</v>
      </c>
      <c r="U246" s="32" t="n">
        <v>19.57</v>
      </c>
      <c r="V246" s="32" t="n">
        <v>-0.99</v>
      </c>
      <c r="W246" s="32" t="n">
        <v>4.34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IF(B247=0,"",RANK(B247,$B$2:$B$358,0))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AVADHSUGAR</t>
        </is>
      </c>
      <c r="D247" s="31" t="inlineStr">
        <is>
          <t>Avadh Sugar &amp; Energy</t>
        </is>
      </c>
      <c r="E247" s="31" t="inlineStr">
        <is>
          <t>fmcg</t>
        </is>
      </c>
      <c r="F247" s="31" t="inlineStr">
        <is>
          <t>sugar</t>
        </is>
      </c>
      <c r="G247" s="31" t="inlineStr">
        <is>
          <t>smallcap</t>
        </is>
      </c>
      <c r="H247" s="32" t="n">
        <v>1620.49</v>
      </c>
      <c r="I247" s="32" t="n">
        <v>839.7</v>
      </c>
      <c r="J247" s="32" t="n">
        <v>3.73</v>
      </c>
      <c r="K247" s="32" t="n">
        <v>187551</v>
      </c>
      <c r="L247" s="31" t="n">
        <v>39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80.95999999999999</v>
      </c>
      <c r="P247" s="32" t="n">
        <v>51.68</v>
      </c>
      <c r="Q247" s="32" t="inlineStr"/>
      <c r="R247" s="31" t="inlineStr">
        <is>
          <t>Earnings / Momentum Support</t>
        </is>
      </c>
      <c r="S247" s="31" t="inlineStr">
        <is>
          <t>Nifty FMCG</t>
        </is>
      </c>
      <c r="T247" s="32" t="n">
        <v>-13.73</v>
      </c>
      <c r="U247" s="32" t="n">
        <v>10.91</v>
      </c>
      <c r="V247" s="32" t="n">
        <v>28.56</v>
      </c>
      <c r="W247" s="32" t="n">
        <v>7.47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B2C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More than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IF(B248=0,"",RANK(B248,$B$2:$B$358,0))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VALIANTLAB</t>
        </is>
      </c>
      <c r="D248" s="31" t="inlineStr">
        <is>
          <t>Valiant Laboratories Ltd</t>
        </is>
      </c>
      <c r="E248" s="31" t="inlineStr">
        <is>
          <t>healthcare</t>
        </is>
      </c>
      <c r="F248" s="31" t="inlineStr">
        <is>
          <t>pharmaceuticals - indian - bulk drugs &amp; formln</t>
        </is>
      </c>
      <c r="G248" s="31" t="inlineStr">
        <is>
          <t>smallcap</t>
        </is>
      </c>
      <c r="H248" s="32" t="n">
        <v>575.55</v>
      </c>
      <c r="I248" s="32" t="n">
        <v>108.7</v>
      </c>
      <c r="J248" s="32" t="n">
        <v>2.58</v>
      </c>
      <c r="K248" s="32" t="n">
        <v>171865</v>
      </c>
      <c r="L248" s="31" t="n">
        <v>69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75.61</v>
      </c>
      <c r="P248" s="32" t="n">
        <v>20.93</v>
      </c>
      <c r="Q248" s="32" t="inlineStr"/>
      <c r="R248" s="31" t="inlineStr">
        <is>
          <t>Earnings / Momentum Support</t>
        </is>
      </c>
      <c r="S248" s="31" t="inlineStr">
        <is>
          <t>Nifty Pharma</t>
        </is>
      </c>
      <c r="T248" s="32" t="n">
        <v>20.77</v>
      </c>
      <c r="U248" s="32" t="n">
        <v>26.67</v>
      </c>
      <c r="V248" s="32" t="n">
        <v>4.89</v>
      </c>
      <c r="W248" s="32" t="n">
        <v>17.38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IF(B249=0,"",RANK(B249,$B$2:$B$358,0))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SOFTTECH</t>
        </is>
      </c>
      <c r="D249" s="31" t="inlineStr">
        <is>
          <t>Softtech Engineers Ltd</t>
        </is>
      </c>
      <c r="E249" s="31" t="inlineStr">
        <is>
          <t>i.t</t>
        </is>
      </c>
      <c r="F249" s="31" t="inlineStr">
        <is>
          <t>computers - software - medium / small</t>
        </is>
      </c>
      <c r="G249" s="31" t="inlineStr">
        <is>
          <t>smallcap</t>
        </is>
      </c>
      <c r="H249" s="32" t="n">
        <v>585.73</v>
      </c>
      <c r="I249" s="32" t="n">
        <v>432.45</v>
      </c>
      <c r="J249" s="32" t="n">
        <v>2.2</v>
      </c>
      <c r="K249" s="32" t="n">
        <v>7493</v>
      </c>
      <c r="L249" s="31" t="n">
        <v>26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58.09</v>
      </c>
      <c r="P249" s="32" t="n">
        <v>26.38</v>
      </c>
      <c r="Q249" s="32" t="inlineStr"/>
      <c r="R249" s="31" t="inlineStr">
        <is>
          <t>Earnings / Momentum Support</t>
        </is>
      </c>
      <c r="S249" s="31" t="inlineStr">
        <is>
          <t>Nifty IT</t>
        </is>
      </c>
      <c r="T249" s="32" t="n">
        <v>-11.38</v>
      </c>
      <c r="U249" s="32" t="n">
        <v>6.4</v>
      </c>
      <c r="V249" s="32" t="n">
        <v>20.06</v>
      </c>
      <c r="W249" s="32" t="n">
        <v>4.05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IF(B250=0,"",RANK(B250,$B$2:$B$358,0))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AARTIPHARM</t>
        </is>
      </c>
      <c r="D250" s="33" t="inlineStr">
        <is>
          <t>Aarti Pharmalabs Ltd</t>
        </is>
      </c>
      <c r="E250" s="31" t="inlineStr">
        <is>
          <t>healthcare</t>
        </is>
      </c>
      <c r="F250" s="31" t="inlineStr">
        <is>
          <t>pharmaceuticals - indian - bulk drugs &amp; formln</t>
        </is>
      </c>
      <c r="G250" s="31" t="inlineStr">
        <is>
          <t>midcap</t>
        </is>
      </c>
      <c r="H250" s="32" t="n">
        <v>7787.58</v>
      </c>
      <c r="I250" s="32" t="n">
        <v>862.65</v>
      </c>
      <c r="J250" s="32" t="n">
        <v>0.45</v>
      </c>
      <c r="K250" s="32" t="n">
        <v>745049</v>
      </c>
      <c r="L250" s="31" t="n">
        <v>44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64.89</v>
      </c>
      <c r="P250" s="32" t="n">
        <v>19.84</v>
      </c>
      <c r="Q250" s="32" t="inlineStr"/>
      <c r="R250" s="31" t="inlineStr">
        <is>
          <t>Earnings / Momentum Support</t>
        </is>
      </c>
      <c r="S250" s="31" t="inlineStr">
        <is>
          <t>Nifty Pharma</t>
        </is>
      </c>
      <c r="T250" s="32" t="n">
        <v>20.77</v>
      </c>
      <c r="U250" s="32" t="n">
        <v>-2.23</v>
      </c>
      <c r="V250" s="32" t="n">
        <v>-19.04</v>
      </c>
      <c r="W250" s="32" t="n">
        <v>8.460000000000001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IF(B251=0,"",RANK(B251,$B$2:$B$358,0))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ANTHEM</t>
        </is>
      </c>
      <c r="D251" s="33" t="inlineStr">
        <is>
          <t>Anthem Biosciences Ltd</t>
        </is>
      </c>
      <c r="E251" s="31" t="inlineStr">
        <is>
          <t>healthcare</t>
        </is>
      </c>
      <c r="F251" s="31" t="inlineStr">
        <is>
          <t>pharmaceuticals - indian - bulk drugs &amp; formln</t>
        </is>
      </c>
      <c r="G251" s="31" t="inlineStr">
        <is>
          <t>largecap</t>
        </is>
      </c>
      <c r="H251" s="32" t="n">
        <v>52622.95</v>
      </c>
      <c r="I251" s="32" t="n">
        <v>933.5</v>
      </c>
      <c r="J251" s="32" t="n">
        <v>-0.06</v>
      </c>
      <c r="K251" s="32" t="n">
        <v>667717</v>
      </c>
      <c r="L251" s="31" t="n">
        <v>43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72.53</v>
      </c>
      <c r="P251" s="32" t="n">
        <v>45.68</v>
      </c>
      <c r="Q251" s="32" t="inlineStr"/>
      <c r="R251" s="31" t="inlineStr">
        <is>
          <t>Earnings / Momentum Support</t>
        </is>
      </c>
      <c r="S251" s="31" t="inlineStr">
        <is>
          <t>Nifty Pharma</t>
        </is>
      </c>
      <c r="T251" s="32" t="n">
        <v>20.77</v>
      </c>
      <c r="U251" s="32" t="n">
        <v>12.86</v>
      </c>
      <c r="V251" s="32" t="n">
        <v>-6.55</v>
      </c>
      <c r="W251" s="32" t="n">
        <v>8.199999999999999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IF(B252=0,"",RANK(B252,$B$2:$B$358,0))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RISHABH</t>
        </is>
      </c>
      <c r="D252" s="31" t="inlineStr">
        <is>
          <t>Rishabh Instruments Ltd</t>
        </is>
      </c>
      <c r="E252" s="31" t="inlineStr">
        <is>
          <t>industrials</t>
        </is>
      </c>
      <c r="F252" s="31" t="inlineStr">
        <is>
          <t>electric equipment</t>
        </is>
      </c>
      <c r="G252" s="31" t="inlineStr">
        <is>
          <t>smallcap</t>
        </is>
      </c>
      <c r="H252" s="32" t="n">
        <v>2846.43</v>
      </c>
      <c r="I252" s="32" t="n">
        <v>809.95</v>
      </c>
      <c r="J252" s="32" t="n">
        <v>9.68</v>
      </c>
      <c r="K252" s="32" t="n">
        <v>774109</v>
      </c>
      <c r="L252" s="31" t="n">
        <v>76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75.06999999999999</v>
      </c>
      <c r="P252" s="32" t="n">
        <v>47.88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-3.41</v>
      </c>
      <c r="U252" s="32" t="n">
        <v>55.58</v>
      </c>
      <c r="V252" s="32" t="n">
        <v>61.07</v>
      </c>
      <c r="W252" s="32" t="n">
        <v>20.45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IF(B253=0,"",RANK(B253,$B$2:$B$358,0))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GANESHBE</t>
        </is>
      </c>
      <c r="D253" s="33" t="inlineStr">
        <is>
          <t>Ganesh Benzoplast Ltd</t>
        </is>
      </c>
      <c r="E253" s="31" t="inlineStr">
        <is>
          <t>miscellaneous</t>
        </is>
      </c>
      <c r="F253" s="31" t="inlineStr">
        <is>
          <t>miscellaneous</t>
        </is>
      </c>
      <c r="G253" s="31" t="inlineStr">
        <is>
          <t>smallcap</t>
        </is>
      </c>
      <c r="H253" s="32" t="n">
        <v>887.13</v>
      </c>
      <c r="I253" s="32" t="n">
        <v>129.39</v>
      </c>
      <c r="J253" s="32" t="n">
        <v>5</v>
      </c>
      <c r="K253" s="32" t="n">
        <v>327639</v>
      </c>
      <c r="L253" s="31" t="n">
        <v>24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65.95</v>
      </c>
      <c r="P253" s="32" t="n">
        <v>31.88</v>
      </c>
      <c r="Q253" s="32" t="inlineStr"/>
      <c r="R253" s="31" t="inlineStr">
        <is>
          <t>Earnings / Momentum Support</t>
        </is>
      </c>
      <c r="S253" s="31" t="inlineStr">
        <is>
          <t>Nifty Energy</t>
        </is>
      </c>
      <c r="T253" s="32" t="n">
        <v>8.41</v>
      </c>
      <c r="U253" s="32" t="n">
        <v>7.59</v>
      </c>
      <c r="V253" s="32" t="n">
        <v>-0.75</v>
      </c>
      <c r="W253" s="32" t="n">
        <v>3.46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IF(B254=0,"",RANK(B254,$B$2:$B$358,0))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EMAMIPAP</t>
        </is>
      </c>
      <c r="D254" s="33" t="inlineStr">
        <is>
          <t>Emami Paper Mills Ltd</t>
        </is>
      </c>
      <c r="E254" s="31" t="inlineStr">
        <is>
          <t>building materials</t>
        </is>
      </c>
      <c r="F254" s="31" t="inlineStr">
        <is>
          <t>paper</t>
        </is>
      </c>
      <c r="G254" s="31" t="inlineStr">
        <is>
          <t>smallcap</t>
        </is>
      </c>
      <c r="H254" s="32" t="n">
        <v>701.3099999999999</v>
      </c>
      <c r="I254" s="32" t="n">
        <v>121.34</v>
      </c>
      <c r="J254" s="32" t="n">
        <v>4.68</v>
      </c>
      <c r="K254" s="32" t="n">
        <v>111945</v>
      </c>
      <c r="L254" s="31" t="n">
        <v>21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71.11</v>
      </c>
      <c r="P254" s="32" t="n">
        <v>32.4</v>
      </c>
      <c r="Q254" s="32" t="inlineStr"/>
      <c r="R254" s="31" t="inlineStr">
        <is>
          <t>Earnings / Momentum Support</t>
        </is>
      </c>
      <c r="S254" s="31" t="inlineStr">
        <is>
          <t>Nifty Infra</t>
        </is>
      </c>
      <c r="T254" s="32" t="n">
        <v>1.74</v>
      </c>
      <c r="U254" s="32" t="n">
        <v>-10.22</v>
      </c>
      <c r="V254" s="32" t="n">
        <v>-11.76</v>
      </c>
      <c r="W254" s="32" t="n">
        <v>2.78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More than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IF(B255=0,"",RANK(B255,$B$2:$B$358,0))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AEROFLEX</t>
        </is>
      </c>
      <c r="D255" s="31" t="inlineStr">
        <is>
          <t>Aeroflex Industries Ltd</t>
        </is>
      </c>
      <c r="E255" s="31" t="inlineStr">
        <is>
          <t>metals &amp; mining</t>
        </is>
      </c>
      <c r="F255" s="31" t="inlineStr">
        <is>
          <t>steel - medium / small</t>
        </is>
      </c>
      <c r="G255" s="31" t="inlineStr">
        <is>
          <t>midcap</t>
        </is>
      </c>
      <c r="H255" s="32" t="n">
        <v>7112.12</v>
      </c>
      <c r="I255" s="32" t="n">
        <v>558.15</v>
      </c>
      <c r="J255" s="32" t="n">
        <v>3.85</v>
      </c>
      <c r="K255" s="32" t="n">
        <v>1428851</v>
      </c>
      <c r="L255" s="31" t="n">
        <v>85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71.36</v>
      </c>
      <c r="P255" s="32" t="n">
        <v>61.09</v>
      </c>
      <c r="Q255" s="32" t="inlineStr"/>
      <c r="R255" s="31" t="inlineStr">
        <is>
          <t>Earnings / Momentum Support</t>
        </is>
      </c>
      <c r="S255" s="31" t="inlineStr">
        <is>
          <t>Nifty Metal</t>
        </is>
      </c>
      <c r="T255" s="32" t="n">
        <v>31.49</v>
      </c>
      <c r="U255" s="32" t="n">
        <v>92.06</v>
      </c>
      <c r="V255" s="32" t="n">
        <v>46.06</v>
      </c>
      <c r="W255" s="32" t="n">
        <v>24.86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IF(B256=0,"",RANK(B256,$B$2:$B$358,0))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TEXINFRA</t>
        </is>
      </c>
      <c r="D256" s="31" t="inlineStr">
        <is>
          <t>Texmaco Infrastructure &amp; Holdings Limited</t>
        </is>
      </c>
      <c r="E256" s="31" t="inlineStr">
        <is>
          <t>realty</t>
        </is>
      </c>
      <c r="F256" s="31" t="inlineStr">
        <is>
          <t>construction</t>
        </is>
      </c>
      <c r="G256" s="31" t="inlineStr">
        <is>
          <t>smallcap</t>
        </is>
      </c>
      <c r="H256" s="32" t="n">
        <v>1465.66</v>
      </c>
      <c r="I256" s="32" t="n">
        <v>119.26</v>
      </c>
      <c r="J256" s="32" t="n">
        <v>3.69</v>
      </c>
      <c r="K256" s="32" t="n">
        <v>411113</v>
      </c>
      <c r="L256" s="31" t="n">
        <v>28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63.6</v>
      </c>
      <c r="P256" s="32" t="n">
        <v>39.12</v>
      </c>
      <c r="Q256" s="32" t="inlineStr"/>
      <c r="R256" s="31" t="inlineStr">
        <is>
          <t>Earnings / Momentum Support</t>
        </is>
      </c>
      <c r="S256" s="31" t="inlineStr">
        <is>
          <t>Nifty Realty</t>
        </is>
      </c>
      <c r="T256" s="32" t="n">
        <v>-8.119999999999999</v>
      </c>
      <c r="U256" s="32" t="n">
        <v>10.81</v>
      </c>
      <c r="V256" s="32" t="n">
        <v>20.6</v>
      </c>
      <c r="W256" s="32" t="n">
        <v>4.74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IF(B257=0,"",RANK(B257,$B$2:$B$358,0))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NEOGEN</t>
        </is>
      </c>
      <c r="D257" s="31" t="inlineStr">
        <is>
          <t>Neogen Chemicals Ltd</t>
        </is>
      </c>
      <c r="E257" s="31" t="inlineStr">
        <is>
          <t>chemicals</t>
        </is>
      </c>
      <c r="F257" s="31" t="inlineStr">
        <is>
          <t>chemicals</t>
        </is>
      </c>
      <c r="G257" s="31" t="inlineStr">
        <is>
          <t>midcap</t>
        </is>
      </c>
      <c r="H257" s="32" t="n">
        <v>5853.93</v>
      </c>
      <c r="I257" s="32" t="n">
        <v>2207.1</v>
      </c>
      <c r="J257" s="32" t="n">
        <v>3.24</v>
      </c>
      <c r="K257" s="32" t="n">
        <v>177696</v>
      </c>
      <c r="L257" s="31" t="n">
        <v>58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63.31</v>
      </c>
      <c r="P257" s="32" t="n">
        <v>56.35</v>
      </c>
      <c r="Q257" s="32" t="inlineStr"/>
      <c r="R257" s="31" t="inlineStr">
        <is>
          <t>Earnings / Momentum Support</t>
        </is>
      </c>
      <c r="S257" s="31" t="inlineStr">
        <is>
          <t>Nifty 50</t>
        </is>
      </c>
      <c r="T257" s="32" t="n">
        <v>-3.41</v>
      </c>
      <c r="U257" s="32" t="n">
        <v>43.91</v>
      </c>
      <c r="V257" s="32" t="n">
        <v>48.99</v>
      </c>
      <c r="W257" s="32" t="n">
        <v>12.98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More than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IF(B258=0,"",RANK(B258,$B$2:$B$358,0))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DEEDEV</t>
        </is>
      </c>
      <c r="D258" s="31" t="inlineStr">
        <is>
          <t>DEE Development Engineers Ltd</t>
        </is>
      </c>
      <c r="E258" s="31" t="inlineStr">
        <is>
          <t>metals &amp; mining</t>
        </is>
      </c>
      <c r="F258" s="31" t="inlineStr">
        <is>
          <t>steel - medium / small</t>
        </is>
      </c>
      <c r="G258" s="31" t="inlineStr">
        <is>
          <t>smallcap</t>
        </is>
      </c>
      <c r="H258" s="32" t="n">
        <v>4952.64</v>
      </c>
      <c r="I258" s="32" t="n">
        <v>677.05</v>
      </c>
      <c r="J258" s="32" t="n">
        <v>2.86</v>
      </c>
      <c r="K258" s="32" t="n">
        <v>299886</v>
      </c>
      <c r="L258" s="31" t="n">
        <v>96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64.15000000000001</v>
      </c>
      <c r="P258" s="32" t="n">
        <v>48.51</v>
      </c>
      <c r="Q258" s="32" t="inlineStr"/>
      <c r="R258" s="31" t="inlineStr">
        <is>
          <t>Earnings / Momentum Support</t>
        </is>
      </c>
      <c r="S258" s="31" t="inlineStr">
        <is>
          <t>Nifty Metal</t>
        </is>
      </c>
      <c r="T258" s="32" t="n">
        <v>31.49</v>
      </c>
      <c r="U258" s="32" t="n">
        <v>126.51</v>
      </c>
      <c r="V258" s="32" t="n">
        <v>72.26000000000001</v>
      </c>
      <c r="W258" s="32" t="n">
        <v>43.59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Above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IF(B259=0,"",RANK(B259,$B$2:$B$358,0))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BIL</t>
        </is>
      </c>
      <c r="D259" s="31" t="inlineStr">
        <is>
          <t>Bhartiya International Limited</t>
        </is>
      </c>
      <c r="E259" s="31" t="inlineStr">
        <is>
          <t>consumer discretionary</t>
        </is>
      </c>
      <c r="F259" s="31" t="inlineStr">
        <is>
          <t>leather / leather products</t>
        </is>
      </c>
      <c r="G259" s="31" t="inlineStr">
        <is>
          <t>smallcap</t>
        </is>
      </c>
      <c r="H259" s="32" t="n">
        <v>1217.46</v>
      </c>
      <c r="I259" s="32" t="n">
        <v>931.15</v>
      </c>
      <c r="J259" s="32" t="n">
        <v>2.57</v>
      </c>
      <c r="K259" s="32" t="n">
        <v>20199</v>
      </c>
      <c r="L259" s="31" t="n">
        <v>43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65.15000000000001</v>
      </c>
      <c r="P259" s="32" t="n">
        <v>20.4</v>
      </c>
      <c r="Q259" s="32" t="inlineStr"/>
      <c r="R259" s="31" t="inlineStr">
        <is>
          <t>Earnings / Momentum Support</t>
        </is>
      </c>
      <c r="S259" s="31" t="inlineStr">
        <is>
          <t>Nifty 50</t>
        </is>
      </c>
      <c r="T259" s="32" t="n">
        <v>-3.41</v>
      </c>
      <c r="U259" s="32" t="n">
        <v>6.34</v>
      </c>
      <c r="V259" s="32" t="n">
        <v>10.09</v>
      </c>
      <c r="W259" s="32" t="n">
        <v>8.210000000000001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IF(B260=0,"",RANK(B260,$B$2:$B$358,0))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LGBBROSLTD</t>
        </is>
      </c>
      <c r="D260" s="31" t="inlineStr">
        <is>
          <t>Lg Balakrishnan &amp; Bros Limited</t>
        </is>
      </c>
      <c r="E260" s="31" t="inlineStr">
        <is>
          <t>auto</t>
        </is>
      </c>
      <c r="F260" s="31" t="inlineStr">
        <is>
          <t>bearings</t>
        </is>
      </c>
      <c r="G260" s="31" t="inlineStr">
        <is>
          <t>midcap</t>
        </is>
      </c>
      <c r="H260" s="32" t="n">
        <v>5430.64</v>
      </c>
      <c r="I260" s="32" t="n">
        <v>1731.7</v>
      </c>
      <c r="J260" s="32" t="n">
        <v>1.7</v>
      </c>
      <c r="K260" s="32" t="n">
        <v>45200</v>
      </c>
      <c r="L260" s="31" t="n">
        <v>20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57.53</v>
      </c>
      <c r="P260" s="32" t="n">
        <v>10.7</v>
      </c>
      <c r="Q260" s="32" t="inlineStr"/>
      <c r="R260" s="31" t="inlineStr">
        <is>
          <t>Earnings / Momentum Support</t>
        </is>
      </c>
      <c r="S260" s="31" t="inlineStr">
        <is>
          <t>Nifty Auto</t>
        </is>
      </c>
      <c r="T260" s="32" t="n">
        <v>13.41</v>
      </c>
      <c r="U260" s="32" t="n">
        <v>21.63</v>
      </c>
      <c r="V260" s="32" t="n">
        <v>7.24</v>
      </c>
      <c r="W260" s="32" t="n">
        <v>2.69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IF(B261=0,"",RANK(B261,$B$2:$B$358,0))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PNGJL</t>
        </is>
      </c>
      <c r="D261" s="31" t="inlineStr">
        <is>
          <t>P N Gadgil Jewellers Ltd</t>
        </is>
      </c>
      <c r="E261" s="31" t="inlineStr">
        <is>
          <t>consumer discretionary</t>
        </is>
      </c>
      <c r="F261" s="31" t="inlineStr">
        <is>
          <t>diamond cutting / jewellery</t>
        </is>
      </c>
      <c r="G261" s="31" t="inlineStr">
        <is>
          <t>midcap</t>
        </is>
      </c>
      <c r="H261" s="32" t="n">
        <v>8965.370000000001</v>
      </c>
      <c r="I261" s="32" t="n">
        <v>618.95</v>
      </c>
      <c r="J261" s="32" t="n">
        <v>1.63</v>
      </c>
      <c r="K261" s="32" t="n">
        <v>1030718</v>
      </c>
      <c r="L261" s="31" t="n">
        <v>17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51.44</v>
      </c>
      <c r="P261" s="32" t="n">
        <v>11.86</v>
      </c>
      <c r="Q261" s="32" t="inlineStr"/>
      <c r="R261" s="31" t="inlineStr">
        <is>
          <t>Earnings / Momentum Support</t>
        </is>
      </c>
      <c r="S261" s="31" t="inlineStr">
        <is>
          <t>Nifty 50</t>
        </is>
      </c>
      <c r="T261" s="32" t="n">
        <v>-3.41</v>
      </c>
      <c r="U261" s="32" t="n">
        <v>2.02</v>
      </c>
      <c r="V261" s="32" t="n">
        <v>5.62</v>
      </c>
      <c r="W261" s="32" t="n">
        <v>1.95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IF(B262=0,"",RANK(B262,$B$2:$B$358,0))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SMLMAH</t>
        </is>
      </c>
      <c r="D262" s="31" t="inlineStr">
        <is>
          <t>SML Mahindra Ltd</t>
        </is>
      </c>
      <c r="E262" s="31" t="inlineStr">
        <is>
          <t>auto</t>
        </is>
      </c>
      <c r="F262" s="31" t="inlineStr">
        <is>
          <t>automobiles - lcvs / hcvs</t>
        </is>
      </c>
      <c r="G262" s="31" t="inlineStr">
        <is>
          <t>midcap</t>
        </is>
      </c>
      <c r="H262" s="32" t="n">
        <v>9114.969999999999</v>
      </c>
      <c r="I262" s="32" t="n">
        <v>6393.5</v>
      </c>
      <c r="J262" s="32" t="n">
        <v>1.51</v>
      </c>
      <c r="K262" s="32" t="n">
        <v>247779</v>
      </c>
      <c r="L262" s="31" t="n">
        <v>31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70.51000000000001</v>
      </c>
      <c r="P262" s="32" t="n">
        <v>23.21</v>
      </c>
      <c r="Q262" s="32" t="inlineStr"/>
      <c r="R262" s="31" t="inlineStr">
        <is>
          <t>Earnings / Momentum Support</t>
        </is>
      </c>
      <c r="S262" s="31" t="inlineStr">
        <is>
          <t>Nifty Auto</t>
        </is>
      </c>
      <c r="T262" s="32" t="n">
        <v>13.41</v>
      </c>
      <c r="U262" s="32" t="n">
        <v>24.19</v>
      </c>
      <c r="V262" s="32" t="n">
        <v>9.5</v>
      </c>
      <c r="W262" s="32" t="n">
        <v>5.34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IF(B263=0,"",RANK(B263,$B$2:$B$358,0))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PAYTM</t>
        </is>
      </c>
      <c r="D263" s="31" t="inlineStr">
        <is>
          <t>One 97 Communications Ltd</t>
        </is>
      </c>
      <c r="E263" s="31" t="inlineStr">
        <is>
          <t>i.t</t>
        </is>
      </c>
      <c r="F263" s="31" t="inlineStr">
        <is>
          <t>miscellaneous</t>
        </is>
      </c>
      <c r="G263" s="31" t="inlineStr">
        <is>
          <t>largecap</t>
        </is>
      </c>
      <c r="H263" s="32" t="n">
        <v>106263.93</v>
      </c>
      <c r="I263" s="32" t="n">
        <v>1664</v>
      </c>
      <c r="J263" s="32" t="n">
        <v>0.27</v>
      </c>
      <c r="K263" s="32" t="n">
        <v>1822600</v>
      </c>
      <c r="L263" s="31" t="n">
        <v>74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75.34</v>
      </c>
      <c r="P263" s="32" t="n">
        <v>27.62</v>
      </c>
      <c r="Q263" s="32" t="inlineStr"/>
      <c r="R263" s="31" t="inlineStr">
        <is>
          <t>Earnings / Momentum Support</t>
        </is>
      </c>
      <c r="S263" s="31" t="inlineStr">
        <is>
          <t>Nifty IT</t>
        </is>
      </c>
      <c r="T263" s="32" t="n">
        <v>-11.38</v>
      </c>
      <c r="U263" s="32" t="n">
        <v>32.26</v>
      </c>
      <c r="V263" s="32" t="n">
        <v>49.24</v>
      </c>
      <c r="W263" s="32" t="n">
        <v>19.71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IF(B264=0,"",RANK(B264,$B$2:$B$358,0))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HARSHA</t>
        </is>
      </c>
      <c r="D264" s="31" t="inlineStr">
        <is>
          <t>Harsha Engineers International Ltd</t>
        </is>
      </c>
      <c r="E264" s="31" t="inlineStr">
        <is>
          <t>industrials</t>
        </is>
      </c>
      <c r="F264" s="31" t="inlineStr">
        <is>
          <t>engineering</t>
        </is>
      </c>
      <c r="G264" s="31" t="inlineStr">
        <is>
          <t>smallcap</t>
        </is>
      </c>
      <c r="H264" s="32" t="n">
        <v>4136.59</v>
      </c>
      <c r="I264" s="32" t="n">
        <v>455.45</v>
      </c>
      <c r="J264" s="32" t="n">
        <v>0.24</v>
      </c>
      <c r="K264" s="32" t="n">
        <v>135432</v>
      </c>
      <c r="L264" s="31" t="n">
        <v>30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63.14</v>
      </c>
      <c r="P264" s="32" t="n">
        <v>38.09</v>
      </c>
      <c r="Q264" s="32" t="inlineStr"/>
      <c r="R264" s="31" t="inlineStr">
        <is>
          <t>Earnings / Momentum Support</t>
        </is>
      </c>
      <c r="S264" s="31" t="inlineStr">
        <is>
          <t>Nifty 50</t>
        </is>
      </c>
      <c r="T264" s="32" t="n">
        <v>-3.41</v>
      </c>
      <c r="U264" s="32" t="n">
        <v>13.05</v>
      </c>
      <c r="V264" s="32" t="n">
        <v>17.04</v>
      </c>
      <c r="W264" s="32" t="n">
        <v>5.33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IF(B265=0,"",RANK(B265,$B$2:$B$358,0))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VARROC</t>
        </is>
      </c>
      <c r="D265" s="31" t="inlineStr">
        <is>
          <t>Varroc Engineering Ltd</t>
        </is>
      </c>
      <c r="E265" s="31" t="inlineStr">
        <is>
          <t>auto</t>
        </is>
      </c>
      <c r="F265" s="31" t="inlineStr">
        <is>
          <t>auto ancillaries</t>
        </is>
      </c>
      <c r="G265" s="31" t="inlineStr">
        <is>
          <t>midcap</t>
        </is>
      </c>
      <c r="H265" s="32" t="n">
        <v>12625.5</v>
      </c>
      <c r="I265" s="32" t="n">
        <v>827.05</v>
      </c>
      <c r="J265" s="32" t="n">
        <v>0.08</v>
      </c>
      <c r="K265" s="32" t="n">
        <v>154732</v>
      </c>
      <c r="L265" s="31" t="n">
        <v>40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75.23999999999999</v>
      </c>
      <c r="P265" s="32" t="n">
        <v>53.28</v>
      </c>
      <c r="Q265" s="32" t="inlineStr"/>
      <c r="R265" s="31" t="inlineStr">
        <is>
          <t>Earnings / Momentum Support</t>
        </is>
      </c>
      <c r="S265" s="31" t="inlineStr">
        <is>
          <t>Nifty Auto</t>
        </is>
      </c>
      <c r="T265" s="32" t="n">
        <v>13.41</v>
      </c>
      <c r="U265" s="32" t="n">
        <v>16.11</v>
      </c>
      <c r="V265" s="32" t="n">
        <v>2.38</v>
      </c>
      <c r="W265" s="32" t="n">
        <v>7.58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Above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IF(B266=0,"",RANK(B266,$B$2:$B$358,0))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GENUSPOWER</t>
        </is>
      </c>
      <c r="D266" s="31" t="inlineStr">
        <is>
          <t>Genus Power Infrastructures Limited</t>
        </is>
      </c>
      <c r="E266" s="31" t="inlineStr">
        <is>
          <t>consumer discretionary</t>
        </is>
      </c>
      <c r="F266" s="31" t="inlineStr">
        <is>
          <t>electronics - components</t>
        </is>
      </c>
      <c r="G266" s="31" t="inlineStr">
        <is>
          <t>midcap</t>
        </is>
      </c>
      <c r="H266" s="32" t="n">
        <v>10277.32</v>
      </c>
      <c r="I266" s="32" t="n">
        <v>336.4</v>
      </c>
      <c r="J266" s="32" t="n">
        <v>-0.41</v>
      </c>
      <c r="K266" s="32" t="n">
        <v>2776994</v>
      </c>
      <c r="L266" s="31" t="n">
        <v>23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59.85</v>
      </c>
      <c r="P266" s="32" t="n">
        <v>10.49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-3.41</v>
      </c>
      <c r="U266" s="32" t="n">
        <v>3.45</v>
      </c>
      <c r="V266" s="32" t="n">
        <v>7.1</v>
      </c>
      <c r="W266" s="32" t="n">
        <v>3.34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IF(B267=0,"",RANK(B267,$B$2:$B$358,0))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BEPL</t>
        </is>
      </c>
      <c r="D267" s="33" t="inlineStr">
        <is>
          <t>Bhansali Engineering Polymers Limited</t>
        </is>
      </c>
      <c r="E267" s="31" t="inlineStr">
        <is>
          <t>energy</t>
        </is>
      </c>
      <c r="F267" s="31" t="inlineStr">
        <is>
          <t>petrochemicals</t>
        </is>
      </c>
      <c r="G267" s="31" t="inlineStr">
        <is>
          <t>smallcap</t>
        </is>
      </c>
      <c r="H267" s="32" t="n">
        <v>3172.95</v>
      </c>
      <c r="I267" s="32" t="n">
        <v>126.84</v>
      </c>
      <c r="J267" s="32" t="n">
        <v>-0.52</v>
      </c>
      <c r="K267" s="32" t="n">
        <v>1042410</v>
      </c>
      <c r="L267" s="31" t="n">
        <v>28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71.56999999999999</v>
      </c>
      <c r="P267" s="32" t="n">
        <v>57.32</v>
      </c>
      <c r="Q267" s="32" t="inlineStr"/>
      <c r="R267" s="31" t="inlineStr">
        <is>
          <t>Earnings / Momentum Support</t>
        </is>
      </c>
      <c r="S267" s="31" t="inlineStr">
        <is>
          <t>Nifty Energy</t>
        </is>
      </c>
      <c r="T267" s="32" t="n">
        <v>8.41</v>
      </c>
      <c r="U267" s="32" t="n">
        <v>2.5</v>
      </c>
      <c r="V267" s="32" t="n">
        <v>-5.44</v>
      </c>
      <c r="W267" s="32" t="n">
        <v>4.89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IF(B268=0,"",RANK(B268,$B$2:$B$358,0))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LUMAXIND</t>
        </is>
      </c>
      <c r="D268" s="31" t="inlineStr">
        <is>
          <t>Lumax Industries Limited</t>
        </is>
      </c>
      <c r="E268" s="31" t="inlineStr">
        <is>
          <t>auto</t>
        </is>
      </c>
      <c r="F268" s="31" t="inlineStr">
        <is>
          <t>auto ancillaries</t>
        </is>
      </c>
      <c r="G268" s="31" t="inlineStr">
        <is>
          <t>midcap</t>
        </is>
      </c>
      <c r="H268" s="32" t="n">
        <v>5778.3</v>
      </c>
      <c r="I268" s="32" t="n">
        <v>6139.5</v>
      </c>
      <c r="J268" s="32" t="n">
        <v>-0.68</v>
      </c>
      <c r="K268" s="32" t="n">
        <v>12227</v>
      </c>
      <c r="L268" s="31" t="n">
        <v>31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64.84999999999999</v>
      </c>
      <c r="P268" s="32" t="n">
        <v>16.27</v>
      </c>
      <c r="Q268" s="32" t="inlineStr"/>
      <c r="R268" s="31" t="inlineStr">
        <is>
          <t>Earnings / Momentum Support</t>
        </is>
      </c>
      <c r="S268" s="31" t="inlineStr">
        <is>
          <t>Nifty Auto</t>
        </is>
      </c>
      <c r="T268" s="32" t="n">
        <v>13.41</v>
      </c>
      <c r="U268" s="32" t="n">
        <v>34.19</v>
      </c>
      <c r="V268" s="32" t="n">
        <v>18.32</v>
      </c>
      <c r="W268" s="32" t="n">
        <v>5.37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IF(B269=0,"",RANK(B269,$B$2:$B$358,0))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INOXINDIA</t>
        </is>
      </c>
      <c r="D269" s="31" t="inlineStr">
        <is>
          <t>Inox India Ltd</t>
        </is>
      </c>
      <c r="E269" s="31" t="inlineStr">
        <is>
          <t>industrials</t>
        </is>
      </c>
      <c r="F269" s="31" t="inlineStr">
        <is>
          <t>packaging</t>
        </is>
      </c>
      <c r="G269" s="31" t="inlineStr">
        <is>
          <t>largecap</t>
        </is>
      </c>
      <c r="H269" s="32" t="n">
        <v>20401.82</v>
      </c>
      <c r="I269" s="32" t="n">
        <v>2231.4</v>
      </c>
      <c r="J269" s="32" t="n">
        <v>-0.73</v>
      </c>
      <c r="K269" s="32" t="n">
        <v>154701</v>
      </c>
      <c r="L269" s="31" t="n">
        <v>83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81.12</v>
      </c>
      <c r="P269" s="32" t="n">
        <v>64.87</v>
      </c>
      <c r="Q269" s="32" t="inlineStr"/>
      <c r="R269" s="31" t="inlineStr">
        <is>
          <t>Earnings / Momentum Support</t>
        </is>
      </c>
      <c r="S269" s="31" t="inlineStr">
        <is>
          <t>Nifty 50</t>
        </is>
      </c>
      <c r="T269" s="32" t="n">
        <v>-3.41</v>
      </c>
      <c r="U269" s="32" t="n">
        <v>93.67</v>
      </c>
      <c r="V269" s="32" t="n">
        <v>100.51</v>
      </c>
      <c r="W269" s="32" t="n">
        <v>24.1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Above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IF(B270=0,"",RANK(B270,$B$2:$B$358,0))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ENGINERSIN</t>
        </is>
      </c>
      <c r="D270" s="31" t="inlineStr">
        <is>
          <t>Engineers India Limited</t>
        </is>
      </c>
      <c r="E270" s="31" t="inlineStr">
        <is>
          <t>realty</t>
        </is>
      </c>
      <c r="F270" s="31" t="inlineStr">
        <is>
          <t>engineering - turnkey services</t>
        </is>
      </c>
      <c r="G270" s="31" t="inlineStr">
        <is>
          <t>midcap</t>
        </is>
      </c>
      <c r="H270" s="32" t="n">
        <v>15706.27</v>
      </c>
      <c r="I270" s="32" t="n">
        <v>277.05</v>
      </c>
      <c r="J270" s="32" t="n">
        <v>-0.86</v>
      </c>
      <c r="K270" s="32" t="n">
        <v>3272902</v>
      </c>
      <c r="L270" s="31" t="n">
        <v>11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68.09</v>
      </c>
      <c r="P270" s="32" t="n">
        <v>15.81</v>
      </c>
      <c r="Q270" s="32" t="inlineStr"/>
      <c r="R270" s="31" t="inlineStr">
        <is>
          <t>Earnings / Momentum Support</t>
        </is>
      </c>
      <c r="S270" s="31" t="inlineStr">
        <is>
          <t>Nifty Realty</t>
        </is>
      </c>
      <c r="T270" s="32" t="n">
        <v>-8.119999999999999</v>
      </c>
      <c r="U270" s="32" t="n">
        <v>-1.02</v>
      </c>
      <c r="V270" s="32" t="n">
        <v>7.73</v>
      </c>
      <c r="W270" s="32" t="n">
        <v>-0.31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IF(B271=0,"",RANK(B271,$B$2:$B$358,0))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SGIL</t>
        </is>
      </c>
      <c r="D271" s="31" t="inlineStr">
        <is>
          <t>Synergy Green Industries Ltd</t>
        </is>
      </c>
      <c r="E271" s="31" t="inlineStr">
        <is>
          <t>industrials</t>
        </is>
      </c>
      <c r="F271" s="31" t="inlineStr">
        <is>
          <t>castings &amp; forgings</t>
        </is>
      </c>
      <c r="G271" s="31" t="inlineStr">
        <is>
          <t>smallcap</t>
        </is>
      </c>
      <c r="H271" s="32" t="n">
        <v>942.22</v>
      </c>
      <c r="I271" s="32" t="n">
        <v>600.85</v>
      </c>
      <c r="J271" s="32" t="n">
        <v>-0.88</v>
      </c>
      <c r="K271" s="32" t="n">
        <v>3866</v>
      </c>
      <c r="L271" s="31" t="n">
        <v>23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58.59</v>
      </c>
      <c r="P271" s="32" t="n">
        <v>22.92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-3.41</v>
      </c>
      <c r="U271" s="32" t="n">
        <v>10.23</v>
      </c>
      <c r="V271" s="32" t="n">
        <v>14.12</v>
      </c>
      <c r="W271" s="32" t="n">
        <v>3.44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IF(B272=0,"",RANK(B272,$B$2:$B$358,0))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FOSECOIND</t>
        </is>
      </c>
      <c r="D272" s="31" t="inlineStr">
        <is>
          <t>Foseco India Limited</t>
        </is>
      </c>
      <c r="E272" s="31" t="inlineStr">
        <is>
          <t>chemicals</t>
        </is>
      </c>
      <c r="F272" s="31" t="inlineStr">
        <is>
          <t>chemicals</t>
        </is>
      </c>
      <c r="G272" s="31" t="inlineStr">
        <is>
          <t>smallcap</t>
        </is>
      </c>
      <c r="H272" s="32" t="n">
        <v>4720.59</v>
      </c>
      <c r="I272" s="32" t="n">
        <v>6128.5</v>
      </c>
      <c r="J272" s="32" t="n">
        <v>-2.15</v>
      </c>
      <c r="K272" s="32" t="n">
        <v>8061</v>
      </c>
      <c r="L272" s="31" t="n">
        <v>36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67.92</v>
      </c>
      <c r="P272" s="32" t="n">
        <v>27.24</v>
      </c>
      <c r="Q272" s="32" t="inlineStr"/>
      <c r="R272" s="31" t="inlineStr">
        <is>
          <t>Earnings / Momentum Support</t>
        </is>
      </c>
      <c r="S272" s="31" t="inlineStr">
        <is>
          <t>Nifty IT</t>
        </is>
      </c>
      <c r="T272" s="32" t="n">
        <v>-11.38</v>
      </c>
      <c r="U272" s="32" t="n">
        <v>-2.44</v>
      </c>
      <c r="V272" s="32" t="n">
        <v>10.09</v>
      </c>
      <c r="W272" s="32" t="n">
        <v>6.6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IF(B273=0,"",RANK(B273,$B$2:$B$358,0))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INGERRAND</t>
        </is>
      </c>
      <c r="D273" s="31" t="inlineStr">
        <is>
          <t>Ingersoll Rand (india) Limited</t>
        </is>
      </c>
      <c r="E273" s="31" t="inlineStr">
        <is>
          <t>industrials</t>
        </is>
      </c>
      <c r="F273" s="31" t="inlineStr">
        <is>
          <t>compressors / drilling equipment</t>
        </is>
      </c>
      <c r="G273" s="31" t="inlineStr">
        <is>
          <t>midcap</t>
        </is>
      </c>
      <c r="H273" s="32" t="n">
        <v>15293.75</v>
      </c>
      <c r="I273" s="32" t="n">
        <v>4730.3</v>
      </c>
      <c r="J273" s="32" t="n">
        <v>-2.36</v>
      </c>
      <c r="K273" s="32" t="n">
        <v>21053</v>
      </c>
      <c r="L273" s="31" t="n">
        <v>32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64.18000000000001</v>
      </c>
      <c r="P273" s="32" t="n">
        <v>26.22</v>
      </c>
      <c r="Q273" s="32" t="inlineStr"/>
      <c r="R273" s="31" t="inlineStr">
        <is>
          <t>Earnings / Momentum Support</t>
        </is>
      </c>
      <c r="S273" s="31" t="inlineStr">
        <is>
          <t>Nifty Infra</t>
        </is>
      </c>
      <c r="T273" s="32" t="n">
        <v>1.74</v>
      </c>
      <c r="U273" s="32" t="n">
        <v>12.13</v>
      </c>
      <c r="V273" s="32" t="n">
        <v>10.21</v>
      </c>
      <c r="W273" s="32" t="n">
        <v>5.69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IF(B274=0,"",RANK(B274,$B$2:$B$358,0))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TEJASNET</t>
        </is>
      </c>
      <c r="D274" s="31" t="inlineStr">
        <is>
          <t>Tejas Networks Ltd</t>
        </is>
      </c>
      <c r="E274" s="31" t="inlineStr">
        <is>
          <t>telecom</t>
        </is>
      </c>
      <c r="F274" s="31" t="inlineStr">
        <is>
          <t>telecommunications - equipment</t>
        </is>
      </c>
      <c r="G274" s="31" t="inlineStr">
        <is>
          <t>midcap</t>
        </is>
      </c>
      <c r="H274" s="32" t="n">
        <v>10930.27</v>
      </c>
      <c r="I274" s="32" t="n">
        <v>593.6</v>
      </c>
      <c r="J274" s="32" t="n">
        <v>-3.35</v>
      </c>
      <c r="K274" s="32" t="n">
        <v>3912391</v>
      </c>
      <c r="L274" s="31" t="n">
        <v>22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61.18</v>
      </c>
      <c r="P274" s="32" t="n">
        <v>27.95</v>
      </c>
      <c r="Q274" s="32" t="inlineStr"/>
      <c r="R274" s="31" t="inlineStr">
        <is>
          <t>Earnings / Momentum Support</t>
        </is>
      </c>
      <c r="S274" s="31" t="inlineStr">
        <is>
          <t>Nifty 50</t>
        </is>
      </c>
      <c r="T274" s="32" t="n">
        <v>-3.41</v>
      </c>
      <c r="U274" s="32" t="n">
        <v>4.4</v>
      </c>
      <c r="V274" s="32" t="n">
        <v>8.09</v>
      </c>
      <c r="W274" s="32" t="n">
        <v>3.04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Oligopoly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IF(B275=0,"",RANK(B275,$B$2:$B$358,0))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PVP</t>
        </is>
      </c>
      <c r="D275" s="31" t="inlineStr">
        <is>
          <t>Pvp Ventures Limited</t>
        </is>
      </c>
      <c r="E275" s="31" t="inlineStr">
        <is>
          <t>realty</t>
        </is>
      </c>
      <c r="F275" s="31" t="inlineStr">
        <is>
          <t>construction</t>
        </is>
      </c>
      <c r="G275" s="31" t="inlineStr">
        <is>
          <t>smallcap</t>
        </is>
      </c>
      <c r="H275" s="32" t="n">
        <v>1769.18</v>
      </c>
      <c r="I275" s="32" t="n">
        <v>65.16</v>
      </c>
      <c r="J275" s="32" t="n">
        <v>-4.09</v>
      </c>
      <c r="K275" s="32" t="n">
        <v>2458317</v>
      </c>
      <c r="L275" s="31" t="n">
        <v>34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83.3</v>
      </c>
      <c r="P275" s="32" t="n">
        <v>28.9</v>
      </c>
      <c r="Q275" s="32" t="inlineStr"/>
      <c r="R275" s="31" t="inlineStr">
        <is>
          <t>Earnings / Momentum Support</t>
        </is>
      </c>
      <c r="S275" s="31" t="inlineStr">
        <is>
          <t>Nifty Realty</t>
        </is>
      </c>
      <c r="T275" s="32" t="n">
        <v>-8.119999999999999</v>
      </c>
      <c r="U275" s="32" t="n">
        <v>40.19</v>
      </c>
      <c r="V275" s="32" t="n">
        <v>52.58</v>
      </c>
      <c r="W275" s="32" t="n">
        <v>5.95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IF(B276=0,"",RANK(B276,$B$2:$B$358,0))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AXISCADES</t>
        </is>
      </c>
      <c r="D276" s="31" t="inlineStr">
        <is>
          <t>AXISCADES Technologies Ltd</t>
        </is>
      </c>
      <c r="E276" s="31" t="inlineStr">
        <is>
          <t>aerospace &amp; defence</t>
        </is>
      </c>
      <c r="F276" s="31" t="inlineStr">
        <is>
          <t>computers - software - medium / small</t>
        </is>
      </c>
      <c r="G276" s="31" t="inlineStr">
        <is>
          <t>midcap</t>
        </is>
      </c>
      <c r="H276" s="32" t="n">
        <v>7279.6</v>
      </c>
      <c r="I276" s="32" t="n">
        <v>1778</v>
      </c>
      <c r="J276" s="32" t="n">
        <v>3.88</v>
      </c>
      <c r="K276" s="32" t="n">
        <v>192175</v>
      </c>
      <c r="L276" s="31" t="n">
        <v>21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53.24</v>
      </c>
      <c r="P276" s="32" t="n">
        <v>11.44</v>
      </c>
      <c r="Q276" s="32" t="inlineStr"/>
      <c r="R276" s="31" t="inlineStr">
        <is>
          <t>Earnings / Momentum Support</t>
        </is>
      </c>
      <c r="S276" s="31" t="inlineStr">
        <is>
          <t>Nifty IT</t>
        </is>
      </c>
      <c r="T276" s="32" t="n">
        <v>-11.38</v>
      </c>
      <c r="U276" s="32" t="n">
        <v>19.13</v>
      </c>
      <c r="V276" s="32" t="n">
        <v>34.42</v>
      </c>
      <c r="W276" s="32" t="n">
        <v>2.82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IF(B277=0,"",RANK(B277,$B$2:$B$358,0))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KILITCH</t>
        </is>
      </c>
      <c r="D277" s="33" t="inlineStr">
        <is>
          <t>Kilitch Drugs (india) Limited</t>
        </is>
      </c>
      <c r="E277" s="31" t="inlineStr">
        <is>
          <t>healthcare</t>
        </is>
      </c>
      <c r="F277" s="31" t="inlineStr">
        <is>
          <t>pharmaceuticals - indian - formulations</t>
        </is>
      </c>
      <c r="G277" s="31" t="inlineStr">
        <is>
          <t>smallcap</t>
        </is>
      </c>
      <c r="H277" s="32" t="n">
        <v>632.63</v>
      </c>
      <c r="I277" s="32" t="n">
        <v>187.82</v>
      </c>
      <c r="J277" s="32" t="n">
        <v>3.8</v>
      </c>
      <c r="K277" s="32" t="n">
        <v>47535</v>
      </c>
      <c r="L277" s="31" t="n">
        <v>12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52.96</v>
      </c>
      <c r="P277" s="32" t="n">
        <v>26.18</v>
      </c>
      <c r="Q277" s="32" t="inlineStr"/>
      <c r="R277" s="31" t="inlineStr">
        <is>
          <t>Earnings / Momentum Support</t>
        </is>
      </c>
      <c r="S277" s="31" t="inlineStr">
        <is>
          <t>Nifty Pharma</t>
        </is>
      </c>
      <c r="T277" s="32" t="n">
        <v>20.77</v>
      </c>
      <c r="U277" s="32" t="n">
        <v>-2.16</v>
      </c>
      <c r="V277" s="32" t="n">
        <v>-18.99</v>
      </c>
      <c r="W277" s="32" t="n">
        <v>0.59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IF(B278=0,"",RANK(B278,$B$2:$B$358,0))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SURAKSHA</t>
        </is>
      </c>
      <c r="D278" s="33" t="inlineStr">
        <is>
          <t>Suraksha Diagnostic Ltd</t>
        </is>
      </c>
      <c r="E278" s="31" t="inlineStr">
        <is>
          <t>healthcare</t>
        </is>
      </c>
      <c r="F278" s="31" t="inlineStr">
        <is>
          <t>healthcare</t>
        </is>
      </c>
      <c r="G278" s="31" t="inlineStr">
        <is>
          <t>smallcap</t>
        </is>
      </c>
      <c r="H278" s="32" t="n">
        <v>1731.42</v>
      </c>
      <c r="I278" s="32" t="n">
        <v>338.9</v>
      </c>
      <c r="J278" s="32" t="n">
        <v>1.94</v>
      </c>
      <c r="K278" s="32" t="n">
        <v>102949</v>
      </c>
      <c r="L278" s="31" t="n">
        <v>37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65.75</v>
      </c>
      <c r="P278" s="32" t="n">
        <v>19.79</v>
      </c>
      <c r="Q278" s="32" t="inlineStr"/>
      <c r="R278" s="31" t="inlineStr">
        <is>
          <t>Earnings / Momentum Support</t>
        </is>
      </c>
      <c r="S278" s="31" t="inlineStr">
        <is>
          <t>Nifty Pharma</t>
        </is>
      </c>
      <c r="T278" s="32" t="n">
        <v>20.77</v>
      </c>
      <c r="U278" s="32" t="n">
        <v>10.52</v>
      </c>
      <c r="V278" s="32" t="n">
        <v>-8.48</v>
      </c>
      <c r="W278" s="32" t="n">
        <v>6.7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IF(B279=0,"",RANK(B279,$B$2:$B$358,0))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GLAXO</t>
        </is>
      </c>
      <c r="D279" s="33" t="inlineStr">
        <is>
          <t>Glaxosmithkline Pharmaceuticals Limited</t>
        </is>
      </c>
      <c r="E279" s="31" t="inlineStr">
        <is>
          <t>healthcare</t>
        </is>
      </c>
      <c r="F279" s="31" t="inlineStr">
        <is>
          <t>pharmaceuticals - multinational</t>
        </is>
      </c>
      <c r="G279" s="31" t="inlineStr">
        <is>
          <t>largecap</t>
        </is>
      </c>
      <c r="H279" s="32" t="n">
        <v>50112</v>
      </c>
      <c r="I279" s="32" t="n">
        <v>2957.8</v>
      </c>
      <c r="J279" s="32" t="n">
        <v>-0.01</v>
      </c>
      <c r="K279" s="32" t="n">
        <v>155659</v>
      </c>
      <c r="L279" s="31" t="n">
        <v>50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66.73</v>
      </c>
      <c r="P279" s="32" t="n">
        <v>27.99</v>
      </c>
      <c r="Q279" s="32" t="inlineStr"/>
      <c r="R279" s="31" t="inlineStr">
        <is>
          <t>Earnings / Momentum Support</t>
        </is>
      </c>
      <c r="S279" s="31" t="inlineStr">
        <is>
          <t>Nifty Pharma</t>
        </is>
      </c>
      <c r="T279" s="32" t="n">
        <v>20.77</v>
      </c>
      <c r="U279" s="32" t="n">
        <v>9.5</v>
      </c>
      <c r="V279" s="32" t="n">
        <v>-9.33</v>
      </c>
      <c r="W279" s="32" t="n">
        <v>10.46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Between 12 to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IF(B280=0,"",RANK(B280,$B$2:$B$358,0))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INDGN</t>
        </is>
      </c>
      <c r="D280" s="33" t="inlineStr">
        <is>
          <t>Indegene Ltd</t>
        </is>
      </c>
      <c r="E280" s="31" t="inlineStr">
        <is>
          <t>healthcare</t>
        </is>
      </c>
      <c r="F280" s="31" t="inlineStr">
        <is>
          <t>miscellaneous</t>
        </is>
      </c>
      <c r="G280" s="31" t="inlineStr">
        <is>
          <t>midcap</t>
        </is>
      </c>
      <c r="H280" s="32" t="n">
        <v>14493.4</v>
      </c>
      <c r="I280" s="32" t="n">
        <v>599.35</v>
      </c>
      <c r="J280" s="32" t="n">
        <v>-0.36</v>
      </c>
      <c r="K280" s="32" t="n">
        <v>336187</v>
      </c>
      <c r="L280" s="31" t="n">
        <v>30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70.38</v>
      </c>
      <c r="P280" s="32" t="n">
        <v>22.75</v>
      </c>
      <c r="Q280" s="32" t="inlineStr"/>
      <c r="R280" s="31" t="inlineStr">
        <is>
          <t>Earnings / Momentum Support</t>
        </is>
      </c>
      <c r="S280" s="31" t="inlineStr">
        <is>
          <t>Nifty Pharma</t>
        </is>
      </c>
      <c r="T280" s="32" t="n">
        <v>20.77</v>
      </c>
      <c r="U280" s="32" t="n">
        <v>7.61</v>
      </c>
      <c r="V280" s="32" t="n">
        <v>-10.89</v>
      </c>
      <c r="W280" s="32" t="n">
        <v>5.21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IF(B281=0,"",RANK(B281,$B$2:$B$358,0))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HATSUN</t>
        </is>
      </c>
      <c r="D281" s="31" t="inlineStr">
        <is>
          <t>Hatsun Agro Product Limited</t>
        </is>
      </c>
      <c r="E281" s="31" t="inlineStr">
        <is>
          <t>fmcg</t>
        </is>
      </c>
      <c r="F281" s="31" t="inlineStr">
        <is>
          <t>food - processing - indian</t>
        </is>
      </c>
      <c r="G281" s="31" t="inlineStr">
        <is>
          <t>largecap</t>
        </is>
      </c>
      <c r="H281" s="32" t="n">
        <v>26034.82</v>
      </c>
      <c r="I281" s="32" t="n">
        <v>1132.8</v>
      </c>
      <c r="J281" s="32" t="n">
        <v>-3.08</v>
      </c>
      <c r="K281" s="32" t="n">
        <v>66432</v>
      </c>
      <c r="L281" s="31" t="n">
        <v>10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74.68000000000001</v>
      </c>
      <c r="P281" s="32" t="n">
        <v>22.58</v>
      </c>
      <c r="Q281" s="32" t="inlineStr"/>
      <c r="R281" s="31" t="inlineStr">
        <is>
          <t>Earnings / Momentum Support</t>
        </is>
      </c>
      <c r="S281" s="31" t="inlineStr">
        <is>
          <t>Nifty FMCG</t>
        </is>
      </c>
      <c r="T281" s="32" t="n">
        <v>-13.73</v>
      </c>
      <c r="U281" s="32" t="n">
        <v>-0.5600000000000001</v>
      </c>
      <c r="V281" s="32" t="n">
        <v>15.26</v>
      </c>
      <c r="W281" s="32" t="n">
        <v>-0.91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B2C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Between 0.7 to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IF(B282=0,"",RANK(B282,$B$2:$B$358,0))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MMP</t>
        </is>
      </c>
      <c r="D282" s="33" t="inlineStr">
        <is>
          <t>MMP Industries Ltd</t>
        </is>
      </c>
      <c r="E282" s="31" t="inlineStr">
        <is>
          <t>metals &amp; mining</t>
        </is>
      </c>
      <c r="F282" s="31" t="inlineStr">
        <is>
          <t>aluminium and aluminium products</t>
        </is>
      </c>
      <c r="G282" s="31" t="inlineStr">
        <is>
          <t>smallcap</t>
        </is>
      </c>
      <c r="H282" s="32" t="n">
        <v>764.6799999999999</v>
      </c>
      <c r="I282" s="32" t="n">
        <v>444.95</v>
      </c>
      <c r="J282" s="32" t="n">
        <v>10.1</v>
      </c>
      <c r="K282" s="32" t="n">
        <v>388765</v>
      </c>
      <c r="L282" s="31" t="n">
        <v>18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79.48999999999999</v>
      </c>
      <c r="P282" s="32" t="n">
        <v>48.15</v>
      </c>
      <c r="Q282" s="32" t="inlineStr"/>
      <c r="R282" s="31" t="inlineStr">
        <is>
          <t>Earnings / Momentum Support</t>
        </is>
      </c>
      <c r="S282" s="31" t="inlineStr">
        <is>
          <t>Nifty Metal</t>
        </is>
      </c>
      <c r="T282" s="32" t="n">
        <v>31.49</v>
      </c>
      <c r="U282" s="32" t="n">
        <v>-1.03</v>
      </c>
      <c r="V282" s="32" t="n">
        <v>-24.73</v>
      </c>
      <c r="W282" s="32" t="n">
        <v>2.09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Cyclical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Volatile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Above 40</t>
        </is>
      </c>
      <c r="AY282" s="31">
        <f>IF(AX282="Above 40",20,IF(AX282="20 to 40",10,IF(AX282="0 to 20",-5,0)))</f>
        <v/>
      </c>
      <c r="AZ282" s="31" t="inlineStr">
        <is>
          <t>Above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IF(B283=0,"",RANK(B283,$B$2:$B$358,0))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GMMPFAUDLR</t>
        </is>
      </c>
      <c r="D283" s="31" t="inlineStr">
        <is>
          <t>GMM Pfaudler Ltd</t>
        </is>
      </c>
      <c r="E283" s="31" t="inlineStr">
        <is>
          <t>industrials</t>
        </is>
      </c>
      <c r="F283" s="31" t="inlineStr">
        <is>
          <t>engineering</t>
        </is>
      </c>
      <c r="G283" s="31" t="inlineStr">
        <is>
          <t>midcap</t>
        </is>
      </c>
      <c r="H283" s="32" t="n">
        <v>5160.64</v>
      </c>
      <c r="I283" s="32" t="n">
        <v>1235.7</v>
      </c>
      <c r="J283" s="32" t="n">
        <v>7.65</v>
      </c>
      <c r="K283" s="32" t="n">
        <v>1280855</v>
      </c>
      <c r="L283" s="31" t="n">
        <v>53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70.22</v>
      </c>
      <c r="P283" s="32" t="n">
        <v>30.53</v>
      </c>
      <c r="Q283" s="32" t="inlineStr"/>
      <c r="R283" s="31" t="inlineStr">
        <is>
          <t>Earnings / Momentum Support</t>
        </is>
      </c>
      <c r="S283" s="31" t="inlineStr">
        <is>
          <t>Nifty 50</t>
        </is>
      </c>
      <c r="T283" s="32" t="n">
        <v>-3.41</v>
      </c>
      <c r="U283" s="32" t="n">
        <v>-0.75</v>
      </c>
      <c r="V283" s="32" t="n">
        <v>2.75</v>
      </c>
      <c r="W283" s="32" t="n">
        <v>11.23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IF(B284=0,"",RANK(B284,$B$2:$B$358,0))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SAMBHV</t>
        </is>
      </c>
      <c r="D284" s="33" t="inlineStr">
        <is>
          <t>Sambhv Steel Tubes Ltd</t>
        </is>
      </c>
      <c r="E284" s="31" t="inlineStr">
        <is>
          <t>metals &amp; mining</t>
        </is>
      </c>
      <c r="F284" s="31" t="inlineStr">
        <is>
          <t>steel - medium / small</t>
        </is>
      </c>
      <c r="G284" s="31" t="inlineStr">
        <is>
          <t>smallcap</t>
        </is>
      </c>
      <c r="H284" s="32" t="n">
        <v>3792.13</v>
      </c>
      <c r="I284" s="32" t="n">
        <v>133.53</v>
      </c>
      <c r="J284" s="32" t="n">
        <v>3.76</v>
      </c>
      <c r="K284" s="32" t="n">
        <v>2426547</v>
      </c>
      <c r="L284" s="31" t="n">
        <v>11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65.22</v>
      </c>
      <c r="P284" s="32" t="n">
        <v>34.12</v>
      </c>
      <c r="Q284" s="32" t="inlineStr"/>
      <c r="R284" s="31" t="inlineStr">
        <is>
          <t>Earnings / Momentum Support</t>
        </is>
      </c>
      <c r="S284" s="31" t="inlineStr">
        <is>
          <t>Nifty Metal</t>
        </is>
      </c>
      <c r="T284" s="32" t="n">
        <v>31.49</v>
      </c>
      <c r="U284" s="32" t="n">
        <v>-6.1</v>
      </c>
      <c r="V284" s="32" t="n">
        <v>-28.59</v>
      </c>
      <c r="W284" s="32" t="n">
        <v>-0.51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IF(B285=0,"",RANK(B285,$B$2:$B$358,0))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ANTELOPUS</t>
        </is>
      </c>
      <c r="D285" s="31" t="inlineStr">
        <is>
          <t>Antelopus Selan Energy Ltd</t>
        </is>
      </c>
      <c r="E285" s="31" t="inlineStr">
        <is>
          <t>energy</t>
        </is>
      </c>
      <c r="F285" s="31" t="inlineStr">
        <is>
          <t>oil drilling / allied services</t>
        </is>
      </c>
      <c r="G285" s="31" t="inlineStr">
        <is>
          <t>smallcap</t>
        </is>
      </c>
      <c r="H285" s="32" t="n">
        <v>3365.57</v>
      </c>
      <c r="I285" s="32" t="n">
        <v>985.3</v>
      </c>
      <c r="J285" s="32" t="n">
        <v>2.94</v>
      </c>
      <c r="K285" s="32" t="n">
        <v>2854173</v>
      </c>
      <c r="L285" s="31" t="n">
        <v>59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66.73999999999999</v>
      </c>
      <c r="P285" s="32" t="n">
        <v>44.94</v>
      </c>
      <c r="Q285" s="32" t="inlineStr"/>
      <c r="R285" s="31" t="inlineStr">
        <is>
          <t>Earnings / Momentum Support</t>
        </is>
      </c>
      <c r="S285" s="31" t="inlineStr">
        <is>
          <t>Nifty Energy</t>
        </is>
      </c>
      <c r="T285" s="32" t="n">
        <v>8.41</v>
      </c>
      <c r="U285" s="32" t="n">
        <v>25.19</v>
      </c>
      <c r="V285" s="32" t="n">
        <v>15.48</v>
      </c>
      <c r="W285" s="32" t="n">
        <v>13.1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Oligopoly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Cyclical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IF(B286=0,"",RANK(B286,$B$2:$B$358,0))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EMIL</t>
        </is>
      </c>
      <c r="D286" s="31" t="inlineStr">
        <is>
          <t>Electronics Mart India Ltd</t>
        </is>
      </c>
      <c r="E286" s="31" t="inlineStr">
        <is>
          <t>consumer discretionary</t>
        </is>
      </c>
      <c r="F286" s="31" t="inlineStr">
        <is>
          <t>trading</t>
        </is>
      </c>
      <c r="G286" s="31" t="inlineStr">
        <is>
          <t>midcap</t>
        </is>
      </c>
      <c r="H286" s="32" t="n">
        <v>6684.63</v>
      </c>
      <c r="I286" s="32" t="n">
        <v>178.24</v>
      </c>
      <c r="J286" s="32" t="n">
        <v>2.59</v>
      </c>
      <c r="K286" s="32" t="n">
        <v>1704742</v>
      </c>
      <c r="L286" s="31" t="n">
        <v>70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67.47</v>
      </c>
      <c r="P286" s="32" t="n">
        <v>35.65</v>
      </c>
      <c r="Q286" s="32" t="inlineStr"/>
      <c r="R286" s="31" t="inlineStr">
        <is>
          <t>Earnings / Momentum Support</t>
        </is>
      </c>
      <c r="S286" s="31" t="inlineStr">
        <is>
          <t>Nifty 50</t>
        </is>
      </c>
      <c r="T286" s="32" t="n">
        <v>-3.41</v>
      </c>
      <c r="U286" s="32" t="n">
        <v>16.54</v>
      </c>
      <c r="V286" s="32" t="n">
        <v>20.65</v>
      </c>
      <c r="W286" s="32" t="n">
        <v>18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IF(B287=0,"",RANK(B287,$B$2:$B$358,0))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SBC</t>
        </is>
      </c>
      <c r="D287" s="31" t="inlineStr">
        <is>
          <t>SBC Exports Ltd</t>
        </is>
      </c>
      <c r="E287" s="31" t="inlineStr">
        <is>
          <t>textiles</t>
        </is>
      </c>
      <c r="F287" s="31" t="inlineStr">
        <is>
          <t>textiles - products</t>
        </is>
      </c>
      <c r="G287" s="31" t="inlineStr">
        <is>
          <t>smallcap</t>
        </is>
      </c>
      <c r="H287" s="32" t="n">
        <v>2179.05</v>
      </c>
      <c r="I287" s="32" t="n">
        <v>46.87</v>
      </c>
      <c r="J287" s="32" t="n">
        <v>2.43</v>
      </c>
      <c r="K287" s="32" t="n">
        <v>9874017</v>
      </c>
      <c r="L287" s="31" t="n">
        <v>80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71.83</v>
      </c>
      <c r="P287" s="32" t="n">
        <v>33</v>
      </c>
      <c r="Q287" s="32" t="inlineStr"/>
      <c r="R287" s="31" t="inlineStr">
        <is>
          <t>Earnings / Momentum Support</t>
        </is>
      </c>
      <c r="S287" s="31" t="inlineStr">
        <is>
          <t>Nifty 50</t>
        </is>
      </c>
      <c r="T287" s="32" t="n">
        <v>-3.41</v>
      </c>
      <c r="U287" s="32" t="n">
        <v>123.98</v>
      </c>
      <c r="V287" s="32" t="n">
        <v>131.89</v>
      </c>
      <c r="W287" s="32" t="n">
        <v>22.72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IF(B288=0,"",RANK(B288,$B$2:$B$358,0))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BEML</t>
        </is>
      </c>
      <c r="D288" s="31" t="inlineStr">
        <is>
          <t>Beml Limited</t>
        </is>
      </c>
      <c r="E288" s="31" t="inlineStr">
        <is>
          <t>aerospace &amp; defence</t>
        </is>
      </c>
      <c r="F288" s="31" t="inlineStr">
        <is>
          <t>engineering</t>
        </is>
      </c>
      <c r="G288" s="31" t="inlineStr">
        <is>
          <t>midcap</t>
        </is>
      </c>
      <c r="H288" s="32" t="n">
        <v>17139.21</v>
      </c>
      <c r="I288" s="32" t="n">
        <v>2097.2</v>
      </c>
      <c r="J288" s="32" t="n">
        <v>1.91</v>
      </c>
      <c r="K288" s="32" t="n">
        <v>487014</v>
      </c>
      <c r="L288" s="31" t="n">
        <v>27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64.52</v>
      </c>
      <c r="P288" s="32" t="n">
        <v>16.58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-3.41</v>
      </c>
      <c r="U288" s="32" t="n">
        <v>1.1</v>
      </c>
      <c r="V288" s="32" t="n">
        <v>4.67</v>
      </c>
      <c r="W288" s="32" t="n">
        <v>4.46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IF(B289=0,"",RANK(B289,$B$2:$B$358,0))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SHYAMMETL</t>
        </is>
      </c>
      <c r="D289" s="33" t="inlineStr">
        <is>
          <t>Shyam Metalics &amp; Energy Ltd</t>
        </is>
      </c>
      <c r="E289" s="31" t="inlineStr">
        <is>
          <t>metals &amp; mining</t>
        </is>
      </c>
      <c r="F289" s="31" t="inlineStr">
        <is>
          <t>steel - large</t>
        </is>
      </c>
      <c r="G289" s="31" t="inlineStr">
        <is>
          <t>largecap</t>
        </is>
      </c>
      <c r="H289" s="32" t="n">
        <v>29735.92</v>
      </c>
      <c r="I289" s="32" t="n">
        <v>1082.3</v>
      </c>
      <c r="J289" s="32" t="n">
        <v>1.6</v>
      </c>
      <c r="K289" s="32" t="n">
        <v>244531</v>
      </c>
      <c r="L289" s="31" t="n">
        <v>36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63.94</v>
      </c>
      <c r="P289" s="32" t="n">
        <v>26.2</v>
      </c>
      <c r="Q289" s="32" t="inlineStr"/>
      <c r="R289" s="31" t="inlineStr">
        <is>
          <t>Earnings / Momentum Support</t>
        </is>
      </c>
      <c r="S289" s="31" t="inlineStr">
        <is>
          <t>Nifty Metal</t>
        </is>
      </c>
      <c r="T289" s="32" t="n">
        <v>31.49</v>
      </c>
      <c r="U289" s="32" t="n">
        <v>12.72</v>
      </c>
      <c r="V289" s="32" t="n">
        <v>-14.28</v>
      </c>
      <c r="W289" s="32" t="n">
        <v>6.54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IF(B290=0,"",RANK(B290,$B$2:$B$358,0))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INDOAMIN</t>
        </is>
      </c>
      <c r="D290" s="33" t="inlineStr">
        <is>
          <t>Indo Amines Ltd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smallcap</t>
        </is>
      </c>
      <c r="H290" s="32" t="n">
        <v>914.3099999999999</v>
      </c>
      <c r="I290" s="32" t="n">
        <v>127.23</v>
      </c>
      <c r="J290" s="32" t="n">
        <v>1.01</v>
      </c>
      <c r="K290" s="32" t="n">
        <v>83059</v>
      </c>
      <c r="L290" s="31" t="n">
        <v>6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50.94</v>
      </c>
      <c r="P290" s="32" t="n">
        <v>26.95</v>
      </c>
      <c r="Q290" s="32" t="inlineStr"/>
      <c r="R290" s="31" t="inlineStr">
        <is>
          <t>Earnings / Momentum Support</t>
        </is>
      </c>
      <c r="S290" s="31" t="inlineStr">
        <is>
          <t>Nifty 50</t>
        </is>
      </c>
      <c r="T290" s="32" t="n">
        <v>-3.41</v>
      </c>
      <c r="U290" s="32" t="n">
        <v>-13.02</v>
      </c>
      <c r="V290" s="32" t="n">
        <v>-9.960000000000001</v>
      </c>
      <c r="W290" s="32" t="n">
        <v>-2.14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Between 1.5 to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IF(B291=0,"",RANK(B291,$B$2:$B$358,0))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SRHHYPOLTD</t>
        </is>
      </c>
      <c r="D291" s="33" t="inlineStr">
        <is>
          <t>Sree Rayalaseema Hi-strength Hypo Limited</t>
        </is>
      </c>
      <c r="E291" s="31" t="inlineStr">
        <is>
          <t>chemicals</t>
        </is>
      </c>
      <c r="F291" s="31" t="inlineStr">
        <is>
          <t>chemicals</t>
        </is>
      </c>
      <c r="G291" s="31" t="inlineStr">
        <is>
          <t>smallcap</t>
        </is>
      </c>
      <c r="H291" s="32" t="n">
        <v>911.54</v>
      </c>
      <c r="I291" s="32" t="n">
        <v>531.6</v>
      </c>
      <c r="J291" s="32" t="n">
        <v>0.1</v>
      </c>
      <c r="K291" s="32" t="n">
        <v>13332</v>
      </c>
      <c r="L291" s="31" t="n">
        <v>9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56.88</v>
      </c>
      <c r="P291" s="32" t="n">
        <v>8.779999999999999</v>
      </c>
      <c r="Q291" s="32" t="inlineStr"/>
      <c r="R291" s="31" t="inlineStr">
        <is>
          <t>Earnings / Momentum Support</t>
        </is>
      </c>
      <c r="S291" s="31" t="inlineStr">
        <is>
          <t>Nifty 50</t>
        </is>
      </c>
      <c r="T291" s="32" t="n">
        <v>-3.41</v>
      </c>
      <c r="U291" s="32" t="n">
        <v>-14.23</v>
      </c>
      <c r="V291" s="32" t="n">
        <v>-11.2</v>
      </c>
      <c r="W291" s="32" t="n">
        <v>-1.26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IF(B292=0,"",RANK(B292,$B$2:$B$358,0))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GLOBAL</t>
        </is>
      </c>
      <c r="D292" s="31" t="inlineStr">
        <is>
          <t>Global Education Ltd</t>
        </is>
      </c>
      <c r="E292" s="31" t="inlineStr">
        <is>
          <t>services</t>
        </is>
      </c>
      <c r="F292" s="31" t="inlineStr">
        <is>
          <t>miscellaneous</t>
        </is>
      </c>
      <c r="G292" s="31" t="inlineStr">
        <is>
          <t>smallcap</t>
        </is>
      </c>
      <c r="H292" s="32" t="n">
        <v>613.11</v>
      </c>
      <c r="I292" s="32" t="n">
        <v>120.15</v>
      </c>
      <c r="J292" s="32" t="n">
        <v>-0.25</v>
      </c>
      <c r="K292" s="32" t="n">
        <v>129151</v>
      </c>
      <c r="L292" s="31" t="n">
        <v>66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67.68000000000001</v>
      </c>
      <c r="P292" s="32" t="n">
        <v>37.06</v>
      </c>
      <c r="Q292" s="32" t="inlineStr"/>
      <c r="R292" s="31" t="inlineStr">
        <is>
          <t>Earnings / Momentum Support</t>
        </is>
      </c>
      <c r="S292" s="31" t="inlineStr">
        <is>
          <t>Nifty 50</t>
        </is>
      </c>
      <c r="T292" s="32" t="n">
        <v>-3.41</v>
      </c>
      <c r="U292" s="32" t="n">
        <v>89.72</v>
      </c>
      <c r="V292" s="32" t="n">
        <v>96.41</v>
      </c>
      <c r="W292" s="32" t="n">
        <v>16.73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Less than 50%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IF(B293=0,"",RANK(B293,$B$2:$B$358,0))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PTCIL</t>
        </is>
      </c>
      <c r="D293" s="31" t="inlineStr">
        <is>
          <t>PTC Industries Ltd</t>
        </is>
      </c>
      <c r="E293" s="31" t="inlineStr">
        <is>
          <t>industrials</t>
        </is>
      </c>
      <c r="F293" s="31" t="inlineStr">
        <is>
          <t>castings &amp; forgings</t>
        </is>
      </c>
      <c r="G293" s="31" t="inlineStr">
        <is>
          <t>largecap</t>
        </is>
      </c>
      <c r="H293" s="32" t="n">
        <v>35727.24</v>
      </c>
      <c r="I293" s="32" t="n">
        <v>23755</v>
      </c>
      <c r="J293" s="32" t="n">
        <v>-0.31</v>
      </c>
      <c r="K293" s="32" t="n">
        <v>29308</v>
      </c>
      <c r="L293" s="31" t="n">
        <v>73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78.3</v>
      </c>
      <c r="P293" s="32" t="n">
        <v>32.75</v>
      </c>
      <c r="Q293" s="32" t="inlineStr"/>
      <c r="R293" s="31" t="inlineStr">
        <is>
          <t>Earnings / Momentum Support</t>
        </is>
      </c>
      <c r="S293" s="31" t="inlineStr">
        <is>
          <t>Nifty 50</t>
        </is>
      </c>
      <c r="T293" s="32" t="n">
        <v>-3.41</v>
      </c>
      <c r="U293" s="32" t="n">
        <v>75.44</v>
      </c>
      <c r="V293" s="32" t="n">
        <v>81.63</v>
      </c>
      <c r="W293" s="32" t="n">
        <v>18.93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IF(B294=0,"",RANK(B294,$B$2:$B$358,0))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MANGLMCEM</t>
        </is>
      </c>
      <c r="D294" s="31" t="inlineStr">
        <is>
          <t>Mangalam Cement Limited</t>
        </is>
      </c>
      <c r="E294" s="31" t="inlineStr">
        <is>
          <t>building materials</t>
        </is>
      </c>
      <c r="F294" s="31" t="inlineStr">
        <is>
          <t>cement - north india</t>
        </is>
      </c>
      <c r="G294" s="31" t="inlineStr">
        <is>
          <t>smallcap</t>
        </is>
      </c>
      <c r="H294" s="32" t="n">
        <v>3011.5</v>
      </c>
      <c r="I294" s="32" t="n">
        <v>1090.2</v>
      </c>
      <c r="J294" s="32" t="n">
        <v>-0.46</v>
      </c>
      <c r="K294" s="32" t="n">
        <v>74696</v>
      </c>
      <c r="L294" s="31" t="n">
        <v>42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70.06999999999999</v>
      </c>
      <c r="P294" s="32" t="n">
        <v>30.02</v>
      </c>
      <c r="Q294" s="32" t="inlineStr"/>
      <c r="R294" s="31" t="inlineStr">
        <is>
          <t>Earnings / Momentum Support</t>
        </is>
      </c>
      <c r="S294" s="31" t="inlineStr">
        <is>
          <t>Nifty Infra</t>
        </is>
      </c>
      <c r="T294" s="32" t="n">
        <v>1.74</v>
      </c>
      <c r="U294" s="32" t="n">
        <v>34.75</v>
      </c>
      <c r="V294" s="32" t="n">
        <v>32.45</v>
      </c>
      <c r="W294" s="32" t="n">
        <v>7.96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IF(B295=0,"",RANK(B295,$B$2:$B$358,0))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QPOWER</t>
        </is>
      </c>
      <c r="D295" s="31" t="inlineStr">
        <is>
          <t>Quality Power Electrical Equipments Ltd</t>
        </is>
      </c>
      <c r="E295" s="31" t="inlineStr">
        <is>
          <t>industrials</t>
        </is>
      </c>
      <c r="F295" s="31" t="inlineStr">
        <is>
          <t>electric equipment</t>
        </is>
      </c>
      <c r="G295" s="31" t="inlineStr">
        <is>
          <t>midcap</t>
        </is>
      </c>
      <c r="H295" s="32" t="n">
        <v>11580.22</v>
      </c>
      <c r="I295" s="32" t="n">
        <v>1482.5</v>
      </c>
      <c r="J295" s="32" t="n">
        <v>-0.86</v>
      </c>
      <c r="K295" s="32" t="n">
        <v>660514</v>
      </c>
      <c r="L295" s="31" t="n">
        <v>76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67.77</v>
      </c>
      <c r="P295" s="32" t="n">
        <v>18.67</v>
      </c>
      <c r="Q295" s="32" t="inlineStr"/>
      <c r="R295" s="31" t="inlineStr">
        <is>
          <t>Earnings / Momentum Support</t>
        </is>
      </c>
      <c r="S295" s="31" t="inlineStr">
        <is>
          <t>Nifty 50</t>
        </is>
      </c>
      <c r="T295" s="32" t="n">
        <v>-3.41</v>
      </c>
      <c r="U295" s="32" t="n">
        <v>64.79000000000001</v>
      </c>
      <c r="V295" s="32" t="n">
        <v>70.59999999999999</v>
      </c>
      <c r="W295" s="32" t="n">
        <v>20.58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Between 1.5 to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IF(B296=0,"",RANK(B296,$B$2:$B$358,0))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TIIL</t>
        </is>
      </c>
      <c r="D296" s="33" t="inlineStr">
        <is>
          <t>Technocraft Industries (india) Limited</t>
        </is>
      </c>
      <c r="E296" s="31" t="inlineStr">
        <is>
          <t>metals &amp; mining</t>
        </is>
      </c>
      <c r="F296" s="31" t="inlineStr">
        <is>
          <t>steel - medium / small</t>
        </is>
      </c>
      <c r="G296" s="31" t="inlineStr">
        <is>
          <t>midcap</t>
        </is>
      </c>
      <c r="H296" s="32" t="n">
        <v>7243.05</v>
      </c>
      <c r="I296" s="32" t="n">
        <v>3166.4</v>
      </c>
      <c r="J296" s="32" t="n">
        <v>-0.88</v>
      </c>
      <c r="K296" s="32" t="n">
        <v>20927</v>
      </c>
      <c r="L296" s="31" t="n">
        <v>6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69.93000000000001</v>
      </c>
      <c r="P296" s="32" t="n">
        <v>37.68</v>
      </c>
      <c r="Q296" s="32" t="inlineStr"/>
      <c r="R296" s="31" t="inlineStr">
        <is>
          <t>Earnings / Momentum Support</t>
        </is>
      </c>
      <c r="S296" s="31" t="inlineStr">
        <is>
          <t>Nifty Metal</t>
        </is>
      </c>
      <c r="T296" s="32" t="n">
        <v>31.49</v>
      </c>
      <c r="U296" s="32" t="n">
        <v>-21.23</v>
      </c>
      <c r="V296" s="32" t="n">
        <v>-40.1</v>
      </c>
      <c r="W296" s="32" t="n">
        <v>-2.25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IF(B297=0,"",RANK(B297,$B$2:$B$358,0))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BRIGADE</t>
        </is>
      </c>
      <c r="D297" s="33" t="inlineStr">
        <is>
          <t>Brigade Enterprises Limited</t>
        </is>
      </c>
      <c r="E297" s="31" t="inlineStr">
        <is>
          <t>realty</t>
        </is>
      </c>
      <c r="F297" s="31" t="inlineStr">
        <is>
          <t>construction</t>
        </is>
      </c>
      <c r="G297" s="31" t="inlineStr">
        <is>
          <t>largecap</t>
        </is>
      </c>
      <c r="H297" s="32" t="n">
        <v>22704.16</v>
      </c>
      <c r="I297" s="32" t="n">
        <v>679.05</v>
      </c>
      <c r="J297" s="32" t="n">
        <v>-2.45</v>
      </c>
      <c r="K297" s="32" t="n">
        <v>867916</v>
      </c>
      <c r="L297" s="31" t="n">
        <v>2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67.54000000000001</v>
      </c>
      <c r="P297" s="32" t="n">
        <v>18.77</v>
      </c>
      <c r="Q297" s="32" t="inlineStr"/>
      <c r="R297" s="31" t="inlineStr">
        <is>
          <t>Earnings / Momentum Support</t>
        </is>
      </c>
      <c r="S297" s="31" t="inlineStr">
        <is>
          <t>Nifty Realty</t>
        </is>
      </c>
      <c r="T297" s="32" t="n">
        <v>-8.119999999999999</v>
      </c>
      <c r="U297" s="32" t="n">
        <v>-31.87</v>
      </c>
      <c r="V297" s="32" t="n">
        <v>-25.85</v>
      </c>
      <c r="W297" s="32" t="n">
        <v>-7.38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Less than 1.5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IF(B298=0,"",RANK(B298,$B$2:$B$358,0))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WELENT</t>
        </is>
      </c>
      <c r="D298" s="31" t="inlineStr">
        <is>
          <t>Welspun Enterprises Limited</t>
        </is>
      </c>
      <c r="E298" s="31" t="inlineStr">
        <is>
          <t>realty</t>
        </is>
      </c>
      <c r="F298" s="31" t="inlineStr">
        <is>
          <t>construction</t>
        </is>
      </c>
      <c r="G298" s="31" t="inlineStr">
        <is>
          <t>midcap</t>
        </is>
      </c>
      <c r="H298" s="32" t="n">
        <v>11261.35</v>
      </c>
      <c r="I298" s="32" t="n">
        <v>783.5</v>
      </c>
      <c r="J298" s="32" t="n">
        <v>-3.7</v>
      </c>
      <c r="K298" s="32" t="n">
        <v>621082</v>
      </c>
      <c r="L298" s="31" t="n">
        <v>52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80.78</v>
      </c>
      <c r="P298" s="32" t="n">
        <v>31.24</v>
      </c>
      <c r="Q298" s="32" t="inlineStr"/>
      <c r="R298" s="31" t="inlineStr">
        <is>
          <t>Earnings / Momentum Support</t>
        </is>
      </c>
      <c r="S298" s="31" t="inlineStr">
        <is>
          <t>Nifty Realty</t>
        </is>
      </c>
      <c r="T298" s="32" t="n">
        <v>-8.119999999999999</v>
      </c>
      <c r="U298" s="32" t="n">
        <v>20.9</v>
      </c>
      <c r="V298" s="32" t="n">
        <v>31.58</v>
      </c>
      <c r="W298" s="32" t="n">
        <v>10.97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Above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IF(B299=0,"",RANK(B299,$B$2:$B$358,0))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MUKKA</t>
        </is>
      </c>
      <c r="D299" s="33" t="inlineStr">
        <is>
          <t>Mukka Proteins Ltd</t>
        </is>
      </c>
      <c r="E299" s="31" t="inlineStr">
        <is>
          <t>fmcg</t>
        </is>
      </c>
      <c r="F299" s="31" t="inlineStr">
        <is>
          <t>food - processing - indian</t>
        </is>
      </c>
      <c r="G299" s="31" t="inlineStr">
        <is>
          <t>smallcap</t>
        </is>
      </c>
      <c r="H299" s="32" t="n">
        <v>940.2</v>
      </c>
      <c r="I299" s="32" t="n">
        <v>32.15</v>
      </c>
      <c r="J299" s="32" t="n">
        <v>2.58</v>
      </c>
      <c r="K299" s="32" t="n">
        <v>5209798</v>
      </c>
      <c r="L299" s="31" t="n">
        <v>3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71.64</v>
      </c>
      <c r="P299" s="32" t="n">
        <v>14.79</v>
      </c>
      <c r="Q299" s="32" t="inlineStr"/>
      <c r="R299" s="31" t="inlineStr">
        <is>
          <t>Earnings / Momentum Support</t>
        </is>
      </c>
      <c r="S299" s="31" t="inlineStr">
        <is>
          <t>Nifty FMCG</t>
        </is>
      </c>
      <c r="T299" s="32" t="n">
        <v>-13.73</v>
      </c>
      <c r="U299" s="32" t="n">
        <v>-23.76</v>
      </c>
      <c r="V299" s="32" t="n">
        <v>-11.63</v>
      </c>
      <c r="W299" s="32" t="n">
        <v>-5.93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B2C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IF(B300=0,"",RANK(B300,$B$2:$B$358,0))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GLENMARK</t>
        </is>
      </c>
      <c r="D300" s="33" t="inlineStr">
        <is>
          <t>Glenmark Pharmaceuticals Limited</t>
        </is>
      </c>
      <c r="E300" s="31" t="inlineStr">
        <is>
          <t>healthcare</t>
        </is>
      </c>
      <c r="F300" s="31" t="inlineStr">
        <is>
          <t>pharmaceuticals - indian - bulk drugs &amp; formln</t>
        </is>
      </c>
      <c r="G300" s="31" t="inlineStr">
        <is>
          <t>largecap</t>
        </is>
      </c>
      <c r="H300" s="32" t="n">
        <v>68777.98</v>
      </c>
      <c r="I300" s="32" t="n">
        <v>2451.9</v>
      </c>
      <c r="J300" s="32" t="n">
        <v>0.6</v>
      </c>
      <c r="K300" s="32" t="n">
        <v>267568</v>
      </c>
      <c r="L300" s="31" t="n">
        <v>35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63.17</v>
      </c>
      <c r="P300" s="32" t="n">
        <v>19.47</v>
      </c>
      <c r="Q300" s="32" t="inlineStr"/>
      <c r="R300" s="31" t="inlineStr">
        <is>
          <t>Earnings / Momentum Support</t>
        </is>
      </c>
      <c r="S300" s="31" t="inlineStr">
        <is>
          <t>Nifty Pharma</t>
        </is>
      </c>
      <c r="T300" s="32" t="n">
        <v>20.77</v>
      </c>
      <c r="U300" s="32" t="n">
        <v>19.19</v>
      </c>
      <c r="V300" s="32" t="n">
        <v>-1.31</v>
      </c>
      <c r="W300" s="32" t="n">
        <v>6.26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IF(B301=0,"",RANK(B301,$B$2:$B$358,0))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CYIENT</t>
        </is>
      </c>
      <c r="D301" s="31" t="inlineStr">
        <is>
          <t>Cyient Limited</t>
        </is>
      </c>
      <c r="E301" s="31" t="inlineStr">
        <is>
          <t>i.t</t>
        </is>
      </c>
      <c r="F301" s="31" t="inlineStr">
        <is>
          <t>computers - software - medium / small</t>
        </is>
      </c>
      <c r="G301" s="31" t="inlineStr">
        <is>
          <t>midcap</t>
        </is>
      </c>
      <c r="H301" s="32" t="n">
        <v>11540.45</v>
      </c>
      <c r="I301" s="32" t="n">
        <v>1105.4</v>
      </c>
      <c r="J301" s="32" t="n">
        <v>0.33</v>
      </c>
      <c r="K301" s="32" t="n">
        <v>362143</v>
      </c>
      <c r="L301" s="31" t="n">
        <v>32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66.95999999999999</v>
      </c>
      <c r="P301" s="32" t="n">
        <v>16.63</v>
      </c>
      <c r="Q301" s="32" t="inlineStr"/>
      <c r="R301" s="31" t="inlineStr">
        <is>
          <t>Earnings / Momentum Support</t>
        </is>
      </c>
      <c r="S301" s="31" t="inlineStr">
        <is>
          <t>Nifty IT</t>
        </is>
      </c>
      <c r="T301" s="32" t="n">
        <v>-11.38</v>
      </c>
      <c r="U301" s="32" t="n">
        <v>-4.2</v>
      </c>
      <c r="V301" s="32" t="n">
        <v>8.1</v>
      </c>
      <c r="W301" s="32" t="n">
        <v>5.54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IF(B302=0,"",RANK(B302,$B$2:$B$358,0))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UNITEDPOLY</t>
        </is>
      </c>
      <c r="D302" s="31" t="inlineStr">
        <is>
          <t>United Polyfab Gujarat Ltd</t>
        </is>
      </c>
      <c r="E302" s="31" t="inlineStr">
        <is>
          <t>textiles</t>
        </is>
      </c>
      <c r="F302" s="31" t="inlineStr">
        <is>
          <t>textiles - products</t>
        </is>
      </c>
      <c r="G302" s="31" t="inlineStr">
        <is>
          <t>smallcap</t>
        </is>
      </c>
      <c r="H302" s="32" t="n">
        <v>956.16</v>
      </c>
      <c r="I302" s="32" t="n">
        <v>42.88</v>
      </c>
      <c r="J302" s="32" t="n">
        <v>2.93</v>
      </c>
      <c r="K302" s="32" t="n">
        <v>182224</v>
      </c>
      <c r="L302" s="31" t="n">
        <v>56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69.20999999999999</v>
      </c>
      <c r="P302" s="32" t="n">
        <v>18.54</v>
      </c>
      <c r="Q302" s="32" t="inlineStr"/>
      <c r="R302" s="31" t="inlineStr">
        <is>
          <t>Earnings / Momentum Support</t>
        </is>
      </c>
      <c r="S302" s="31" t="inlineStr">
        <is>
          <t>Nifty 50</t>
        </is>
      </c>
      <c r="T302" s="32" t="n">
        <v>-3.41</v>
      </c>
      <c r="U302" s="32" t="n">
        <v>26.47</v>
      </c>
      <c r="V302" s="32" t="n">
        <v>30.94</v>
      </c>
      <c r="W302" s="32" t="n">
        <v>12.54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Shallow Cyclical (2 to 3 Years Growth)</t>
        </is>
      </c>
      <c r="AG302" s="31">
        <f>IF(AF302="Structural (10 Years Consistency)",10,IF(AF302="Shallow Cyclical (2 to 3 years growth)",5,0))</f>
        <v/>
      </c>
      <c r="AH302" s="31" t="inlineStr">
        <is>
          <t>Yes due to Product Mix change or Operating Leverage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Allocated capital in Non-core Areas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Sideways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Overhead supply in last 2 years in last 2 years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More than 15%</t>
        </is>
      </c>
      <c r="CC302" s="31">
        <f>IF(CB302="More than 15%",-10,IF(CB302="Less than 15%",10,0))</f>
        <v/>
      </c>
      <c r="CD302" s="31" t="inlineStr">
        <is>
          <t>Yes Upto 10%</t>
        </is>
      </c>
      <c r="CE302" s="31">
        <f>IF(CD302="Yes, more than 10%",-10,IF(CD302="No",10,0))</f>
        <v/>
      </c>
    </row>
    <row r="303">
      <c r="A303" s="31">
        <f>IF(B303=0,"",RANK(B303,$B$2:$B$358,0))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UFLEX</t>
        </is>
      </c>
      <c r="D303" s="31" t="inlineStr">
        <is>
          <t>Uflex Limited</t>
        </is>
      </c>
      <c r="E303" s="31" t="inlineStr">
        <is>
          <t>industrials</t>
        </is>
      </c>
      <c r="F303" s="31" t="inlineStr">
        <is>
          <t>packaging</t>
        </is>
      </c>
      <c r="G303" s="31" t="inlineStr">
        <is>
          <t>smallcap</t>
        </is>
      </c>
      <c r="H303" s="32" t="n">
        <v>4878.61</v>
      </c>
      <c r="I303" s="32" t="n">
        <v>682.7</v>
      </c>
      <c r="J303" s="32" t="n">
        <v>1.05</v>
      </c>
      <c r="K303" s="32" t="n">
        <v>152186</v>
      </c>
      <c r="L303" s="31" t="n">
        <v>73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79.66</v>
      </c>
      <c r="P303" s="32" t="n">
        <v>30.94</v>
      </c>
      <c r="Q303" s="32" t="inlineStr"/>
      <c r="R303" s="31" t="inlineStr">
        <is>
          <t>Earnings / Momentum Support</t>
        </is>
      </c>
      <c r="S303" s="31" t="inlineStr">
        <is>
          <t>Nifty 50</t>
        </is>
      </c>
      <c r="T303" s="32" t="n">
        <v>-3.41</v>
      </c>
      <c r="U303" s="32" t="n">
        <v>23.48</v>
      </c>
      <c r="V303" s="32" t="n">
        <v>27.84</v>
      </c>
      <c r="W303" s="32" t="n">
        <v>18.95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Above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IF(B304=0,"",RANK(B304,$B$2:$B$358,0))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MAMATA</t>
        </is>
      </c>
      <c r="D304" s="31" t="inlineStr">
        <is>
          <t>Mamata Machinery Ltd</t>
        </is>
      </c>
      <c r="E304" s="31" t="inlineStr">
        <is>
          <t>industrials</t>
        </is>
      </c>
      <c r="F304" s="31" t="inlineStr">
        <is>
          <t>engineering</t>
        </is>
      </c>
      <c r="G304" s="31" t="inlineStr">
        <is>
          <t>smallcap</t>
        </is>
      </c>
      <c r="H304" s="32" t="n">
        <v>1015.19</v>
      </c>
      <c r="I304" s="32" t="n">
        <v>413.5</v>
      </c>
      <c r="J304" s="32" t="n">
        <v>0.23</v>
      </c>
      <c r="K304" s="32" t="n">
        <v>63489</v>
      </c>
      <c r="L304" s="31" t="n">
        <v>22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51.99</v>
      </c>
      <c r="P304" s="32" t="n">
        <v>7.03</v>
      </c>
      <c r="Q304" s="32" t="inlineStr"/>
      <c r="R304" s="31" t="inlineStr">
        <is>
          <t>Earnings / Momentum Support</t>
        </is>
      </c>
      <c r="S304" s="31" t="inlineStr">
        <is>
          <t>Nifty 50</t>
        </is>
      </c>
      <c r="T304" s="32" t="n">
        <v>-3.41</v>
      </c>
      <c r="U304" s="32" t="n">
        <v>2.37</v>
      </c>
      <c r="V304" s="32" t="n">
        <v>5.98</v>
      </c>
      <c r="W304" s="32" t="n">
        <v>3.02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IF(B305=0,"",RANK(B305,$B$2:$B$358,0))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GNFC</t>
        </is>
      </c>
      <c r="D305" s="31" t="inlineStr">
        <is>
          <t>Gujarat Narmada Valley Fertilizers And Chemicals Limited</t>
        </is>
      </c>
      <c r="E305" s="31" t="inlineStr">
        <is>
          <t>chemicals</t>
        </is>
      </c>
      <c r="F305" s="31" t="inlineStr">
        <is>
          <t>chemicals</t>
        </is>
      </c>
      <c r="G305" s="31" t="inlineStr">
        <is>
          <t>midcap</t>
        </is>
      </c>
      <c r="H305" s="32" t="n">
        <v>8767.950000000001</v>
      </c>
      <c r="I305" s="32" t="n">
        <v>597.9</v>
      </c>
      <c r="J305" s="32" t="n">
        <v>0.2</v>
      </c>
      <c r="K305" s="32" t="n">
        <v>1281385</v>
      </c>
      <c r="L305" s="31" t="n">
        <v>42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69.02</v>
      </c>
      <c r="P305" s="32" t="n">
        <v>38.26</v>
      </c>
      <c r="Q305" s="32" t="inlineStr"/>
      <c r="R305" s="31" t="inlineStr">
        <is>
          <t>Earnings / Momentum Support</t>
        </is>
      </c>
      <c r="S305" s="31" t="inlineStr">
        <is>
          <t>Nifty 50</t>
        </is>
      </c>
      <c r="T305" s="32" t="n">
        <v>-3.41</v>
      </c>
      <c r="U305" s="32" t="n">
        <v>18.29</v>
      </c>
      <c r="V305" s="32" t="n">
        <v>22.46</v>
      </c>
      <c r="W305" s="32" t="n">
        <v>8.02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Shallow Cyclical (2 to 3 Years Growth)</t>
        </is>
      </c>
      <c r="AG305" s="31">
        <f>IF(AF305="Structural (10 Years Consistency)",10,IF(AF305="Shallow Cyclical (2 to 3 years growth)",5,0))</f>
        <v/>
      </c>
      <c r="AH305" s="31" t="inlineStr">
        <is>
          <t>Yes due to Product Mix change or Operating Leverage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Allocated capital in Non-core Areas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Sideways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Overhead supply in last 2 years in last 2 years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More than 15%</t>
        </is>
      </c>
      <c r="CC305" s="31">
        <f>IF(CB305="More than 15%",-10,IF(CB305="Less than 15%",10,0))</f>
        <v/>
      </c>
      <c r="CD305" s="31" t="inlineStr">
        <is>
          <t>Yes Upto 10%</t>
        </is>
      </c>
      <c r="CE305" s="31">
        <f>IF(CD305="Yes, more than 10%",-10,IF(CD305="No",10,0))</f>
        <v/>
      </c>
    </row>
    <row r="306">
      <c r="A306" s="31">
        <f>IF(B306=0,"",RANK(B306,$B$2:$B$358,0))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SVLL</t>
        </is>
      </c>
      <c r="D306" s="31" t="inlineStr">
        <is>
          <t>Shree Vasu Logistics Ltd</t>
        </is>
      </c>
      <c r="E306" s="31" t="inlineStr">
        <is>
          <t>transportation</t>
        </is>
      </c>
      <c r="F306" s="31" t="inlineStr">
        <is>
          <t>miscellaneous</t>
        </is>
      </c>
      <c r="G306" s="31" t="inlineStr">
        <is>
          <t>smallcap</t>
        </is>
      </c>
      <c r="H306" s="32" t="n">
        <v>918.63</v>
      </c>
      <c r="I306" s="32" t="n">
        <v>800</v>
      </c>
      <c r="J306" s="32" t="n">
        <v>0.09</v>
      </c>
      <c r="K306" s="32" t="n">
        <v>629</v>
      </c>
      <c r="L306" s="31" t="n">
        <v>25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63.37</v>
      </c>
      <c r="P306" s="32" t="n">
        <v>38.91</v>
      </c>
      <c r="Q306" s="32" t="inlineStr"/>
      <c r="R306" s="31" t="inlineStr">
        <is>
          <t>Earnings / Momentum Support</t>
        </is>
      </c>
      <c r="S306" s="31" t="inlineStr">
        <is>
          <t>Nifty 50</t>
        </is>
      </c>
      <c r="T306" s="32" t="n">
        <v>-3.41</v>
      </c>
      <c r="U306" s="32" t="n">
        <v>4.01</v>
      </c>
      <c r="V306" s="32" t="n">
        <v>7.68</v>
      </c>
      <c r="W306" s="32" t="n">
        <v>3.72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IF(B307=0,"",RANK(B307,$B$2:$B$358,0))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ROSSTECH</t>
        </is>
      </c>
      <c r="D307" s="31" t="inlineStr">
        <is>
          <t>Rossell Techsys Ltd</t>
        </is>
      </c>
      <c r="E307" s="31" t="inlineStr">
        <is>
          <t>aerospace &amp; defence</t>
        </is>
      </c>
      <c r="F307" s="31" t="inlineStr">
        <is>
          <t>engineering</t>
        </is>
      </c>
      <c r="G307" s="31" t="inlineStr">
        <is>
          <t>smallcap</t>
        </is>
      </c>
      <c r="H307" s="32" t="n">
        <v>4336.98</v>
      </c>
      <c r="I307" s="32" t="n">
        <v>1148.2</v>
      </c>
      <c r="J307" s="32" t="n">
        <v>-0.2</v>
      </c>
      <c r="K307" s="32" t="n">
        <v>107652</v>
      </c>
      <c r="L307" s="31" t="n">
        <v>59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66.8</v>
      </c>
      <c r="P307" s="32" t="n">
        <v>26.09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-3.41</v>
      </c>
      <c r="U307" s="32" t="n">
        <v>60.92</v>
      </c>
      <c r="V307" s="32" t="n">
        <v>66.59999999999999</v>
      </c>
      <c r="W307" s="32" t="n">
        <v>13.04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IF(B308=0,"",RANK(B308,$B$2:$B$358,0))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SMARTWORKS</t>
        </is>
      </c>
      <c r="D308" s="31" t="inlineStr">
        <is>
          <t>Smartworks Coworking Spaces Ltd</t>
        </is>
      </c>
      <c r="E308" s="31" t="inlineStr">
        <is>
          <t>co-working</t>
        </is>
      </c>
      <c r="F308" s="31" t="inlineStr">
        <is>
          <t>miscellaneous</t>
        </is>
      </c>
      <c r="G308" s="31" t="inlineStr">
        <is>
          <t>midcap</t>
        </is>
      </c>
      <c r="H308" s="32" t="n">
        <v>6187.29</v>
      </c>
      <c r="I308" s="32" t="n">
        <v>538.95</v>
      </c>
      <c r="J308" s="32" t="n">
        <v>-0.47</v>
      </c>
      <c r="K308" s="32" t="n">
        <v>35123</v>
      </c>
      <c r="L308" s="31" t="n">
        <v>30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64.2</v>
      </c>
      <c r="P308" s="32" t="n">
        <v>37.37</v>
      </c>
      <c r="Q308" s="32" t="inlineStr"/>
      <c r="R308" s="31" t="inlineStr">
        <is>
          <t>Earnings / Momentum Support</t>
        </is>
      </c>
      <c r="S308" s="31" t="inlineStr">
        <is>
          <t>Nifty 50</t>
        </is>
      </c>
      <c r="T308" s="32" t="n">
        <v>-3.41</v>
      </c>
      <c r="U308" s="32" t="n">
        <v>3.08</v>
      </c>
      <c r="V308" s="32" t="n">
        <v>6.72</v>
      </c>
      <c r="W308" s="32" t="n">
        <v>5.33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More than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IF(B309=0,"",RANK(B309,$B$2:$B$358,0))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SEAMECLTD</t>
        </is>
      </c>
      <c r="D309" s="31" t="inlineStr">
        <is>
          <t>Seamec Limited</t>
        </is>
      </c>
      <c r="E309" s="31" t="inlineStr">
        <is>
          <t>miscellaneous</t>
        </is>
      </c>
      <c r="F309" s="31" t="inlineStr">
        <is>
          <t>miscellaneous</t>
        </is>
      </c>
      <c r="G309" s="31" t="inlineStr">
        <is>
          <t>smallcap</t>
        </is>
      </c>
      <c r="H309" s="32" t="n">
        <v>4560.23</v>
      </c>
      <c r="I309" s="32" t="n">
        <v>1779.9</v>
      </c>
      <c r="J309" s="32" t="n">
        <v>-0.76</v>
      </c>
      <c r="K309" s="32" t="n">
        <v>57558</v>
      </c>
      <c r="L309" s="31" t="n">
        <v>68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71.56</v>
      </c>
      <c r="P309" s="32" t="n">
        <v>17.78</v>
      </c>
      <c r="Q309" s="32" t="inlineStr"/>
      <c r="R309" s="31" t="inlineStr">
        <is>
          <t>Earnings / Momentum Support</t>
        </is>
      </c>
      <c r="S309" s="31" t="inlineStr">
        <is>
          <t>Nifty 50</t>
        </is>
      </c>
      <c r="T309" s="32" t="n">
        <v>-3.41</v>
      </c>
      <c r="U309" s="32" t="n">
        <v>93.86</v>
      </c>
      <c r="V309" s="32" t="n">
        <v>100.7</v>
      </c>
      <c r="W309" s="32" t="n">
        <v>17.31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IF(B310=0,"",RANK(B310,$B$2:$B$358,0))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IMAGICAA</t>
        </is>
      </c>
      <c r="D310" s="33" t="inlineStr">
        <is>
          <t>Imagicaaworld Entertainment Ltd</t>
        </is>
      </c>
      <c r="E310" s="31" t="inlineStr">
        <is>
          <t>media</t>
        </is>
      </c>
      <c r="F310" s="31" t="inlineStr">
        <is>
          <t>recreation / amusement parks</t>
        </is>
      </c>
      <c r="G310" s="31" t="inlineStr">
        <is>
          <t>smallcap</t>
        </is>
      </c>
      <c r="H310" s="32" t="n">
        <v>3133.74</v>
      </c>
      <c r="I310" s="32" t="n">
        <v>54.86</v>
      </c>
      <c r="J310" s="32" t="n">
        <v>-0.9399999999999999</v>
      </c>
      <c r="K310" s="32" t="n">
        <v>1374657</v>
      </c>
      <c r="L310" s="31" t="n">
        <v>2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60.03</v>
      </c>
      <c r="P310" s="32" t="n">
        <v>18.98</v>
      </c>
      <c r="Q310" s="32" t="inlineStr"/>
      <c r="R310" s="31" t="inlineStr">
        <is>
          <t>Earnings / Momentum Support</t>
        </is>
      </c>
      <c r="S310" s="31" t="inlineStr">
        <is>
          <t>Nifty Media</t>
        </is>
      </c>
      <c r="T310" s="32" t="n">
        <v>-14.09</v>
      </c>
      <c r="U310" s="32" t="n">
        <v>-29.56</v>
      </c>
      <c r="V310" s="32" t="n">
        <v>-18</v>
      </c>
      <c r="W310" s="32" t="n">
        <v>-7.14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IF(B311=0,"",RANK(B311,$B$2:$B$358,0))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SUNDRMFAST</t>
        </is>
      </c>
      <c r="D311" s="33" t="inlineStr">
        <is>
          <t>Sundram Fasteners Limited</t>
        </is>
      </c>
      <c r="E311" s="31" t="inlineStr">
        <is>
          <t>auto</t>
        </is>
      </c>
      <c r="F311" s="31" t="inlineStr">
        <is>
          <t>auto ancillaries</t>
        </is>
      </c>
      <c r="G311" s="31" t="inlineStr">
        <is>
          <t>largecap</t>
        </is>
      </c>
      <c r="H311" s="32" t="n">
        <v>25473.86</v>
      </c>
      <c r="I311" s="32" t="n">
        <v>1200.5</v>
      </c>
      <c r="J311" s="32" t="n">
        <v>-0.97</v>
      </c>
      <c r="K311" s="32" t="n">
        <v>61152</v>
      </c>
      <c r="L311" s="31" t="n">
        <v>22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77.7</v>
      </c>
      <c r="P311" s="32" t="n">
        <v>38.7</v>
      </c>
      <c r="Q311" s="32" t="inlineStr"/>
      <c r="R311" s="31" t="inlineStr">
        <is>
          <t>Earnings / Momentum Support</t>
        </is>
      </c>
      <c r="S311" s="31" t="inlineStr">
        <is>
          <t>Nifty Auto</t>
        </is>
      </c>
      <c r="T311" s="32" t="n">
        <v>13.41</v>
      </c>
      <c r="U311" s="32" t="n">
        <v>-4.24</v>
      </c>
      <c r="V311" s="32" t="n">
        <v>-15.56</v>
      </c>
      <c r="W311" s="32" t="n">
        <v>2.97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Above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Between 12 to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IF(B312=0,"",RANK(B312,$B$2:$B$358,0))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GUJALKALI</t>
        </is>
      </c>
      <c r="D312" s="31" t="inlineStr">
        <is>
          <t>Gujarat Alkalies And Chemicals Limited</t>
        </is>
      </c>
      <c r="E312" s="31" t="inlineStr">
        <is>
          <t>chemicals</t>
        </is>
      </c>
      <c r="F312" s="31" t="inlineStr">
        <is>
          <t>chemicals</t>
        </is>
      </c>
      <c r="G312" s="31" t="inlineStr">
        <is>
          <t>midcap</t>
        </is>
      </c>
      <c r="H312" s="32" t="n">
        <v>5299.21</v>
      </c>
      <c r="I312" s="32" t="n">
        <v>707.85</v>
      </c>
      <c r="J312" s="32" t="n">
        <v>-1.91</v>
      </c>
      <c r="K312" s="32" t="n">
        <v>86704</v>
      </c>
      <c r="L312" s="31" t="n">
        <v>45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63.11</v>
      </c>
      <c r="P312" s="32" t="n">
        <v>29.3</v>
      </c>
      <c r="Q312" s="32" t="inlineStr"/>
      <c r="R312" s="31" t="inlineStr">
        <is>
          <t>Earnings / Momentum Support</t>
        </is>
      </c>
      <c r="S312" s="31" t="inlineStr">
        <is>
          <t>Nifty 50</t>
        </is>
      </c>
      <c r="T312" s="32" t="n">
        <v>-3.41</v>
      </c>
      <c r="U312" s="32" t="n">
        <v>26</v>
      </c>
      <c r="V312" s="32" t="n">
        <v>30.45</v>
      </c>
      <c r="W312" s="32" t="n">
        <v>8.69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Shallow Cyclical (2 to 3 Years Growth)</t>
        </is>
      </c>
      <c r="AG312" s="31">
        <f>IF(AF312="Structural (10 Years Consistency)",10,IF(AF312="Shallow Cyclical (2 to 3 years growth)",5,0))</f>
        <v/>
      </c>
      <c r="AH312" s="31" t="inlineStr">
        <is>
          <t>Yes due to Product Mix change or Operating Leverage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Allocated capital in Non-core Areas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Above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Sideways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Overhead supply in last 2 years in last 2 years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More than 15%</t>
        </is>
      </c>
      <c r="CC312" s="31">
        <f>IF(CB312="More than 15%",-10,IF(CB312="Less than 15%",10,0))</f>
        <v/>
      </c>
      <c r="CD312" s="31" t="inlineStr">
        <is>
          <t>Yes Upto 10%</t>
        </is>
      </c>
      <c r="CE312" s="31">
        <f>IF(CD312="Yes, more than 10%",-10,IF(CD312="No",10,0))</f>
        <v/>
      </c>
    </row>
    <row r="313">
      <c r="A313" s="31">
        <f>IF(B313=0,"",RANK(B313,$B$2:$B$358,0))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GIPCL</t>
        </is>
      </c>
      <c r="D313" s="31" t="inlineStr">
        <is>
          <t>Gujarat Industries Power Company Limited</t>
        </is>
      </c>
      <c r="E313" s="31" t="inlineStr">
        <is>
          <t>power &amp; utilities</t>
        </is>
      </c>
      <c r="F313" s="31" t="inlineStr">
        <is>
          <t>power generation and supply</t>
        </is>
      </c>
      <c r="G313" s="31" t="inlineStr">
        <is>
          <t>smallcap</t>
        </is>
      </c>
      <c r="H313" s="32" t="n">
        <v>3184.72</v>
      </c>
      <c r="I313" s="32" t="n">
        <v>200.72</v>
      </c>
      <c r="J313" s="32" t="n">
        <v>-2.17</v>
      </c>
      <c r="K313" s="32" t="n">
        <v>540738</v>
      </c>
      <c r="L313" s="31" t="n">
        <v>38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71.79000000000001</v>
      </c>
      <c r="P313" s="32" t="n">
        <v>21.28</v>
      </c>
      <c r="Q313" s="32" t="inlineStr"/>
      <c r="R313" s="31" t="inlineStr">
        <is>
          <t>Earnings / Momentum Support</t>
        </is>
      </c>
      <c r="S313" s="31" t="inlineStr">
        <is>
          <t>Nifty IT</t>
        </is>
      </c>
      <c r="T313" s="32" t="n">
        <v>-11.38</v>
      </c>
      <c r="U313" s="32" t="n">
        <v>7.79</v>
      </c>
      <c r="V313" s="32" t="n">
        <v>21.62</v>
      </c>
      <c r="W313" s="32" t="n">
        <v>7.14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Shallow Cyclical (2 to 3 Years Growth)</t>
        </is>
      </c>
      <c r="AG313" s="31">
        <f>IF(AF313="Structural (10 Years Consistency)",10,IF(AF313="Shallow Cyclical (2 to 3 years growth)",5,0))</f>
        <v/>
      </c>
      <c r="AH313" s="31" t="inlineStr">
        <is>
          <t>Yes due to Product Mix change or Operating Leverage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Allocated capital in Non-core Areas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Above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Sideways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Overhead supply in last 2 years in last 2 years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More than 15%</t>
        </is>
      </c>
      <c r="CC313" s="31">
        <f>IF(CB313="More than 15%",-10,IF(CB313="Less than 15%",10,0))</f>
        <v/>
      </c>
      <c r="CD313" s="31" t="inlineStr">
        <is>
          <t>Yes Upto 10%</t>
        </is>
      </c>
      <c r="CE313" s="31">
        <f>IF(CD313="Yes, more than 10%",-10,IF(CD313="No",10,0))</f>
        <v/>
      </c>
    </row>
    <row r="314">
      <c r="A314" s="31">
        <f>IF(B314=0,"",RANK(B314,$B$2:$B$358,0))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ALEMBICLTD</t>
        </is>
      </c>
      <c r="D314" s="33" t="inlineStr">
        <is>
          <t>Alembic Limited</t>
        </is>
      </c>
      <c r="E314" s="31" t="inlineStr">
        <is>
          <t>realty</t>
        </is>
      </c>
      <c r="F314" s="31" t="inlineStr">
        <is>
          <t>construction</t>
        </is>
      </c>
      <c r="G314" s="31" t="inlineStr">
        <is>
          <t>smallcap</t>
        </is>
      </c>
      <c r="H314" s="32" t="n">
        <v>2860.81</v>
      </c>
      <c r="I314" s="32" t="n">
        <v>108.05</v>
      </c>
      <c r="J314" s="32" t="n">
        <v>-3.02</v>
      </c>
      <c r="K314" s="32" t="n">
        <v>1721715</v>
      </c>
      <c r="L314" s="31" t="n">
        <v>3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72.33</v>
      </c>
      <c r="P314" s="32" t="n">
        <v>17.05</v>
      </c>
      <c r="Q314" s="32" t="inlineStr"/>
      <c r="R314" s="31" t="inlineStr">
        <is>
          <t>Earnings / Momentum Support</t>
        </is>
      </c>
      <c r="S314" s="31" t="inlineStr">
        <is>
          <t>Nifty Realty</t>
        </is>
      </c>
      <c r="T314" s="32" t="n">
        <v>-8.119999999999999</v>
      </c>
      <c r="U314" s="32" t="n">
        <v>-23.78</v>
      </c>
      <c r="V314" s="32" t="n">
        <v>-17.04</v>
      </c>
      <c r="W314" s="32" t="n">
        <v>-5.83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Between 1.5 to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IF(B315=0,"",RANK(B315,$B$2:$B$358,0))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WINDLAS</t>
        </is>
      </c>
      <c r="D315" s="33" t="inlineStr">
        <is>
          <t>Windlas Biotech Ltd</t>
        </is>
      </c>
      <c r="E315" s="31" t="inlineStr">
        <is>
          <t>healthcare</t>
        </is>
      </c>
      <c r="F315" s="31" t="inlineStr">
        <is>
          <t>pharmaceuticals - indian - formulations</t>
        </is>
      </c>
      <c r="G315" s="31" t="inlineStr">
        <is>
          <t>smallcap</t>
        </is>
      </c>
      <c r="H315" s="32" t="n">
        <v>2324.36</v>
      </c>
      <c r="I315" s="32" t="n">
        <v>1154.75</v>
      </c>
      <c r="J315" s="32" t="n">
        <v>2.52</v>
      </c>
      <c r="K315" s="32" t="n">
        <v>275989</v>
      </c>
      <c r="L315" s="31" t="n">
        <v>55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78.45999999999999</v>
      </c>
      <c r="P315" s="32" t="n">
        <v>30.28</v>
      </c>
      <c r="Q315" s="32" t="inlineStr"/>
      <c r="R315" s="31" t="inlineStr">
        <is>
          <t>Earnings / Momentum Support</t>
        </is>
      </c>
      <c r="S315" s="31" t="inlineStr">
        <is>
          <t>Nifty Pharma</t>
        </is>
      </c>
      <c r="T315" s="32" t="n">
        <v>20.77</v>
      </c>
      <c r="U315" s="32" t="n">
        <v>14.22</v>
      </c>
      <c r="V315" s="32" t="n">
        <v>-5.42</v>
      </c>
      <c r="W315" s="32" t="n">
        <v>12.47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Above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IF(B316=0,"",RANK(B316,$B$2:$B$358,0))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RITCO</t>
        </is>
      </c>
      <c r="D316" s="31" t="inlineStr">
        <is>
          <t>Ritco Logistics Ltd</t>
        </is>
      </c>
      <c r="E316" s="31" t="inlineStr">
        <is>
          <t>transportation</t>
        </is>
      </c>
      <c r="F316" s="31" t="inlineStr">
        <is>
          <t>miscellaneous</t>
        </is>
      </c>
      <c r="G316" s="31" t="inlineStr">
        <is>
          <t>smallcap</t>
        </is>
      </c>
      <c r="H316" s="32" t="n">
        <v>863.83</v>
      </c>
      <c r="I316" s="32" t="n">
        <v>319.8</v>
      </c>
      <c r="J316" s="32" t="n">
        <v>5.96</v>
      </c>
      <c r="K316" s="32" t="n">
        <v>574280</v>
      </c>
      <c r="L316" s="31" t="n">
        <v>41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61.01</v>
      </c>
      <c r="P316" s="32" t="n">
        <v>35.89</v>
      </c>
      <c r="Q316" s="32" t="inlineStr"/>
      <c r="R316" s="31" t="inlineStr">
        <is>
          <t>Earnings / Momentum Support</t>
        </is>
      </c>
      <c r="S316" s="31" t="inlineStr">
        <is>
          <t>Nifty 50</t>
        </is>
      </c>
      <c r="T316" s="32" t="n">
        <v>-3.41</v>
      </c>
      <c r="U316" s="32" t="n">
        <v>11.34</v>
      </c>
      <c r="V316" s="32" t="n">
        <v>15.27</v>
      </c>
      <c r="W316" s="32" t="n">
        <v>7.86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IF(B317=0,"",RANK(B317,$B$2:$B$358,0))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GUJTHEM</t>
        </is>
      </c>
      <c r="D317" s="33" t="inlineStr">
        <is>
          <t>Gujarat Themis Biosyn Ltd</t>
        </is>
      </c>
      <c r="E317" s="31" t="inlineStr">
        <is>
          <t>healthcare</t>
        </is>
      </c>
      <c r="F317" s="31" t="inlineStr">
        <is>
          <t>pharmaceuticals - indian - bulk drugs</t>
        </is>
      </c>
      <c r="G317" s="31" t="inlineStr">
        <is>
          <t>smallcap</t>
        </is>
      </c>
      <c r="H317" s="32" t="n">
        <v>4482.29</v>
      </c>
      <c r="I317" s="32" t="n">
        <v>429.3</v>
      </c>
      <c r="J317" s="32" t="n">
        <v>4.36</v>
      </c>
      <c r="K317" s="32" t="n">
        <v>1088263</v>
      </c>
      <c r="L317" s="31" t="n">
        <v>22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61.12</v>
      </c>
      <c r="P317" s="32" t="n">
        <v>24.31</v>
      </c>
      <c r="Q317" s="32" t="inlineStr"/>
      <c r="R317" s="31" t="inlineStr">
        <is>
          <t>Earnings / Momentum Support</t>
        </is>
      </c>
      <c r="S317" s="31" t="inlineStr">
        <is>
          <t>Nifty Pharma</t>
        </is>
      </c>
      <c r="T317" s="32" t="n">
        <v>20.77</v>
      </c>
      <c r="U317" s="32" t="n">
        <v>7.04</v>
      </c>
      <c r="V317" s="32" t="n">
        <v>-11.37</v>
      </c>
      <c r="W317" s="32" t="n">
        <v>2.99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Shallow Cyclical (2 to 3 Years Growth)</t>
        </is>
      </c>
      <c r="AG317" s="31">
        <f>IF(AF317="Structural (10 Years Consistency)",10,IF(AF317="Shallow Cyclical (2 to 3 years growth)",5,0))</f>
        <v/>
      </c>
      <c r="AH317" s="31" t="inlineStr">
        <is>
          <t>Yes due to Product Mix change or Operating Leverage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Allocated capital in Non-core Areas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Sideways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Overhead supply in last 2 years in last 2 years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More than 15%</t>
        </is>
      </c>
      <c r="CC317" s="31">
        <f>IF(CB317="More than 15%",-10,IF(CB317="Less than 15%",10,0))</f>
        <v/>
      </c>
      <c r="CD317" s="31" t="inlineStr">
        <is>
          <t>Yes Upto 10%</t>
        </is>
      </c>
      <c r="CE317" s="31">
        <f>IF(CD317="Yes, more than 10%",-10,IF(CD317="No",10,0))</f>
        <v/>
      </c>
    </row>
    <row r="318">
      <c r="A318" s="31">
        <f>IF(B318=0,"",RANK(B318,$B$2:$B$358,0))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MANINDS</t>
        </is>
      </c>
      <c r="D318" s="33" t="inlineStr">
        <is>
          <t>Man Industries (india) Limited</t>
        </is>
      </c>
      <c r="E318" s="31" t="inlineStr">
        <is>
          <t>metals &amp; mining</t>
        </is>
      </c>
      <c r="F318" s="31" t="inlineStr">
        <is>
          <t>steel - medium / small</t>
        </is>
      </c>
      <c r="G318" s="31" t="inlineStr">
        <is>
          <t>midcap</t>
        </is>
      </c>
      <c r="H318" s="32" t="n">
        <v>5914.88</v>
      </c>
      <c r="I318" s="32" t="n">
        <v>819.4</v>
      </c>
      <c r="J318" s="32" t="n">
        <v>3.91</v>
      </c>
      <c r="K318" s="32" t="n">
        <v>695397</v>
      </c>
      <c r="L318" s="31" t="n">
        <v>35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76.22</v>
      </c>
      <c r="P318" s="32" t="n">
        <v>35.01</v>
      </c>
      <c r="Q318" s="32" t="inlineStr"/>
      <c r="R318" s="31" t="inlineStr">
        <is>
          <t>Earnings / Momentum Support</t>
        </is>
      </c>
      <c r="S318" s="31" t="inlineStr">
        <is>
          <t>Nifty Metal</t>
        </is>
      </c>
      <c r="T318" s="32" t="n">
        <v>31.49</v>
      </c>
      <c r="U318" s="32" t="n">
        <v>21.23</v>
      </c>
      <c r="V318" s="32" t="n">
        <v>-7.8</v>
      </c>
      <c r="W318" s="32" t="n">
        <v>6.28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Above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Less than 1.5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IF(B319=0,"",RANK(B319,$B$2:$B$358,0))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BALAMINES</t>
        </is>
      </c>
      <c r="D319" s="31" t="inlineStr">
        <is>
          <t>Balaji Amines Limited</t>
        </is>
      </c>
      <c r="E319" s="31" t="inlineStr">
        <is>
          <t>chemicals</t>
        </is>
      </c>
      <c r="F319" s="31" t="inlineStr">
        <is>
          <t>chemicals</t>
        </is>
      </c>
      <c r="G319" s="31" t="inlineStr">
        <is>
          <t>midcap</t>
        </is>
      </c>
      <c r="H319" s="32" t="n">
        <v>8181.9</v>
      </c>
      <c r="I319" s="32" t="n">
        <v>2566.8</v>
      </c>
      <c r="J319" s="32" t="n">
        <v>1.65</v>
      </c>
      <c r="K319" s="32" t="n">
        <v>490283</v>
      </c>
      <c r="L319" s="31" t="n">
        <v>80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71.38</v>
      </c>
      <c r="P319" s="32" t="n">
        <v>57.06</v>
      </c>
      <c r="Q319" s="32" t="inlineStr"/>
      <c r="R319" s="31" t="inlineStr">
        <is>
          <t>Earnings / Momentum Support</t>
        </is>
      </c>
      <c r="S319" s="31" t="inlineStr">
        <is>
          <t>Nifty 50</t>
        </is>
      </c>
      <c r="T319" s="32" t="n">
        <v>-3.41</v>
      </c>
      <c r="U319" s="32" t="n">
        <v>70.63</v>
      </c>
      <c r="V319" s="32" t="n">
        <v>76.65000000000001</v>
      </c>
      <c r="W319" s="32" t="n">
        <v>22.5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Duopoly That Cooperate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Shallow Cyclical (2 to 3 Years Growth)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4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Downtrend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Overhead supply in last 2 years in last 2 years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No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IF(B320=0,"",RANK(B320,$B$2:$B$358,0))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CHALET</t>
        </is>
      </c>
      <c r="D320" s="33" t="inlineStr">
        <is>
          <t>Chalet Hotels Ltd</t>
        </is>
      </c>
      <c r="E320" s="31" t="inlineStr">
        <is>
          <t>services</t>
        </is>
      </c>
      <c r="F320" s="31" t="inlineStr">
        <is>
          <t>hotels</t>
        </is>
      </c>
      <c r="G320" s="31" t="inlineStr">
        <is>
          <t>midcap</t>
        </is>
      </c>
      <c r="H320" s="32" t="n">
        <v>19638.3</v>
      </c>
      <c r="I320" s="32" t="n">
        <v>908.75</v>
      </c>
      <c r="J320" s="32" t="n">
        <v>1.34</v>
      </c>
      <c r="K320" s="32" t="n">
        <v>144926</v>
      </c>
      <c r="L320" s="31" t="n">
        <v>13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59.8</v>
      </c>
      <c r="P320" s="32" t="n">
        <v>11.71</v>
      </c>
      <c r="Q320" s="32" t="inlineStr"/>
      <c r="R320" s="31" t="inlineStr">
        <is>
          <t>Earnings / Momentum Support</t>
        </is>
      </c>
      <c r="S320" s="31" t="inlineStr">
        <is>
          <t>Nifty 50</t>
        </is>
      </c>
      <c r="T320" s="32" t="n">
        <v>-3.41</v>
      </c>
      <c r="U320" s="32" t="n">
        <v>-12.06</v>
      </c>
      <c r="V320" s="32" t="n">
        <v>-8.960000000000001</v>
      </c>
      <c r="W320" s="32" t="n">
        <v>1.12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IF(B321=0,"",RANK(B321,$B$2:$B$358,0))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MAITHANALL</t>
        </is>
      </c>
      <c r="D321" s="33" t="inlineStr">
        <is>
          <t>Maithan Alloys Limited</t>
        </is>
      </c>
      <c r="E321" s="31" t="inlineStr">
        <is>
          <t>metals &amp; mining</t>
        </is>
      </c>
      <c r="F321" s="31" t="inlineStr">
        <is>
          <t>mining / minerals / metals</t>
        </is>
      </c>
      <c r="G321" s="31" t="inlineStr">
        <is>
          <t>smallcap</t>
        </is>
      </c>
      <c r="H321" s="32" t="n">
        <v>3174.76</v>
      </c>
      <c r="I321" s="32" t="n">
        <v>1103.85</v>
      </c>
      <c r="J321" s="32" t="n">
        <v>1.22</v>
      </c>
      <c r="K321" s="32" t="n">
        <v>993839</v>
      </c>
      <c r="L321" s="31" t="n">
        <v>5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59.58</v>
      </c>
      <c r="P321" s="32" t="n">
        <v>25.31</v>
      </c>
      <c r="Q321" s="32" t="inlineStr"/>
      <c r="R321" s="31" t="inlineStr">
        <is>
          <t>Volume Spike / Accumulation</t>
        </is>
      </c>
      <c r="S321" s="31" t="inlineStr">
        <is>
          <t>Nifty Metal</t>
        </is>
      </c>
      <c r="T321" s="32" t="n">
        <v>31.49</v>
      </c>
      <c r="U321" s="32" t="n">
        <v>-10.91</v>
      </c>
      <c r="V321" s="32" t="n">
        <v>-32.25</v>
      </c>
      <c r="W321" s="32" t="n">
        <v>-2.7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IF(B322=0,"",RANK(B322,$B$2:$B$358,0))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MAHASTEEL</t>
        </is>
      </c>
      <c r="D322" s="31" t="inlineStr">
        <is>
          <t>Mahamaya Steel Industries Limited</t>
        </is>
      </c>
      <c r="E322" s="31" t="inlineStr">
        <is>
          <t>metals &amp; mining</t>
        </is>
      </c>
      <c r="F322" s="31" t="inlineStr">
        <is>
          <t>steel - medium / small</t>
        </is>
      </c>
      <c r="G322" s="31" t="inlineStr">
        <is>
          <t>smallcap</t>
        </is>
      </c>
      <c r="H322" s="32" t="n">
        <v>2107.71</v>
      </c>
      <c r="I322" s="32" t="n">
        <v>1294.4</v>
      </c>
      <c r="J322" s="32" t="n">
        <v>0.93</v>
      </c>
      <c r="K322" s="32" t="n">
        <v>5574</v>
      </c>
      <c r="L322" s="31" t="n">
        <v>70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70.79000000000001</v>
      </c>
      <c r="P322" s="32" t="n">
        <v>23.38</v>
      </c>
      <c r="Q322" s="32" t="inlineStr"/>
      <c r="R322" s="31" t="inlineStr">
        <is>
          <t>Earnings / Momentum Support</t>
        </is>
      </c>
      <c r="S322" s="31" t="inlineStr">
        <is>
          <t>Nifty Metal</t>
        </is>
      </c>
      <c r="T322" s="32" t="n">
        <v>31.49</v>
      </c>
      <c r="U322" s="32" t="n">
        <v>122.02</v>
      </c>
      <c r="V322" s="32" t="n">
        <v>68.84999999999999</v>
      </c>
      <c r="W322" s="32" t="n">
        <v>17.89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IF(B323=0,"",RANK(B323,$B$2:$B$358,0))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MAXESTATES</t>
        </is>
      </c>
      <c r="D323" s="33" t="inlineStr">
        <is>
          <t>Max Estates Ltd</t>
        </is>
      </c>
      <c r="E323" s="31" t="inlineStr">
        <is>
          <t>realty</t>
        </is>
      </c>
      <c r="F323" s="31" t="inlineStr">
        <is>
          <t>construction</t>
        </is>
      </c>
      <c r="G323" s="31" t="inlineStr">
        <is>
          <t>midcap</t>
        </is>
      </c>
      <c r="H323" s="32" t="n">
        <v>8863.190000000001</v>
      </c>
      <c r="I323" s="32" t="n">
        <v>543.2</v>
      </c>
      <c r="J323" s="32" t="n">
        <v>0.2</v>
      </c>
      <c r="K323" s="32" t="n">
        <v>81378</v>
      </c>
      <c r="L323" s="31" t="n">
        <v>4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69.66</v>
      </c>
      <c r="P323" s="32" t="n">
        <v>24.82</v>
      </c>
      <c r="Q323" s="32" t="inlineStr"/>
      <c r="R323" s="31" t="inlineStr">
        <is>
          <t>Earnings / Momentum Support</t>
        </is>
      </c>
      <c r="S323" s="31" t="inlineStr">
        <is>
          <t>Nifty Realty</t>
        </is>
      </c>
      <c r="T323" s="32" t="n">
        <v>-8.119999999999999</v>
      </c>
      <c r="U323" s="32" t="n">
        <v>-25.68</v>
      </c>
      <c r="V323" s="32" t="n">
        <v>-19.12</v>
      </c>
      <c r="W323" s="32" t="n">
        <v>-4.36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Between 0.7 to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IF(B324=0,"",RANK(B324,$B$2:$B$358,0))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MANAKSTEEL</t>
        </is>
      </c>
      <c r="D324" s="33" t="inlineStr">
        <is>
          <t>Manaksia Steels Limited</t>
        </is>
      </c>
      <c r="E324" s="31" t="inlineStr">
        <is>
          <t>metals &amp; mining</t>
        </is>
      </c>
      <c r="F324" s="31" t="inlineStr">
        <is>
          <t>steel - medium / small</t>
        </is>
      </c>
      <c r="G324" s="31" t="inlineStr">
        <is>
          <t>smallcap</t>
        </is>
      </c>
      <c r="H324" s="32" t="n">
        <v>703.1799999999999</v>
      </c>
      <c r="I324" s="32" t="n">
        <v>106.41</v>
      </c>
      <c r="J324" s="32" t="n">
        <v>-0.83</v>
      </c>
      <c r="K324" s="32" t="n">
        <v>80511</v>
      </c>
      <c r="L324" s="31" t="n">
        <v>34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76.95</v>
      </c>
      <c r="P324" s="32" t="n">
        <v>44.29</v>
      </c>
      <c r="Q324" s="32" t="inlineStr"/>
      <c r="R324" s="31" t="inlineStr">
        <is>
          <t>Earnings / Momentum Support</t>
        </is>
      </c>
      <c r="S324" s="31" t="inlineStr">
        <is>
          <t>Nifty Metal</t>
        </is>
      </c>
      <c r="T324" s="32" t="n">
        <v>31.49</v>
      </c>
      <c r="U324" s="32" t="n">
        <v>22.49</v>
      </c>
      <c r="V324" s="32" t="n">
        <v>-6.85</v>
      </c>
      <c r="W324" s="32" t="n">
        <v>6.01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Above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IF(B325=0,"",RANK(B325,$B$2:$B$358,0))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VSSL</t>
        </is>
      </c>
      <c r="D325" s="33" t="inlineStr">
        <is>
          <t>Vardhman Special Steels Limited</t>
        </is>
      </c>
      <c r="E325" s="31" t="inlineStr">
        <is>
          <t>metals &amp; mining</t>
        </is>
      </c>
      <c r="F325" s="31" t="inlineStr">
        <is>
          <t>steel - medium / small</t>
        </is>
      </c>
      <c r="G325" s="31" t="inlineStr">
        <is>
          <t>smallcap</t>
        </is>
      </c>
      <c r="H325" s="32" t="n">
        <v>3520.81</v>
      </c>
      <c r="I325" s="32" t="n">
        <v>356.45</v>
      </c>
      <c r="J325" s="32" t="n">
        <v>-2.11</v>
      </c>
      <c r="K325" s="32" t="n">
        <v>70989</v>
      </c>
      <c r="L325" s="31" t="n">
        <v>37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77.7</v>
      </c>
      <c r="P325" s="32" t="n">
        <v>37.76</v>
      </c>
      <c r="Q325" s="32" t="inlineStr"/>
      <c r="R325" s="31" t="inlineStr">
        <is>
          <t>Earnings / Momentum Support</t>
        </is>
      </c>
      <c r="S325" s="31" t="inlineStr">
        <is>
          <t>Nifty Metal</t>
        </is>
      </c>
      <c r="T325" s="32" t="n">
        <v>31.49</v>
      </c>
      <c r="U325" s="32" t="n">
        <v>17.35</v>
      </c>
      <c r="V325" s="32" t="n">
        <v>-10.76</v>
      </c>
      <c r="W325" s="32" t="n">
        <v>6.81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Above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Less than 1.5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IF(B326=0,"",RANK(B326,$B$2:$B$358,0))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RAMRAT</t>
        </is>
      </c>
      <c r="D326" s="33" t="inlineStr">
        <is>
          <t>Ram Ratna Wires Ltd</t>
        </is>
      </c>
      <c r="E326" s="31" t="inlineStr">
        <is>
          <t>metals &amp; mining</t>
        </is>
      </c>
      <c r="F326" s="31" t="inlineStr">
        <is>
          <t>mining / minerals / metals</t>
        </is>
      </c>
      <c r="G326" s="31" t="inlineStr">
        <is>
          <t>midcap</t>
        </is>
      </c>
      <c r="H326" s="32" t="n">
        <v>5233.62</v>
      </c>
      <c r="I326" s="32" t="n">
        <v>527.2</v>
      </c>
      <c r="J326" s="32" t="n">
        <v>-5.97</v>
      </c>
      <c r="K326" s="32" t="n">
        <v>336077</v>
      </c>
      <c r="L326" s="31" t="n">
        <v>31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73.09999999999999</v>
      </c>
      <c r="P326" s="32" t="n">
        <v>45.66</v>
      </c>
      <c r="Q326" s="32" t="inlineStr"/>
      <c r="R326" s="31" t="inlineStr">
        <is>
          <t>Earnings / Momentum Support</t>
        </is>
      </c>
      <c r="S326" s="31" t="inlineStr">
        <is>
          <t>Nifty Metal</t>
        </is>
      </c>
      <c r="T326" s="32" t="n">
        <v>31.49</v>
      </c>
      <c r="U326" s="32" t="n">
        <v>18.75</v>
      </c>
      <c r="V326" s="32" t="n">
        <v>-9.69</v>
      </c>
      <c r="W326" s="32" t="n">
        <v>5.5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IF(B327=0,"",RANK(B327,$B$2:$B$358,0))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GODREJAGRO</t>
        </is>
      </c>
      <c r="D327" s="33" t="inlineStr">
        <is>
          <t>Godrej Agrovet Ltd</t>
        </is>
      </c>
      <c r="E327" s="31" t="inlineStr">
        <is>
          <t>fmcg</t>
        </is>
      </c>
      <c r="F327" s="31" t="inlineStr">
        <is>
          <t>food - processing - indian</t>
        </is>
      </c>
      <c r="G327" s="31" t="inlineStr">
        <is>
          <t>midcap</t>
        </is>
      </c>
      <c r="H327" s="32" t="n">
        <v>12404.33</v>
      </c>
      <c r="I327" s="32" t="n">
        <v>665.5</v>
      </c>
      <c r="J327" s="32" t="n">
        <v>3.2</v>
      </c>
      <c r="K327" s="32" t="n">
        <v>338467</v>
      </c>
      <c r="L327" s="31" t="n">
        <v>2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64.87</v>
      </c>
      <c r="P327" s="32" t="n">
        <v>19.57</v>
      </c>
      <c r="Q327" s="32" t="inlineStr"/>
      <c r="R327" s="31" t="inlineStr">
        <is>
          <t>Earnings / Momentum Support</t>
        </is>
      </c>
      <c r="S327" s="31" t="inlineStr">
        <is>
          <t>Nifty FMCG</t>
        </is>
      </c>
      <c r="T327" s="32" t="n">
        <v>-13.73</v>
      </c>
      <c r="U327" s="32" t="n">
        <v>-28.15</v>
      </c>
      <c r="V327" s="32" t="n">
        <v>-16.71</v>
      </c>
      <c r="W327" s="32" t="n">
        <v>-7.24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B2C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Annuity, Lower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IF(B328=0,"",RANK(B328,$B$2:$B$358,0))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IONEXCHANG</t>
        </is>
      </c>
      <c r="D328" s="33" t="inlineStr">
        <is>
          <t>Ion Exchange (India) Ltd</t>
        </is>
      </c>
      <c r="E328" s="31" t="inlineStr">
        <is>
          <t>realty</t>
        </is>
      </c>
      <c r="F328" s="31" t="inlineStr">
        <is>
          <t>engineering - turnkey services</t>
        </is>
      </c>
      <c r="G328" s="31" t="inlineStr">
        <is>
          <t>midcap</t>
        </is>
      </c>
      <c r="H328" s="32" t="n">
        <v>6001.6</v>
      </c>
      <c r="I328" s="32" t="n">
        <v>439.1</v>
      </c>
      <c r="J328" s="32" t="n">
        <v>7.31</v>
      </c>
      <c r="K328" s="32" t="n">
        <v>4902160</v>
      </c>
      <c r="L328" s="31" t="n">
        <v>9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54.14</v>
      </c>
      <c r="P328" s="32" t="n">
        <v>18.81</v>
      </c>
      <c r="Q328" s="32" t="inlineStr"/>
      <c r="R328" s="31" t="inlineStr">
        <is>
          <t>Earnings / Momentum Support</t>
        </is>
      </c>
      <c r="S328" s="31" t="inlineStr">
        <is>
          <t>Nifty Realty</t>
        </is>
      </c>
      <c r="T328" s="32" t="n">
        <v>-8.119999999999999</v>
      </c>
      <c r="U328" s="32" t="n">
        <v>-20.33</v>
      </c>
      <c r="V328" s="32" t="n">
        <v>-13.29</v>
      </c>
      <c r="W328" s="32" t="n">
        <v>-1.61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IF(B329=0,"",RANK(B329,$B$2:$B$358,0))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SPLPETRO</t>
        </is>
      </c>
      <c r="D329" s="33" t="inlineStr">
        <is>
          <t>Supreme Petrochem Ltd</t>
        </is>
      </c>
      <c r="E329" s="31" t="inlineStr">
        <is>
          <t>energy</t>
        </is>
      </c>
      <c r="F329" s="31" t="inlineStr">
        <is>
          <t>petrochemicals</t>
        </is>
      </c>
      <c r="G329" s="31" t="inlineStr">
        <is>
          <t>midcap</t>
        </is>
      </c>
      <c r="H329" s="32" t="n">
        <v>14498.93</v>
      </c>
      <c r="I329" s="32" t="n">
        <v>802.5</v>
      </c>
      <c r="J329" s="32" t="n">
        <v>4.08</v>
      </c>
      <c r="K329" s="32" t="n">
        <v>863737</v>
      </c>
      <c r="L329" s="31" t="n">
        <v>7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58.18</v>
      </c>
      <c r="P329" s="32" t="n">
        <v>26.19</v>
      </c>
      <c r="Q329" s="32" t="inlineStr"/>
      <c r="R329" s="31" t="inlineStr">
        <is>
          <t>Earnings / Momentum Support</t>
        </is>
      </c>
      <c r="S329" s="31" t="inlineStr">
        <is>
          <t>Nifty Energy</t>
        </is>
      </c>
      <c r="T329" s="32" t="n">
        <v>8.41</v>
      </c>
      <c r="U329" s="32" t="n">
        <v>-13.93</v>
      </c>
      <c r="V329" s="32" t="n">
        <v>-20.6</v>
      </c>
      <c r="W329" s="32" t="n">
        <v>-2.13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IF(B330=0,"",RANK(B330,$B$2:$B$358,0))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SHANTIGEAR</t>
        </is>
      </c>
      <c r="D330" s="33" t="inlineStr">
        <is>
          <t>Shanthi Gears Limited</t>
        </is>
      </c>
      <c r="E330" s="31" t="inlineStr">
        <is>
          <t>industrials</t>
        </is>
      </c>
      <c r="F330" s="31" t="inlineStr">
        <is>
          <t>engineering</t>
        </is>
      </c>
      <c r="G330" s="31" t="inlineStr">
        <is>
          <t>smallcap</t>
        </is>
      </c>
      <c r="H330" s="32" t="n">
        <v>4769.81</v>
      </c>
      <c r="I330" s="32" t="n">
        <v>640</v>
      </c>
      <c r="J330" s="32" t="n">
        <v>2.94</v>
      </c>
      <c r="K330" s="32" t="n">
        <v>433775</v>
      </c>
      <c r="L330" s="31" t="n">
        <v>3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78.89</v>
      </c>
      <c r="P330" s="32" t="n">
        <v>25.64</v>
      </c>
      <c r="Q330" s="32" t="inlineStr"/>
      <c r="R330" s="31" t="inlineStr">
        <is>
          <t>Earnings / Momentum Support</t>
        </is>
      </c>
      <c r="S330" s="31" t="inlineStr">
        <is>
          <t>Nifty Infra</t>
        </is>
      </c>
      <c r="T330" s="32" t="n">
        <v>1.74</v>
      </c>
      <c r="U330" s="32" t="n">
        <v>-17.13</v>
      </c>
      <c r="V330" s="32" t="n">
        <v>-18.54</v>
      </c>
      <c r="W330" s="32" t="n">
        <v>-4.89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Above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IF(B331=0,"",RANK(B331,$B$2:$B$358,0))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AJAXENGG</t>
        </is>
      </c>
      <c r="D331" s="33" t="inlineStr">
        <is>
          <t>Ajax Engineering Ltd</t>
        </is>
      </c>
      <c r="E331" s="31" t="inlineStr">
        <is>
          <t>industrials</t>
        </is>
      </c>
      <c r="F331" s="31" t="inlineStr">
        <is>
          <t>engineering</t>
        </is>
      </c>
      <c r="G331" s="31" t="inlineStr">
        <is>
          <t>midcap</t>
        </is>
      </c>
      <c r="H331" s="32" t="n">
        <v>6663.62</v>
      </c>
      <c r="I331" s="32" t="n">
        <v>596.2</v>
      </c>
      <c r="J331" s="32" t="n">
        <v>2.36</v>
      </c>
      <c r="K331" s="32" t="n">
        <v>123620</v>
      </c>
      <c r="L331" s="31" t="n">
        <v>5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54.97</v>
      </c>
      <c r="P331" s="32" t="n">
        <v>18.17</v>
      </c>
      <c r="Q331" s="32" t="inlineStr"/>
      <c r="R331" s="31" t="inlineStr">
        <is>
          <t>Earnings / Momentum Support</t>
        </is>
      </c>
      <c r="S331" s="31" t="inlineStr">
        <is>
          <t>Nifty 50</t>
        </is>
      </c>
      <c r="T331" s="32" t="n">
        <v>-3.41</v>
      </c>
      <c r="U331" s="32" t="n">
        <v>-14.02</v>
      </c>
      <c r="V331" s="32" t="n">
        <v>-10.98</v>
      </c>
      <c r="W331" s="32" t="n">
        <v>-2.65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IF(B332=0,"",RANK(B332,$B$2:$B$358,0))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JYOTICNC</t>
        </is>
      </c>
      <c r="D332" s="31" t="inlineStr">
        <is>
          <t>Jyoti CNC Automation Ltd</t>
        </is>
      </c>
      <c r="E332" s="31" t="inlineStr">
        <is>
          <t>industrials</t>
        </is>
      </c>
      <c r="F332" s="31" t="inlineStr">
        <is>
          <t>engineering</t>
        </is>
      </c>
      <c r="G332" s="31" t="inlineStr">
        <is>
          <t>largecap</t>
        </is>
      </c>
      <c r="H332" s="32" t="n">
        <v>22831</v>
      </c>
      <c r="I332" s="32" t="n">
        <v>1020.65</v>
      </c>
      <c r="J332" s="32" t="n">
        <v>1.67</v>
      </c>
      <c r="K332" s="32" t="n">
        <v>927422</v>
      </c>
      <c r="L332" s="31" t="n">
        <v>67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66.12</v>
      </c>
      <c r="P332" s="32" t="n">
        <v>14.55</v>
      </c>
      <c r="Q332" s="32" t="inlineStr"/>
      <c r="R332" s="31" t="inlineStr">
        <is>
          <t>Earnings / Momentum Support</t>
        </is>
      </c>
      <c r="S332" s="31" t="inlineStr">
        <is>
          <t>Nifty 50</t>
        </is>
      </c>
      <c r="T332" s="32" t="n">
        <v>-3.41</v>
      </c>
      <c r="U332" s="32" t="n">
        <v>11.95</v>
      </c>
      <c r="V332" s="32" t="n">
        <v>15.9</v>
      </c>
      <c r="W332" s="32" t="n">
        <v>17.2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IF(B333=0,"",RANK(B333,$B$2:$B$358,0))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DICIND</t>
        </is>
      </c>
      <c r="D333" s="31" t="inlineStr">
        <is>
          <t>Dic India Limited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smallcap</t>
        </is>
      </c>
      <c r="H333" s="32" t="n">
        <v>567.8099999999999</v>
      </c>
      <c r="I333" s="32" t="n">
        <v>625.35</v>
      </c>
      <c r="J333" s="32" t="n">
        <v>1.09</v>
      </c>
      <c r="K333" s="32" t="n">
        <v>7985</v>
      </c>
      <c r="L333" s="31" t="n">
        <v>41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71.09</v>
      </c>
      <c r="P333" s="32" t="n">
        <v>15.72</v>
      </c>
      <c r="Q333" s="32" t="inlineStr"/>
      <c r="R333" s="31" t="inlineStr">
        <is>
          <t>Earnings / Momentum Support</t>
        </is>
      </c>
      <c r="S333" s="31" t="inlineStr">
        <is>
          <t>Nifty 50</t>
        </is>
      </c>
      <c r="T333" s="32" t="n">
        <v>-3.41</v>
      </c>
      <c r="U333" s="32" t="n">
        <v>8.16</v>
      </c>
      <c r="V333" s="32" t="n">
        <v>11.98</v>
      </c>
      <c r="W333" s="32" t="n">
        <v>7.66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Negative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IF(B334=0,"",RANK(B334,$B$2:$B$358,0))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JINDRILL</t>
        </is>
      </c>
      <c r="D334" s="33" t="inlineStr">
        <is>
          <t>Jindal Drilling And Industries Limited</t>
        </is>
      </c>
      <c r="E334" s="31" t="inlineStr">
        <is>
          <t>energy</t>
        </is>
      </c>
      <c r="F334" s="31" t="inlineStr">
        <is>
          <t>oil drilling / allied services</t>
        </is>
      </c>
      <c r="G334" s="31" t="inlineStr">
        <is>
          <t>smallcap</t>
        </is>
      </c>
      <c r="H334" s="32" t="n">
        <v>1921.59</v>
      </c>
      <c r="I334" s="32" t="n">
        <v>664.15</v>
      </c>
      <c r="J334" s="32" t="n">
        <v>0.17</v>
      </c>
      <c r="K334" s="32" t="n">
        <v>722088</v>
      </c>
      <c r="L334" s="31" t="n">
        <v>13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60.01</v>
      </c>
      <c r="P334" s="32" t="n">
        <v>45.09</v>
      </c>
      <c r="Q334" s="32" t="inlineStr"/>
      <c r="R334" s="31" t="inlineStr">
        <is>
          <t>Earnings / Momentum Support</t>
        </is>
      </c>
      <c r="S334" s="31" t="inlineStr">
        <is>
          <t>Nifty Energy</t>
        </is>
      </c>
      <c r="T334" s="32" t="n">
        <v>8.41</v>
      </c>
      <c r="U334" s="32" t="n">
        <v>-6.31</v>
      </c>
      <c r="V334" s="32" t="n">
        <v>-13.58</v>
      </c>
      <c r="W334" s="32" t="n">
        <v>0.8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Above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IF(B335=0,"",RANK(B335,$B$2:$B$358,0))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KIRLFER</t>
        </is>
      </c>
      <c r="D335" s="33" t="inlineStr">
        <is>
          <t>Kirloskar Ferrous Industries Ltd</t>
        </is>
      </c>
      <c r="E335" s="31" t="inlineStr">
        <is>
          <t>metals &amp; mining</t>
        </is>
      </c>
      <c r="F335" s="31" t="inlineStr">
        <is>
          <t>steel - large</t>
        </is>
      </c>
      <c r="G335" s="31" t="inlineStr">
        <is>
          <t>midcap</t>
        </is>
      </c>
      <c r="H335" s="32" t="n">
        <v>7583.05</v>
      </c>
      <c r="I335" s="32" t="n">
        <v>460.1</v>
      </c>
      <c r="J335" s="32" t="n">
        <v>0.11</v>
      </c>
      <c r="K335" s="32" t="n">
        <v>47157</v>
      </c>
      <c r="L335" s="31" t="n">
        <v>6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53.49</v>
      </c>
      <c r="P335" s="32" t="n">
        <v>12.79</v>
      </c>
      <c r="Q335" s="32" t="inlineStr"/>
      <c r="R335" s="31" t="inlineStr">
        <is>
          <t>Earnings / Momentum Support</t>
        </is>
      </c>
      <c r="S335" s="31" t="inlineStr">
        <is>
          <t>Nifty Metal</t>
        </is>
      </c>
      <c r="T335" s="32" t="n">
        <v>31.49</v>
      </c>
      <c r="U335" s="32" t="n">
        <v>-16.84</v>
      </c>
      <c r="V335" s="32" t="n">
        <v>-36.76</v>
      </c>
      <c r="W335" s="32" t="n">
        <v>-2.22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IF(B336=0,"",RANK(B336,$B$2:$B$358,0))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DEEPINDS</t>
        </is>
      </c>
      <c r="D336" s="33" t="inlineStr">
        <is>
          <t>Deep Industries Ltd</t>
        </is>
      </c>
      <c r="E336" s="31" t="inlineStr">
        <is>
          <t>energy</t>
        </is>
      </c>
      <c r="F336" s="31" t="inlineStr">
        <is>
          <t>oil drilling / allied services</t>
        </is>
      </c>
      <c r="G336" s="31" t="inlineStr">
        <is>
          <t>midcap</t>
        </is>
      </c>
      <c r="H336" s="32" t="n">
        <v>5033.28</v>
      </c>
      <c r="I336" s="32" t="n">
        <v>785.2</v>
      </c>
      <c r="J336" s="32" t="n">
        <v>-0.16</v>
      </c>
      <c r="K336" s="32" t="n">
        <v>736057</v>
      </c>
      <c r="L336" s="31" t="n">
        <v>13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80.48</v>
      </c>
      <c r="P336" s="32" t="n">
        <v>32.86</v>
      </c>
      <c r="Q336" s="32" t="inlineStr"/>
      <c r="R336" s="31" t="inlineStr">
        <is>
          <t>Earnings / Momentum Support</t>
        </is>
      </c>
      <c r="S336" s="31" t="inlineStr">
        <is>
          <t>Nifty Energy</t>
        </is>
      </c>
      <c r="T336" s="32" t="n">
        <v>8.41</v>
      </c>
      <c r="U336" s="32" t="n">
        <v>0.27</v>
      </c>
      <c r="V336" s="32" t="n">
        <v>-7.51</v>
      </c>
      <c r="W336" s="32" t="n">
        <v>1.2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Oligopoly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Yes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Above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IF(B337=0,"",RANK(B337,$B$2:$B$358,0))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NSLNISP</t>
        </is>
      </c>
      <c r="D337" s="33" t="inlineStr">
        <is>
          <t>NMDC Steel Ltd</t>
        </is>
      </c>
      <c r="E337" s="31" t="inlineStr">
        <is>
          <t>metals &amp; mining</t>
        </is>
      </c>
      <c r="F337" s="31" t="inlineStr">
        <is>
          <t>steel - large</t>
        </is>
      </c>
      <c r="G337" s="31" t="inlineStr">
        <is>
          <t>midcap</t>
        </is>
      </c>
      <c r="H337" s="32" t="n">
        <v>13486.65</v>
      </c>
      <c r="I337" s="32" t="n">
        <v>45.87</v>
      </c>
      <c r="J337" s="32" t="n">
        <v>-0.33</v>
      </c>
      <c r="K337" s="32" t="n">
        <v>5748765</v>
      </c>
      <c r="L337" s="31" t="n">
        <v>17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54.35</v>
      </c>
      <c r="P337" s="32" t="n">
        <v>20.85</v>
      </c>
      <c r="Q337" s="32" t="inlineStr"/>
      <c r="R337" s="31" t="inlineStr">
        <is>
          <t>Earnings / Momentum Support</t>
        </is>
      </c>
      <c r="S337" s="31" t="inlineStr">
        <is>
          <t>Nifty Metal</t>
        </is>
      </c>
      <c r="T337" s="32" t="n">
        <v>31.49</v>
      </c>
      <c r="U337" s="32" t="n">
        <v>8.890000000000001</v>
      </c>
      <c r="V337" s="32" t="n">
        <v>-17.19</v>
      </c>
      <c r="W337" s="32" t="n">
        <v>1.98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20 to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IF(B338=0,"",RANK(B338,$B$2:$B$358,0))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MANALIPETC</t>
        </is>
      </c>
      <c r="D338" s="33" t="inlineStr">
        <is>
          <t>Manali Petrochemicals Limited</t>
        </is>
      </c>
      <c r="E338" s="31" t="inlineStr">
        <is>
          <t>energy</t>
        </is>
      </c>
      <c r="F338" s="31" t="inlineStr">
        <is>
          <t>petrochemicals</t>
        </is>
      </c>
      <c r="G338" s="31" t="inlineStr">
        <is>
          <t>smallcap</t>
        </is>
      </c>
      <c r="H338" s="32" t="n">
        <v>1492.27</v>
      </c>
      <c r="I338" s="32" t="n">
        <v>86.16</v>
      </c>
      <c r="J338" s="32" t="n">
        <v>-0.6899999999999999</v>
      </c>
      <c r="K338" s="32" t="n">
        <v>2321723</v>
      </c>
      <c r="L338" s="31" t="n">
        <v>8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76.04000000000001</v>
      </c>
      <c r="P338" s="32" t="n">
        <v>41.25</v>
      </c>
      <c r="Q338" s="32" t="inlineStr"/>
      <c r="R338" s="31" t="inlineStr">
        <is>
          <t>Earnings / Momentum Support</t>
        </is>
      </c>
      <c r="S338" s="31" t="inlineStr">
        <is>
          <t>Nifty Energy</t>
        </is>
      </c>
      <c r="T338" s="32" t="n">
        <v>8.41</v>
      </c>
      <c r="U338" s="32" t="n">
        <v>-21.51</v>
      </c>
      <c r="V338" s="32" t="n">
        <v>-27.6</v>
      </c>
      <c r="W338" s="32" t="n">
        <v>-1.78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Oligopoly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Yes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Above 40</t>
        </is>
      </c>
      <c r="AY338" s="31">
        <f>IF(AX338="Above 40",20,IF(AX338="20 to 40",10,IF(AX338="0 to 20",-5,0)))</f>
        <v/>
      </c>
      <c r="AZ338" s="31" t="inlineStr">
        <is>
          <t>Above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IF(B339=0,"",RANK(B339,$B$2:$B$358,0))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ASIANENE</t>
        </is>
      </c>
      <c r="D339" s="31" t="inlineStr">
        <is>
          <t>Asian Energy Services Ltd</t>
        </is>
      </c>
      <c r="E339" s="31" t="inlineStr">
        <is>
          <t>energy</t>
        </is>
      </c>
      <c r="F339" s="31" t="inlineStr">
        <is>
          <t>oil drilling / allied services</t>
        </is>
      </c>
      <c r="G339" s="31" t="inlineStr">
        <is>
          <t>smallcap</t>
        </is>
      </c>
      <c r="H339" s="32" t="n">
        <v>2516.34</v>
      </c>
      <c r="I339" s="32" t="n">
        <v>511.8</v>
      </c>
      <c r="J339" s="32" t="n">
        <v>-1.09</v>
      </c>
      <c r="K339" s="32" t="n">
        <v>356718</v>
      </c>
      <c r="L339" s="31" t="n">
        <v>44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74.16</v>
      </c>
      <c r="P339" s="32" t="n">
        <v>24.51</v>
      </c>
      <c r="Q339" s="32" t="inlineStr"/>
      <c r="R339" s="31" t="inlineStr">
        <is>
          <t>Earnings / Momentum Support</t>
        </is>
      </c>
      <c r="S339" s="31" t="inlineStr">
        <is>
          <t>Nifty Energy</t>
        </is>
      </c>
      <c r="T339" s="32" t="n">
        <v>8.41</v>
      </c>
      <c r="U339" s="32" t="n">
        <v>17.9</v>
      </c>
      <c r="V339" s="32" t="n">
        <v>8.76</v>
      </c>
      <c r="W339" s="32" t="n">
        <v>8.279999999999999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IF(B340=0,"",RANK(B340,$B$2:$B$358,0))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VENUSPIPES</t>
        </is>
      </c>
      <c r="D340" s="33" t="inlineStr">
        <is>
          <t>Venus Pipes &amp; Tubes Ltd</t>
        </is>
      </c>
      <c r="E340" s="31" t="inlineStr">
        <is>
          <t>metals &amp; mining</t>
        </is>
      </c>
      <c r="F340" s="31" t="inlineStr">
        <is>
          <t>steel - medium / small</t>
        </is>
      </c>
      <c r="G340" s="31" t="inlineStr">
        <is>
          <t>smallcap</t>
        </is>
      </c>
      <c r="H340" s="32" t="n">
        <v>3378.8</v>
      </c>
      <c r="I340" s="32" t="n">
        <v>1805.4</v>
      </c>
      <c r="J340" s="32" t="n">
        <v>10.69</v>
      </c>
      <c r="K340" s="32" t="n">
        <v>603283</v>
      </c>
      <c r="L340" s="31" t="n">
        <v>48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59.78</v>
      </c>
      <c r="P340" s="32" t="n">
        <v>30.1</v>
      </c>
      <c r="Q340" s="32" t="inlineStr"/>
      <c r="R340" s="31" t="inlineStr">
        <is>
          <t>Earnings / Momentum Support</t>
        </is>
      </c>
      <c r="S340" s="31" t="inlineStr">
        <is>
          <t>Nifty Metal</t>
        </is>
      </c>
      <c r="T340" s="32" t="n">
        <v>31.49</v>
      </c>
      <c r="U340" s="32" t="n">
        <v>5.07</v>
      </c>
      <c r="V340" s="32" t="n">
        <v>-20.1</v>
      </c>
      <c r="W340" s="32" t="n">
        <v>9.26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IF(B341=0,"",RANK(B341,$B$2:$B$358,0))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ARFIN</t>
        </is>
      </c>
      <c r="D341" s="31" t="inlineStr">
        <is>
          <t>Arfin India Ltd</t>
        </is>
      </c>
      <c r="E341" s="31" t="inlineStr">
        <is>
          <t>metals &amp; mining</t>
        </is>
      </c>
      <c r="F341" s="31" t="inlineStr">
        <is>
          <t>aluminium and aluminium products</t>
        </is>
      </c>
      <c r="G341" s="31" t="inlineStr">
        <is>
          <t>smallcap</t>
        </is>
      </c>
      <c r="H341" s="32" t="n">
        <v>1471.93</v>
      </c>
      <c r="I341" s="32" t="n">
        <v>95.27</v>
      </c>
      <c r="J341" s="32" t="n">
        <v>9.199999999999999</v>
      </c>
      <c r="K341" s="32" t="n">
        <v>4760846</v>
      </c>
      <c r="L341" s="31" t="n">
        <v>78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53.58</v>
      </c>
      <c r="P341" s="32" t="n">
        <v>22.93</v>
      </c>
      <c r="Q341" s="32" t="inlineStr"/>
      <c r="R341" s="31" t="inlineStr">
        <is>
          <t>Earnings / Momentum Support</t>
        </is>
      </c>
      <c r="S341" s="31" t="inlineStr">
        <is>
          <t>Nifty Metal</t>
        </is>
      </c>
      <c r="T341" s="32" t="n">
        <v>31.96</v>
      </c>
      <c r="U341" s="32" t="n">
        <v>156.51</v>
      </c>
      <c r="V341" s="32" t="n">
        <v>94.39</v>
      </c>
      <c r="W341" s="32" t="n">
        <v>21.61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Between 0.7 to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IF(B342=0,"",RANK(B342,$B$2:$B$358,0))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DOLPHIN</t>
        </is>
      </c>
      <c r="D342" s="33" t="inlineStr">
        <is>
          <t>Dolphin Offshore Enterprises (India) Ltd</t>
        </is>
      </c>
      <c r="E342" s="31" t="inlineStr">
        <is>
          <t>energy</t>
        </is>
      </c>
      <c r="F342" s="31" t="inlineStr">
        <is>
          <t>oil drilling / allied services</t>
        </is>
      </c>
      <c r="G342" s="31" t="inlineStr">
        <is>
          <t>smallcap</t>
        </is>
      </c>
      <c r="H342" s="32" t="n">
        <v>2696.31</v>
      </c>
      <c r="I342" s="32" t="n">
        <v>720.4</v>
      </c>
      <c r="J342" s="32" t="n">
        <v>6.88</v>
      </c>
      <c r="K342" s="32" t="n">
        <v>400551</v>
      </c>
      <c r="L342" s="31" t="n">
        <v>4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78.88</v>
      </c>
      <c r="P342" s="32" t="n">
        <v>36.36</v>
      </c>
      <c r="Q342" s="32" t="inlineStr"/>
      <c r="R342" s="31" t="inlineStr">
        <is>
          <t>Earnings / Momentum Support</t>
        </is>
      </c>
      <c r="S342" s="31" t="inlineStr">
        <is>
          <t>Nifty Energy</t>
        </is>
      </c>
      <c r="T342" s="32" t="n">
        <v>8.41</v>
      </c>
      <c r="U342" s="32" t="n">
        <v>-16.64</v>
      </c>
      <c r="V342" s="32" t="n">
        <v>-23.1</v>
      </c>
      <c r="W342" s="32" t="n">
        <v>-3.81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Yes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Above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IF(B343=0,"",RANK(B343,$B$2:$B$358,0))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PRABHA</t>
        </is>
      </c>
      <c r="D343" s="33" t="inlineStr">
        <is>
          <t>Prabha Energy Ltd</t>
        </is>
      </c>
      <c r="E343" s="31" t="inlineStr">
        <is>
          <t>energy</t>
        </is>
      </c>
      <c r="F343" s="31" t="inlineStr">
        <is>
          <t>oil drilling / allied services</t>
        </is>
      </c>
      <c r="G343" s="31" t="inlineStr">
        <is>
          <t>smallcap</t>
        </is>
      </c>
      <c r="H343" s="32" t="n">
        <v>3379.97</v>
      </c>
      <c r="I343" s="32" t="n">
        <v>243.39</v>
      </c>
      <c r="J343" s="32" t="n">
        <v>5.55</v>
      </c>
      <c r="K343" s="32" t="n">
        <v>1535655</v>
      </c>
      <c r="L343" s="31" t="n">
        <v>1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70.81</v>
      </c>
      <c r="P343" s="32" t="n">
        <v>24.7</v>
      </c>
      <c r="Q343" s="32" t="inlineStr"/>
      <c r="R343" s="31" t="inlineStr">
        <is>
          <t>Earnings / Momentum Support</t>
        </is>
      </c>
      <c r="S343" s="31" t="inlineStr">
        <is>
          <t>Nifty Energy</t>
        </is>
      </c>
      <c r="T343" s="32" t="n">
        <v>8.41</v>
      </c>
      <c r="U343" s="32" t="n">
        <v>-49.77</v>
      </c>
      <c r="V343" s="32" t="n">
        <v>-53.66</v>
      </c>
      <c r="W343" s="32" t="n">
        <v>-13.83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IF(B344=0,"",RANK(B344,$B$2:$B$358,0))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INDIQUBE</t>
        </is>
      </c>
      <c r="D344" s="33" t="inlineStr">
        <is>
          <t>Indiqube Spaces Ltd</t>
        </is>
      </c>
      <c r="E344" s="31" t="inlineStr">
        <is>
          <t>co-working</t>
        </is>
      </c>
      <c r="F344" s="31" t="inlineStr">
        <is>
          <t>miscellaneous</t>
        </is>
      </c>
      <c r="G344" s="31" t="inlineStr">
        <is>
          <t>smallcap</t>
        </is>
      </c>
      <c r="H344" s="32" t="n">
        <v>4124.2</v>
      </c>
      <c r="I344" s="32" t="n">
        <v>202.13</v>
      </c>
      <c r="J344" s="32" t="n">
        <v>3.9</v>
      </c>
      <c r="K344" s="32" t="n">
        <v>125698</v>
      </c>
      <c r="L344" s="31" t="n">
        <v>17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58.67</v>
      </c>
      <c r="P344" s="32" t="n">
        <v>16.42</v>
      </c>
      <c r="Q344" s="32" t="inlineStr"/>
      <c r="R344" s="31" t="inlineStr">
        <is>
          <t>Earnings / Momentum Support</t>
        </is>
      </c>
      <c r="S344" s="31" t="inlineStr">
        <is>
          <t>Nifty 50</t>
        </is>
      </c>
      <c r="T344" s="32" t="n">
        <v>-3.41</v>
      </c>
      <c r="U344" s="32" t="n">
        <v>-15.43</v>
      </c>
      <c r="V344" s="32" t="n">
        <v>-12.44</v>
      </c>
      <c r="W344" s="32" t="n">
        <v>2.03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More than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IF(B345=0,"",RANK(B345,$B$2:$B$358,0))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HINDOILEXP</t>
        </is>
      </c>
      <c r="D345" s="33" t="inlineStr">
        <is>
          <t>Hindustan Oil Exploration Company Limited</t>
        </is>
      </c>
      <c r="E345" s="31" t="inlineStr">
        <is>
          <t>energy</t>
        </is>
      </c>
      <c r="F345" s="31" t="inlineStr">
        <is>
          <t>oil drilling / allied services</t>
        </is>
      </c>
      <c r="G345" s="31" t="inlineStr">
        <is>
          <t>smallcap</t>
        </is>
      </c>
      <c r="H345" s="32" t="n">
        <v>2446.5</v>
      </c>
      <c r="I345" s="32" t="n">
        <v>188.85</v>
      </c>
      <c r="J345" s="32" t="n">
        <v>2.08</v>
      </c>
      <c r="K345" s="32" t="n">
        <v>2651804</v>
      </c>
      <c r="L345" s="31" t="n">
        <v>7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64.29000000000001</v>
      </c>
      <c r="P345" s="32" t="n">
        <v>40.68</v>
      </c>
      <c r="Q345" s="32" t="inlineStr"/>
      <c r="R345" s="31" t="inlineStr">
        <is>
          <t>Earnings / Momentum Support</t>
        </is>
      </c>
      <c r="S345" s="31" t="inlineStr">
        <is>
          <t>Nifty Energy</t>
        </is>
      </c>
      <c r="T345" s="32" t="n">
        <v>8.41</v>
      </c>
      <c r="U345" s="32" t="n">
        <v>-8.92</v>
      </c>
      <c r="V345" s="32" t="n">
        <v>-15.98</v>
      </c>
      <c r="W345" s="32" t="n">
        <v>-2.1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IF(B346=0,"",RANK(B346,$B$2:$B$358,0))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PFOCUS</t>
        </is>
      </c>
      <c r="D346" s="31" t="inlineStr">
        <is>
          <t>Prime Focus Limited</t>
        </is>
      </c>
      <c r="E346" s="31" t="inlineStr">
        <is>
          <t>realty</t>
        </is>
      </c>
      <c r="F346" s="31" t="inlineStr">
        <is>
          <t>miscellaneous</t>
        </is>
      </c>
      <c r="G346" s="31" t="inlineStr">
        <is>
          <t>largecap</t>
        </is>
      </c>
      <c r="H346" s="32" t="n">
        <v>23838.26</v>
      </c>
      <c r="I346" s="32" t="n">
        <v>311.75</v>
      </c>
      <c r="J346" s="32" t="n">
        <v>1.55</v>
      </c>
      <c r="K346" s="32" t="n">
        <v>1727525</v>
      </c>
      <c r="L346" s="31" t="n">
        <v>51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61</v>
      </c>
      <c r="P346" s="32" t="n">
        <v>13.83</v>
      </c>
      <c r="Q346" s="32" t="inlineStr"/>
      <c r="R346" s="31" t="inlineStr">
        <is>
          <t>Earnings / Momentum Support</t>
        </is>
      </c>
      <c r="S346" s="31" t="inlineStr">
        <is>
          <t>Nifty Realty</t>
        </is>
      </c>
      <c r="T346" s="32" t="n">
        <v>-8.119999999999999</v>
      </c>
      <c r="U346" s="32" t="n">
        <v>71.87</v>
      </c>
      <c r="V346" s="32" t="n">
        <v>87.06999999999999</v>
      </c>
      <c r="W346" s="32" t="n">
        <v>10.87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IF(B347=0,"",RANK(B347,$B$2:$B$358,0))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RATNAVEER</t>
        </is>
      </c>
      <c r="D347" s="33" t="inlineStr">
        <is>
          <t>Ratnaveer Precision Engineering Ltd</t>
        </is>
      </c>
      <c r="E347" s="31" t="inlineStr">
        <is>
          <t>metals &amp; mining</t>
        </is>
      </c>
      <c r="F347" s="31" t="inlineStr">
        <is>
          <t>steel - medium / small</t>
        </is>
      </c>
      <c r="G347" s="31" t="inlineStr">
        <is>
          <t>smallcap</t>
        </is>
      </c>
      <c r="H347" s="32" t="n">
        <v>2176.73</v>
      </c>
      <c r="I347" s="32" t="n">
        <v>306.45</v>
      </c>
      <c r="J347" s="32" t="n">
        <v>0.5600000000000001</v>
      </c>
      <c r="K347" s="32" t="n">
        <v>3736782</v>
      </c>
      <c r="L347" s="31" t="n">
        <v>39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83.14</v>
      </c>
      <c r="P347" s="32" t="n">
        <v>57.44</v>
      </c>
      <c r="Q347" s="32" t="inlineStr"/>
      <c r="R347" s="31" t="inlineStr">
        <is>
          <t>Earnings / Momentum Support</t>
        </is>
      </c>
      <c r="S347" s="31" t="inlineStr">
        <is>
          <t>Nifty Metal</t>
        </is>
      </c>
      <c r="T347" s="32" t="n">
        <v>31.49</v>
      </c>
      <c r="U347" s="32" t="n">
        <v>20.72</v>
      </c>
      <c r="V347" s="32" t="n">
        <v>-8.19</v>
      </c>
      <c r="W347" s="32" t="n">
        <v>7.17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Cyclical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Above 40</t>
        </is>
      </c>
      <c r="AY347" s="31">
        <f>IF(AX347="Above 40",20,IF(AX347="20 to 40",10,IF(AX347="0 to 20",-5,0)))</f>
        <v/>
      </c>
      <c r="AZ347" s="31" t="inlineStr">
        <is>
          <t>Above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IF(B348=0,"",RANK(B348,$B$2:$B$358,0))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MAHSEAMLES</t>
        </is>
      </c>
      <c r="D348" s="33" t="inlineStr">
        <is>
          <t>Maharashtra Seamless Limited</t>
        </is>
      </c>
      <c r="E348" s="31" t="inlineStr">
        <is>
          <t>metals &amp; mining</t>
        </is>
      </c>
      <c r="F348" s="31" t="inlineStr">
        <is>
          <t>steel - medium / small</t>
        </is>
      </c>
      <c r="G348" s="31" t="inlineStr">
        <is>
          <t>midcap</t>
        </is>
      </c>
      <c r="H348" s="32" t="n">
        <v>9220.49</v>
      </c>
      <c r="I348" s="32" t="n">
        <v>688.95</v>
      </c>
      <c r="J348" s="32" t="n">
        <v>0.12</v>
      </c>
      <c r="K348" s="32" t="n">
        <v>911812</v>
      </c>
      <c r="L348" s="31" t="n">
        <v>3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70.37</v>
      </c>
      <c r="P348" s="32" t="n">
        <v>19.82</v>
      </c>
      <c r="Q348" s="32" t="inlineStr"/>
      <c r="R348" s="31" t="inlineStr">
        <is>
          <t>Earnings / Momentum Support</t>
        </is>
      </c>
      <c r="S348" s="31" t="inlineStr">
        <is>
          <t>Nifty Metal</t>
        </is>
      </c>
      <c r="T348" s="32" t="n">
        <v>31.49</v>
      </c>
      <c r="U348" s="32" t="n">
        <v>-17.38</v>
      </c>
      <c r="V348" s="32" t="n">
        <v>-37.17</v>
      </c>
      <c r="W348" s="32" t="n">
        <v>-4.66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Cyclical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Volatile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Between 12 to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IF(B349=0,"",RANK(B349,$B$2:$B$358,0))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KSL</t>
        </is>
      </c>
      <c r="D349" s="33" t="inlineStr">
        <is>
          <t>Kalyani Steels Limited</t>
        </is>
      </c>
      <c r="E349" s="31" t="inlineStr">
        <is>
          <t>metals &amp; mining</t>
        </is>
      </c>
      <c r="F349" s="31" t="inlineStr">
        <is>
          <t>steel - medium / small</t>
        </is>
      </c>
      <c r="G349" s="31" t="inlineStr">
        <is>
          <t>smallcap</t>
        </is>
      </c>
      <c r="H349" s="32" t="n">
        <v>4105.57</v>
      </c>
      <c r="I349" s="32" t="n">
        <v>941.45</v>
      </c>
      <c r="J349" s="32" t="n">
        <v>0.1</v>
      </c>
      <c r="K349" s="32" t="n">
        <v>72294</v>
      </c>
      <c r="L349" s="31" t="n">
        <v>36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64.38</v>
      </c>
      <c r="P349" s="32" t="n">
        <v>25.25</v>
      </c>
      <c r="Q349" s="32" t="inlineStr"/>
      <c r="R349" s="31" t="inlineStr">
        <is>
          <t>Earnings / Momentum Support</t>
        </is>
      </c>
      <c r="S349" s="31" t="inlineStr">
        <is>
          <t>Nifty Metal</t>
        </is>
      </c>
      <c r="T349" s="32" t="n">
        <v>31.49</v>
      </c>
      <c r="U349" s="32" t="n">
        <v>3.86</v>
      </c>
      <c r="V349" s="32" t="n">
        <v>-21.02</v>
      </c>
      <c r="W349" s="32" t="n">
        <v>6.46</v>
      </c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3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IF(B350=0,"",RANK(B350,$B$2:$B$358,0))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OIL</t>
        </is>
      </c>
      <c r="D350" s="33" t="inlineStr">
        <is>
          <t>Oil India Limited</t>
        </is>
      </c>
      <c r="E350" s="31" t="inlineStr">
        <is>
          <t>energy</t>
        </is>
      </c>
      <c r="F350" s="31" t="inlineStr">
        <is>
          <t>oil drilling / allied services</t>
        </is>
      </c>
      <c r="G350" s="31" t="inlineStr">
        <is>
          <t>largecap</t>
        </is>
      </c>
      <c r="H350" s="32" t="n">
        <v>79427.25999999999</v>
      </c>
      <c r="I350" s="32" t="n">
        <v>487</v>
      </c>
      <c r="J350" s="32" t="n">
        <v>-0.27</v>
      </c>
      <c r="K350" s="32" t="n">
        <v>2811694</v>
      </c>
      <c r="L350" s="31" t="n">
        <v>9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58.43</v>
      </c>
      <c r="P350" s="32" t="n">
        <v>14.61</v>
      </c>
      <c r="Q350" s="32" t="inlineStr"/>
      <c r="R350" s="31" t="inlineStr">
        <is>
          <t>Earnings / Momentum Support</t>
        </is>
      </c>
      <c r="S350" s="31" t="inlineStr">
        <is>
          <t>Nifty Energy</t>
        </is>
      </c>
      <c r="T350" s="32" t="n">
        <v>8.41</v>
      </c>
      <c r="U350" s="32" t="n">
        <v>-0.15</v>
      </c>
      <c r="V350" s="32" t="n">
        <v>-7.89</v>
      </c>
      <c r="W350" s="32" t="n">
        <v>-1.23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Oligopoly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Yes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IF(B351=0,"",RANK(B351,$B$2:$B$358,0))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STEELXIND</t>
        </is>
      </c>
      <c r="D351" s="33" t="inlineStr">
        <is>
          <t>Steel Exchange India Ltd</t>
        </is>
      </c>
      <c r="E351" s="31" t="inlineStr">
        <is>
          <t>metals &amp; mining</t>
        </is>
      </c>
      <c r="F351" s="31" t="inlineStr">
        <is>
          <t>steel - medium / small</t>
        </is>
      </c>
      <c r="G351" s="31" t="inlineStr">
        <is>
          <t>smallcap</t>
        </is>
      </c>
      <c r="H351" s="32" t="n">
        <v>1446.44</v>
      </c>
      <c r="I351" s="32" t="n">
        <v>11.23</v>
      </c>
      <c r="J351" s="32" t="n">
        <v>-0.97</v>
      </c>
      <c r="K351" s="32" t="n">
        <v>1498999</v>
      </c>
      <c r="L351" s="31" t="n">
        <v>51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54.55</v>
      </c>
      <c r="P351" s="32" t="n">
        <v>12.7</v>
      </c>
      <c r="Q351" s="32" t="inlineStr"/>
      <c r="R351" s="31" t="inlineStr">
        <is>
          <t>Earnings / Momentum Support</t>
        </is>
      </c>
      <c r="S351" s="31" t="inlineStr">
        <is>
          <t>Nifty Metal</t>
        </is>
      </c>
      <c r="T351" s="32" t="n">
        <v>31.49</v>
      </c>
      <c r="U351" s="32" t="n">
        <v>13.38</v>
      </c>
      <c r="V351" s="32" t="n">
        <v>-13.77</v>
      </c>
      <c r="W351" s="32" t="n">
        <v>10.59</v>
      </c>
      <c r="X351" s="31" t="inlineStr">
        <is>
          <t>Cyclical in an Upturn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Cyclical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Less than 1.5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IF(B352=0,"",RANK(B352,$B$2:$B$358,0))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SANATHAN</t>
        </is>
      </c>
      <c r="D352" s="33" t="inlineStr">
        <is>
          <t>Sanathan Textiles Ltd</t>
        </is>
      </c>
      <c r="E352" s="31" t="inlineStr">
        <is>
          <t>textiles</t>
        </is>
      </c>
      <c r="F352" s="31" t="inlineStr">
        <is>
          <t>textiles - cotton/blended</t>
        </is>
      </c>
      <c r="G352" s="31" t="inlineStr">
        <is>
          <t>smallcap</t>
        </is>
      </c>
      <c r="H352" s="32" t="n">
        <v>3850.51</v>
      </c>
      <c r="I352" s="32" t="n">
        <v>470.9</v>
      </c>
      <c r="J352" s="32" t="n">
        <v>3.22</v>
      </c>
      <c r="K352" s="32" t="n">
        <v>358640</v>
      </c>
      <c r="L352" s="31" t="n">
        <v>13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53.59</v>
      </c>
      <c r="P352" s="32" t="n">
        <v>17.89</v>
      </c>
      <c r="Q352" s="32" t="inlineStr"/>
      <c r="R352" s="31" t="inlineStr">
        <is>
          <t>Earnings / Momentum Support</t>
        </is>
      </c>
      <c r="S352" s="31" t="inlineStr">
        <is>
          <t>Nifty 50</t>
        </is>
      </c>
      <c r="T352" s="32" t="n">
        <v>-3.41</v>
      </c>
      <c r="U352" s="32" t="n">
        <v>-10.77</v>
      </c>
      <c r="V352" s="32" t="n">
        <v>-7.62</v>
      </c>
      <c r="W352" s="32" t="n">
        <v>1.12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Between 0.7 to 1.2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IF(B353=0,"",RANK(B353,$B$2:$B$358,0))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SALSTEEL</t>
        </is>
      </c>
      <c r="D353" s="31" t="inlineStr">
        <is>
          <t>SAL Steel</t>
        </is>
      </c>
      <c r="E353" s="31" t="inlineStr">
        <is>
          <t>metals &amp; mining</t>
        </is>
      </c>
      <c r="F353" s="31" t="inlineStr">
        <is>
          <t>steel - sponge iron</t>
        </is>
      </c>
      <c r="G353" s="31" t="inlineStr">
        <is>
          <t>smallcap</t>
        </is>
      </c>
      <c r="H353" s="32" t="n">
        <v>1177.97</v>
      </c>
      <c r="I353" s="32" t="n">
        <v>81.8</v>
      </c>
      <c r="J353" s="32" t="n">
        <v>0.53</v>
      </c>
      <c r="K353" s="32" t="n">
        <v>670446</v>
      </c>
      <c r="L353" s="31" t="n">
        <v>89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74.92</v>
      </c>
      <c r="P353" s="32" t="n">
        <v>30.2</v>
      </c>
      <c r="Q353" s="32" t="inlineStr"/>
      <c r="R353" s="31" t="inlineStr">
        <is>
          <t>Earnings / Momentum Support</t>
        </is>
      </c>
      <c r="S353" s="31" t="inlineStr">
        <is>
          <t>Nifty Metal</t>
        </is>
      </c>
      <c r="T353" s="32" t="n">
        <v>31.49</v>
      </c>
      <c r="U353" s="32" t="n">
        <v>216.19</v>
      </c>
      <c r="V353" s="32" t="n">
        <v>140.46</v>
      </c>
      <c r="W353" s="32" t="n">
        <v>28.4</v>
      </c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20 to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More than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IF(B354=0,"",RANK(B354,$B$2:$B$358,0))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TNPETRO</t>
        </is>
      </c>
      <c r="D354" s="33" t="inlineStr">
        <is>
          <t>Tamilnadu Petroproducts Limited</t>
        </is>
      </c>
      <c r="E354" s="31" t="inlineStr">
        <is>
          <t>energy</t>
        </is>
      </c>
      <c r="F354" s="31" t="inlineStr">
        <is>
          <t>petrochemicals</t>
        </is>
      </c>
      <c r="G354" s="31" t="inlineStr">
        <is>
          <t>smallcap</t>
        </is>
      </c>
      <c r="H354" s="32" t="n">
        <v>1193.92</v>
      </c>
      <c r="I354" s="32" t="n">
        <v>131.73</v>
      </c>
      <c r="J354" s="32" t="n">
        <v>-0.73</v>
      </c>
      <c r="K354" s="32" t="n">
        <v>701145</v>
      </c>
      <c r="L354" s="31" t="n">
        <v>7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78.09999999999999</v>
      </c>
      <c r="P354" s="32" t="n">
        <v>36.8</v>
      </c>
      <c r="Q354" s="32" t="inlineStr"/>
      <c r="R354" s="31" t="inlineStr">
        <is>
          <t>Earnings / Momentum Support</t>
        </is>
      </c>
      <c r="S354" s="31" t="inlineStr">
        <is>
          <t>Nifty Energy</t>
        </is>
      </c>
      <c r="T354" s="32" t="n">
        <v>8.41</v>
      </c>
      <c r="U354" s="32" t="n">
        <v>-12.81</v>
      </c>
      <c r="V354" s="32" t="n">
        <v>-19.57</v>
      </c>
      <c r="W354" s="32" t="n">
        <v>-1.91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Oligopoly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Yes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Cyclical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20 to 40</t>
        </is>
      </c>
      <c r="AY354" s="31">
        <f>IF(AX354="Above 40",20,IF(AX354="20 to 40",10,IF(AX354="0 to 20",-5,0)))</f>
        <v/>
      </c>
      <c r="AZ354" s="31" t="inlineStr">
        <is>
          <t>Above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IF(B355=0,"",RANK(B355,$B$2:$B$358,0))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JTLIND</t>
        </is>
      </c>
      <c r="D355" s="33" t="inlineStr">
        <is>
          <t>JTL Industries Ltd</t>
        </is>
      </c>
      <c r="E355" s="31" t="inlineStr">
        <is>
          <t>metals &amp; mining</t>
        </is>
      </c>
      <c r="F355" s="31" t="inlineStr">
        <is>
          <t>steel - medium / small</t>
        </is>
      </c>
      <c r="G355" s="31" t="inlineStr">
        <is>
          <t>smallcap</t>
        </is>
      </c>
      <c r="H355" s="32" t="n">
        <v>3603.38</v>
      </c>
      <c r="I355" s="32" t="n">
        <v>89.51000000000001</v>
      </c>
      <c r="J355" s="32" t="n">
        <v>-2.36</v>
      </c>
      <c r="K355" s="32" t="n">
        <v>2749009</v>
      </c>
      <c r="L355" s="31" t="n">
        <v>21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65.48999999999999</v>
      </c>
      <c r="P355" s="32" t="n">
        <v>14.69</v>
      </c>
      <c r="Q355" s="32" t="inlineStr"/>
      <c r="R355" s="31" t="inlineStr">
        <is>
          <t>Earnings / Momentum Support</t>
        </is>
      </c>
      <c r="S355" s="31" t="inlineStr">
        <is>
          <t>Nifty Metal</t>
        </is>
      </c>
      <c r="T355" s="32" t="n">
        <v>31.49</v>
      </c>
      <c r="U355" s="32" t="n">
        <v>1.19</v>
      </c>
      <c r="V355" s="32" t="n">
        <v>-23.05</v>
      </c>
      <c r="W355" s="32" t="n">
        <v>2.86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IF(B356=0,"",RANK(B356,$B$2:$B$358,0))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STYLEBAAZA</t>
        </is>
      </c>
      <c r="D356" s="31" t="inlineStr">
        <is>
          <t>Baazar Style Retail Ltd</t>
        </is>
      </c>
      <c r="E356" s="31" t="inlineStr">
        <is>
          <t>consumer discretionary</t>
        </is>
      </c>
      <c r="F356" s="31" t="inlineStr">
        <is>
          <t>trading</t>
        </is>
      </c>
      <c r="G356" s="31" t="inlineStr">
        <is>
          <t>smallcap</t>
        </is>
      </c>
      <c r="H356" s="32" t="n">
        <v>3046.6</v>
      </c>
      <c r="I356" s="32" t="n">
        <v>399.5</v>
      </c>
      <c r="J356" s="32" t="n">
        <v>-0.19</v>
      </c>
      <c r="K356" s="32" t="n">
        <v>1380118</v>
      </c>
      <c r="L356" s="31" t="n">
        <v>41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60.04</v>
      </c>
      <c r="P356" s="32" t="n">
        <v>17.31</v>
      </c>
      <c r="Q356" s="32" t="inlineStr"/>
      <c r="R356" s="31" t="inlineStr">
        <is>
          <t>Earnings / Momentum Support</t>
        </is>
      </c>
      <c r="S356" s="31" t="inlineStr">
        <is>
          <t>Nifty 50</t>
        </is>
      </c>
      <c r="T356" s="32" t="n">
        <v>-3.41</v>
      </c>
      <c r="U356" s="32" t="n">
        <v>15.51</v>
      </c>
      <c r="V356" s="32" t="n">
        <v>19.59</v>
      </c>
      <c r="W356" s="32" t="n">
        <v>7.73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IF(B357=0,"",RANK(B357,$B$2:$B$358,0))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20MICRONS</t>
        </is>
      </c>
      <c r="D357" s="33" t="inlineStr">
        <is>
          <t>20 Microns Limited</t>
        </is>
      </c>
      <c r="E357" s="31" t="inlineStr">
        <is>
          <t>metals &amp; mining</t>
        </is>
      </c>
      <c r="F357" s="31" t="inlineStr">
        <is>
          <t>mining / minerals / metals</t>
        </is>
      </c>
      <c r="G357" s="31" t="inlineStr">
        <is>
          <t>smallcap</t>
        </is>
      </c>
      <c r="H357" s="32" t="n">
        <v>785.09</v>
      </c>
      <c r="I357" s="32" t="n">
        <v>224.8</v>
      </c>
      <c r="J357" s="32" t="n">
        <v>1.04</v>
      </c>
      <c r="K357" s="32" t="n">
        <v>373719</v>
      </c>
      <c r="L357" s="31" t="n">
        <v>7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64.44</v>
      </c>
      <c r="P357" s="32" t="n">
        <v>18.92</v>
      </c>
      <c r="Q357" s="32" t="inlineStr"/>
      <c r="R357" s="31" t="inlineStr">
        <is>
          <t>Earnings / Momentum Support</t>
        </is>
      </c>
      <c r="S357" s="31" t="inlineStr">
        <is>
          <t>Nifty Metal</t>
        </is>
      </c>
      <c r="T357" s="32" t="n">
        <v>31.49</v>
      </c>
      <c r="U357" s="32" t="n">
        <v>-21.95</v>
      </c>
      <c r="V357" s="32" t="n">
        <v>-40.64</v>
      </c>
      <c r="W357" s="32" t="n">
        <v>-1.86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IF(B358=0,"",RANK(B358,$B$2:$B$358,0))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JSL</t>
        </is>
      </c>
      <c r="D358" s="33" t="inlineStr">
        <is>
          <t>Jindal Stainless Limited</t>
        </is>
      </c>
      <c r="E358" s="31" t="inlineStr">
        <is>
          <t>metals &amp; mining</t>
        </is>
      </c>
      <c r="F358" s="31" t="inlineStr">
        <is>
          <t>steel - large</t>
        </is>
      </c>
      <c r="G358" s="31" t="inlineStr">
        <is>
          <t>largecap</t>
        </is>
      </c>
      <c r="H358" s="32" t="n">
        <v>60829.8</v>
      </c>
      <c r="I358" s="32" t="n">
        <v>736.8</v>
      </c>
      <c r="J358" s="32" t="n">
        <v>-0.14</v>
      </c>
      <c r="K358" s="32" t="n">
        <v>536059</v>
      </c>
      <c r="L358" s="31" t="n">
        <v>13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52.67</v>
      </c>
      <c r="P358" s="32" t="n">
        <v>10.55</v>
      </c>
      <c r="Q358" s="32" t="inlineStr"/>
      <c r="R358" s="31" t="inlineStr">
        <is>
          <t>Earnings / Momentum Support</t>
        </is>
      </c>
      <c r="S358" s="31" t="inlineStr">
        <is>
          <t>Nifty Metal</t>
        </is>
      </c>
      <c r="T358" s="32" t="n">
        <v>31.49</v>
      </c>
      <c r="U358" s="32" t="n">
        <v>9.43</v>
      </c>
      <c r="V358" s="32" t="n">
        <v>-16.78</v>
      </c>
      <c r="W358" s="32" t="n">
        <v>0.84</v>
      </c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Cyclical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</sheetData>
  <autoFilter ref="A1:CE358"/>
  <conditionalFormatting sqref="B2:B35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8">
    <cfRule type="cellIs" priority="36" operator="equal" dxfId="3" stopIfTrue="1">
      <formula>"Underperforming"</formula>
    </cfRule>
  </conditionalFormatting>
  <conditionalFormatting sqref="N2:N358">
    <cfRule type="cellIs" priority="37" operator="equal" dxfId="3" stopIfTrue="1">
      <formula>-5</formula>
    </cfRule>
  </conditionalFormatting>
  <conditionalFormatting sqref="Q2:Q35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8" showDropDown="0" showInputMessage="0" showErrorMessage="0" allowBlank="1" type="list">
      <formula1>"Growing Industry,Stagnant Industry,Cyclical in an Upturn"</formula1>
    </dataValidation>
    <dataValidation sqref="Z2:Z35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8" showDropDown="0" showInputMessage="0" showErrorMessage="0" allowBlank="1" type="list">
      <formula1>"Yes,No"</formula1>
    </dataValidation>
    <dataValidation sqref="AD2:AD358" showDropDown="0" showInputMessage="0" showErrorMessage="0" allowBlank="1" type="list">
      <formula1>"Tailwind,Headwind"</formula1>
    </dataValidation>
    <dataValidation sqref="AF2:AF358" showDropDown="0" showInputMessage="0" showErrorMessage="0" allowBlank="1" type="list">
      <formula1>"Structural (10 Years Consistency),Shallow Cyclical (2 to 3 Years Growth),Cyclical"</formula1>
    </dataValidation>
    <dataValidation sqref="AH2:AH358" showDropDown="0" showInputMessage="0" showErrorMessage="0" allowBlank="1" type="list">
      <formula1>"Yes due to Product Mix change or Operating Leverage,Yes, these are peak margins,No"</formula1>
    </dataValidation>
    <dataValidation sqref="AJ2:AJ358" showDropDown="0" showInputMessage="0" showErrorMessage="0" allowBlank="1" type="list">
      <formula1>"Stable,Volatile"</formula1>
    </dataValidation>
    <dataValidation sqref="AL2:AL358" showDropDown="0" showInputMessage="0" showErrorMessage="0" allowBlank="1" type="list">
      <formula1>"Yes,No"</formula1>
    </dataValidation>
    <dataValidation sqref="AN2:AN358" showDropDown="0" showInputMessage="0" showErrorMessage="0" allowBlank="1" type="list">
      <formula1>"B2C,B2B,B2G"</formula1>
    </dataValidation>
    <dataValidation sqref="AP2:AP358" showDropDown="0" showInputMessage="0" showErrorMessage="0" allowBlank="1" type="list">
      <formula1>"Yes,No"</formula1>
    </dataValidation>
    <dataValidation sqref="AR2:AR358" showDropDown="0" showInputMessage="0" showErrorMessage="0" allowBlank="1" type="list">
      <formula1>"Fully Annuity,Higher Annuity, Lower One time,Higher One Time, Lower Annuity,Fully One Time"</formula1>
    </dataValidation>
    <dataValidation sqref="AT2:AT358" showDropDown="0" showInputMessage="0" showErrorMessage="0" allowBlank="1" type="list">
      <formula1>"Good,Allocated capital in Non-core Areas"</formula1>
    </dataValidation>
    <dataValidation sqref="AV2:AV358" showDropDown="0" showInputMessage="0" showErrorMessage="0" allowBlank="1" type="list">
      <formula1>"Yes for more than 2 years,Yes only for next 1 to 2 years,No"</formula1>
    </dataValidation>
    <dataValidation sqref="AX2:AX358" showDropDown="0" showInputMessage="0" showErrorMessage="0" allowBlank="1" type="list">
      <formula1>"Above 40,20 to 40,0 to 20"</formula1>
    </dataValidation>
    <dataValidation sqref="AZ2:AZ358" showDropDown="0" showInputMessage="0" showErrorMessage="0" allowBlank="1" type="list">
      <formula1>"Between 50 to 75,Above 75,Below 45"</formula1>
    </dataValidation>
    <dataValidation sqref="BB2:BB358" showDropDown="0" showInputMessage="0" showErrorMessage="0" allowBlank="1" type="list">
      <formula1>"Stage 1,Stage 2,Stage 3,Stage 4"</formula1>
    </dataValidation>
    <dataValidation sqref="BD2:BD358" showDropDown="0" showInputMessage="0" showErrorMessage="0" allowBlank="1" type="list">
      <formula1>"Positive Trend,Negative Trend"</formula1>
    </dataValidation>
    <dataValidation sqref="BF2:BF358" showDropDown="0" showInputMessage="0" showErrorMessage="0" allowBlank="1" type="list">
      <formula1>"Uptrend,Sideways,Downtrend"</formula1>
    </dataValidation>
    <dataValidation sqref="BH2:BH358" showDropDown="0" showInputMessage="0" showErrorMessage="0" allowBlank="1" type="list">
      <formula1>"Uptrend,Sideways,Downtrend"</formula1>
    </dataValidation>
    <dataValidation sqref="BJ2:BJ35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8" showDropDown="0" showInputMessage="0" showErrorMessage="0" allowBlank="1" type="list">
      <formula1>"Yes,No"</formula1>
    </dataValidation>
    <dataValidation sqref="BN2:BN358" showDropDown="0" showInputMessage="0" showErrorMessage="0" allowBlank="1" type="list">
      <formula1>"More than 20%,Between 12 to 20%,Less than 12%"</formula1>
    </dataValidation>
    <dataValidation sqref="BP2:BP358" showDropDown="0" showInputMessage="0" showErrorMessage="0" allowBlank="1" type="list">
      <formula1>"Yes,No"</formula1>
    </dataValidation>
    <dataValidation sqref="BR2:BR358" showDropDown="0" showInputMessage="0" showErrorMessage="0" allowBlank="1" type="list">
      <formula1>"Yes,No"</formula1>
    </dataValidation>
    <dataValidation sqref="BT2:BT358" showDropDown="0" showInputMessage="0" showErrorMessage="0" allowBlank="1" type="list">
      <formula1>"Above 2,Between 1.5 to 2,Less than 1.5"</formula1>
    </dataValidation>
    <dataValidation sqref="BV2:BV358" showDropDown="0" showInputMessage="0" showErrorMessage="0" allowBlank="1" type="list">
      <formula1>"Above 70%,Between 50% to 70%,Less than 50%,Less than 50% and Borrowings are increasing,Negative"</formula1>
    </dataValidation>
    <dataValidation sqref="BX2:BX358" showDropDown="0" showInputMessage="0" showErrorMessage="0" allowBlank="1" type="list">
      <formula1>"More than 1.2,Between 0.7 to 1.2,Less than 0.7"</formula1>
    </dataValidation>
    <dataValidation sqref="BZ2:BZ358" showDropDown="0" showInputMessage="0" showErrorMessage="0" allowBlank="1" type="list">
      <formula1>"Yes,No"</formula1>
    </dataValidation>
    <dataValidation sqref="CB2:CB358" showDropDown="0" showInputMessage="0" showErrorMessage="0" allowBlank="1" type="list">
      <formula1>"More than 15%,Less than 15%"</formula1>
    </dataValidation>
    <dataValidation sqref="CD2:CD35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IF(B2=0,"",RANK(B2,$B$2:$B$40,0))</f>
        <v/>
      </c>
      <c r="B2" s="32">
        <f>SUM(N2,Y2,AA2,AC2,AE2,AG2,AI2,AK2,AM2,AO2,AQ2,AS2,AU2,AW2,AY2,BA2,BC2,BE2,BG2,BI2,BK2,BM2,BO2,BQ2,BS2,BU2,BW2,BY2,CA2)</f>
        <v/>
      </c>
      <c r="C2" s="31" t="inlineStr">
        <is>
          <t>ARMANFIN</t>
        </is>
      </c>
      <c r="D2" s="31" t="inlineStr">
        <is>
          <t>Arman Financial Services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2175.82</v>
      </c>
      <c r="I2" s="32" t="n">
        <v>2033.8</v>
      </c>
      <c r="J2" s="32" t="n">
        <v>-1.72</v>
      </c>
      <c r="K2" s="32" t="n">
        <v>25672</v>
      </c>
      <c r="L2" s="31" t="n">
        <v>60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66.78</v>
      </c>
      <c r="P2" s="32" t="n">
        <v>28.42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6.02</v>
      </c>
      <c r="U2" s="32" t="n">
        <v>42.75</v>
      </c>
      <c r="V2" s="32" t="n">
        <v>34.65</v>
      </c>
      <c r="W2" s="32" t="n">
        <v>14.05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Not Applicable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Not Applicable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Sideways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IF(B3=0,"",RANK(B3,$B$2:$B$40,0))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14765.48</v>
      </c>
      <c r="I3" s="32" t="n">
        <v>936.45</v>
      </c>
      <c r="J3" s="32" t="n">
        <v>0.43</v>
      </c>
      <c r="K3" s="32" t="n">
        <v>148519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74.84</v>
      </c>
      <c r="P3" s="32" t="n">
        <v>44.03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6.02</v>
      </c>
      <c r="U3" s="32" t="n">
        <v>123.64</v>
      </c>
      <c r="V3" s="32" t="n">
        <v>110.95</v>
      </c>
      <c r="W3" s="32" t="n">
        <v>23.31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IF(B4=0,"",RANK(B4,$B$2:$B$40,0))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MAHABANK</t>
        </is>
      </c>
      <c r="D4" s="31" t="inlineStr">
        <is>
          <t>Bank Of Maharashtra Ltd</t>
        </is>
      </c>
      <c r="E4" s="31" t="inlineStr">
        <is>
          <t>bank</t>
        </is>
      </c>
      <c r="F4" s="31" t="inlineStr">
        <is>
          <t>banks - public sector</t>
        </is>
      </c>
      <c r="G4" s="31" t="inlineStr">
        <is>
          <t>largecap</t>
        </is>
      </c>
      <c r="H4" s="32" t="n">
        <v>66108.91</v>
      </c>
      <c r="I4" s="32" t="n">
        <v>85</v>
      </c>
      <c r="J4" s="32" t="n">
        <v>-1.11</v>
      </c>
      <c r="K4" s="32" t="n">
        <v>12286857</v>
      </c>
      <c r="L4" s="31" t="n">
        <v>58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62.85</v>
      </c>
      <c r="P4" s="32" t="n">
        <v>40.63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6.02</v>
      </c>
      <c r="U4" s="32" t="n">
        <v>68.45</v>
      </c>
      <c r="V4" s="32" t="n">
        <v>58.89</v>
      </c>
      <c r="W4" s="32" t="n">
        <v>13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IF(B5=0,"",RANK(B5,$B$2:$B$40,0))</f>
        <v/>
      </c>
      <c r="B5" s="32">
        <f>SUM(N5,Y5,AA5,AC5,AE5,AG5,AI5,AK5,AM5,AO5,AQ5,AS5,AU5,AW5,AY5,BA5,BC5,BE5,BG5,BI5,BK5,BM5,BO5,BQ5,BS5,BU5,BW5,BY5,CA5)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6739.56</v>
      </c>
      <c r="I5" s="32" t="n">
        <v>79.41</v>
      </c>
      <c r="J5" s="32" t="n">
        <v>7.17</v>
      </c>
      <c r="K5" s="32" t="n">
        <v>35087813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74.03</v>
      </c>
      <c r="P5" s="32" t="n">
        <v>66.65000000000001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6.02</v>
      </c>
      <c r="U5" s="32" t="n">
        <v>114.77</v>
      </c>
      <c r="V5" s="32" t="n">
        <v>102.59</v>
      </c>
      <c r="W5" s="32" t="n">
        <v>25.36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IF(B6=0,"",RANK(B6,$B$2:$B$40,0))</f>
        <v/>
      </c>
      <c r="B6" s="32">
        <f>SUM(N6,Y6,AA6,AC6,AE6,AG6,AI6,AK6,AM6,AO6,AQ6,AS6,AU6,AW6,AY6,BA6,BC6,BE6,BG6,BI6,BK6,BM6,BO6,BQ6,BS6,BU6,BW6,BY6,CA6)</f>
        <v/>
      </c>
      <c r="C6" s="31" t="inlineStr">
        <is>
          <t>WELINV</t>
        </is>
      </c>
      <c r="D6" s="31" t="inlineStr">
        <is>
          <t>Welspun Investments And Commercials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815.2</v>
      </c>
      <c r="I6" s="32" t="n">
        <v>2275.3</v>
      </c>
      <c r="J6" s="32" t="n">
        <v>2</v>
      </c>
      <c r="K6" s="32" t="n">
        <v>20</v>
      </c>
      <c r="L6" s="31" t="n">
        <v>80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80.23999999999999</v>
      </c>
      <c r="P6" s="32" t="n">
        <v>56.93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6.02</v>
      </c>
      <c r="U6" s="32" t="n">
        <v>112.45</v>
      </c>
      <c r="V6" s="32" t="n">
        <v>100.39</v>
      </c>
      <c r="W6" s="32" t="n">
        <v>22.47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IF(B7=0,"",RANK(B7,$B$2:$B$40,0))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SMCGLOBAL</t>
        </is>
      </c>
      <c r="D7" s="31" t="inlineStr">
        <is>
          <t>SMC Global Securities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1701.38</v>
      </c>
      <c r="I7" s="32" t="n">
        <v>84.95</v>
      </c>
      <c r="J7" s="32" t="n">
        <v>4.55</v>
      </c>
      <c r="K7" s="32" t="n">
        <v>3923881</v>
      </c>
      <c r="L7" s="31" t="n">
        <v>56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59.3</v>
      </c>
      <c r="P7" s="32" t="n">
        <v>20.12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6.02</v>
      </c>
      <c r="U7" s="32" t="n">
        <v>21.18</v>
      </c>
      <c r="V7" s="32" t="n">
        <v>14.3</v>
      </c>
      <c r="W7" s="32" t="n">
        <v>12.67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IF(B8=0,"",RANK(B8,$B$2:$B$40,0))</f>
        <v/>
      </c>
      <c r="B8" s="32">
        <f>SUM(N8,Y8,AA8,AC8,AE8,AG8,AI8,AK8,AM8,AO8,AQ8,AS8,AU8,AW8,AY8,BA8,BC8,BE8,BG8,BI8,BK8,BM8,BO8,BQ8,BS8,BU8,BW8,BY8,CA8)</f>
        <v/>
      </c>
      <c r="C8" s="31" t="inlineStr">
        <is>
          <t>FEDFINA</t>
        </is>
      </c>
      <c r="D8" s="31" t="inlineStr">
        <is>
          <t>Fedbank Financial Services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6056.98</v>
      </c>
      <c r="I8" s="32" t="n">
        <v>165.45</v>
      </c>
      <c r="J8" s="32" t="n">
        <v>2.41</v>
      </c>
      <c r="K8" s="32" t="n">
        <v>2135760</v>
      </c>
      <c r="L8" s="31" t="n">
        <v>26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59.88</v>
      </c>
      <c r="P8" s="32" t="n">
        <v>26.27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6.02</v>
      </c>
      <c r="U8" s="32" t="n">
        <v>18.45</v>
      </c>
      <c r="V8" s="32" t="n">
        <v>11.73</v>
      </c>
      <c r="W8" s="32" t="n">
        <v>4.32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IF(B9=0,"",RANK(B9,$B$2:$B$40,0))</f>
        <v/>
      </c>
      <c r="B9" s="32">
        <f>SUM(N9,Y9,AA9,AC9,AE9,AG9,AI9,AK9,AM9,AO9,AQ9,AS9,AU9,AW9,AY9,BA9,BC9,BE9,BG9,BI9,BK9,BM9,BO9,BQ9,BS9,BU9,BW9,BY9,CA9)</f>
        <v/>
      </c>
      <c r="C9" s="31" t="inlineStr">
        <is>
          <t>NORTHARC</t>
        </is>
      </c>
      <c r="D9" s="31" t="inlineStr">
        <is>
          <t>Northern ARC Capital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4883.12</v>
      </c>
      <c r="I9" s="32" t="n">
        <v>306</v>
      </c>
      <c r="J9" s="32" t="n">
        <v>1.27</v>
      </c>
      <c r="K9" s="32" t="n">
        <v>1691631</v>
      </c>
      <c r="L9" s="31" t="n">
        <v>31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58.34</v>
      </c>
      <c r="P9" s="32" t="n">
        <v>32.8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6.02</v>
      </c>
      <c r="U9" s="32" t="n">
        <v>24.71</v>
      </c>
      <c r="V9" s="32" t="n">
        <v>17.64</v>
      </c>
      <c r="W9" s="32" t="n">
        <v>5.35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IF(B10=0,"",RANK(B10,$B$2:$B$40,0))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CUB</t>
        </is>
      </c>
      <c r="D10" s="31" t="inlineStr">
        <is>
          <t>City Union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23383.57</v>
      </c>
      <c r="I10" s="32" t="n">
        <v>238.48</v>
      </c>
      <c r="J10" s="32" t="n">
        <v>1.05</v>
      </c>
      <c r="K10" s="32" t="n">
        <v>6586154</v>
      </c>
      <c r="L10" s="31" t="n">
        <v>67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65.29000000000001</v>
      </c>
      <c r="P10" s="32" t="n">
        <v>39.88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6.02</v>
      </c>
      <c r="U10" s="32" t="n">
        <v>58.76</v>
      </c>
      <c r="V10" s="32" t="n">
        <v>49.75</v>
      </c>
      <c r="W10" s="32" t="n">
        <v>17.03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IF(B11=0,"",RANK(B11,$B$2:$B$40,0))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IIFL</t>
        </is>
      </c>
      <c r="D11" s="31" t="inlineStr">
        <is>
          <t>IIFL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27695.04</v>
      </c>
      <c r="I11" s="32" t="n">
        <v>654.05</v>
      </c>
      <c r="J11" s="32" t="n">
        <v>0.45</v>
      </c>
      <c r="K11" s="32" t="n">
        <v>4742061</v>
      </c>
      <c r="L11" s="31" t="n">
        <v>63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68.62</v>
      </c>
      <c r="P11" s="32" t="n">
        <v>32.06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6.02</v>
      </c>
      <c r="U11" s="32" t="n">
        <v>50.8</v>
      </c>
      <c r="V11" s="32" t="n">
        <v>42.24</v>
      </c>
      <c r="W11" s="32" t="n">
        <v>15.04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IF(B12=0,"",RANK(B12,$B$2:$B$40,0))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DCBBANK</t>
        </is>
      </c>
      <c r="D12" s="31" t="inlineStr">
        <is>
          <t>Dcb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7109.54</v>
      </c>
      <c r="I12" s="32" t="n">
        <v>221.31</v>
      </c>
      <c r="J12" s="32" t="n">
        <v>0.26</v>
      </c>
      <c r="K12" s="32" t="n">
        <v>877083</v>
      </c>
      <c r="L12" s="31" t="n">
        <v>72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71.44</v>
      </c>
      <c r="P12" s="32" t="n">
        <v>32.07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6.02</v>
      </c>
      <c r="U12" s="32" t="n">
        <v>78.42</v>
      </c>
      <c r="V12" s="32" t="n">
        <v>68.29000000000001</v>
      </c>
      <c r="W12" s="32" t="n">
        <v>18.78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IF(B13=0,"",RANK(B13,$B$2:$B$40,0))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RBLBANK</t>
        </is>
      </c>
      <c r="D13" s="31" t="inlineStr">
        <is>
          <t>Rbl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64164.5</v>
      </c>
      <c r="I13" s="32" t="n">
        <v>415</v>
      </c>
      <c r="J13" s="32" t="n">
        <v>0.16</v>
      </c>
      <c r="K13" s="32" t="n">
        <v>3484526</v>
      </c>
      <c r="L13" s="31" t="n">
        <v>56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68.23</v>
      </c>
      <c r="P13" s="32" t="n">
        <v>36.38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6.02</v>
      </c>
      <c r="U13" s="32" t="n">
        <v>51.06</v>
      </c>
      <c r="V13" s="32" t="n">
        <v>42.49</v>
      </c>
      <c r="W13" s="32" t="n">
        <v>12.53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IF(B14=0,"",RANK(B14,$B$2:$B$40,0))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CGCL</t>
        </is>
      </c>
      <c r="D14" s="31" t="inlineStr">
        <is>
          <t>Capri Global Capital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26930.69</v>
      </c>
      <c r="I14" s="32" t="n">
        <v>275.7</v>
      </c>
      <c r="J14" s="32" t="n">
        <v>-1.5</v>
      </c>
      <c r="K14" s="32" t="n">
        <v>6271786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74.16</v>
      </c>
      <c r="P14" s="32" t="n">
        <v>40.42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6.02</v>
      </c>
      <c r="U14" s="32" t="n">
        <v>52</v>
      </c>
      <c r="V14" s="32" t="n">
        <v>43.37</v>
      </c>
      <c r="W14" s="32" t="n">
        <v>17.98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IF(B15=0,"",RANK(B15,$B$2:$B$40,0))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TFCILTD</t>
        </is>
      </c>
      <c r="D15" s="31" t="inlineStr">
        <is>
          <t>Tourism Finance Corporation Of India Limited</t>
        </is>
      </c>
      <c r="E15" s="31" t="inlineStr">
        <is>
          <t>financials</t>
        </is>
      </c>
      <c r="F15" s="31" t="inlineStr">
        <is>
          <t>finance - term-lending institutions</t>
        </is>
      </c>
      <c r="G15" s="31" t="inlineStr">
        <is>
          <t>midcap</t>
        </is>
      </c>
      <c r="H15" s="32" t="n">
        <v>6632.61</v>
      </c>
      <c r="I15" s="32" t="n">
        <v>140.9</v>
      </c>
      <c r="J15" s="32" t="n">
        <v>-1.65</v>
      </c>
      <c r="K15" s="32" t="n">
        <v>4618937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86.02</v>
      </c>
      <c r="P15" s="32" t="n">
        <v>65.98999999999999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6.02</v>
      </c>
      <c r="U15" s="32" t="n">
        <v>108.08</v>
      </c>
      <c r="V15" s="32" t="n">
        <v>96.27</v>
      </c>
      <c r="W15" s="32" t="n">
        <v>38.42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IF(B16=0,"",RANK(B16,$B$2:$B$40,0))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KTKBANK</t>
        </is>
      </c>
      <c r="D16" s="31" t="inlineStr">
        <is>
          <t>The Karnataka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midcap</t>
        </is>
      </c>
      <c r="H16" s="32" t="n">
        <v>12862.7</v>
      </c>
      <c r="I16" s="32" t="n">
        <v>333.6</v>
      </c>
      <c r="J16" s="32" t="n">
        <v>-1.91</v>
      </c>
      <c r="K16" s="32" t="n">
        <v>1114008</v>
      </c>
      <c r="L16" s="31" t="n">
        <v>78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80.33</v>
      </c>
      <c r="P16" s="32" t="n">
        <v>50.7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6.02</v>
      </c>
      <c r="U16" s="32" t="n">
        <v>100.81</v>
      </c>
      <c r="V16" s="32" t="n">
        <v>89.42</v>
      </c>
      <c r="W16" s="32" t="n">
        <v>21.59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IF(B17=0,"",RANK(B17,$B$2:$B$40,0))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GEECEE</t>
        </is>
      </c>
      <c r="D17" s="33" t="inlineStr">
        <is>
          <t>Geecee Ventures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765.79</v>
      </c>
      <c r="I17" s="32" t="n">
        <v>370.85</v>
      </c>
      <c r="J17" s="32" t="n">
        <v>1.27</v>
      </c>
      <c r="K17" s="32" t="n">
        <v>2324</v>
      </c>
      <c r="L17" s="31" t="n">
        <v>18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60.05</v>
      </c>
      <c r="P17" s="32" t="n">
        <v>37.44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6.02</v>
      </c>
      <c r="U17" s="32" t="n">
        <v>-4.71</v>
      </c>
      <c r="V17" s="32" t="n">
        <v>-10.12</v>
      </c>
      <c r="W17" s="32" t="n">
        <v>2.26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IF(B18=0,"",RANK(B18,$B$2:$B$40,0))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CONSOFINVT</t>
        </is>
      </c>
      <c r="D18" s="31" t="inlineStr">
        <is>
          <t>Consolidated Finvest &amp; Holdings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931.97</v>
      </c>
      <c r="I18" s="32" t="n">
        <v>302.7</v>
      </c>
      <c r="J18" s="32" t="n">
        <v>4.99</v>
      </c>
      <c r="K18" s="32" t="n">
        <v>29631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66.56</v>
      </c>
      <c r="P18" s="32" t="n">
        <v>35.23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6.02</v>
      </c>
      <c r="U18" s="32" t="n">
        <v>47.96</v>
      </c>
      <c r="V18" s="32" t="n">
        <v>39.56</v>
      </c>
      <c r="W18" s="32" t="n">
        <v>14.12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IF(B19=0,"",RANK(B19,$B$2:$B$40,0))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HOMEFIRST</t>
        </is>
      </c>
      <c r="D19" s="33" t="inlineStr">
        <is>
          <t>Home First Finance Company India Ltd</t>
        </is>
      </c>
      <c r="E19" s="31" t="inlineStr">
        <is>
          <t>financials</t>
        </is>
      </c>
      <c r="F19" s="31" t="inlineStr">
        <is>
          <t>finance - housing</t>
        </is>
      </c>
      <c r="G19" s="31" t="inlineStr">
        <is>
          <t>midcap</t>
        </is>
      </c>
      <c r="H19" s="32" t="n">
        <v>12648.6</v>
      </c>
      <c r="I19" s="32" t="n">
        <v>1233.7</v>
      </c>
      <c r="J19" s="32" t="n">
        <v>1.95</v>
      </c>
      <c r="K19" s="32" t="n">
        <v>315751</v>
      </c>
      <c r="L19" s="31" t="n">
        <v>18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57.32</v>
      </c>
      <c r="P19" s="32" t="n">
        <v>31.13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6.02</v>
      </c>
      <c r="U19" s="32" t="n">
        <v>-3.6</v>
      </c>
      <c r="V19" s="32" t="n">
        <v>-9.07</v>
      </c>
      <c r="W19" s="32" t="n">
        <v>2.06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IF(B20=0,"",RANK(B20,$B$2:$B$40,0))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PNBHOUSING</t>
        </is>
      </c>
      <c r="D20" s="31" t="inlineStr">
        <is>
          <t>Pnb Housing Finance Limited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30384.79</v>
      </c>
      <c r="I20" s="32" t="n">
        <v>1182.1</v>
      </c>
      <c r="J20" s="32" t="n">
        <v>1.38</v>
      </c>
      <c r="K20" s="32" t="n">
        <v>721594</v>
      </c>
      <c r="L20" s="31" t="n">
        <v>57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68.22</v>
      </c>
      <c r="P20" s="32" t="n">
        <v>35.2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6.02</v>
      </c>
      <c r="U20" s="32" t="n">
        <v>48.43</v>
      </c>
      <c r="V20" s="32" t="n">
        <v>40.01</v>
      </c>
      <c r="W20" s="32" t="n">
        <v>12.86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IF(B21=0,"",RANK(B21,$B$2:$B$40,0))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IFCI</t>
        </is>
      </c>
      <c r="D21" s="31" t="inlineStr">
        <is>
          <t>Ifci Limited</t>
        </is>
      </c>
      <c r="E21" s="31" t="inlineStr">
        <is>
          <t>financials</t>
        </is>
      </c>
      <c r="F21" s="31" t="inlineStr">
        <is>
          <t>finance - term-lending institutions</t>
        </is>
      </c>
      <c r="G21" s="31" t="inlineStr">
        <is>
          <t>largecap</t>
        </is>
      </c>
      <c r="H21" s="32" t="n">
        <v>27314.96</v>
      </c>
      <c r="I21" s="32" t="n">
        <v>102.51</v>
      </c>
      <c r="J21" s="32" t="n">
        <v>1.11</v>
      </c>
      <c r="K21" s="32" t="n">
        <v>207830587</v>
      </c>
      <c r="L21" s="31" t="n">
        <v>77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73.54000000000001</v>
      </c>
      <c r="P21" s="32" t="n">
        <v>47.87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6.02</v>
      </c>
      <c r="U21" s="32" t="n">
        <v>93.36</v>
      </c>
      <c r="V21" s="32" t="n">
        <v>82.39</v>
      </c>
      <c r="W21" s="32" t="n">
        <v>21.05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IF(B22=0,"",RANK(B22,$B$2:$B$40,0))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NUVAMA</t>
        </is>
      </c>
      <c r="D22" s="31" t="inlineStr">
        <is>
          <t>Nuvama Wealth Management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33139.93</v>
      </c>
      <c r="I22" s="32" t="n">
        <v>1832.4</v>
      </c>
      <c r="J22" s="32" t="n">
        <v>0.93</v>
      </c>
      <c r="K22" s="32" t="n">
        <v>217617</v>
      </c>
      <c r="L22" s="31" t="n">
        <v>53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58.8</v>
      </c>
      <c r="P22" s="32" t="n">
        <v>40.11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6.02</v>
      </c>
      <c r="U22" s="32" t="n">
        <v>42.12</v>
      </c>
      <c r="V22" s="32" t="n">
        <v>34.06</v>
      </c>
      <c r="W22" s="32" t="n">
        <v>11.4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Above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IF(B23=0,"",RANK(B23,$B$2:$B$40,0))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NIACL</t>
        </is>
      </c>
      <c r="D23" s="31" t="inlineStr">
        <is>
          <t>New India Assurance Company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37889.17</v>
      </c>
      <c r="I23" s="32" t="n">
        <v>231.2</v>
      </c>
      <c r="J23" s="32" t="n">
        <v>0.5600000000000001</v>
      </c>
      <c r="K23" s="32" t="n">
        <v>23442397</v>
      </c>
      <c r="L23" s="31" t="n">
        <v>67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74.40000000000001</v>
      </c>
      <c r="P23" s="32" t="n">
        <v>33.14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6.02</v>
      </c>
      <c r="U23" s="32" t="n">
        <v>19</v>
      </c>
      <c r="V23" s="32" t="n">
        <v>12.25</v>
      </c>
      <c r="W23" s="32" t="n">
        <v>16.82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IF(B24=0,"",RANK(B24,$B$2:$B$40,0))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IDFCFIRSTB</t>
        </is>
      </c>
      <c r="D24" s="31" t="inlineStr">
        <is>
          <t>IDFC First Bank Ltd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74698.37</v>
      </c>
      <c r="I24" s="32" t="n">
        <v>86.44</v>
      </c>
      <c r="J24" s="32" t="n">
        <v>-0.31</v>
      </c>
      <c r="K24" s="32" t="n">
        <v>10617041</v>
      </c>
      <c r="L24" s="31" t="n">
        <v>44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65.23</v>
      </c>
      <c r="P24" s="32" t="n">
        <v>28.59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6.02</v>
      </c>
      <c r="U24" s="32" t="n">
        <v>19.79</v>
      </c>
      <c r="V24" s="32" t="n">
        <v>12.99</v>
      </c>
      <c r="W24" s="32" t="n">
        <v>8.34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IF(B25=0,"",RANK(B25,$B$2:$B$40,0))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KOTAKBANK</t>
        </is>
      </c>
      <c r="D25" s="31" t="inlineStr">
        <is>
          <t>Kotak Mahindra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422237.8</v>
      </c>
      <c r="I25" s="32" t="n">
        <v>422.1</v>
      </c>
      <c r="J25" s="32" t="n">
        <v>-0.57</v>
      </c>
      <c r="K25" s="32" t="n">
        <v>7148641</v>
      </c>
      <c r="L25" s="31" t="n">
        <v>28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62.22</v>
      </c>
      <c r="P25" s="32" t="n">
        <v>12.2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6.02</v>
      </c>
      <c r="U25" s="32" t="n">
        <v>9.289999999999999</v>
      </c>
      <c r="V25" s="32" t="n">
        <v>3.09</v>
      </c>
      <c r="W25" s="32" t="n">
        <v>4.65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IF(B26=0,"",RANK(B26,$B$2:$B$40,0))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MCX</t>
        </is>
      </c>
      <c r="D26" s="31" t="inlineStr">
        <is>
          <t>Multi Commodity Exchange Of India Limited</t>
        </is>
      </c>
      <c r="E26" s="31" t="inlineStr">
        <is>
          <t>financials</t>
        </is>
      </c>
      <c r="F26" s="31" t="inlineStr">
        <is>
          <t>miscellaneous</t>
        </is>
      </c>
      <c r="G26" s="31" t="inlineStr">
        <is>
          <t>largecap</t>
        </is>
      </c>
      <c r="H26" s="32" t="n">
        <v>83520.03</v>
      </c>
      <c r="I26" s="32" t="n">
        <v>3330.2</v>
      </c>
      <c r="J26" s="32" t="n">
        <v>1.67</v>
      </c>
      <c r="K26" s="32" t="n">
        <v>1889368</v>
      </c>
      <c r="L26" s="31" t="n">
        <v>77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67.17</v>
      </c>
      <c r="P26" s="32" t="n">
        <v>22.28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6.02</v>
      </c>
      <c r="U26" s="32" t="n">
        <v>115.86</v>
      </c>
      <c r="V26" s="32" t="n">
        <v>103.61</v>
      </c>
      <c r="W26" s="32" t="n">
        <v>20.75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IF(B27=0,"",RANK(B27,$B$2:$B$40,0))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ANGELONE</t>
        </is>
      </c>
      <c r="D27" s="31" t="inlineStr">
        <is>
          <t>Angel One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27387.3</v>
      </c>
      <c r="I27" s="32" t="n">
        <v>303.8</v>
      </c>
      <c r="J27" s="32" t="n">
        <v>1.33</v>
      </c>
      <c r="K27" s="32" t="n">
        <v>7522794</v>
      </c>
      <c r="L27" s="31" t="n">
        <v>36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50.28</v>
      </c>
      <c r="P27" s="32" t="n">
        <v>14.01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6.02</v>
      </c>
      <c r="U27" s="32" t="n">
        <v>33.05</v>
      </c>
      <c r="V27" s="32" t="n">
        <v>25.5</v>
      </c>
      <c r="W27" s="32" t="n">
        <v>6.46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IF(B28=0,"",RANK(B28,$B$2:$B$40,0))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ANANDRATHI</t>
        </is>
      </c>
      <c r="D28" s="31" t="inlineStr">
        <is>
          <t>Anand Rathi Wealth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36793.08</v>
      </c>
      <c r="I28" s="32" t="n">
        <v>2224</v>
      </c>
      <c r="J28" s="32" t="n">
        <v>0.37</v>
      </c>
      <c r="K28" s="32" t="n">
        <v>270161</v>
      </c>
      <c r="L28" s="31" t="n">
        <v>61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76.63</v>
      </c>
      <c r="P28" s="32" t="n">
        <v>59.02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6.02</v>
      </c>
      <c r="U28" s="32" t="n">
        <v>51.23</v>
      </c>
      <c r="V28" s="32" t="n">
        <v>42.65</v>
      </c>
      <c r="W28" s="32" t="n">
        <v>14.34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Above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IF(B29=0,"",RANK(B29,$B$2:$B$40,0))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EDELWEISS</t>
        </is>
      </c>
      <c r="D29" s="31" t="inlineStr">
        <is>
          <t>Edelweiss Financial Services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midcap</t>
        </is>
      </c>
      <c r="H29" s="32" t="n">
        <v>12880.4</v>
      </c>
      <c r="I29" s="32" t="n">
        <v>132.72</v>
      </c>
      <c r="J29" s="32" t="n">
        <v>-2.47</v>
      </c>
      <c r="K29" s="32" t="n">
        <v>21562787</v>
      </c>
      <c r="L29" s="31" t="n">
        <v>40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64.33</v>
      </c>
      <c r="P29" s="32" t="n">
        <v>17.17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6.02</v>
      </c>
      <c r="U29" s="32" t="n">
        <v>18.57</v>
      </c>
      <c r="V29" s="32" t="n">
        <v>11.85</v>
      </c>
      <c r="W29" s="32" t="n">
        <v>7.57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IF(B30=0,"",RANK(B30,$B$2:$B$40,0))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SUNDARMFIN</t>
        </is>
      </c>
      <c r="D30" s="33" t="inlineStr">
        <is>
          <t>Sundaram Finance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51648.85</v>
      </c>
      <c r="I30" s="32" t="n">
        <v>4708.3</v>
      </c>
      <c r="J30" s="32" t="n">
        <v>1.28</v>
      </c>
      <c r="K30" s="32" t="n">
        <v>49899</v>
      </c>
      <c r="L30" s="31" t="n">
        <v>27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51.35</v>
      </c>
      <c r="P30" s="32" t="n">
        <v>10.13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6.02</v>
      </c>
      <c r="U30" s="32" t="n">
        <v>3.3</v>
      </c>
      <c r="V30" s="32" t="n">
        <v>-2.56</v>
      </c>
      <c r="W30" s="32" t="n">
        <v>4.39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IF(B31=0,"",RANK(B31,$B$2:$B$40,0))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GEOJITFSL</t>
        </is>
      </c>
      <c r="D31" s="31" t="inlineStr">
        <is>
          <t>Geojit Financial Services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2308.9</v>
      </c>
      <c r="I31" s="32" t="n">
        <v>82.78</v>
      </c>
      <c r="J31" s="32" t="n">
        <v>0.07000000000000001</v>
      </c>
      <c r="K31" s="32" t="n">
        <v>197271</v>
      </c>
      <c r="L31" s="31" t="n">
        <v>29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63.97</v>
      </c>
      <c r="P31" s="32" t="n">
        <v>14.91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6.02</v>
      </c>
      <c r="U31" s="32" t="n">
        <v>10.78</v>
      </c>
      <c r="V31" s="32" t="n">
        <v>4.5</v>
      </c>
      <c r="W31" s="32" t="n">
        <v>4.97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IF(B32=0,"",RANK(B32,$B$2:$B$40,0))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RELIGARE</t>
        </is>
      </c>
      <c r="D32" s="33" t="inlineStr">
        <is>
          <t>Religare Enterprises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8772.440000000001</v>
      </c>
      <c r="I32" s="32" t="n">
        <v>255.45</v>
      </c>
      <c r="J32" s="32" t="n">
        <v>-0.63</v>
      </c>
      <c r="K32" s="32" t="n">
        <v>1240789</v>
      </c>
      <c r="L32" s="31" t="n">
        <v>23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56.64</v>
      </c>
      <c r="P32" s="32" t="n">
        <v>17.85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6.02</v>
      </c>
      <c r="U32" s="32" t="n">
        <v>1.55</v>
      </c>
      <c r="V32" s="32" t="n">
        <v>-4.21</v>
      </c>
      <c r="W32" s="32" t="n">
        <v>3.29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IF(B33=0,"",RANK(B33,$B$2:$B$40,0))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SBFC</t>
        </is>
      </c>
      <c r="D33" s="33" t="inlineStr">
        <is>
          <t>SBFC Finance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midcap</t>
        </is>
      </c>
      <c r="H33" s="32" t="n">
        <v>11081.93</v>
      </c>
      <c r="I33" s="32" t="n">
        <v>98.48</v>
      </c>
      <c r="J33" s="32" t="n">
        <v>-1.6</v>
      </c>
      <c r="K33" s="32" t="n">
        <v>647488</v>
      </c>
      <c r="L33" s="31" t="n">
        <v>12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57.49</v>
      </c>
      <c r="P33" s="32" t="n">
        <v>14.58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6.02</v>
      </c>
      <c r="U33" s="32" t="n">
        <v>-6.31</v>
      </c>
      <c r="V33" s="32" t="n">
        <v>-11.63</v>
      </c>
      <c r="W33" s="32" t="n">
        <v>0.43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IF(B34=0,"",RANK(B34,$B$2:$B$40,0))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VHL</t>
        </is>
      </c>
      <c r="D34" s="33" t="inlineStr">
        <is>
          <t>Vardhman Holdings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smallcap</t>
        </is>
      </c>
      <c r="H34" s="32" t="n">
        <v>1157.38</v>
      </c>
      <c r="I34" s="32" t="n">
        <v>3620.8</v>
      </c>
      <c r="J34" s="32" t="n">
        <v>-0.15</v>
      </c>
      <c r="K34" s="32" t="n">
        <v>193</v>
      </c>
      <c r="L34" s="31" t="n">
        <v>11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56.56</v>
      </c>
      <c r="P34" s="32" t="n">
        <v>8.359999999999999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6.02</v>
      </c>
      <c r="U34" s="32" t="n">
        <v>-9.68</v>
      </c>
      <c r="V34" s="32" t="n">
        <v>-14.8</v>
      </c>
      <c r="W34" s="32" t="n">
        <v>-0.3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IF(B35=0,"",RANK(B35,$B$2:$B$40,0))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LICHSGFIN</t>
        </is>
      </c>
      <c r="D35" s="33" t="inlineStr">
        <is>
          <t>Lic Housing Finance Limited</t>
        </is>
      </c>
      <c r="E35" s="31" t="inlineStr">
        <is>
          <t>financials</t>
        </is>
      </c>
      <c r="F35" s="31" t="inlineStr">
        <is>
          <t>finance - housing</t>
        </is>
      </c>
      <c r="G35" s="31" t="inlineStr">
        <is>
          <t>largecap</t>
        </is>
      </c>
      <c r="H35" s="32" t="n">
        <v>30916.29</v>
      </c>
      <c r="I35" s="32" t="n">
        <v>552</v>
      </c>
      <c r="J35" s="32" t="n">
        <v>-1.79</v>
      </c>
      <c r="K35" s="32" t="n">
        <v>1618855</v>
      </c>
      <c r="L35" s="31" t="n">
        <v>15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59.94</v>
      </c>
      <c r="P35" s="32" t="n">
        <v>14.34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6.02</v>
      </c>
      <c r="U35" s="32" t="n">
        <v>3.45</v>
      </c>
      <c r="V35" s="32" t="n">
        <v>-2.42</v>
      </c>
      <c r="W35" s="32" t="n">
        <v>1.64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IF(B36=0,"",RANK(B36,$B$2:$B$40,0))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MOTILALOFS</t>
        </is>
      </c>
      <c r="D36" s="31" t="inlineStr">
        <is>
          <t>Motilal Oswal Financial Services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62442.61</v>
      </c>
      <c r="I36" s="32" t="n">
        <v>1055</v>
      </c>
      <c r="J36" s="32" t="n">
        <v>1.74</v>
      </c>
      <c r="K36" s="32" t="n">
        <v>1551861</v>
      </c>
      <c r="L36" s="31" t="n">
        <v>46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65.61</v>
      </c>
      <c r="P36" s="32" t="n">
        <v>17.84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6.02</v>
      </c>
      <c r="U36" s="32" t="n">
        <v>19.74</v>
      </c>
      <c r="V36" s="32" t="n">
        <v>12.94</v>
      </c>
      <c r="W36" s="32" t="n">
        <v>8.970000000000001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IF(B37=0,"",RANK(B37,$B$2:$B$40,0))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IIFLCAPS</t>
        </is>
      </c>
      <c r="D37" s="31" t="inlineStr">
        <is>
          <t>IIFL Capital Services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midcap</t>
        </is>
      </c>
      <c r="H37" s="32" t="n">
        <v>10694.93</v>
      </c>
      <c r="I37" s="32" t="n">
        <v>340.45</v>
      </c>
      <c r="J37" s="32" t="n">
        <v>-0.22</v>
      </c>
      <c r="K37" s="32" t="n">
        <v>565824</v>
      </c>
      <c r="L37" s="31" t="n">
        <v>22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55.92</v>
      </c>
      <c r="P37" s="32" t="n">
        <v>16.85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6.02</v>
      </c>
      <c r="U37" s="32" t="n">
        <v>15.2</v>
      </c>
      <c r="V37" s="32" t="n">
        <v>8.66</v>
      </c>
      <c r="W37" s="32" t="n">
        <v>2.9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IF(B38=0,"",RANK(B38,$B$2:$B$40,0))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CARERATING</t>
        </is>
      </c>
      <c r="D38" s="31" t="inlineStr">
        <is>
          <t>CARE Ratings Ltd</t>
        </is>
      </c>
      <c r="E38" s="31" t="inlineStr">
        <is>
          <t>financials</t>
        </is>
      </c>
      <c r="F38" s="31" t="inlineStr">
        <is>
          <t>miscellaneous</t>
        </is>
      </c>
      <c r="G38" s="31" t="inlineStr">
        <is>
          <t>midcap</t>
        </is>
      </c>
      <c r="H38" s="32" t="n">
        <v>5225.1</v>
      </c>
      <c r="I38" s="32" t="n">
        <v>1729.3</v>
      </c>
      <c r="J38" s="32" t="n">
        <v>-0.51</v>
      </c>
      <c r="K38" s="32" t="n">
        <v>92927</v>
      </c>
      <c r="L38" s="31" t="n">
        <v>25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58.35</v>
      </c>
      <c r="P38" s="32" t="n">
        <v>16.77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6.02</v>
      </c>
      <c r="U38" s="32" t="n">
        <v>10.03</v>
      </c>
      <c r="V38" s="32" t="n">
        <v>3.79</v>
      </c>
      <c r="W38" s="32" t="n">
        <v>3.8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IF(B39=0,"",RANK(B39,$B$2:$B$40,0))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CDSL</t>
        </is>
      </c>
      <c r="D39" s="33" t="inlineStr">
        <is>
          <t>Central Depository Services Ltd</t>
        </is>
      </c>
      <c r="E39" s="31" t="inlineStr">
        <is>
          <t>financials</t>
        </is>
      </c>
      <c r="F39" s="31" t="inlineStr">
        <is>
          <t>miscellaneous</t>
        </is>
      </c>
      <c r="G39" s="31" t="inlineStr">
        <is>
          <t>largecap</t>
        </is>
      </c>
      <c r="H39" s="32" t="n">
        <v>29147.14</v>
      </c>
      <c r="I39" s="32" t="n">
        <v>1414.9</v>
      </c>
      <c r="J39" s="32" t="n">
        <v>1.46</v>
      </c>
      <c r="K39" s="32" t="n">
        <v>2731594</v>
      </c>
      <c r="L39" s="31" t="n">
        <v>19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55.62</v>
      </c>
      <c r="P39" s="32" t="n">
        <v>10.51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6.02</v>
      </c>
      <c r="U39" s="32" t="n">
        <v>-7.62</v>
      </c>
      <c r="V39" s="32" t="n">
        <v>-12.86</v>
      </c>
      <c r="W39" s="32" t="n">
        <v>2.27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IF(B40=0,"",RANK(B40,$B$2:$B$40,0))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CRISIL</t>
        </is>
      </c>
      <c r="D40" s="33" t="inlineStr">
        <is>
          <t>Crisil Limited</t>
        </is>
      </c>
      <c r="E40" s="31" t="inlineStr">
        <is>
          <t>financials</t>
        </is>
      </c>
      <c r="F40" s="31" t="inlineStr">
        <is>
          <t>miscellaneous</t>
        </is>
      </c>
      <c r="G40" s="31" t="inlineStr">
        <is>
          <t>largecap</t>
        </is>
      </c>
      <c r="H40" s="32" t="n">
        <v>35117.03</v>
      </c>
      <c r="I40" s="32" t="n">
        <v>4786.6</v>
      </c>
      <c r="J40" s="32" t="n">
        <v>-0.32</v>
      </c>
      <c r="K40" s="32" t="n">
        <v>26082</v>
      </c>
      <c r="L40" s="31" t="n">
        <v>29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64.87</v>
      </c>
      <c r="P40" s="32" t="n">
        <v>14.83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6.02</v>
      </c>
      <c r="U40" s="32" t="n">
        <v>-2.67</v>
      </c>
      <c r="V40" s="32" t="n">
        <v>-8.19</v>
      </c>
      <c r="W40" s="32" t="n">
        <v>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</sheetData>
  <autoFilter ref="A1:CA40"/>
  <conditionalFormatting sqref="B2:B4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0">
    <cfRule type="cellIs" priority="34" operator="equal" dxfId="3" stopIfTrue="1">
      <formula>"Underperforming"</formula>
    </cfRule>
  </conditionalFormatting>
  <conditionalFormatting sqref="N2:N40">
    <cfRule type="cellIs" priority="35" operator="equal" dxfId="3" stopIfTrue="1">
      <formula>-5</formula>
    </cfRule>
  </conditionalFormatting>
  <conditionalFormatting sqref="Q2:Q4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0" showDropDown="0" showInputMessage="0" showErrorMessage="0" allowBlank="1" type="list">
      <formula1>"Growing Industry,Stagnant Industry,Cyclical in an Upturn"</formula1>
    </dataValidation>
    <dataValidation sqref="Z2:Z40" showDropDown="0" showInputMessage="0" showErrorMessage="0" allowBlank="1" type="list">
      <formula1>"Fragmented with Low ROE,Fragmented with High ROE,Highly Cyclical"</formula1>
    </dataValidation>
    <dataValidation sqref="AB2:AB40" showDropDown="0" showInputMessage="0" showErrorMessage="0" allowBlank="1" type="list">
      <formula1>"Yes,No"</formula1>
    </dataValidation>
    <dataValidation sqref="AD2:AD40" showDropDown="0" showInputMessage="0" showErrorMessage="0" allowBlank="1" type="list">
      <formula1>"Tailwind,Headwind"</formula1>
    </dataValidation>
    <dataValidation sqref="AF2:AF4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0" showDropDown="0" showInputMessage="0" showErrorMessage="0" allowBlank="1" type="list">
      <formula1>"Yes,No"</formula1>
    </dataValidation>
    <dataValidation sqref="AJ2:AJ40" showDropDown="0" showInputMessage="0" showErrorMessage="0" allowBlank="1" type="list">
      <formula1>"Yes,No,Not Applicable"</formula1>
    </dataValidation>
    <dataValidation sqref="AL2:AL40" showDropDown="0" showInputMessage="0" showErrorMessage="0" allowBlank="1" type="list">
      <formula1>"Yes,No"</formula1>
    </dataValidation>
    <dataValidation sqref="AN2:AN40" showDropDown="0" showInputMessage="0" showErrorMessage="0" allowBlank="1" type="list">
      <formula1>"Yes,No"</formula1>
    </dataValidation>
    <dataValidation sqref="AP2:AP40" showDropDown="0" showInputMessage="0" showErrorMessage="0" allowBlank="1" type="list">
      <formula1>"Yes,No"</formula1>
    </dataValidation>
    <dataValidation sqref="AR2:AR40" showDropDown="0" showInputMessage="0" showErrorMessage="0" allowBlank="1" type="list">
      <formula1>"Yes,No"</formula1>
    </dataValidation>
    <dataValidation sqref="AT2:AT40" showDropDown="0" showInputMessage="0" showErrorMessage="0" allowBlank="1" type="list">
      <formula1>"No,Yes"</formula1>
    </dataValidation>
    <dataValidation sqref="AV2:AV40" showDropDown="0" showInputMessage="0" showErrorMessage="0" allowBlank="1" type="list">
      <formula1>"No,Yes"</formula1>
    </dataValidation>
    <dataValidation sqref="AX2:AX40" showDropDown="0" showInputMessage="0" showErrorMessage="0" allowBlank="1" type="list">
      <formula1>"No,Yes CEO Resignation,Yes CEO Retirement"</formula1>
    </dataValidation>
    <dataValidation sqref="AZ2:AZ40" showDropDown="0" showInputMessage="0" showErrorMessage="0" allowBlank="1" type="list">
      <formula1>"No,Yes"</formula1>
    </dataValidation>
    <dataValidation sqref="BB2:BB40" showDropDown="0" showInputMessage="0" showErrorMessage="0" allowBlank="1" type="list">
      <formula1>"No,Yes"</formula1>
    </dataValidation>
    <dataValidation sqref="BD2:BD40" showDropDown="0" showInputMessage="0" showErrorMessage="0" allowBlank="1" type="list">
      <formula1>"Yes,No"</formula1>
    </dataValidation>
    <dataValidation sqref="BF2:BF40" showDropDown="0" showInputMessage="0" showErrorMessage="0" allowBlank="1" type="list">
      <formula1>"Yes,No"</formula1>
    </dataValidation>
    <dataValidation sqref="BH2:BH40" showDropDown="0" showInputMessage="0" showErrorMessage="0" allowBlank="1" type="list">
      <formula1>"Yes,No"</formula1>
    </dataValidation>
    <dataValidation sqref="BJ2:BJ4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0" showDropDown="0" showInputMessage="0" showErrorMessage="0" allowBlank="1" type="list">
      <formula1>"Above 40,20 to 40,0 to 20"</formula1>
    </dataValidation>
    <dataValidation sqref="BN2:BN40" showDropDown="0" showInputMessage="0" showErrorMessage="0" allowBlank="1" type="list">
      <formula1>"Between 50 to 75,Above 75,Below 45"</formula1>
    </dataValidation>
    <dataValidation sqref="BP2:BP40" showDropDown="0" showInputMessage="0" showErrorMessage="0" allowBlank="1" type="list">
      <formula1>"Stage 1,Stage 2,Stage 3,Stage 4"</formula1>
    </dataValidation>
    <dataValidation sqref="BR2:BR40" showDropDown="0" showInputMessage="0" showErrorMessage="0" allowBlank="1" type="list">
      <formula1>"Positive Trend,Negative Trend"</formula1>
    </dataValidation>
    <dataValidation sqref="BT2:BT40" showDropDown="0" showInputMessage="0" showErrorMessage="0" allowBlank="1" type="list">
      <formula1>"Uptrend,Sideways,Downtrend"</formula1>
    </dataValidation>
    <dataValidation sqref="BV2:BV40" showDropDown="0" showInputMessage="0" showErrorMessage="0" allowBlank="1" type="list">
      <formula1>"Uptrend,Sideways,Downtrend"</formula1>
    </dataValidation>
    <dataValidation sqref="BX2:BX4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138.5</v>
      </c>
      <c r="E2" s="32" t="inlineStr">
        <is>
          <t>5%</t>
        </is>
      </c>
      <c r="F2" s="32" t="n">
        <v>50000</v>
      </c>
      <c r="G2" s="32" t="n">
        <v>145</v>
      </c>
      <c r="H2" s="31" t="inlineStr">
        <is>
          <t>ARTEMISMED</t>
        </is>
      </c>
      <c r="I2" s="31" t="inlineStr">
        <is>
          <t>Artemis Medicare Services Ltd</t>
        </is>
      </c>
      <c r="J2" s="31" t="inlineStr">
        <is>
          <t>healthcare</t>
        </is>
      </c>
      <c r="K2" s="31" t="inlineStr">
        <is>
          <t>healthcare</t>
        </is>
      </c>
      <c r="L2" s="31" t="inlineStr">
        <is>
          <t>midcap</t>
        </is>
      </c>
      <c r="M2" s="32" t="n">
        <v>5268.43</v>
      </c>
      <c r="N2" s="32" t="n">
        <v>343.5</v>
      </c>
      <c r="O2" s="32" t="n">
        <v>3.22</v>
      </c>
      <c r="P2" s="32" t="n">
        <v>782569</v>
      </c>
      <c r="Q2" s="31" t="n">
        <v>60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74.54000000000001</v>
      </c>
      <c r="U2" s="32" t="n">
        <v>37.78</v>
      </c>
      <c r="V2" s="32" t="n">
        <v>283.45</v>
      </c>
      <c r="W2" s="31" t="inlineStr">
        <is>
          <t>Near 52W High Breakout</t>
        </is>
      </c>
      <c r="X2" s="31" t="inlineStr">
        <is>
          <t>Nifty Pharma</t>
        </is>
      </c>
      <c r="Y2" s="32" t="n">
        <v>20.77</v>
      </c>
      <c r="Z2" s="32" t="n">
        <v>46.57</v>
      </c>
      <c r="AA2" s="32" t="n">
        <v>21.37</v>
      </c>
      <c r="AB2" s="32" t="n">
        <v>13.75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30</v>
      </c>
      <c r="H3" s="31" t="inlineStr">
        <is>
          <t>SYRMA</t>
        </is>
      </c>
      <c r="I3" s="31" t="inlineStr">
        <is>
          <t>Syrma SGS Technology Ltd</t>
        </is>
      </c>
      <c r="J3" s="31" t="inlineStr">
        <is>
          <t>consumer discretionary</t>
        </is>
      </c>
      <c r="K3" s="31" t="inlineStr">
        <is>
          <t>electronics - components</t>
        </is>
      </c>
      <c r="L3" s="31" t="inlineStr">
        <is>
          <t>largecap</t>
        </is>
      </c>
      <c r="M3" s="32" t="n">
        <v>28101.19</v>
      </c>
      <c r="N3" s="32" t="n">
        <v>1634.8</v>
      </c>
      <c r="O3" s="32" t="n">
        <v>12.18</v>
      </c>
      <c r="P3" s="32" t="n">
        <v>13079561</v>
      </c>
      <c r="Q3" s="31" t="n">
        <v>71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67.20999999999999</v>
      </c>
      <c r="U3" s="32" t="n">
        <v>59.81</v>
      </c>
      <c r="V3" s="32" t="inlineStr"/>
      <c r="W3" s="31" t="inlineStr">
        <is>
          <t>Volume Spike / Accumulation</t>
        </is>
      </c>
      <c r="X3" s="31" t="inlineStr">
        <is>
          <t>Nifty 50</t>
        </is>
      </c>
      <c r="Y3" s="32" t="n">
        <v>-3.41</v>
      </c>
      <c r="Z3" s="32" t="n">
        <v>75.81999999999999</v>
      </c>
      <c r="AA3" s="32" t="n">
        <v>82.02</v>
      </c>
      <c r="AB3" s="32" t="n">
        <v>18.19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139.1</v>
      </c>
      <c r="E4" s="32" t="inlineStr">
        <is>
          <t>5%</t>
        </is>
      </c>
      <c r="F4" s="32" t="n">
        <v>50000</v>
      </c>
      <c r="G4" s="32" t="n">
        <v>132</v>
      </c>
      <c r="H4" s="31" t="inlineStr">
        <is>
          <t>REDINGTON</t>
        </is>
      </c>
      <c r="I4" s="31" t="inlineStr">
        <is>
          <t>Redington (india) Limited</t>
        </is>
      </c>
      <c r="J4" s="31" t="inlineStr">
        <is>
          <t>services</t>
        </is>
      </c>
      <c r="K4" s="31" t="inlineStr">
        <is>
          <t>trading</t>
        </is>
      </c>
      <c r="L4" s="31" t="inlineStr">
        <is>
          <t>largecap</t>
        </is>
      </c>
      <c r="M4" s="32" t="n">
        <v>29027.28</v>
      </c>
      <c r="N4" s="32" t="n">
        <v>378.2</v>
      </c>
      <c r="O4" s="32" t="n">
        <v>1.86</v>
      </c>
      <c r="P4" s="32" t="n">
        <v>5166393</v>
      </c>
      <c r="Q4" s="31" t="n">
        <v>83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71.45</v>
      </c>
      <c r="U4" s="32" t="n">
        <v>44.4</v>
      </c>
      <c r="V4" s="32" t="inlineStr"/>
      <c r="W4" s="31" t="inlineStr">
        <is>
          <t>Earnings / Momentum Support</t>
        </is>
      </c>
      <c r="X4" s="31" t="inlineStr">
        <is>
          <t>Nifty 50</t>
        </is>
      </c>
      <c r="Y4" s="32" t="n">
        <v>-3.41</v>
      </c>
      <c r="Z4" s="32" t="n">
        <v>60.24</v>
      </c>
      <c r="AA4" s="32" t="n">
        <v>65.89</v>
      </c>
      <c r="AB4" s="32" t="n">
        <v>23.94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63</v>
      </c>
      <c r="H5" s="31" t="inlineStr">
        <is>
          <t>MSTCLTD</t>
        </is>
      </c>
      <c r="I5" s="31" t="inlineStr">
        <is>
          <t>MSTC Ltd</t>
        </is>
      </c>
      <c r="J5" s="31" t="inlineStr">
        <is>
          <t>i.t</t>
        </is>
      </c>
      <c r="K5" s="31" t="inlineStr">
        <is>
          <t>trading</t>
        </is>
      </c>
      <c r="L5" s="31" t="inlineStr">
        <is>
          <t>midcap</t>
        </is>
      </c>
      <c r="M5" s="32" t="n">
        <v>5168.77</v>
      </c>
      <c r="N5" s="32" t="n">
        <v>785.65</v>
      </c>
      <c r="O5" s="32" t="n">
        <v>7.01</v>
      </c>
      <c r="P5" s="32" t="n">
        <v>1016067</v>
      </c>
      <c r="Q5" s="31" t="n">
        <v>72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66.89</v>
      </c>
      <c r="U5" s="32" t="n">
        <v>46.83</v>
      </c>
      <c r="V5" s="32" t="inlineStr"/>
      <c r="W5" s="31" t="inlineStr">
        <is>
          <t>Earnings / Momentum Support</t>
        </is>
      </c>
      <c r="X5" s="31" t="inlineStr">
        <is>
          <t>Nifty IT</t>
        </is>
      </c>
      <c r="Y5" s="32" t="n">
        <v>-11.38</v>
      </c>
      <c r="Z5" s="32" t="n">
        <v>49</v>
      </c>
      <c r="AA5" s="32" t="n">
        <v>68.13</v>
      </c>
      <c r="AB5" s="32" t="n">
        <v>18.4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94</v>
      </c>
      <c r="H6" s="31" t="inlineStr">
        <is>
          <t>TBZ</t>
        </is>
      </c>
      <c r="I6" s="31" t="inlineStr">
        <is>
          <t>Tribhovandas Bhimji Zaveri Limited</t>
        </is>
      </c>
      <c r="J6" s="31" t="inlineStr">
        <is>
          <t>consumer discretionary</t>
        </is>
      </c>
      <c r="K6" s="31" t="inlineStr">
        <is>
          <t>diamond cutting / jewellery</t>
        </is>
      </c>
      <c r="L6" s="31" t="inlineStr">
        <is>
          <t>smallcap</t>
        </is>
      </c>
      <c r="M6" s="32" t="n">
        <v>3208.74</v>
      </c>
      <c r="N6" s="32" t="n">
        <v>528.9</v>
      </c>
      <c r="O6" s="32" t="n">
        <v>9.99</v>
      </c>
      <c r="P6" s="32" t="n">
        <v>318752</v>
      </c>
      <c r="Q6" s="31" t="n">
        <v>99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88.41</v>
      </c>
      <c r="U6" s="32" t="n">
        <v>52.22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-3.41</v>
      </c>
      <c r="Z6" s="32" t="n">
        <v>163.8</v>
      </c>
      <c r="AA6" s="32" t="n">
        <v>173.11</v>
      </c>
      <c r="AB6" s="32" t="n">
        <v>74.81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Between 0.7 to 1.2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</v>
      </c>
      <c r="E7" s="32" t="inlineStr">
        <is>
          <t>5%</t>
        </is>
      </c>
      <c r="F7" s="32" t="n">
        <v>50000</v>
      </c>
      <c r="G7" s="32" t="n">
        <v>11</v>
      </c>
      <c r="H7" s="31" t="inlineStr">
        <is>
          <t>CENTUM</t>
        </is>
      </c>
      <c r="I7" s="31" t="inlineStr">
        <is>
          <t>Centum Electronics Limited</t>
        </is>
      </c>
      <c r="J7" s="31" t="inlineStr">
        <is>
          <t>aerospace &amp; defence</t>
        </is>
      </c>
      <c r="K7" s="31" t="inlineStr">
        <is>
          <t>electronics - components</t>
        </is>
      </c>
      <c r="L7" s="31" t="inlineStr">
        <is>
          <t>midcap</t>
        </is>
      </c>
      <c r="M7" s="32" t="n">
        <v>5560.16</v>
      </c>
      <c r="N7" s="32" t="n">
        <v>4376.9</v>
      </c>
      <c r="O7" s="32" t="n">
        <v>16.18</v>
      </c>
      <c r="P7" s="32" t="n">
        <v>827315</v>
      </c>
      <c r="Q7" s="31" t="n">
        <v>45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62.8</v>
      </c>
      <c r="U7" s="32" t="n">
        <v>50.45</v>
      </c>
      <c r="V7" s="32" t="inlineStr"/>
      <c r="W7" s="31" t="inlineStr">
        <is>
          <t>Volume Spike / Accumulation</t>
        </is>
      </c>
      <c r="X7" s="31" t="inlineStr">
        <is>
          <t>Nifty 50</t>
        </is>
      </c>
      <c r="Y7" s="32" t="n">
        <v>-3.41</v>
      </c>
      <c r="Z7" s="32" t="n">
        <v>27.21</v>
      </c>
      <c r="AA7" s="32" t="n">
        <v>31.7</v>
      </c>
      <c r="AB7" s="32" t="n">
        <v>8.59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138.7</v>
      </c>
      <c r="E8" s="32" t="inlineStr">
        <is>
          <t>5%</t>
        </is>
      </c>
      <c r="F8" s="32" t="n">
        <v>50000</v>
      </c>
      <c r="G8" s="32" t="n">
        <v>45</v>
      </c>
      <c r="H8" s="31" t="inlineStr">
        <is>
          <t>SAKAR</t>
        </is>
      </c>
      <c r="I8" s="31" t="inlineStr">
        <is>
          <t>Sakar Healthcare Ltd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smallcap</t>
        </is>
      </c>
      <c r="M8" s="32" t="n">
        <v>2255.92</v>
      </c>
      <c r="N8" s="32" t="n">
        <v>1109.2</v>
      </c>
      <c r="O8" s="32" t="n">
        <v>9.4</v>
      </c>
      <c r="P8" s="32" t="n">
        <v>339553</v>
      </c>
      <c r="Q8" s="31" t="n">
        <v>92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70.89</v>
      </c>
      <c r="U8" s="32" t="n">
        <v>51.4</v>
      </c>
      <c r="V8" s="32" t="inlineStr"/>
      <c r="W8" s="31" t="inlineStr">
        <is>
          <t>Earnings / Momentum Support</t>
        </is>
      </c>
      <c r="X8" s="31" t="inlineStr">
        <is>
          <t>Nifty Pharma</t>
        </is>
      </c>
      <c r="Y8" s="32" t="n">
        <v>20.77</v>
      </c>
      <c r="Z8" s="32" t="n">
        <v>205.07</v>
      </c>
      <c r="AA8" s="32" t="n">
        <v>152.61</v>
      </c>
      <c r="AB8" s="32" t="n">
        <v>32.45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139.5</v>
      </c>
      <c r="E9" s="32" t="inlineStr">
        <is>
          <t>5%</t>
        </is>
      </c>
      <c r="F9" s="32" t="n">
        <v>50000</v>
      </c>
      <c r="G9" s="32" t="n">
        <v>3205</v>
      </c>
      <c r="H9" s="31" t="inlineStr">
        <is>
          <t>IDEA</t>
        </is>
      </c>
      <c r="I9" s="31" t="inlineStr">
        <is>
          <t>Vodafone Idea Ltd</t>
        </is>
      </c>
      <c r="J9" s="31" t="inlineStr">
        <is>
          <t>telecom-service</t>
        </is>
      </c>
      <c r="K9" s="31" t="inlineStr">
        <is>
          <t>telecommunications - service provider</t>
        </is>
      </c>
      <c r="L9" s="31" t="inlineStr">
        <is>
          <t>largecap</t>
        </is>
      </c>
      <c r="M9" s="32" t="n">
        <v>162731.24</v>
      </c>
      <c r="N9" s="32" t="n">
        <v>15.6</v>
      </c>
      <c r="O9" s="32" t="n">
        <v>3.86</v>
      </c>
      <c r="P9" s="32" t="n">
        <v>695355022</v>
      </c>
      <c r="Q9" s="31" t="n">
        <v>72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66.29000000000001</v>
      </c>
      <c r="U9" s="32" t="n">
        <v>33.7</v>
      </c>
      <c r="V9" s="32" t="inlineStr"/>
      <c r="W9" s="31" t="inlineStr">
        <is>
          <t>Earnings / Momentum Support</t>
        </is>
      </c>
      <c r="X9" s="31" t="inlineStr">
        <is>
          <t>Nifty 50</t>
        </is>
      </c>
      <c r="Y9" s="32" t="n">
        <v>-3.41</v>
      </c>
      <c r="Z9" s="32" t="n">
        <v>107.75</v>
      </c>
      <c r="AA9" s="32" t="n">
        <v>115.08</v>
      </c>
      <c r="AB9" s="32" t="n">
        <v>18.41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Oligopoly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139.2</v>
      </c>
      <c r="E10" s="32" t="inlineStr">
        <is>
          <t>5%</t>
        </is>
      </c>
      <c r="F10" s="32" t="n">
        <v>50000</v>
      </c>
      <c r="G10" s="32" t="n">
        <v>72</v>
      </c>
      <c r="H10" s="33" t="inlineStr">
        <is>
          <t>WSTCSTPAPR</t>
        </is>
      </c>
      <c r="I10" s="33" t="inlineStr">
        <is>
          <t>West Coast Paper Mills Limited</t>
        </is>
      </c>
      <c r="J10" s="31" t="inlineStr">
        <is>
          <t>building materials</t>
        </is>
      </c>
      <c r="K10" s="31" t="inlineStr">
        <is>
          <t>paper</t>
        </is>
      </c>
      <c r="L10" s="31" t="inlineStr">
        <is>
          <t>smallcap</t>
        </is>
      </c>
      <c r="M10" s="32" t="n">
        <v>4294.83</v>
      </c>
      <c r="N10" s="32" t="n">
        <v>687.5</v>
      </c>
      <c r="O10" s="32" t="n">
        <v>5.73</v>
      </c>
      <c r="P10" s="32" t="n">
        <v>605527</v>
      </c>
      <c r="Q10" s="31" t="n">
        <v>12</v>
      </c>
      <c r="R10" s="31" t="inlineStr">
        <is>
          <t>Underperforming</t>
        </is>
      </c>
      <c r="S10" s="32">
        <f>IF(R10="Underperforming",-5,IF(Q10&gt;=95,15,IF(Q10&gt;=90,10,IF(Q10&gt;=80,5,0))))</f>
        <v/>
      </c>
      <c r="T10" s="32" t="n">
        <v>70.84999999999999</v>
      </c>
      <c r="U10" s="32" t="n">
        <v>50.84</v>
      </c>
      <c r="V10" s="32" t="inlineStr"/>
      <c r="W10" s="31" t="inlineStr">
        <is>
          <t>Earnings / Momentum Support</t>
        </is>
      </c>
      <c r="X10" s="31" t="inlineStr">
        <is>
          <t>Nifty Infra</t>
        </is>
      </c>
      <c r="Y10" s="32" t="n">
        <v>1.74</v>
      </c>
      <c r="Z10" s="32" t="n">
        <v>-6.14</v>
      </c>
      <c r="AA10" s="32" t="n">
        <v>-7.75</v>
      </c>
      <c r="AB10" s="32" t="n">
        <v>0.65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140</v>
      </c>
      <c r="E11" s="32" t="inlineStr">
        <is>
          <t>5%</t>
        </is>
      </c>
      <c r="F11" s="32" t="n">
        <v>50000</v>
      </c>
      <c r="G11" s="32" t="n">
        <v>882</v>
      </c>
      <c r="H11" s="31" t="inlineStr">
        <is>
          <t>FCL</t>
        </is>
      </c>
      <c r="I11" s="31" t="inlineStr">
        <is>
          <t>Fineotex Chemical Limited</t>
        </is>
      </c>
      <c r="J11" s="31" t="inlineStr">
        <is>
          <t>chemicals</t>
        </is>
      </c>
      <c r="K11" s="31" t="inlineStr">
        <is>
          <t>chemicals</t>
        </is>
      </c>
      <c r="L11" s="31" t="inlineStr">
        <is>
          <t>midcap</t>
        </is>
      </c>
      <c r="M11" s="32" t="n">
        <v>5998.34</v>
      </c>
      <c r="N11" s="32" t="n">
        <v>56.66</v>
      </c>
      <c r="O11" s="32" t="n">
        <v>10</v>
      </c>
      <c r="P11" s="32" t="n">
        <v>42019821</v>
      </c>
      <c r="Q11" s="31" t="n">
        <v>87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76.95</v>
      </c>
      <c r="U11" s="32" t="n">
        <v>47.92</v>
      </c>
      <c r="V11" s="32" t="inlineStr"/>
      <c r="W11" s="31" t="inlineStr">
        <is>
          <t>Earnings / Momentum Support</t>
        </is>
      </c>
      <c r="X11" s="31" t="inlineStr">
        <is>
          <t>Nifty 50</t>
        </is>
      </c>
      <c r="Y11" s="32" t="n">
        <v>-3.41</v>
      </c>
      <c r="Z11" s="32" t="n">
        <v>118.77</v>
      </c>
      <c r="AA11" s="32" t="n">
        <v>126.49</v>
      </c>
      <c r="AB11" s="32" t="n">
        <v>26.63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63</v>
      </c>
      <c r="H12" s="31" t="inlineStr">
        <is>
          <t>STLTECH</t>
        </is>
      </c>
      <c r="I12" s="31" t="inlineStr">
        <is>
          <t>Sterlite Technologies Limited</t>
        </is>
      </c>
      <c r="J12" s="31" t="inlineStr">
        <is>
          <t>industrials</t>
        </is>
      </c>
      <c r="K12" s="31" t="inlineStr">
        <is>
          <t>cables - telephone</t>
        </is>
      </c>
      <c r="L12" s="31" t="inlineStr">
        <is>
          <t>largecap</t>
        </is>
      </c>
      <c r="M12" s="32" t="n">
        <v>38485.68</v>
      </c>
      <c r="N12" s="32" t="n">
        <v>786.3</v>
      </c>
      <c r="O12" s="32" t="n">
        <v>4.99</v>
      </c>
      <c r="P12" s="32" t="n">
        <v>532828</v>
      </c>
      <c r="Q12" s="31" t="n">
        <v>99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77.5</v>
      </c>
      <c r="U12" s="32" t="n">
        <v>73.98999999999999</v>
      </c>
      <c r="V12" s="32" t="inlineStr"/>
      <c r="W12" s="31" t="inlineStr">
        <is>
          <t>Earnings / Momentum Support</t>
        </is>
      </c>
      <c r="X12" s="31" t="inlineStr">
        <is>
          <t>Nifty Infra</t>
        </is>
      </c>
      <c r="Y12" s="32" t="n">
        <v>1.74</v>
      </c>
      <c r="Z12" s="32" t="n">
        <v>350.72</v>
      </c>
      <c r="AA12" s="32" t="n">
        <v>343.01</v>
      </c>
      <c r="AB12" s="32" t="n">
        <v>71.36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71</v>
      </c>
      <c r="H13" s="31" t="inlineStr">
        <is>
          <t>SHREEJISPG</t>
        </is>
      </c>
      <c r="I13" s="31" t="inlineStr">
        <is>
          <t>Shreeji Shipping Global Ltd</t>
        </is>
      </c>
      <c r="J13" s="31" t="inlineStr">
        <is>
          <t>transportation</t>
        </is>
      </c>
      <c r="K13" s="31" t="inlineStr">
        <is>
          <t>shipping</t>
        </is>
      </c>
      <c r="L13" s="31" t="inlineStr">
        <is>
          <t>midcap</t>
        </is>
      </c>
      <c r="M13" s="32" t="n">
        <v>11080.89</v>
      </c>
      <c r="N13" s="32" t="n">
        <v>699.8</v>
      </c>
      <c r="O13" s="32" t="n">
        <v>2.89</v>
      </c>
      <c r="P13" s="32" t="n">
        <v>1404657</v>
      </c>
      <c r="Q13" s="31" t="n">
        <v>91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77.27</v>
      </c>
      <c r="U13" s="32" t="n">
        <v>56.05</v>
      </c>
      <c r="V13" s="32" t="inlineStr"/>
      <c r="W13" s="31" t="inlineStr">
        <is>
          <t>Earnings / Momentum Support</t>
        </is>
      </c>
      <c r="X13" s="31" t="inlineStr">
        <is>
          <t>Nifty 50</t>
        </is>
      </c>
      <c r="Y13" s="32" t="n">
        <v>-3.41</v>
      </c>
      <c r="Z13" s="32" t="n">
        <v>169.14</v>
      </c>
      <c r="AA13" s="32" t="n">
        <v>178.63</v>
      </c>
      <c r="AB13" s="32" t="n">
        <v>31.56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138.9</v>
      </c>
      <c r="E14" s="32" t="inlineStr">
        <is>
          <t>5%</t>
        </is>
      </c>
      <c r="F14" s="32" t="n">
        <v>50000</v>
      </c>
      <c r="G14" s="32" t="n">
        <v>2</v>
      </c>
      <c r="H14" s="31" t="inlineStr">
        <is>
          <t>SOLARINDS</t>
        </is>
      </c>
      <c r="I14" s="31" t="inlineStr">
        <is>
          <t>Solar Industries India Limited</t>
        </is>
      </c>
      <c r="J14" s="31" t="inlineStr">
        <is>
          <t>aerospace &amp; defence</t>
        </is>
      </c>
      <c r="K14" s="31" t="inlineStr">
        <is>
          <t>chemicals</t>
        </is>
      </c>
      <c r="L14" s="31" t="inlineStr">
        <is>
          <t>largecap</t>
        </is>
      </c>
      <c r="M14" s="32" t="n">
        <v>194055.92</v>
      </c>
      <c r="N14" s="32" t="n">
        <v>21950</v>
      </c>
      <c r="O14" s="32" t="n">
        <v>2.35</v>
      </c>
      <c r="P14" s="32" t="n">
        <v>227176</v>
      </c>
      <c r="Q14" s="31" t="n">
        <v>58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76.29000000000001</v>
      </c>
      <c r="U14" s="32" t="n">
        <v>39.75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-3.41</v>
      </c>
      <c r="Z14" s="32" t="n">
        <v>54.21</v>
      </c>
      <c r="AA14" s="32" t="n">
        <v>59.65</v>
      </c>
      <c r="AB14" s="32" t="n">
        <v>12.95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138.9</v>
      </c>
      <c r="E15" s="32" t="inlineStr">
        <is>
          <t>5%</t>
        </is>
      </c>
      <c r="F15" s="32" t="n">
        <v>50000</v>
      </c>
      <c r="G15" s="32" t="n">
        <v>26</v>
      </c>
      <c r="H15" s="31" t="inlineStr">
        <is>
          <t>ENTERO</t>
        </is>
      </c>
      <c r="I15" s="31" t="inlineStr">
        <is>
          <t>Entero Healthcare Solutions Ltd</t>
        </is>
      </c>
      <c r="J15" s="31" t="inlineStr">
        <is>
          <t>healthcare</t>
        </is>
      </c>
      <c r="K15" s="31" t="inlineStr">
        <is>
          <t>trading</t>
        </is>
      </c>
      <c r="L15" s="31" t="inlineStr">
        <is>
          <t>midcap</t>
        </is>
      </c>
      <c r="M15" s="32" t="n">
        <v>7954.28</v>
      </c>
      <c r="N15" s="32" t="n">
        <v>1898.4</v>
      </c>
      <c r="O15" s="32" t="n">
        <v>3.87</v>
      </c>
      <c r="P15" s="32" t="n">
        <v>322283</v>
      </c>
      <c r="Q15" s="31" t="n">
        <v>84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78.29000000000001</v>
      </c>
      <c r="U15" s="32" t="n">
        <v>37.66</v>
      </c>
      <c r="V15" s="32" t="inlineStr"/>
      <c r="W15" s="31" t="inlineStr">
        <is>
          <t>Earnings / Momentum Support</t>
        </is>
      </c>
      <c r="X15" s="31" t="inlineStr">
        <is>
          <t>Nifty Pharma</t>
        </is>
      </c>
      <c r="Y15" s="32" t="n">
        <v>20.77</v>
      </c>
      <c r="Z15" s="32" t="n">
        <v>51.88</v>
      </c>
      <c r="AA15" s="32" t="n">
        <v>25.76</v>
      </c>
      <c r="AB15" s="32" t="n">
        <v>24.35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Between 1.5 to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140</v>
      </c>
      <c r="E16" s="32" t="inlineStr">
        <is>
          <t>5%</t>
        </is>
      </c>
      <c r="F16" s="32" t="n">
        <v>50000</v>
      </c>
      <c r="G16" s="32" t="n">
        <v>156</v>
      </c>
      <c r="H16" s="31" t="inlineStr">
        <is>
          <t>BHAGERIA</t>
        </is>
      </c>
      <c r="I16" s="31" t="inlineStr">
        <is>
          <t>Bhageria Industries Limited</t>
        </is>
      </c>
      <c r="J16" s="31" t="inlineStr">
        <is>
          <t>chemicals</t>
        </is>
      </c>
      <c r="K16" s="31" t="inlineStr">
        <is>
          <t>dyes and pigments</t>
        </is>
      </c>
      <c r="L16" s="31" t="inlineStr">
        <is>
          <t>smallcap</t>
        </is>
      </c>
      <c r="M16" s="32" t="n">
        <v>1329.62</v>
      </c>
      <c r="N16" s="32" t="n">
        <v>319.85</v>
      </c>
      <c r="O16" s="32" t="n">
        <v>4.99</v>
      </c>
      <c r="P16" s="32" t="n">
        <v>141581</v>
      </c>
      <c r="Q16" s="31" t="n">
        <v>77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75.16</v>
      </c>
      <c r="U16" s="32" t="n">
        <v>36.39</v>
      </c>
      <c r="V16" s="32" t="inlineStr"/>
      <c r="W16" s="31" t="inlineStr">
        <is>
          <t>Earnings / Momentum Support</t>
        </is>
      </c>
      <c r="X16" s="31" t="inlineStr">
        <is>
          <t>Nifty IT</t>
        </is>
      </c>
      <c r="Y16" s="32" t="n">
        <v>-11.38</v>
      </c>
      <c r="Z16" s="32" t="n">
        <v>54.84</v>
      </c>
      <c r="AA16" s="32" t="n">
        <v>74.72</v>
      </c>
      <c r="AB16" s="32" t="n">
        <v>21.39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139.2</v>
      </c>
      <c r="E17" s="32" t="inlineStr">
        <is>
          <t>5%</t>
        </is>
      </c>
      <c r="F17" s="32" t="n">
        <v>50000</v>
      </c>
      <c r="G17" s="32" t="n">
        <v>323</v>
      </c>
      <c r="H17" s="33" t="inlineStr">
        <is>
          <t>AEROENTER</t>
        </is>
      </c>
      <c r="I17" s="33" t="inlineStr">
        <is>
          <t>Aeroflex Enterprises Ltd</t>
        </is>
      </c>
      <c r="J17" s="31" t="inlineStr">
        <is>
          <t>metals &amp; mining</t>
        </is>
      </c>
      <c r="K17" s="31" t="inlineStr">
        <is>
          <t>steel - medium / small</t>
        </is>
      </c>
      <c r="L17" s="31" t="inlineStr">
        <is>
          <t>smallcap</t>
        </is>
      </c>
      <c r="M17" s="32" t="n">
        <v>1604.78</v>
      </c>
      <c r="N17" s="32" t="n">
        <v>154.73</v>
      </c>
      <c r="O17" s="32" t="n">
        <v>9.109999999999999</v>
      </c>
      <c r="P17" s="32" t="n">
        <v>3260028</v>
      </c>
      <c r="Q17" s="31" t="n">
        <v>46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66.15000000000001</v>
      </c>
      <c r="U17" s="32" t="n">
        <v>54.08</v>
      </c>
      <c r="V17" s="32" t="inlineStr"/>
      <c r="W17" s="31" t="inlineStr">
        <is>
          <t>Earnings / Momentum Support</t>
        </is>
      </c>
      <c r="X17" s="31" t="inlineStr">
        <is>
          <t>Nifty Metal</t>
        </is>
      </c>
      <c r="Y17" s="32" t="n">
        <v>31.49</v>
      </c>
      <c r="Z17" s="32" t="n">
        <v>6.38</v>
      </c>
      <c r="AA17" s="32" t="n">
        <v>-19.1</v>
      </c>
      <c r="AB17" s="32" t="n">
        <v>8.710000000000001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138.8</v>
      </c>
      <c r="E18" s="32" t="inlineStr">
        <is>
          <t>5%</t>
        </is>
      </c>
      <c r="F18" s="32" t="n">
        <v>50000</v>
      </c>
      <c r="G18" s="32" t="n">
        <v>78</v>
      </c>
      <c r="H18" s="31" t="inlineStr">
        <is>
          <t>KABRAEXTRU</t>
        </is>
      </c>
      <c r="I18" s="31" t="inlineStr">
        <is>
          <t>Kabra Extrusion Technik Limited</t>
        </is>
      </c>
      <c r="J18" s="31" t="inlineStr">
        <is>
          <t>industrials</t>
        </is>
      </c>
      <c r="K18" s="31" t="inlineStr">
        <is>
          <t>engineering</t>
        </is>
      </c>
      <c r="L18" s="31" t="inlineStr">
        <is>
          <t>smallcap</t>
        </is>
      </c>
      <c r="M18" s="32" t="n">
        <v>2025.45</v>
      </c>
      <c r="N18" s="32" t="n">
        <v>634.5</v>
      </c>
      <c r="O18" s="32" t="n">
        <v>9.56</v>
      </c>
      <c r="P18" s="32" t="n">
        <v>759426</v>
      </c>
      <c r="Q18" s="31" t="n">
        <v>53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83.70999999999999</v>
      </c>
      <c r="U18" s="32" t="n">
        <v>55.27</v>
      </c>
      <c r="V18" s="32" t="inlineStr"/>
      <c r="W18" s="31" t="inlineStr">
        <is>
          <t>Earnings / Momentum Support</t>
        </is>
      </c>
      <c r="X18" s="31" t="inlineStr">
        <is>
          <t>Nifty Infra</t>
        </is>
      </c>
      <c r="Y18" s="32" t="n">
        <v>1.74</v>
      </c>
      <c r="Z18" s="32" t="n">
        <v>6.76</v>
      </c>
      <c r="AA18" s="32" t="n">
        <v>4.94</v>
      </c>
      <c r="AB18" s="32" t="n">
        <v>11.12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139.4</v>
      </c>
      <c r="E19" s="32" t="inlineStr">
        <is>
          <t>5%</t>
        </is>
      </c>
      <c r="F19" s="32" t="n">
        <v>50000</v>
      </c>
      <c r="G19" s="32" t="n">
        <v>61</v>
      </c>
      <c r="H19" s="31" t="inlineStr">
        <is>
          <t>RISHABH</t>
        </is>
      </c>
      <c r="I19" s="31" t="inlineStr">
        <is>
          <t>Rishabh Instruments Ltd</t>
        </is>
      </c>
      <c r="J19" s="31" t="inlineStr">
        <is>
          <t>industrials</t>
        </is>
      </c>
      <c r="K19" s="31" t="inlineStr">
        <is>
          <t>electric equipment</t>
        </is>
      </c>
      <c r="L19" s="31" t="inlineStr">
        <is>
          <t>smallcap</t>
        </is>
      </c>
      <c r="M19" s="32" t="n">
        <v>2846.43</v>
      </c>
      <c r="N19" s="32" t="n">
        <v>809.95</v>
      </c>
      <c r="O19" s="32" t="n">
        <v>9.68</v>
      </c>
      <c r="P19" s="32" t="n">
        <v>774109</v>
      </c>
      <c r="Q19" s="31" t="n">
        <v>76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75.06999999999999</v>
      </c>
      <c r="U19" s="32" t="n">
        <v>47.88</v>
      </c>
      <c r="V19" s="32" t="inlineStr"/>
      <c r="W19" s="31" t="inlineStr">
        <is>
          <t>Earnings / Momentum Support</t>
        </is>
      </c>
      <c r="X19" s="31" t="inlineStr">
        <is>
          <t>Nifty 50</t>
        </is>
      </c>
      <c r="Y19" s="32" t="n">
        <v>-3.41</v>
      </c>
      <c r="Z19" s="32" t="n">
        <v>55.58</v>
      </c>
      <c r="AA19" s="32" t="n">
        <v>61.07</v>
      </c>
      <c r="AB19" s="32" t="n">
        <v>20.45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139.1</v>
      </c>
      <c r="E20" s="32" t="inlineStr">
        <is>
          <t>5%</t>
        </is>
      </c>
      <c r="F20" s="32" t="n">
        <v>50000</v>
      </c>
      <c r="G20" s="32" t="n">
        <v>7</v>
      </c>
      <c r="H20" s="31" t="inlineStr">
        <is>
          <t>SMLMAH</t>
        </is>
      </c>
      <c r="I20" s="31" t="inlineStr">
        <is>
          <t>SML Mahindra Ltd</t>
        </is>
      </c>
      <c r="J20" s="31" t="inlineStr">
        <is>
          <t>auto</t>
        </is>
      </c>
      <c r="K20" s="31" t="inlineStr">
        <is>
          <t>automobiles - lcvs / hcvs</t>
        </is>
      </c>
      <c r="L20" s="31" t="inlineStr">
        <is>
          <t>midcap</t>
        </is>
      </c>
      <c r="M20" s="32" t="n">
        <v>9114.969999999999</v>
      </c>
      <c r="N20" s="32" t="n">
        <v>6393.5</v>
      </c>
      <c r="O20" s="32" t="n">
        <v>1.51</v>
      </c>
      <c r="P20" s="32" t="n">
        <v>247779</v>
      </c>
      <c r="Q20" s="31" t="n">
        <v>31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70.51000000000001</v>
      </c>
      <c r="U20" s="32" t="n">
        <v>23.21</v>
      </c>
      <c r="V20" s="32" t="inlineStr"/>
      <c r="W20" s="31" t="inlineStr">
        <is>
          <t>Earnings / Momentum Support</t>
        </is>
      </c>
      <c r="X20" s="31" t="inlineStr">
        <is>
          <t>Nifty Auto</t>
        </is>
      </c>
      <c r="Y20" s="32" t="n">
        <v>13.41</v>
      </c>
      <c r="Z20" s="32" t="n">
        <v>24.19</v>
      </c>
      <c r="AA20" s="32" t="n">
        <v>9.5</v>
      </c>
      <c r="AB20" s="32" t="n">
        <v>5.34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139.1</v>
      </c>
      <c r="E21" s="32" t="inlineStr">
        <is>
          <t>5%</t>
        </is>
      </c>
      <c r="F21" s="32" t="n">
        <v>50000</v>
      </c>
      <c r="G21" s="32" t="n">
        <v>61</v>
      </c>
      <c r="H21" s="33" t="inlineStr">
        <is>
          <t>MANINDS</t>
        </is>
      </c>
      <c r="I21" s="33" t="inlineStr">
        <is>
          <t>Man Industries (india)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midcap</t>
        </is>
      </c>
      <c r="M21" s="32" t="n">
        <v>5914.88</v>
      </c>
      <c r="N21" s="32" t="n">
        <v>819.4</v>
      </c>
      <c r="O21" s="32" t="n">
        <v>3.91</v>
      </c>
      <c r="P21" s="32" t="n">
        <v>695397</v>
      </c>
      <c r="Q21" s="31" t="n">
        <v>35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76.22</v>
      </c>
      <c r="U21" s="32" t="n">
        <v>35.01</v>
      </c>
      <c r="V21" s="32" t="inlineStr"/>
      <c r="W21" s="31" t="inlineStr">
        <is>
          <t>Earnings / Momentum Support</t>
        </is>
      </c>
      <c r="X21" s="31" t="inlineStr">
        <is>
          <t>Nifty Metal</t>
        </is>
      </c>
      <c r="Y21" s="32" t="n">
        <v>31.49</v>
      </c>
      <c r="Z21" s="32" t="n">
        <v>21.23</v>
      </c>
      <c r="AA21" s="32" t="n">
        <v>-7.8</v>
      </c>
      <c r="AB21" s="32" t="n">
        <v>6.28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No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3</t>
        </is>
      </c>
      <c r="BH21" s="31">
        <f>IF(BG21="Stage 2",20,IF(BG21="Stage 1",0,IF(BG21="Stage 3",5,IF(BG21="Stage 4",-5,0))))</f>
        <v/>
      </c>
      <c r="BI21" s="31" t="inlineStr">
        <is>
          <t>Negative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629</v>
      </c>
      <c r="H2" s="31" t="inlineStr">
        <is>
          <t>PAISALO</t>
        </is>
      </c>
      <c r="I2" s="31" t="inlineStr">
        <is>
          <t>Paisalo Digital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midcap</t>
        </is>
      </c>
      <c r="M2" s="32" t="n">
        <v>6739.56</v>
      </c>
      <c r="N2" s="32" t="n">
        <v>79.41</v>
      </c>
      <c r="O2" s="32" t="n">
        <v>7.17</v>
      </c>
      <c r="P2" s="32" t="n">
        <v>35087813</v>
      </c>
      <c r="Q2" s="31" t="n">
        <v>86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74.03</v>
      </c>
      <c r="U2" s="32" t="n">
        <v>66.65000000000001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6.02</v>
      </c>
      <c r="Z2" s="32" t="n">
        <v>114.77</v>
      </c>
      <c r="AA2" s="32" t="n">
        <v>102.59</v>
      </c>
      <c r="AB2" s="32" t="n">
        <v>25.36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139.2</v>
      </c>
      <c r="E3" s="32" t="inlineStr">
        <is>
          <t>5%</t>
        </is>
      </c>
      <c r="F3" s="32" t="n">
        <v>50000</v>
      </c>
      <c r="G3" s="32" t="n">
        <v>120</v>
      </c>
      <c r="H3" s="31" t="inlineStr">
        <is>
          <t>RBLBANK</t>
        </is>
      </c>
      <c r="I3" s="31" t="inlineStr">
        <is>
          <t>Rbl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64164.5</v>
      </c>
      <c r="N3" s="32" t="n">
        <v>415</v>
      </c>
      <c r="O3" s="32" t="n">
        <v>0.16</v>
      </c>
      <c r="P3" s="32" t="n">
        <v>3484526</v>
      </c>
      <c r="Q3" s="31" t="n">
        <v>56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68.23</v>
      </c>
      <c r="U3" s="32" t="n">
        <v>36.38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6.02</v>
      </c>
      <c r="Z3" s="32" t="n">
        <v>51.06</v>
      </c>
      <c r="AA3" s="32" t="n">
        <v>42.49</v>
      </c>
      <c r="AB3" s="32" t="n">
        <v>12.53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IF(B2=0,"",RANK(B2,$B$2:$B$93,0))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5676.7</v>
      </c>
      <c r="I2" s="32" t="n">
        <v>854.85</v>
      </c>
      <c r="J2" s="32" t="n">
        <v>3.79</v>
      </c>
      <c r="K2" s="32" t="n">
        <v>0</v>
      </c>
      <c r="L2" s="31" t="n">
        <v>93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68.09999999999999</v>
      </c>
      <c r="P2" s="32" t="n">
        <v>73.83</v>
      </c>
      <c r="Q2" s="32" t="inlineStr"/>
      <c r="R2" s="31" t="inlineStr">
        <is>
          <t>Earnings / Momentum Support</t>
        </is>
      </c>
      <c r="S2" s="31" t="inlineStr">
        <is>
          <t>Nifty IT</t>
        </is>
      </c>
      <c r="T2" s="32" t="n">
        <v>-11.38</v>
      </c>
      <c r="U2" s="32" t="n">
        <v>178.9</v>
      </c>
      <c r="V2" s="32" t="n">
        <v>214.71</v>
      </c>
      <c r="W2" s="32" t="n">
        <v>35.12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IF(B3=0,"",RANK(B3,$B$2:$B$93,0))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6319.47</v>
      </c>
      <c r="I3" s="32" t="n">
        <v>626</v>
      </c>
      <c r="J3" s="32" t="n">
        <v>-6.62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73.33</v>
      </c>
      <c r="P3" s="32" t="n">
        <v>62.56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-3.41</v>
      </c>
      <c r="U3" s="32" t="n">
        <v>115.49</v>
      </c>
      <c r="V3" s="32" t="n">
        <v>123.1</v>
      </c>
      <c r="W3" s="32" t="n">
        <v>31.49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IF(B4=0,"",RANK(B4,$B$2:$B$93,0))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PGIL</t>
        </is>
      </c>
      <c r="D4" s="31" t="inlineStr">
        <is>
          <t>Pearl Global Industries Ltd</t>
        </is>
      </c>
      <c r="E4" s="31" t="inlineStr">
        <is>
          <t>Consumer Cyclical</t>
        </is>
      </c>
      <c r="F4" s="31" t="inlineStr">
        <is>
          <t>Textiles - Readymade Apparel</t>
        </is>
      </c>
      <c r="G4" s="31" t="inlineStr">
        <is>
          <t>midcap</t>
        </is>
      </c>
      <c r="H4" s="32" t="n">
        <v>10431.67</v>
      </c>
      <c r="I4" s="32" t="n">
        <v>2258.4</v>
      </c>
      <c r="J4" s="32" t="n">
        <v>-0.87</v>
      </c>
      <c r="K4" s="32" t="n">
        <v>0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64.97</v>
      </c>
      <c r="P4" s="32" t="n">
        <v>58.87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-3.41</v>
      </c>
      <c r="U4" s="32" t="n">
        <v>90.94</v>
      </c>
      <c r="V4" s="32" t="n">
        <v>97.68000000000001</v>
      </c>
      <c r="W4" s="32" t="n">
        <v>22.42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20</t>
        </is>
      </c>
      <c r="CG4" s="31">
        <f>IF(CF4&gt;20,10,IF(CF4&gt;=10,5,2))</f>
        <v/>
      </c>
    </row>
    <row r="5">
      <c r="A5" s="31">
        <f>IF(B5=0,"",RANK(B5,$B$2:$B$93,0))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SYRMA</t>
        </is>
      </c>
      <c r="D5" s="31" t="inlineStr">
        <is>
          <t>Syrma SGS Technology Ltd</t>
        </is>
      </c>
      <c r="E5" s="31" t="inlineStr">
        <is>
          <t>consumer discretionary</t>
        </is>
      </c>
      <c r="F5" s="31" t="inlineStr">
        <is>
          <t>Consumer Electronics - EMS</t>
        </is>
      </c>
      <c r="G5" s="31" t="inlineStr">
        <is>
          <t>largecap</t>
        </is>
      </c>
      <c r="H5" s="32" t="n">
        <v>31373.52</v>
      </c>
      <c r="I5" s="32" t="n">
        <v>1627</v>
      </c>
      <c r="J5" s="32" t="n">
        <v>11.64</v>
      </c>
      <c r="K5" s="32" t="n">
        <v>0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67.20999999999999</v>
      </c>
      <c r="P5" s="32" t="n">
        <v>59.81</v>
      </c>
      <c r="Q5" s="32" t="inlineStr"/>
      <c r="R5" s="31" t="inlineStr">
        <is>
          <t>Volume Spike / Accumulation</t>
        </is>
      </c>
      <c r="S5" s="31" t="inlineStr">
        <is>
          <t>Nifty 50</t>
        </is>
      </c>
      <c r="T5" s="32" t="n">
        <v>-3.41</v>
      </c>
      <c r="U5" s="32" t="n">
        <v>75.81999999999999</v>
      </c>
      <c r="V5" s="32" t="n">
        <v>82.02</v>
      </c>
      <c r="W5" s="32" t="n">
        <v>18.19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IF(B6=0,"",RANK(B6,$B$2:$B$93,0))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ASMTEC</t>
        </is>
      </c>
      <c r="D6" s="31" t="inlineStr">
        <is>
          <t>ASM Technologies Ltd</t>
        </is>
      </c>
      <c r="E6" s="31" t="inlineStr">
        <is>
          <t>Technology</t>
        </is>
      </c>
      <c r="F6" s="31" t="inlineStr">
        <is>
          <t>IT - Software</t>
        </is>
      </c>
      <c r="G6" s="31" t="inlineStr">
        <is>
          <t>midcap</t>
        </is>
      </c>
      <c r="H6" s="32" t="n">
        <v>9059.77</v>
      </c>
      <c r="I6" s="32" t="n">
        <v>6211</v>
      </c>
      <c r="J6" s="32" t="n">
        <v>15.65</v>
      </c>
      <c r="K6" s="32" t="n">
        <v>0</v>
      </c>
      <c r="L6" s="31" t="n">
        <v>89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74.52</v>
      </c>
      <c r="P6" s="32" t="n">
        <v>49.56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-3.41</v>
      </c>
      <c r="U6" s="32" t="n">
        <v>52.01</v>
      </c>
      <c r="V6" s="32" t="n">
        <v>57.37</v>
      </c>
      <c r="W6" s="32" t="n">
        <v>27.99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IF(B7=0,"",RANK(B7,$B$2:$B$93,0))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RML</t>
        </is>
      </c>
      <c r="D7" s="31" t="inlineStr">
        <is>
          <t>Rane (Madras) Ltd</t>
        </is>
      </c>
      <c r="E7" s="31" t="inlineStr">
        <is>
          <t>auto</t>
        </is>
      </c>
      <c r="F7" s="31" t="inlineStr">
        <is>
          <t>Auto Ancillaries - Gears</t>
        </is>
      </c>
      <c r="G7" s="31" t="inlineStr">
        <is>
          <t>smallcap</t>
        </is>
      </c>
      <c r="H7" s="32" t="n">
        <v>3863.4</v>
      </c>
      <c r="I7" s="32" t="n">
        <v>1397.9</v>
      </c>
      <c r="J7" s="32" t="n">
        <v>7.87</v>
      </c>
      <c r="K7" s="32" t="n">
        <v>0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67.03</v>
      </c>
      <c r="P7" s="32" t="n">
        <v>52.63</v>
      </c>
      <c r="Q7" s="32" t="inlineStr"/>
      <c r="R7" s="31" t="inlineStr">
        <is>
          <t>Volume Spike / Accumulation</t>
        </is>
      </c>
      <c r="S7" s="31" t="inlineStr">
        <is>
          <t>Nifty Auto</t>
        </is>
      </c>
      <c r="T7" s="32" t="n">
        <v>13.41</v>
      </c>
      <c r="U7" s="32" t="n">
        <v>34.14</v>
      </c>
      <c r="V7" s="32" t="n">
        <v>18.27</v>
      </c>
      <c r="W7" s="32" t="n">
        <v>18.8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IF(B8=0,"",RANK(B8,$B$2:$B$93,0))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IOLCP</t>
        </is>
      </c>
      <c r="D8" s="31" t="inlineStr">
        <is>
          <t>IOL Chemicals &amp; Pharmaceuticals Ltd</t>
        </is>
      </c>
      <c r="E8" s="31" t="inlineStr">
        <is>
          <t>healthcare</t>
        </is>
      </c>
      <c r="F8" s="31" t="inlineStr">
        <is>
          <t>Pharma - API &amp; CRAMS</t>
        </is>
      </c>
      <c r="G8" s="31" t="inlineStr">
        <is>
          <t>midcap</t>
        </is>
      </c>
      <c r="H8" s="32" t="n">
        <v>6310.84</v>
      </c>
      <c r="I8" s="32" t="n">
        <v>215</v>
      </c>
      <c r="J8" s="32" t="n">
        <v>7.53</v>
      </c>
      <c r="K8" s="32" t="n">
        <v>0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79.23</v>
      </c>
      <c r="P8" s="32" t="n">
        <v>81.76000000000001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20.77</v>
      </c>
      <c r="U8" s="32" t="n">
        <v>109.12</v>
      </c>
      <c r="V8" s="32" t="n">
        <v>73.16</v>
      </c>
      <c r="W8" s="32" t="n">
        <v>31.52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25</t>
        </is>
      </c>
      <c r="CG8" s="31">
        <f>IF(CF8&gt;20,10,IF(CF8&gt;=10,5,2))</f>
        <v/>
      </c>
    </row>
    <row r="9">
      <c r="A9" s="31">
        <f>IF(B9=0,"",RANK(B9,$B$2:$B$93,0))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VINCOFE</t>
        </is>
      </c>
      <c r="D9" s="31" t="inlineStr">
        <is>
          <t>Vintage Coffee &amp; Beverages Ltd</t>
        </is>
      </c>
      <c r="E9" s="31" t="inlineStr">
        <is>
          <t>consumer discretionary</t>
        </is>
      </c>
      <c r="F9" s="31" t="inlineStr">
        <is>
          <t>FMCG - Coffee</t>
        </is>
      </c>
      <c r="G9" s="31" t="inlineStr">
        <is>
          <t>smallcap</t>
        </is>
      </c>
      <c r="H9" s="32" t="n">
        <v>2606.76</v>
      </c>
      <c r="I9" s="32" t="n">
        <v>177.95</v>
      </c>
      <c r="J9" s="32" t="n">
        <v>4.22</v>
      </c>
      <c r="K9" s="32" t="n">
        <v>0</v>
      </c>
      <c r="L9" s="31" t="n">
        <v>38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61.41</v>
      </c>
      <c r="P9" s="32" t="n">
        <v>29.4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-3.41</v>
      </c>
      <c r="U9" s="32" t="n">
        <v>16.99</v>
      </c>
      <c r="V9" s="32" t="n">
        <v>21.11</v>
      </c>
      <c r="W9" s="32" t="n">
        <v>7.03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25</t>
        </is>
      </c>
      <c r="CG9" s="31">
        <f>IF(CF9&gt;20,10,IF(CF9&gt;=10,5,2))</f>
        <v/>
      </c>
    </row>
    <row r="10">
      <c r="A10" s="31">
        <f>IF(B10=0,"",RANK(B10,$B$2:$B$93,0))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KPL</t>
        </is>
      </c>
      <c r="D10" s="31" t="inlineStr">
        <is>
          <t>Kwality Pharmaceuticals Ltd</t>
        </is>
      </c>
      <c r="E10" s="31" t="inlineStr">
        <is>
          <t>Healthcare</t>
        </is>
      </c>
      <c r="F10" s="31" t="inlineStr">
        <is>
          <t>Pharma - Formulators</t>
        </is>
      </c>
      <c r="G10" s="31" t="inlineStr">
        <is>
          <t>smallcap</t>
        </is>
      </c>
      <c r="H10" s="32" t="n">
        <v>3548.66</v>
      </c>
      <c r="I10" s="32" t="n">
        <v>3420</v>
      </c>
      <c r="J10" s="32" t="n">
        <v>3.83</v>
      </c>
      <c r="K10" s="32" t="n">
        <v>0</v>
      </c>
      <c r="L10" s="31" t="n">
        <v>95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74.70999999999999</v>
      </c>
      <c r="P10" s="32" t="n">
        <v>70.40000000000001</v>
      </c>
      <c r="Q10" s="32" t="inlineStr"/>
      <c r="R10" s="31" t="inlineStr">
        <is>
          <t>Earnings / Momentum Support</t>
        </is>
      </c>
      <c r="S10" s="31" t="inlineStr">
        <is>
          <t>Nifty Pharma</t>
        </is>
      </c>
      <c r="T10" s="32" t="n">
        <v>20.77</v>
      </c>
      <c r="U10" s="32" t="n">
        <v>251.18</v>
      </c>
      <c r="V10" s="32" t="n">
        <v>190.79</v>
      </c>
      <c r="W10" s="32" t="n">
        <v>39.77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23</t>
        </is>
      </c>
      <c r="CG10" s="31">
        <f>IF(CF10&gt;20,10,IF(CF10&gt;=10,5,2))</f>
        <v/>
      </c>
    </row>
    <row r="11">
      <c r="A11" s="31">
        <f>IF(B11=0,"",RANK(B11,$B$2:$B$93,0))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CUPID</t>
        </is>
      </c>
      <c r="D11" s="31" t="inlineStr">
        <is>
          <t>Cupid Ltd</t>
        </is>
      </c>
      <c r="E11" s="31" t="inlineStr">
        <is>
          <t>fmcg</t>
        </is>
      </c>
      <c r="F11" s="31" t="inlineStr">
        <is>
          <t>Contraceptives/Protectives</t>
        </is>
      </c>
      <c r="G11" s="31" t="inlineStr">
        <is>
          <t>largecap</t>
        </is>
      </c>
      <c r="H11" s="32" t="n">
        <v>37784.97</v>
      </c>
      <c r="I11" s="32" t="n">
        <v>281</v>
      </c>
      <c r="J11" s="32" t="n">
        <v>-0.76</v>
      </c>
      <c r="K11" s="32" t="n">
        <v>0</v>
      </c>
      <c r="L11" s="31" t="n">
        <v>99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86.83</v>
      </c>
      <c r="P11" s="32" t="n">
        <v>73.26000000000001</v>
      </c>
      <c r="Q11" s="32" t="inlineStr"/>
      <c r="R11" s="31" t="inlineStr">
        <is>
          <t>Earnings / Momentum Support</t>
        </is>
      </c>
      <c r="S11" s="31" t="inlineStr">
        <is>
          <t>Nifty FMCG</t>
        </is>
      </c>
      <c r="T11" s="32" t="n">
        <v>-13.73</v>
      </c>
      <c r="U11" s="32" t="n">
        <v>631.6900000000001</v>
      </c>
      <c r="V11" s="32" t="n">
        <v>748.13</v>
      </c>
      <c r="W11" s="32" t="n">
        <v>76.51000000000001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IF(B12=0,"",RANK(B12,$B$2:$B$93,0))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TBZ</t>
        </is>
      </c>
      <c r="D12" s="31" t="inlineStr">
        <is>
          <t>Tribhovandas Bhimji Zaveri Ltd</t>
        </is>
      </c>
      <c r="E12" s="31" t="inlineStr">
        <is>
          <t>consumer discretionary</t>
        </is>
      </c>
      <c r="F12" s="31" t="inlineStr">
        <is>
          <t>Diamond, Gems &amp; Jewellery</t>
        </is>
      </c>
      <c r="G12" s="31" t="inlineStr">
        <is>
          <t>smallcap</t>
        </is>
      </c>
      <c r="H12" s="32" t="n">
        <v>3529.38</v>
      </c>
      <c r="I12" s="32" t="n">
        <v>528.9</v>
      </c>
      <c r="J12" s="32" t="n">
        <v>9.99</v>
      </c>
      <c r="K12" s="32" t="n">
        <v>0</v>
      </c>
      <c r="L12" s="31" t="n">
        <v>99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88.41</v>
      </c>
      <c r="P12" s="32" t="n">
        <v>52.22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-3.41</v>
      </c>
      <c r="U12" s="32" t="n">
        <v>163.8</v>
      </c>
      <c r="V12" s="32" t="n">
        <v>173.11</v>
      </c>
      <c r="W12" s="32" t="n">
        <v>74.81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Between 0.7 to 1.2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28</t>
        </is>
      </c>
      <c r="CG12" s="31">
        <f>IF(CF12&gt;20,10,IF(CF12&gt;=10,5,2))</f>
        <v/>
      </c>
    </row>
    <row r="13">
      <c r="A13" s="31">
        <f>IF(B13=0,"",RANK(B13,$B$2:$B$93,0))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GAYAPROJ</t>
        </is>
      </c>
      <c r="D13" s="31" t="inlineStr">
        <is>
          <t>Gayatri Projects Ltd</t>
        </is>
      </c>
      <c r="E13" s="31" t="inlineStr">
        <is>
          <t>realty</t>
        </is>
      </c>
      <c r="F13" s="31" t="inlineStr">
        <is>
          <t>Construction - Civil/Turnkey</t>
        </is>
      </c>
      <c r="G13" s="31" t="inlineStr">
        <is>
          <t>smallcap</t>
        </is>
      </c>
      <c r="H13" s="32" t="n">
        <v>1032.6</v>
      </c>
      <c r="I13" s="32" t="n">
        <v>22.24</v>
      </c>
      <c r="J13" s="32" t="n">
        <v>2.21</v>
      </c>
      <c r="K13" s="32" t="n">
        <v>0</v>
      </c>
      <c r="L13" s="31" t="n">
        <v>86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62.42</v>
      </c>
      <c r="P13" s="32" t="n">
        <v>28.08</v>
      </c>
      <c r="Q13" s="32" t="inlineStr"/>
      <c r="R13" s="31" t="inlineStr">
        <is>
          <t>Earnings / Momentum Support</t>
        </is>
      </c>
      <c r="S13" s="31" t="inlineStr">
        <is>
          <t>Nifty Realty</t>
        </is>
      </c>
      <c r="T13" s="32" t="n">
        <v>-8.119999999999999</v>
      </c>
      <c r="U13" s="32" t="n">
        <v>161.47</v>
      </c>
      <c r="V13" s="32" t="n">
        <v>184.58</v>
      </c>
      <c r="W13" s="32" t="n">
        <v>25.37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IF(B14=0,"",RANK(B14,$B$2:$B$93,0))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HFCL</t>
        </is>
      </c>
      <c r="D14" s="31" t="inlineStr">
        <is>
          <t>HFCL Ltd</t>
        </is>
      </c>
      <c r="E14" s="31" t="inlineStr">
        <is>
          <t>telecom</t>
        </is>
      </c>
      <c r="F14" s="31" t="inlineStr">
        <is>
          <t>Telecom Services</t>
        </is>
      </c>
      <c r="G14" s="31" t="inlineStr">
        <is>
          <t>largecap</t>
        </is>
      </c>
      <c r="H14" s="32" t="n">
        <v>37195.17</v>
      </c>
      <c r="I14" s="32" t="n">
        <v>243.01</v>
      </c>
      <c r="J14" s="32" t="n">
        <v>5</v>
      </c>
      <c r="K14" s="32" t="n">
        <v>0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70.39</v>
      </c>
      <c r="P14" s="32" t="n">
        <v>58.66</v>
      </c>
      <c r="Q14" s="32" t="inlineStr"/>
      <c r="R14" s="31" t="inlineStr">
        <is>
          <t>Earnings / Momentum Support</t>
        </is>
      </c>
      <c r="S14" s="31" t="inlineStr">
        <is>
          <t>Nifty Infra</t>
        </is>
      </c>
      <c r="T14" s="32" t="n">
        <v>1.74</v>
      </c>
      <c r="U14" s="32" t="n">
        <v>161.74</v>
      </c>
      <c r="V14" s="32" t="n">
        <v>157.26</v>
      </c>
      <c r="W14" s="32" t="n">
        <v>53.93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Oligopoly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IF(B15=0,"",RANK(B15,$B$2:$B$93,0))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MACPOWER</t>
        </is>
      </c>
      <c r="D15" s="31" t="inlineStr">
        <is>
          <t>Macpower CNC Machines Ltd</t>
        </is>
      </c>
      <c r="E15" s="31" t="inlineStr">
        <is>
          <t>Industrials</t>
        </is>
      </c>
      <c r="F15" s="31" t="inlineStr">
        <is>
          <t>CNC - Machines</t>
        </is>
      </c>
      <c r="G15" s="31" t="inlineStr">
        <is>
          <t>smallcap</t>
        </is>
      </c>
      <c r="H15" s="32" t="n">
        <v>1824.26</v>
      </c>
      <c r="I15" s="32" t="n">
        <v>1823.5</v>
      </c>
      <c r="J15" s="32" t="n">
        <v>-4.27</v>
      </c>
      <c r="K15" s="32" t="n">
        <v>0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73.48999999999999</v>
      </c>
      <c r="P15" s="32" t="n">
        <v>44.75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-3.41</v>
      </c>
      <c r="U15" s="32" t="n">
        <v>134.17</v>
      </c>
      <c r="V15" s="32" t="n">
        <v>142.43</v>
      </c>
      <c r="W15" s="32" t="n">
        <v>40.25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IF(B16=0,"",RANK(B16,$B$2:$B$93,0))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MENONBE</t>
        </is>
      </c>
      <c r="D16" s="31" t="inlineStr">
        <is>
          <t>Menon Bearings Ltd</t>
        </is>
      </c>
      <c r="E16" s="31" t="inlineStr">
        <is>
          <t>auto</t>
        </is>
      </c>
      <c r="F16" s="31" t="inlineStr">
        <is>
          <t>Auto Ancillaries - Bearings</t>
        </is>
      </c>
      <c r="G16" s="31" t="inlineStr">
        <is>
          <t>smallcap</t>
        </is>
      </c>
      <c r="H16" s="32" t="n">
        <v>1720.43</v>
      </c>
      <c r="I16" s="32" t="n">
        <v>307</v>
      </c>
      <c r="J16" s="32" t="n">
        <v>-4.48</v>
      </c>
      <c r="K16" s="32" t="n">
        <v>0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85.87</v>
      </c>
      <c r="P16" s="32" t="n">
        <v>63.59</v>
      </c>
      <c r="Q16" s="32" t="inlineStr"/>
      <c r="R16" s="31" t="inlineStr">
        <is>
          <t>Earnings / Momentum Support</t>
        </is>
      </c>
      <c r="S16" s="31" t="inlineStr">
        <is>
          <t>Nifty Auto</t>
        </is>
      </c>
      <c r="T16" s="32" t="n">
        <v>13.41</v>
      </c>
      <c r="U16" s="32" t="n">
        <v>59.56</v>
      </c>
      <c r="V16" s="32" t="n">
        <v>40.68</v>
      </c>
      <c r="W16" s="32" t="n">
        <v>23.69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IF(B17=0,"",RANK(B17,$B$2:$B$93,0))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IRISDOREME</t>
        </is>
      </c>
      <c r="D17" s="31" t="inlineStr">
        <is>
          <t>Iris Clothings Ltd</t>
        </is>
      </c>
      <c r="E17" s="31" t="inlineStr">
        <is>
          <t>consumer discretionary</t>
        </is>
      </c>
      <c r="F17" s="31" t="inlineStr">
        <is>
          <t>Textiles - Readymade Apparel</t>
        </is>
      </c>
      <c r="G17" s="31" t="inlineStr">
        <is>
          <t>smallcap</t>
        </is>
      </c>
      <c r="H17" s="32" t="n">
        <v>1176.06</v>
      </c>
      <c r="I17" s="32" t="n">
        <v>61.79</v>
      </c>
      <c r="J17" s="32" t="n">
        <v>-2.82</v>
      </c>
      <c r="K17" s="32" t="n">
        <v>0</v>
      </c>
      <c r="L17" s="31" t="n">
        <v>91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85.77</v>
      </c>
      <c r="P17" s="32" t="n">
        <v>52.97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-3.41</v>
      </c>
      <c r="U17" s="32" t="n">
        <v>98.63</v>
      </c>
      <c r="V17" s="32" t="n">
        <v>105.63</v>
      </c>
      <c r="W17" s="32" t="n">
        <v>32.31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IF(B18=0,"",RANK(B18,$B$2:$B$93,0))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MARKSANS</t>
        </is>
      </c>
      <c r="D18" s="31" t="inlineStr">
        <is>
          <t>Marksans Pharma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midcap</t>
        </is>
      </c>
      <c r="H18" s="32" t="n">
        <v>15294.28</v>
      </c>
      <c r="I18" s="32" t="n">
        <v>337.5</v>
      </c>
      <c r="J18" s="32" t="n">
        <v>3.29</v>
      </c>
      <c r="K18" s="32" t="n">
        <v>0</v>
      </c>
      <c r="L18" s="31" t="n">
        <v>83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73.38</v>
      </c>
      <c r="P18" s="32" t="n">
        <v>59.36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20.77</v>
      </c>
      <c r="U18" s="32" t="n">
        <v>93.98</v>
      </c>
      <c r="V18" s="32" t="n">
        <v>60.62</v>
      </c>
      <c r="W18" s="32" t="n">
        <v>23.85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25</t>
        </is>
      </c>
      <c r="CG18" s="31">
        <f>IF(CF18&gt;20,10,IF(CF18&gt;=10,5,2))</f>
        <v/>
      </c>
    </row>
    <row r="19">
      <c r="A19" s="31">
        <f>IF(B19=0,"",RANK(B19,$B$2:$B$93,0))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SAKAR</t>
        </is>
      </c>
      <c r="D19" s="31" t="inlineStr">
        <is>
          <t>Sakar Healthcare Ltd</t>
        </is>
      </c>
      <c r="E19" s="31" t="inlineStr">
        <is>
          <t>healthcare</t>
        </is>
      </c>
      <c r="F19" s="31" t="inlineStr">
        <is>
          <t>Hospitals</t>
        </is>
      </c>
      <c r="G19" s="31" t="inlineStr">
        <is>
          <t>smallcap</t>
        </is>
      </c>
      <c r="H19" s="32" t="n">
        <v>2489.76</v>
      </c>
      <c r="I19" s="32" t="n">
        <v>1119</v>
      </c>
      <c r="J19" s="32" t="n">
        <v>10.37</v>
      </c>
      <c r="K19" s="32" t="n">
        <v>0</v>
      </c>
      <c r="L19" s="31" t="n">
        <v>92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70.89</v>
      </c>
      <c r="P19" s="32" t="n">
        <v>51.4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20.77</v>
      </c>
      <c r="U19" s="32" t="n">
        <v>205.07</v>
      </c>
      <c r="V19" s="32" t="n">
        <v>152.61</v>
      </c>
      <c r="W19" s="32" t="n">
        <v>32.45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25</t>
        </is>
      </c>
      <c r="CG19" s="31">
        <f>IF(CF19&gt;20,10,IF(CF19&gt;=10,5,2))</f>
        <v/>
      </c>
    </row>
    <row r="20">
      <c r="A20" s="31">
        <f>IF(B20=0,"",RANK(B20,$B$2:$B$93,0))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COFORGE</t>
        </is>
      </c>
      <c r="D20" s="31" t="inlineStr">
        <is>
          <t>Coforge Ltd</t>
        </is>
      </c>
      <c r="E20" s="31" t="inlineStr">
        <is>
          <t>i.t</t>
        </is>
      </c>
      <c r="F20" s="31" t="inlineStr">
        <is>
          <t>IT - Software</t>
        </is>
      </c>
      <c r="G20" s="31" t="inlineStr">
        <is>
          <t>largecap</t>
        </is>
      </c>
      <c r="H20" s="32" t="n">
        <v>85618.81</v>
      </c>
      <c r="I20" s="32" t="n">
        <v>1932.8</v>
      </c>
      <c r="J20" s="32" t="n">
        <v>-2.03</v>
      </c>
      <c r="K20" s="32" t="n">
        <v>0</v>
      </c>
      <c r="L20" s="31" t="n">
        <v>65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71.01000000000001</v>
      </c>
      <c r="P20" s="32" t="n">
        <v>22.08</v>
      </c>
      <c r="Q20" s="32" t="inlineStr"/>
      <c r="R20" s="31" t="inlineStr">
        <is>
          <t>Earnings / Momentum Support</t>
        </is>
      </c>
      <c r="S20" s="31" t="inlineStr">
        <is>
          <t>Nifty IT</t>
        </is>
      </c>
      <c r="T20" s="32" t="n">
        <v>-11.38</v>
      </c>
      <c r="U20" s="32" t="n">
        <v>20.07</v>
      </c>
      <c r="V20" s="32" t="n">
        <v>35.48</v>
      </c>
      <c r="W20" s="32" t="n">
        <v>15.61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IF(B21=0,"",RANK(B21,$B$2:$B$93,0))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MODISONLTD</t>
        </is>
      </c>
      <c r="D21" s="31" t="inlineStr">
        <is>
          <t>Modison Ltd</t>
        </is>
      </c>
      <c r="E21" s="31" t="inlineStr">
        <is>
          <t>industrials</t>
        </is>
      </c>
      <c r="F21" s="31" t="inlineStr">
        <is>
          <t>Capital Goods - Electric General</t>
        </is>
      </c>
      <c r="G21" s="31" t="inlineStr">
        <is>
          <t>smallcap</t>
        </is>
      </c>
      <c r="H21" s="32" t="n">
        <v>1547.87</v>
      </c>
      <c r="I21" s="32" t="n">
        <v>477</v>
      </c>
      <c r="J21" s="32" t="n">
        <v>1.5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80.63</v>
      </c>
      <c r="P21" s="32" t="n">
        <v>59.16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-3.41</v>
      </c>
      <c r="U21" s="32" t="n">
        <v>196.68</v>
      </c>
      <c r="V21" s="32" t="n">
        <v>207.15</v>
      </c>
      <c r="W21" s="32" t="n">
        <v>44.05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26</t>
        </is>
      </c>
      <c r="CG21" s="31">
        <f>IF(CF21&gt;20,10,IF(CF21&gt;=10,5,2))</f>
        <v/>
      </c>
    </row>
    <row r="22">
      <c r="A22" s="31">
        <f>IF(B22=0,"",RANK(B22,$B$2:$B$93,0))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UNIPARTS</t>
        </is>
      </c>
      <c r="D22" s="31" t="inlineStr">
        <is>
          <t>Uniparts India Ltd</t>
        </is>
      </c>
      <c r="E22" s="31" t="inlineStr">
        <is>
          <t>industrials</t>
        </is>
      </c>
      <c r="F22" s="31" t="inlineStr">
        <is>
          <t>Castings, Forgings &amp; Fastners</t>
        </is>
      </c>
      <c r="G22" s="31" t="inlineStr">
        <is>
          <t>smallcap</t>
        </is>
      </c>
      <c r="H22" s="32" t="n">
        <v>4082.33</v>
      </c>
      <c r="I22" s="32" t="n">
        <v>903.95</v>
      </c>
      <c r="J22" s="32" t="n">
        <v>3.42</v>
      </c>
      <c r="K22" s="32" t="n">
        <v>0</v>
      </c>
      <c r="L22" s="31" t="n">
        <v>88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82.45999999999999</v>
      </c>
      <c r="P22" s="32" t="n">
        <v>69.7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-3.41</v>
      </c>
      <c r="U22" s="32" t="n">
        <v>127.29</v>
      </c>
      <c r="V22" s="32" t="n">
        <v>135.31</v>
      </c>
      <c r="W22" s="32" t="n">
        <v>27.11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24</t>
        </is>
      </c>
      <c r="CG22" s="31">
        <f>IF(CF22&gt;20,10,IF(CF22&gt;=10,5,2))</f>
        <v/>
      </c>
    </row>
    <row r="23">
      <c r="A23" s="31">
        <f>IF(B23=0,"",RANK(B23,$B$2:$B$93,0))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KMEW</t>
        </is>
      </c>
      <c r="D23" s="31" t="inlineStr">
        <is>
          <t>Knowledge Marine &amp; Engineering Works Ltd</t>
        </is>
      </c>
      <c r="E23" s="31" t="inlineStr">
        <is>
          <t>transportation</t>
        </is>
      </c>
      <c r="F23" s="31" t="inlineStr">
        <is>
          <t>Shipping</t>
        </is>
      </c>
      <c r="G23" s="31" t="inlineStr">
        <is>
          <t>midcap</t>
        </is>
      </c>
      <c r="H23" s="32" t="n">
        <v>7495.16</v>
      </c>
      <c r="I23" s="32" t="n">
        <v>2955</v>
      </c>
      <c r="J23" s="32" t="n">
        <v>-2.36</v>
      </c>
      <c r="K23" s="32" t="n">
        <v>0</v>
      </c>
      <c r="L23" s="31" t="n">
        <v>96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80.93000000000001</v>
      </c>
      <c r="P23" s="32" t="n">
        <v>57.75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-3.41</v>
      </c>
      <c r="U23" s="32" t="n">
        <v>246.67</v>
      </c>
      <c r="V23" s="32" t="n">
        <v>258.91</v>
      </c>
      <c r="W23" s="32" t="n">
        <v>44.65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23</t>
        </is>
      </c>
      <c r="CG23" s="31">
        <f>IF(CF23&gt;20,10,IF(CF23&gt;=10,5,2))</f>
        <v/>
      </c>
    </row>
    <row r="24">
      <c r="A24" s="31">
        <f>IF(B24=0,"",RANK(B24,$B$2:$B$93,0))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IGPL</t>
        </is>
      </c>
      <c r="D24" s="31" t="inlineStr">
        <is>
          <t>I G Petrochemicals Ltd</t>
        </is>
      </c>
      <c r="E24" s="31" t="inlineStr">
        <is>
          <t>chemicals</t>
        </is>
      </c>
      <c r="F24" s="31" t="inlineStr">
        <is>
          <t>Chemicals - Organic - Maleic Anhydride</t>
        </is>
      </c>
      <c r="G24" s="31" t="inlineStr">
        <is>
          <t>smallcap</t>
        </is>
      </c>
      <c r="H24" s="32" t="n">
        <v>1731.75</v>
      </c>
      <c r="I24" s="32" t="n">
        <v>562.35</v>
      </c>
      <c r="J24" s="32" t="n">
        <v>-0.89</v>
      </c>
      <c r="K24" s="32" t="n">
        <v>0</v>
      </c>
      <c r="L24" s="31" t="n">
        <v>59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71.40000000000001</v>
      </c>
      <c r="P24" s="32" t="n">
        <v>29.49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-3.41</v>
      </c>
      <c r="U24" s="32" t="n">
        <v>30.33</v>
      </c>
      <c r="V24" s="32" t="n">
        <v>34.93</v>
      </c>
      <c r="W24" s="32" t="n">
        <v>13.25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21</t>
        </is>
      </c>
      <c r="CG24" s="31">
        <f>IF(CF24&gt;20,10,IF(CF24&gt;=10,5,2))</f>
        <v/>
      </c>
    </row>
    <row r="25">
      <c r="A25" s="31">
        <f>IF(B25=0,"",RANK(B25,$B$2:$B$93,0))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CENTENKA</t>
        </is>
      </c>
      <c r="D25" s="31" t="inlineStr">
        <is>
          <t>Century Enka Ltd</t>
        </is>
      </c>
      <c r="E25" s="31" t="inlineStr">
        <is>
          <t>textiles</t>
        </is>
      </c>
      <c r="F25" s="31" t="inlineStr">
        <is>
          <t>Textiles - Manmade Fibre - PFY/PSF</t>
        </is>
      </c>
      <c r="G25" s="31" t="inlineStr">
        <is>
          <t>smallcap</t>
        </is>
      </c>
      <c r="H25" s="32" t="n">
        <v>1327.42</v>
      </c>
      <c r="I25" s="32" t="n">
        <v>607.5</v>
      </c>
      <c r="J25" s="32" t="n">
        <v>-0.23</v>
      </c>
      <c r="K25" s="32" t="n">
        <v>0</v>
      </c>
      <c r="L25" s="31" t="n">
        <v>46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66.56</v>
      </c>
      <c r="P25" s="32" t="n">
        <v>64.28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-3.41</v>
      </c>
      <c r="U25" s="32" t="n">
        <v>22.3</v>
      </c>
      <c r="V25" s="32" t="n">
        <v>26.62</v>
      </c>
      <c r="W25" s="32" t="n">
        <v>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21</t>
        </is>
      </c>
      <c r="CG25" s="31">
        <f>IF(CF25&gt;20,10,IF(CF25&gt;=10,5,2))</f>
        <v/>
      </c>
    </row>
    <row r="26">
      <c r="A26" s="31">
        <f>IF(B26=0,"",RANK(B26,$B$2:$B$93,0))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KINGFA</t>
        </is>
      </c>
      <c r="D26" s="31" t="inlineStr">
        <is>
          <t>Kingfa Science &amp; Technology (India) Ltd</t>
        </is>
      </c>
      <c r="E26" s="31" t="inlineStr">
        <is>
          <t>plastic products</t>
        </is>
      </c>
      <c r="F26" s="31" t="inlineStr">
        <is>
          <t>Plastics - Plastic &amp; Plastic Products</t>
        </is>
      </c>
      <c r="G26" s="31" t="inlineStr">
        <is>
          <t>midcap</t>
        </is>
      </c>
      <c r="H26" s="32" t="n">
        <v>8190.45</v>
      </c>
      <c r="I26" s="32" t="n">
        <v>6044</v>
      </c>
      <c r="J26" s="32" t="n">
        <v>1.88</v>
      </c>
      <c r="K26" s="32" t="n">
        <v>0</v>
      </c>
      <c r="L26" s="31" t="n">
        <v>49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69.26000000000001</v>
      </c>
      <c r="P26" s="32" t="n">
        <v>35.99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-3.41</v>
      </c>
      <c r="U26" s="32" t="n">
        <v>39.21</v>
      </c>
      <c r="V26" s="32" t="n">
        <v>44.12</v>
      </c>
      <c r="W26" s="32" t="n">
        <v>9.609999999999999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IF(B27=0,"",RANK(B27,$B$2:$B$93,0))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MTARTECH</t>
        </is>
      </c>
      <c r="D27" s="31" t="inlineStr">
        <is>
          <t>MTAR Technologies Ltd</t>
        </is>
      </c>
      <c r="E27" s="31" t="inlineStr">
        <is>
          <t>aerospace &amp; defence</t>
        </is>
      </c>
      <c r="F27" s="31" t="inlineStr">
        <is>
          <t>Aerospace &amp; Defence - Equipments</t>
        </is>
      </c>
      <c r="G27" s="31" t="inlineStr">
        <is>
          <t>largecap</t>
        </is>
      </c>
      <c r="H27" s="32" t="n">
        <v>23128.14</v>
      </c>
      <c r="I27" s="32" t="n">
        <v>7519</v>
      </c>
      <c r="J27" s="32" t="n">
        <v>5</v>
      </c>
      <c r="K27" s="32" t="n">
        <v>0</v>
      </c>
      <c r="L27" s="31" t="n">
        <v>96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60.95</v>
      </c>
      <c r="P27" s="32" t="n">
        <v>22.8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-3.41</v>
      </c>
      <c r="U27" s="32" t="n">
        <v>408.59</v>
      </c>
      <c r="V27" s="32" t="n">
        <v>426.54</v>
      </c>
      <c r="W27" s="32" t="n">
        <v>43.45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IF(B28=0,"",RANK(B28,$B$2:$B$93,0))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PARAS</t>
        </is>
      </c>
      <c r="D28" s="31" t="inlineStr">
        <is>
          <t>Paras Defence and Space Technologies Ltd</t>
        </is>
      </c>
      <c r="E28" s="31" t="inlineStr">
        <is>
          <t>aerospace &amp; defence</t>
        </is>
      </c>
      <c r="F28" s="31" t="inlineStr">
        <is>
          <t>Aerospace &amp; Defence - Equipments</t>
        </is>
      </c>
      <c r="G28" s="31" t="inlineStr">
        <is>
          <t>midcap</t>
        </is>
      </c>
      <c r="H28" s="32" t="n">
        <v>12003.48</v>
      </c>
      <c r="I28" s="32" t="n">
        <v>1489.5</v>
      </c>
      <c r="J28" s="32" t="n">
        <v>5.27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67.40000000000001</v>
      </c>
      <c r="P28" s="32" t="n">
        <v>67.31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-3.41</v>
      </c>
      <c r="U28" s="32" t="n">
        <v>114.22</v>
      </c>
      <c r="V28" s="32" t="n">
        <v>121.78</v>
      </c>
      <c r="W28" s="32" t="n">
        <v>27.21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IF(B29=0,"",RANK(B29,$B$2:$B$93,0))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MOREPENLAB</t>
        </is>
      </c>
      <c r="D29" s="31" t="inlineStr">
        <is>
          <t>Morepen Laboratories Ltd</t>
        </is>
      </c>
      <c r="E29" s="31" t="inlineStr">
        <is>
          <t>healthcare</t>
        </is>
      </c>
      <c r="F29" s="31" t="inlineStr">
        <is>
          <t>Pharma - API &amp; CRAMS</t>
        </is>
      </c>
      <c r="G29" s="31" t="inlineStr">
        <is>
          <t>midcap</t>
        </is>
      </c>
      <c r="H29" s="32" t="n">
        <v>6520.65</v>
      </c>
      <c r="I29" s="32" t="n">
        <v>119</v>
      </c>
      <c r="J29" s="32" t="n">
        <v>4.62</v>
      </c>
      <c r="K29" s="32" t="n">
        <v>0</v>
      </c>
      <c r="L29" s="31" t="n">
        <v>98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87.27</v>
      </c>
      <c r="P29" s="32" t="n">
        <v>52.5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20.77</v>
      </c>
      <c r="U29" s="32" t="n">
        <v>130.66</v>
      </c>
      <c r="V29" s="32" t="n">
        <v>91</v>
      </c>
      <c r="W29" s="32" t="n">
        <v>61.94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25</t>
        </is>
      </c>
      <c r="CG29" s="31">
        <f>IF(CF29&gt;20,10,IF(CF29&gt;=10,5,2))</f>
        <v/>
      </c>
    </row>
    <row r="30">
      <c r="A30" s="31">
        <f>IF(B30=0,"",RANK(B30,$B$2:$B$93,0))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AVTNPL</t>
        </is>
      </c>
      <c r="D30" s="31" t="inlineStr">
        <is>
          <t>AVT Natural Products Ltd</t>
        </is>
      </c>
      <c r="E30" s="31" t="inlineStr">
        <is>
          <t>fmcg</t>
        </is>
      </c>
      <c r="F30" s="31" t="inlineStr">
        <is>
          <t>Agricultural Processing - Maize</t>
        </is>
      </c>
      <c r="G30" s="31" t="inlineStr">
        <is>
          <t>smallcap</t>
        </is>
      </c>
      <c r="H30" s="32" t="n">
        <v>1373.6</v>
      </c>
      <c r="I30" s="32" t="n">
        <v>90.2</v>
      </c>
      <c r="J30" s="32" t="n">
        <v>-0.9</v>
      </c>
      <c r="K30" s="32" t="n">
        <v>0</v>
      </c>
      <c r="L30" s="31" t="n">
        <v>14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75.76000000000001</v>
      </c>
      <c r="P30" s="32" t="n">
        <v>42.71</v>
      </c>
      <c r="Q30" s="32" t="inlineStr"/>
      <c r="R30" s="31" t="inlineStr">
        <is>
          <t>Earnings / Momentum Support</t>
        </is>
      </c>
      <c r="S30" s="31" t="inlineStr">
        <is>
          <t>Nifty FMCG</t>
        </is>
      </c>
      <c r="T30" s="32" t="n">
        <v>-13.73</v>
      </c>
      <c r="U30" s="32" t="n">
        <v>2.14</v>
      </c>
      <c r="V30" s="32" t="n">
        <v>18.39</v>
      </c>
      <c r="W30" s="32" t="n">
        <v>1.38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24</t>
        </is>
      </c>
      <c r="CG30" s="31">
        <f>IF(CF30&gt;20,10,IF(CF30&gt;=10,5,2))</f>
        <v/>
      </c>
    </row>
    <row r="31">
      <c r="A31" s="31">
        <f>IF(B31=0,"",RANK(B31,$B$2:$B$93,0))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LAURUSLABS</t>
        </is>
      </c>
      <c r="D31" s="31" t="inlineStr">
        <is>
          <t>Laurus Labs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largecap</t>
        </is>
      </c>
      <c r="H31" s="32" t="n">
        <v>100897.9</v>
      </c>
      <c r="I31" s="32" t="n">
        <v>1867.4</v>
      </c>
      <c r="J31" s="32" t="n">
        <v>1.49</v>
      </c>
      <c r="K31" s="32" t="n">
        <v>0</v>
      </c>
      <c r="L31" s="31" t="n">
        <v>80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73.56999999999999</v>
      </c>
      <c r="P31" s="32" t="n">
        <v>71.15000000000001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20.77</v>
      </c>
      <c r="U31" s="32" t="n">
        <v>109.32</v>
      </c>
      <c r="V31" s="32" t="n">
        <v>73.31999999999999</v>
      </c>
      <c r="W31" s="32" t="n">
        <v>22.42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23</t>
        </is>
      </c>
      <c r="CG31" s="31">
        <f>IF(CF31&gt;20,10,IF(CF31&gt;=10,5,2))</f>
        <v/>
      </c>
    </row>
    <row r="32">
      <c r="A32" s="31">
        <f>IF(B32=0,"",RANK(B32,$B$2:$B$93,0))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SHILPAMED</t>
        </is>
      </c>
      <c r="D32" s="31" t="inlineStr">
        <is>
          <t>Shilpa Medicare Ltd</t>
        </is>
      </c>
      <c r="E32" s="31" t="inlineStr">
        <is>
          <t>healthcare</t>
        </is>
      </c>
      <c r="F32" s="31" t="inlineStr">
        <is>
          <t>Pharma - API &amp; CRAMS</t>
        </is>
      </c>
      <c r="G32" s="31" t="inlineStr">
        <is>
          <t>midcap</t>
        </is>
      </c>
      <c r="H32" s="32" t="n">
        <v>18423.81</v>
      </c>
      <c r="I32" s="32" t="n">
        <v>942</v>
      </c>
      <c r="J32" s="32" t="n">
        <v>-2.3</v>
      </c>
      <c r="K32" s="32" t="n">
        <v>0</v>
      </c>
      <c r="L32" s="31" t="n">
        <v>95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91.47</v>
      </c>
      <c r="P32" s="32" t="n">
        <v>79.20999999999999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20.77</v>
      </c>
      <c r="U32" s="32" t="n">
        <v>128.7</v>
      </c>
      <c r="V32" s="32" t="n">
        <v>89.37</v>
      </c>
      <c r="W32" s="32" t="n">
        <v>39.84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IF(B33=0,"",RANK(B33,$B$2:$B$93,0))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INDSWFTLAB</t>
        </is>
      </c>
      <c r="D33" s="31" t="inlineStr">
        <is>
          <t>Ind-Swift Laboratories Ltd</t>
        </is>
      </c>
      <c r="E33" s="31" t="inlineStr">
        <is>
          <t>healthcare</t>
        </is>
      </c>
      <c r="F33" s="31" t="inlineStr">
        <is>
          <t>Pharma - API</t>
        </is>
      </c>
      <c r="G33" s="31" t="inlineStr">
        <is>
          <t>smallcap</t>
        </is>
      </c>
      <c r="H33" s="32" t="n">
        <v>3207.58</v>
      </c>
      <c r="I33" s="32" t="n">
        <v>368.85</v>
      </c>
      <c r="J33" s="32" t="n">
        <v>3.62</v>
      </c>
      <c r="K33" s="32" t="n">
        <v>0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86.26000000000001</v>
      </c>
      <c r="P33" s="32" t="n">
        <v>74.54000000000001</v>
      </c>
      <c r="Q33" s="32" t="inlineStr"/>
      <c r="R33" s="31" t="inlineStr">
        <is>
          <t>Earnings / Momentum Support</t>
        </is>
      </c>
      <c r="S33" s="31" t="inlineStr">
        <is>
          <t>Nifty Pharma</t>
        </is>
      </c>
      <c r="T33" s="32" t="n">
        <v>20.77</v>
      </c>
      <c r="U33" s="32" t="n">
        <v>248.8</v>
      </c>
      <c r="V33" s="32" t="n">
        <v>188.82</v>
      </c>
      <c r="W33" s="32" t="n">
        <v>60.54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IF(B34=0,"",RANK(B34,$B$2:$B$93,0))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KMCSHIL</t>
        </is>
      </c>
      <c r="D34" s="31" t="inlineStr">
        <is>
          <t>KMC Speciality Hospitals (India) Ltd</t>
        </is>
      </c>
      <c r="E34" s="31" t="inlineStr">
        <is>
          <t>Healthcare</t>
        </is>
      </c>
      <c r="F34" s="31" t="inlineStr">
        <is>
          <t>Hospitals</t>
        </is>
      </c>
      <c r="G34" s="31" t="inlineStr">
        <is>
          <t>smallcap</t>
        </is>
      </c>
      <c r="H34" s="32" t="n">
        <v>2217.96</v>
      </c>
      <c r="I34" s="32" t="n">
        <v>136</v>
      </c>
      <c r="J34" s="32" t="n">
        <v>-1.63</v>
      </c>
      <c r="K34" s="32" t="n">
        <v>0</v>
      </c>
      <c r="L34" s="31" t="n">
        <v>75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69.91</v>
      </c>
      <c r="P34" s="32" t="n">
        <v>57.7</v>
      </c>
      <c r="Q34" s="32" t="inlineStr"/>
      <c r="R34" s="31" t="inlineStr">
        <is>
          <t>Earnings / Momentum Support</t>
        </is>
      </c>
      <c r="S34" s="31" t="inlineStr">
        <is>
          <t>Nifty Pharma</t>
        </is>
      </c>
      <c r="T34" s="32" t="n">
        <v>20.77</v>
      </c>
      <c r="U34" s="32" t="n">
        <v>103.37</v>
      </c>
      <c r="V34" s="32" t="n">
        <v>68.40000000000001</v>
      </c>
      <c r="W34" s="32" t="n">
        <v>20.09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IF(B35=0,"",RANK(B35,$B$2:$B$93,0))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LENSKART</t>
        </is>
      </c>
      <c r="D35" s="31" t="inlineStr">
        <is>
          <t>Lenskart Solutions Ltd</t>
        </is>
      </c>
      <c r="E35" s="31" t="inlineStr">
        <is>
          <t>Healthcare</t>
        </is>
      </c>
      <c r="F35" s="31" t="inlineStr">
        <is>
          <t>New age - Platform - E-Retail</t>
        </is>
      </c>
      <c r="G35" s="31" t="inlineStr">
        <is>
          <t>largecap</t>
        </is>
      </c>
      <c r="H35" s="32" t="n">
        <v>119768.62</v>
      </c>
      <c r="I35" s="32" t="n">
        <v>688.6</v>
      </c>
      <c r="J35" s="32" t="n">
        <v>0.54</v>
      </c>
      <c r="K35" s="32" t="n">
        <v>0</v>
      </c>
      <c r="L35" s="31" t="n">
        <v>74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74.03</v>
      </c>
      <c r="P35" s="32" t="n">
        <v>47.35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16.02</v>
      </c>
      <c r="U35" s="32" t="n">
        <v>67.44</v>
      </c>
      <c r="V35" s="32" t="n">
        <v>44.31</v>
      </c>
      <c r="W35" s="32" t="n">
        <v>19.43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20</t>
        </is>
      </c>
      <c r="CG35" s="31">
        <f>IF(CF35&gt;20,10,IF(CF35&gt;=10,5,2))</f>
        <v/>
      </c>
    </row>
    <row r="36">
      <c r="A36" s="31">
        <f>IF(B36=0,"",RANK(B36,$B$2:$B$93,0))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3" t="inlineStr">
        <is>
          <t>PCJEWELLER</t>
        </is>
      </c>
      <c r="D36" s="33" t="inlineStr">
        <is>
          <t>PC Jeweller Ltd</t>
        </is>
      </c>
      <c r="E36" s="31" t="inlineStr">
        <is>
          <t>consumer discretionary</t>
        </is>
      </c>
      <c r="F36" s="31" t="inlineStr">
        <is>
          <t>Diamond, Gems &amp; Jewellery</t>
        </is>
      </c>
      <c r="G36" s="31" t="inlineStr">
        <is>
          <t>midcap</t>
        </is>
      </c>
      <c r="H36" s="32" t="n">
        <v>13623.73</v>
      </c>
      <c r="I36" s="32" t="n">
        <v>13.97</v>
      </c>
      <c r="J36" s="32" t="n">
        <v>17.79</v>
      </c>
      <c r="K36" s="32" t="n">
        <v>0</v>
      </c>
      <c r="L36" s="31" t="n">
        <v>29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65.13</v>
      </c>
      <c r="P36" s="32" t="n">
        <v>21.75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-3.41</v>
      </c>
      <c r="U36" s="32" t="n">
        <v>-10.49</v>
      </c>
      <c r="V36" s="32" t="n">
        <v>-7.33</v>
      </c>
      <c r="W36" s="32" t="n">
        <v>5.03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25</t>
        </is>
      </c>
      <c r="CG36" s="31">
        <f>IF(CF36&gt;20,10,IF(CF36&gt;=10,5,2))</f>
        <v/>
      </c>
    </row>
    <row r="37">
      <c r="A37" s="31">
        <f>IF(B37=0,"",RANK(B37,$B$2:$B$93,0))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3" t="inlineStr">
        <is>
          <t>SSWL</t>
        </is>
      </c>
      <c r="D37" s="33" t="inlineStr">
        <is>
          <t>Steel Strips Wheels Ltd</t>
        </is>
      </c>
      <c r="E37" s="31" t="inlineStr">
        <is>
          <t>auto</t>
        </is>
      </c>
      <c r="F37" s="31" t="inlineStr">
        <is>
          <t>Auto Ancillaries - Wheels</t>
        </is>
      </c>
      <c r="G37" s="31" t="inlineStr">
        <is>
          <t>midcap</t>
        </is>
      </c>
      <c r="H37" s="32" t="n">
        <v>5816.45</v>
      </c>
      <c r="I37" s="32" t="n">
        <v>369.85</v>
      </c>
      <c r="J37" s="32" t="n">
        <v>2.21</v>
      </c>
      <c r="K37" s="32" t="n">
        <v>0</v>
      </c>
      <c r="L37" s="31" t="n">
        <v>33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78.27</v>
      </c>
      <c r="P37" s="32" t="n">
        <v>41.7</v>
      </c>
      <c r="Q37" s="32" t="inlineStr"/>
      <c r="R37" s="31" t="inlineStr">
        <is>
          <t>Earnings / Momentum Support</t>
        </is>
      </c>
      <c r="S37" s="31" t="inlineStr">
        <is>
          <t>Nifty Auto</t>
        </is>
      </c>
      <c r="T37" s="32" t="n">
        <v>13.41</v>
      </c>
      <c r="U37" s="32" t="n">
        <v>4.51</v>
      </c>
      <c r="V37" s="32" t="n">
        <v>-7.85</v>
      </c>
      <c r="W37" s="32" t="n">
        <v>5.81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22</t>
        </is>
      </c>
      <c r="CG37" s="31">
        <f>IF(CF37&gt;20,10,IF(CF37&gt;=10,5,2))</f>
        <v/>
      </c>
    </row>
    <row r="38">
      <c r="A38" s="31">
        <f>IF(B38=0,"",RANK(B38,$B$2:$B$93,0))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AFCOM</t>
        </is>
      </c>
      <c r="D38" s="31" t="inlineStr">
        <is>
          <t>Afcom Holdings Ltd</t>
        </is>
      </c>
      <c r="E38" s="31" t="inlineStr">
        <is>
          <t>Industrials</t>
        </is>
      </c>
      <c r="F38" s="31" t="inlineStr">
        <is>
          <t>Air Transport Service</t>
        </is>
      </c>
      <c r="G38" s="31" t="inlineStr">
        <is>
          <t>smallcap</t>
        </is>
      </c>
      <c r="H38" s="32" t="n">
        <v>4669.55</v>
      </c>
      <c r="I38" s="32" t="n">
        <v>1615</v>
      </c>
      <c r="J38" s="32" t="n">
        <v>-0.96</v>
      </c>
      <c r="K38" s="32" t="n">
        <v>0</v>
      </c>
      <c r="L38" s="31" t="n">
        <v>91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75.16</v>
      </c>
      <c r="P38" s="32" t="n">
        <v>47.95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-3.41</v>
      </c>
      <c r="U38" s="32" t="n">
        <v>77.15000000000001</v>
      </c>
      <c r="V38" s="32" t="n">
        <v>83.40000000000001</v>
      </c>
      <c r="W38" s="32" t="n">
        <v>32.4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IF(B39=0,"",RANK(B39,$B$2:$B$93,0))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SANSERA</t>
        </is>
      </c>
      <c r="D39" s="31" t="inlineStr">
        <is>
          <t>Sansera Engineering Ltd</t>
        </is>
      </c>
      <c r="E39" s="31" t="inlineStr">
        <is>
          <t>auto</t>
        </is>
      </c>
      <c r="F39" s="31" t="inlineStr">
        <is>
          <t>Auto Ancillaries - Diversified</t>
        </is>
      </c>
      <c r="G39" s="31" t="inlineStr">
        <is>
          <t>largecap</t>
        </is>
      </c>
      <c r="H39" s="32" t="n">
        <v>24364.23</v>
      </c>
      <c r="I39" s="32" t="n">
        <v>3904.3</v>
      </c>
      <c r="J39" s="32" t="n">
        <v>3.22</v>
      </c>
      <c r="K39" s="32" t="n">
        <v>0</v>
      </c>
      <c r="L39" s="31" t="n">
        <v>87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76.19</v>
      </c>
      <c r="P39" s="32" t="n">
        <v>63.25</v>
      </c>
      <c r="Q39" s="32" t="inlineStr"/>
      <c r="R39" s="31" t="inlineStr">
        <is>
          <t>Earnings / Momentum Support</t>
        </is>
      </c>
      <c r="S39" s="31" t="inlineStr">
        <is>
          <t>Nifty Auto</t>
        </is>
      </c>
      <c r="T39" s="32" t="n">
        <v>13.41</v>
      </c>
      <c r="U39" s="32" t="n">
        <v>137.65</v>
      </c>
      <c r="V39" s="32" t="n">
        <v>109.54</v>
      </c>
      <c r="W39" s="32" t="n">
        <v>26.81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IF(B40=0,"",RANK(B40,$B$2:$B$93,0))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3" t="inlineStr">
        <is>
          <t>OMAXE</t>
        </is>
      </c>
      <c r="D40" s="33" t="inlineStr">
        <is>
          <t>Omaxe Ltd</t>
        </is>
      </c>
      <c r="E40" s="31" t="inlineStr">
        <is>
          <t>realty</t>
        </is>
      </c>
      <c r="F40" s="31" t="inlineStr">
        <is>
          <t>Realty - Construction &amp; Contracting</t>
        </is>
      </c>
      <c r="G40" s="31" t="inlineStr">
        <is>
          <t>smallcap</t>
        </is>
      </c>
      <c r="H40" s="32" t="n">
        <v>2374.05</v>
      </c>
      <c r="I40" s="32" t="n">
        <v>129.8</v>
      </c>
      <c r="J40" s="32" t="n">
        <v>-4.82</v>
      </c>
      <c r="K40" s="32" t="n">
        <v>0</v>
      </c>
      <c r="L40" s="31" t="n">
        <v>18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81.25</v>
      </c>
      <c r="P40" s="32" t="n">
        <v>40.16</v>
      </c>
      <c r="Q40" s="32" t="inlineStr"/>
      <c r="R40" s="31" t="inlineStr">
        <is>
          <t>Earnings / Momentum Support</t>
        </is>
      </c>
      <c r="S40" s="31" t="inlineStr">
        <is>
          <t>Nifty Realty</t>
        </is>
      </c>
      <c r="T40" s="32" t="n">
        <v>-8.119999999999999</v>
      </c>
      <c r="U40" s="32" t="n">
        <v>-11.01</v>
      </c>
      <c r="V40" s="32" t="n">
        <v>-3.15</v>
      </c>
      <c r="W40" s="32" t="n">
        <v>2.25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IF(B41=0,"",RANK(B41,$B$2:$B$93,0))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3" t="inlineStr">
        <is>
          <t>LOTUSDEV</t>
        </is>
      </c>
      <c r="D41" s="33" t="inlineStr">
        <is>
          <t>Sri Lotus Developers &amp; Realty Ltd</t>
        </is>
      </c>
      <c r="E41" s="31" t="inlineStr">
        <is>
          <t>realty</t>
        </is>
      </c>
      <c r="F41" s="31" t="inlineStr">
        <is>
          <t>Construction - Factories/Offices/Commercial</t>
        </is>
      </c>
      <c r="G41" s="31" t="inlineStr">
        <is>
          <t>midcap</t>
        </is>
      </c>
      <c r="H41" s="32" t="n">
        <v>9703.610000000001</v>
      </c>
      <c r="I41" s="32" t="n">
        <v>198.55</v>
      </c>
      <c r="J41" s="32" t="n">
        <v>2.74</v>
      </c>
      <c r="K41" s="32" t="n">
        <v>0</v>
      </c>
      <c r="L41" s="31" t="n">
        <v>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61.03</v>
      </c>
      <c r="P41" s="32" t="n">
        <v>20.96</v>
      </c>
      <c r="Q41" s="32" t="inlineStr"/>
      <c r="R41" s="31" t="inlineStr">
        <is>
          <t>Earnings / Momentum Support</t>
        </is>
      </c>
      <c r="S41" s="31" t="inlineStr">
        <is>
          <t>Nifty Realty</t>
        </is>
      </c>
      <c r="T41" s="32" t="n">
        <v>5.1</v>
      </c>
      <c r="U41" s="32" t="n">
        <v>-33.28</v>
      </c>
      <c r="V41" s="32" t="n">
        <v>-36.52</v>
      </c>
      <c r="W41" s="32" t="n">
        <v>-7.53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IF(B42=0,"",RANK(B42,$B$2:$B$93,0))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3" t="inlineStr">
        <is>
          <t>SOLARA</t>
        </is>
      </c>
      <c r="D42" s="33" t="inlineStr">
        <is>
          <t>Solara Active Pharma Sciences Ltd</t>
        </is>
      </c>
      <c r="E42" s="31" t="inlineStr">
        <is>
          <t>healthcare</t>
        </is>
      </c>
      <c r="F42" s="31" t="inlineStr">
        <is>
          <t>Pharma - API &amp; CRAMS</t>
        </is>
      </c>
      <c r="G42" s="31" t="inlineStr">
        <is>
          <t>smallcap</t>
        </is>
      </c>
      <c r="H42" s="32" t="n">
        <v>3344.66</v>
      </c>
      <c r="I42" s="32" t="n">
        <v>699.8</v>
      </c>
      <c r="J42" s="32" t="n">
        <v>9.49</v>
      </c>
      <c r="K42" s="32" t="n">
        <v>0</v>
      </c>
      <c r="L42" s="31" t="n">
        <v>27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62.95</v>
      </c>
      <c r="P42" s="32" t="n">
        <v>27.51</v>
      </c>
      <c r="Q42" s="32" t="inlineStr"/>
      <c r="R42" s="31" t="inlineStr">
        <is>
          <t>Earnings / Momentum Support</t>
        </is>
      </c>
      <c r="S42" s="31" t="inlineStr">
        <is>
          <t>Nifty Pharma</t>
        </is>
      </c>
      <c r="T42" s="32" t="n">
        <v>20.77</v>
      </c>
      <c r="U42" s="32" t="n">
        <v>-3.85</v>
      </c>
      <c r="V42" s="32" t="n">
        <v>-20.39</v>
      </c>
      <c r="W42" s="32" t="n">
        <v>4.34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IF(B43=0,"",RANK(B43,$B$2:$B$93,0))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VALIANT</t>
        </is>
      </c>
      <c r="D43" s="31" t="inlineStr">
        <is>
          <t>Valiant Communications Ltd</t>
        </is>
      </c>
      <c r="E43" s="31" t="inlineStr">
        <is>
          <t>Technology</t>
        </is>
      </c>
      <c r="F43" s="31" t="inlineStr">
        <is>
          <t>Telecom Services</t>
        </is>
      </c>
      <c r="G43" s="31" t="inlineStr">
        <is>
          <t>smallcap</t>
        </is>
      </c>
      <c r="H43" s="32" t="n">
        <v>1537.51</v>
      </c>
      <c r="I43" s="32" t="n">
        <v>1315</v>
      </c>
      <c r="J43" s="32" t="n">
        <v>5.52</v>
      </c>
      <c r="K43" s="32" t="n">
        <v>0</v>
      </c>
      <c r="L43" s="31" t="n">
        <v>67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62.28</v>
      </c>
      <c r="P43" s="32" t="n">
        <v>22.65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-3.41</v>
      </c>
      <c r="U43" s="32" t="n">
        <v>103.83</v>
      </c>
      <c r="V43" s="32" t="n">
        <v>111.03</v>
      </c>
      <c r="W43" s="32" t="n">
        <v>17.19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IF(B44=0,"",RANK(B44,$B$2:$B$93,0))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INNOVACAP</t>
        </is>
      </c>
      <c r="D44" s="31" t="inlineStr">
        <is>
          <t>Innova Captab Ltd</t>
        </is>
      </c>
      <c r="E44" s="31" t="inlineStr">
        <is>
          <t>healthcare</t>
        </is>
      </c>
      <c r="F44" s="31" t="inlineStr">
        <is>
          <t>Pharma - API</t>
        </is>
      </c>
      <c r="G44" s="31" t="inlineStr">
        <is>
          <t>midcap</t>
        </is>
      </c>
      <c r="H44" s="32" t="n">
        <v>6667.28</v>
      </c>
      <c r="I44" s="32" t="n">
        <v>1165.1</v>
      </c>
      <c r="J44" s="32" t="n">
        <v>-0.88</v>
      </c>
      <c r="K44" s="32" t="n">
        <v>0</v>
      </c>
      <c r="L44" s="31" t="n">
        <v>62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75.86</v>
      </c>
      <c r="P44" s="32" t="n">
        <v>63.62</v>
      </c>
      <c r="Q44" s="32" t="inlineStr"/>
      <c r="R44" s="31" t="inlineStr">
        <is>
          <t>Earnings / Momentum Support</t>
        </is>
      </c>
      <c r="S44" s="31" t="inlineStr">
        <is>
          <t>Nifty Pharma</t>
        </is>
      </c>
      <c r="T44" s="32" t="n">
        <v>20.77</v>
      </c>
      <c r="U44" s="32" t="n">
        <v>29.7</v>
      </c>
      <c r="V44" s="32" t="n">
        <v>7.4</v>
      </c>
      <c r="W44" s="32" t="n">
        <v>14.56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IF(B45=0,"",RANK(B45,$B$2:$B$93,0))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BIRLACABLE</t>
        </is>
      </c>
      <c r="D45" s="31" t="inlineStr">
        <is>
          <t>Birla Cable Ltd</t>
        </is>
      </c>
      <c r="E45" s="31" t="inlineStr">
        <is>
          <t>industrials</t>
        </is>
      </c>
      <c r="F45" s="31" t="inlineStr">
        <is>
          <t>Cables - Telecom</t>
        </is>
      </c>
      <c r="G45" s="31" t="inlineStr">
        <is>
          <t>smallcap</t>
        </is>
      </c>
      <c r="H45" s="32" t="n">
        <v>1073.25</v>
      </c>
      <c r="I45" s="32" t="n">
        <v>357.75</v>
      </c>
      <c r="J45" s="32" t="n">
        <v>-4.99</v>
      </c>
      <c r="K45" s="32" t="n">
        <v>0</v>
      </c>
      <c r="L45" s="31" t="n">
        <v>26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79.54000000000001</v>
      </c>
      <c r="P45" s="32" t="n">
        <v>51.02</v>
      </c>
      <c r="Q45" s="32" t="inlineStr"/>
      <c r="R45" s="31" t="inlineStr">
        <is>
          <t>Earnings / Momentum Support</t>
        </is>
      </c>
      <c r="S45" s="31" t="inlineStr">
        <is>
          <t>Nifty Infra</t>
        </is>
      </c>
      <c r="T45" s="32" t="n">
        <v>1.74</v>
      </c>
      <c r="U45" s="32" t="n">
        <v>2.54</v>
      </c>
      <c r="V45" s="32" t="n">
        <v>0.78</v>
      </c>
      <c r="W45" s="32" t="n">
        <v>4.22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Oligopoly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29</t>
        </is>
      </c>
      <c r="CG45" s="31">
        <f>IF(CF45&gt;20,10,IF(CF45&gt;=10,5,2))</f>
        <v/>
      </c>
    </row>
    <row r="46">
      <c r="A46" s="31">
        <f>IF(B46=0,"",RANK(B46,$B$2:$B$93,0))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SKYGOLD</t>
        </is>
      </c>
      <c r="D46" s="31" t="inlineStr">
        <is>
          <t>Sky Gold &amp; Diamonds Ltd</t>
        </is>
      </c>
      <c r="E46" s="31" t="inlineStr">
        <is>
          <t>consumer discretionary</t>
        </is>
      </c>
      <c r="F46" s="31" t="inlineStr">
        <is>
          <t>Diamond, Gems &amp; Jewellery</t>
        </is>
      </c>
      <c r="G46" s="31" t="inlineStr">
        <is>
          <t>midcap</t>
        </is>
      </c>
      <c r="H46" s="32" t="n">
        <v>12188.57</v>
      </c>
      <c r="I46" s="32" t="n">
        <v>787</v>
      </c>
      <c r="J46" s="32" t="n">
        <v>0.71</v>
      </c>
      <c r="K46" s="32" t="n">
        <v>0</v>
      </c>
      <c r="L46" s="31" t="n">
        <v>93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76.01000000000001</v>
      </c>
      <c r="P46" s="32" t="n">
        <v>66.05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-3.41</v>
      </c>
      <c r="U46" s="32" t="n">
        <v>180.14</v>
      </c>
      <c r="V46" s="32" t="n">
        <v>190.03</v>
      </c>
      <c r="W46" s="32" t="n">
        <v>34.61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26</t>
        </is>
      </c>
      <c r="CG46" s="31">
        <f>IF(CF46&gt;20,10,IF(CF46&gt;=10,5,2))</f>
        <v/>
      </c>
    </row>
    <row r="47">
      <c r="A47" s="31">
        <f>IF(B47=0,"",RANK(B47,$B$2:$B$93,0))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AVALON</t>
        </is>
      </c>
      <c r="D47" s="31" t="inlineStr">
        <is>
          <t>Avalon Technologies Ltd</t>
        </is>
      </c>
      <c r="E47" s="31" t="inlineStr">
        <is>
          <t>consumer discretionary</t>
        </is>
      </c>
      <c r="F47" s="31" t="inlineStr">
        <is>
          <t>Consumer Electronics - EMS</t>
        </is>
      </c>
      <c r="G47" s="31" t="inlineStr">
        <is>
          <t>midcap</t>
        </is>
      </c>
      <c r="H47" s="32" t="n">
        <v>15668.02</v>
      </c>
      <c r="I47" s="32" t="n">
        <v>2345.1</v>
      </c>
      <c r="J47" s="32" t="n">
        <v>6.76</v>
      </c>
      <c r="K47" s="32" t="n">
        <v>0</v>
      </c>
      <c r="L47" s="31" t="n">
        <v>89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80.55</v>
      </c>
      <c r="P47" s="32" t="n">
        <v>59.92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-3.41</v>
      </c>
      <c r="U47" s="32" t="n">
        <v>138</v>
      </c>
      <c r="V47" s="32" t="n">
        <v>146.4</v>
      </c>
      <c r="W47" s="32" t="n">
        <v>29.47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24</t>
        </is>
      </c>
      <c r="CG47" s="31">
        <f>IF(CF47&gt;20,10,IF(CF47&gt;=10,5,2))</f>
        <v/>
      </c>
    </row>
    <row r="48">
      <c r="A48" s="31">
        <f>IF(B48=0,"",RANK(B48,$B$2:$B$93,0))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RGL</t>
        </is>
      </c>
      <c r="D48" s="31" t="inlineStr">
        <is>
          <t>Renaissance Global Ltd</t>
        </is>
      </c>
      <c r="E48" s="31" t="inlineStr">
        <is>
          <t>consumer discretionary</t>
        </is>
      </c>
      <c r="F48" s="31" t="inlineStr">
        <is>
          <t>Lab Grown Diamonds</t>
        </is>
      </c>
      <c r="G48" s="31" t="inlineStr">
        <is>
          <t>smallcap</t>
        </is>
      </c>
      <c r="H48" s="32" t="n">
        <v>1637.48</v>
      </c>
      <c r="I48" s="32" t="n">
        <v>152.51</v>
      </c>
      <c r="J48" s="32" t="n">
        <v>2.18</v>
      </c>
      <c r="K48" s="32" t="n">
        <v>0</v>
      </c>
      <c r="L48" s="31" t="n">
        <v>68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72.08</v>
      </c>
      <c r="P48" s="32" t="n">
        <v>24.09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-3.41</v>
      </c>
      <c r="U48" s="32" t="n">
        <v>31.88</v>
      </c>
      <c r="V48" s="32" t="n">
        <v>36.53</v>
      </c>
      <c r="W48" s="32" t="n">
        <v>17.21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23</t>
        </is>
      </c>
      <c r="CG48" s="31">
        <f>IF(CF48&gt;20,10,IF(CF48&gt;=10,5,2))</f>
        <v/>
      </c>
    </row>
    <row r="49">
      <c r="A49" s="31">
        <f>IF(B49=0,"",RANK(B49,$B$2:$B$93,0))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FCL</t>
        </is>
      </c>
      <c r="D49" s="31" t="inlineStr">
        <is>
          <t>Fineotex Chemical Ltd</t>
        </is>
      </c>
      <c r="E49" s="31" t="inlineStr">
        <is>
          <t>chemicals</t>
        </is>
      </c>
      <c r="F49" s="31" t="inlineStr">
        <is>
          <t>Speciality Chemicals</t>
        </is>
      </c>
      <c r="G49" s="31" t="inlineStr">
        <is>
          <t>midcap</t>
        </is>
      </c>
      <c r="H49" s="32" t="n">
        <v>6598.06</v>
      </c>
      <c r="I49" s="32" t="n">
        <v>56.66</v>
      </c>
      <c r="J49" s="32" t="n">
        <v>10</v>
      </c>
      <c r="K49" s="32" t="n">
        <v>0</v>
      </c>
      <c r="L49" s="31" t="n">
        <v>87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76.95</v>
      </c>
      <c r="P49" s="32" t="n">
        <v>47.92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-3.41</v>
      </c>
      <c r="U49" s="32" t="n">
        <v>118.77</v>
      </c>
      <c r="V49" s="32" t="n">
        <v>126.49</v>
      </c>
      <c r="W49" s="32" t="n">
        <v>26.63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23</t>
        </is>
      </c>
      <c r="CG49" s="31">
        <f>IF(CF49&gt;20,10,IF(CF49&gt;=10,5,2))</f>
        <v/>
      </c>
    </row>
    <row r="50">
      <c r="A50" s="31">
        <f>IF(B50=0,"",RANK(B50,$B$2:$B$93,0))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3" t="inlineStr">
        <is>
          <t>MVGJL</t>
        </is>
      </c>
      <c r="D50" s="33" t="inlineStr">
        <is>
          <t>Manoj Vaibhav Gems N Jewellers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smallcap</t>
        </is>
      </c>
      <c r="H50" s="32" t="n">
        <v>1054.52</v>
      </c>
      <c r="I50" s="32" t="n">
        <v>215.88</v>
      </c>
      <c r="J50" s="32" t="n">
        <v>20</v>
      </c>
      <c r="K50" s="32" t="n">
        <v>0</v>
      </c>
      <c r="L50" s="31" t="n">
        <v>19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58.57</v>
      </c>
      <c r="P50" s="32" t="n">
        <v>14.18</v>
      </c>
      <c r="Q50" s="32" t="inlineStr"/>
      <c r="R50" s="31" t="inlineStr">
        <is>
          <t>Volume Spike / Accumulation</t>
        </is>
      </c>
      <c r="S50" s="31" t="inlineStr">
        <is>
          <t>Nifty 50</t>
        </is>
      </c>
      <c r="T50" s="32" t="n">
        <v>-3.41</v>
      </c>
      <c r="U50" s="32" t="n">
        <v>-8.800000000000001</v>
      </c>
      <c r="V50" s="32" t="n">
        <v>-5.58</v>
      </c>
      <c r="W50" s="32" t="n">
        <v>2.54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IF(B51=0,"",RANK(B51,$B$2:$B$93,0))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WELCORP</t>
        </is>
      </c>
      <c r="D51" s="31" t="inlineStr">
        <is>
          <t>Welspun Corp Ltd</t>
        </is>
      </c>
      <c r="E51" s="31" t="inlineStr">
        <is>
          <t>industrials</t>
        </is>
      </c>
      <c r="F51" s="31" t="inlineStr">
        <is>
          <t>DI Pipes/Saw Pipes</t>
        </is>
      </c>
      <c r="G51" s="31" t="inlineStr">
        <is>
          <t>largecap</t>
        </is>
      </c>
      <c r="H51" s="32" t="n">
        <v>68585.57000000001</v>
      </c>
      <c r="I51" s="32" t="n">
        <v>2600</v>
      </c>
      <c r="J51" s="32" t="n">
        <v>0.36</v>
      </c>
      <c r="K51" s="32" t="n">
        <v>0</v>
      </c>
      <c r="L51" s="31" t="n">
        <v>83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94.68000000000001</v>
      </c>
      <c r="P51" s="32" t="n">
        <v>77.02</v>
      </c>
      <c r="Q51" s="32" t="inlineStr"/>
      <c r="R51" s="31" t="inlineStr">
        <is>
          <t>Earnings / Momentum Support</t>
        </is>
      </c>
      <c r="S51" s="31" t="inlineStr">
        <is>
          <t>Nifty Metal</t>
        </is>
      </c>
      <c r="T51" s="32" t="n">
        <v>31.49</v>
      </c>
      <c r="U51" s="32" t="n">
        <v>71.81999999999999</v>
      </c>
      <c r="V51" s="32" t="n">
        <v>30.67</v>
      </c>
      <c r="W51" s="32" t="n">
        <v>23.89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IF(B52=0,"",RANK(B52,$B$2:$B$93,0))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BHEL</t>
        </is>
      </c>
      <c r="D52" s="31" t="inlineStr">
        <is>
          <t>Bharat Heavy Electricals Ltd</t>
        </is>
      </c>
      <c r="E52" s="31" t="inlineStr">
        <is>
          <t>Industrials</t>
        </is>
      </c>
      <c r="F52" s="31" t="inlineStr">
        <is>
          <t>Capital Goods - Engineering Heavy</t>
        </is>
      </c>
      <c r="G52" s="31" t="inlineStr">
        <is>
          <t>largecap</t>
        </is>
      </c>
      <c r="H52" s="32" t="n">
        <v>146734.15</v>
      </c>
      <c r="I52" s="32" t="n">
        <v>421.4</v>
      </c>
      <c r="J52" s="32" t="n">
        <v>-2.25</v>
      </c>
      <c r="K52" s="32" t="n">
        <v>0</v>
      </c>
      <c r="L52" s="31" t="n">
        <v>73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66.12</v>
      </c>
      <c r="P52" s="32" t="n">
        <v>37.08</v>
      </c>
      <c r="Q52" s="32" t="inlineStr"/>
      <c r="R52" s="31" t="inlineStr">
        <is>
          <t>Earnings / Momentum Support</t>
        </is>
      </c>
      <c r="S52" s="31" t="inlineStr">
        <is>
          <t>Nifty 500</t>
        </is>
      </c>
      <c r="T52" s="32" t="n">
        <v>1.86</v>
      </c>
      <c r="U52" s="32" t="n">
        <v>103.66</v>
      </c>
      <c r="V52" s="32" t="n">
        <v>99.94</v>
      </c>
      <c r="W52" s="32" t="n">
        <v>19.4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IF(B53=0,"",RANK(B53,$B$2:$B$93,0))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BODALCHEM</t>
        </is>
      </c>
      <c r="D53" s="31" t="inlineStr">
        <is>
          <t>Bodal Chemicals Ltd</t>
        </is>
      </c>
      <c r="E53" s="31" t="inlineStr">
        <is>
          <t>chemicals</t>
        </is>
      </c>
      <c r="F53" s="31" t="inlineStr">
        <is>
          <t>Dyes &amp; Pigments</t>
        </is>
      </c>
      <c r="G53" s="31" t="inlineStr">
        <is>
          <t>smallcap</t>
        </is>
      </c>
      <c r="H53" s="32" t="n">
        <v>2155.91</v>
      </c>
      <c r="I53" s="32" t="n">
        <v>171.18</v>
      </c>
      <c r="J53" s="32" t="n">
        <v>10</v>
      </c>
      <c r="K53" s="32" t="n">
        <v>0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87.09999999999999</v>
      </c>
      <c r="P53" s="32" t="n">
        <v>37.56</v>
      </c>
      <c r="Q53" s="32" t="inlineStr"/>
      <c r="R53" s="31" t="inlineStr">
        <is>
          <t>Earnings / Momentum Support</t>
        </is>
      </c>
      <c r="S53" s="31" t="inlineStr">
        <is>
          <t>Nifty IT</t>
        </is>
      </c>
      <c r="T53" s="32" t="n">
        <v>-11.38</v>
      </c>
      <c r="U53" s="32" t="n">
        <v>138.9</v>
      </c>
      <c r="V53" s="32" t="n">
        <v>169.57</v>
      </c>
      <c r="W53" s="32" t="n">
        <v>52.41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32</t>
        </is>
      </c>
      <c r="CG53" s="31">
        <f>IF(CF53&gt;20,10,IF(CF53&gt;=10,5,2))</f>
        <v/>
      </c>
    </row>
    <row r="54">
      <c r="A54" s="31">
        <f>IF(B54=0,"",RANK(B54,$B$2:$B$93,0))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TVSSRICHAK</t>
        </is>
      </c>
      <c r="D54" s="31" t="inlineStr">
        <is>
          <t>TVS Srichakra Ltd</t>
        </is>
      </c>
      <c r="E54" s="31" t="inlineStr">
        <is>
          <t>auto</t>
        </is>
      </c>
      <c r="F54" s="31" t="inlineStr">
        <is>
          <t>Tyres &amp; Tubes</t>
        </is>
      </c>
      <c r="G54" s="31" t="inlineStr">
        <is>
          <t>smallcap</t>
        </is>
      </c>
      <c r="H54" s="32" t="n">
        <v>4096.52</v>
      </c>
      <c r="I54" s="32" t="n">
        <v>5350</v>
      </c>
      <c r="J54" s="32" t="n">
        <v>2.15</v>
      </c>
      <c r="K54" s="32" t="n">
        <v>0</v>
      </c>
      <c r="L54" s="31" t="n">
        <v>38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73.17</v>
      </c>
      <c r="P54" s="32" t="n">
        <v>32.71</v>
      </c>
      <c r="Q54" s="32" t="inlineStr"/>
      <c r="R54" s="31" t="inlineStr">
        <is>
          <t>Earnings / Momentum Support</t>
        </is>
      </c>
      <c r="S54" s="31" t="inlineStr">
        <is>
          <t>Nifty Auto</t>
        </is>
      </c>
      <c r="T54" s="32" t="n">
        <v>13.41</v>
      </c>
      <c r="U54" s="32" t="n">
        <v>30.29</v>
      </c>
      <c r="V54" s="32" t="n">
        <v>14.88</v>
      </c>
      <c r="W54" s="32" t="n">
        <v>7.03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23</t>
        </is>
      </c>
      <c r="CG54" s="31">
        <f>IF(CF54&gt;20,10,IF(CF54&gt;=10,5,2))</f>
        <v/>
      </c>
    </row>
    <row r="55">
      <c r="A55" s="31">
        <f>IF(B55=0,"",RANK(B55,$B$2:$B$93,0))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CRAFTSMAN</t>
        </is>
      </c>
      <c r="D55" s="31" t="inlineStr">
        <is>
          <t>Craftsman Automation Ltd</t>
        </is>
      </c>
      <c r="E55" s="31" t="inlineStr">
        <is>
          <t>auto</t>
        </is>
      </c>
      <c r="F55" s="31" t="inlineStr">
        <is>
          <t>Auto &amp; Auto Ancl - CV</t>
        </is>
      </c>
      <c r="G55" s="31" t="inlineStr">
        <is>
          <t>largecap</t>
        </is>
      </c>
      <c r="H55" s="32" t="n">
        <v>29423.74</v>
      </c>
      <c r="I55" s="32" t="n">
        <v>11250</v>
      </c>
      <c r="J55" s="32" t="n">
        <v>-1.3</v>
      </c>
      <c r="K55" s="32" t="n">
        <v>0</v>
      </c>
      <c r="L55" s="31" t="n">
        <v>53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74.45</v>
      </c>
      <c r="P55" s="32" t="n">
        <v>67.06</v>
      </c>
      <c r="Q55" s="32" t="inlineStr"/>
      <c r="R55" s="31" t="inlineStr">
        <is>
          <t>Earnings / Momentum Support</t>
        </is>
      </c>
      <c r="S55" s="31" t="inlineStr">
        <is>
          <t>Nifty Auto</t>
        </is>
      </c>
      <c r="T55" s="32" t="n">
        <v>13.41</v>
      </c>
      <c r="U55" s="32" t="n">
        <v>42.38</v>
      </c>
      <c r="V55" s="32" t="n">
        <v>25.54</v>
      </c>
      <c r="W55" s="32" t="n">
        <v>11.32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23</t>
        </is>
      </c>
      <c r="CG55" s="31">
        <f>IF(CF55&gt;20,10,IF(CF55&gt;=10,5,2))</f>
        <v/>
      </c>
    </row>
    <row r="56">
      <c r="A56" s="31">
        <f>IF(B56=0,"",RANK(B56,$B$2:$B$93,0))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ACMESOLAR</t>
        </is>
      </c>
      <c r="D56" s="31" t="inlineStr">
        <is>
          <t>ACME Solar Holdings Ltd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largecap</t>
        </is>
      </c>
      <c r="H56" s="32" t="n">
        <v>29123.22</v>
      </c>
      <c r="I56" s="32" t="n">
        <v>412</v>
      </c>
      <c r="J56" s="32" t="n">
        <v>-1.44</v>
      </c>
      <c r="K56" s="32" t="n">
        <v>0</v>
      </c>
      <c r="L56" s="31" t="n">
        <v>61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71.67</v>
      </c>
      <c r="P56" s="32" t="n">
        <v>48.2</v>
      </c>
      <c r="Q56" s="32" t="inlineStr"/>
      <c r="R56" s="31" t="inlineStr">
        <is>
          <t>Earnings / Momentum Support</t>
        </is>
      </c>
      <c r="S56" s="31" t="inlineStr">
        <is>
          <t>Nifty Realty</t>
        </is>
      </c>
      <c r="T56" s="32" t="n">
        <v>-8.119999999999999</v>
      </c>
      <c r="U56" s="32" t="n">
        <v>39.94</v>
      </c>
      <c r="V56" s="32" t="n">
        <v>52.31</v>
      </c>
      <c r="W56" s="32" t="n">
        <v>14.48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IF(B57=0,"",RANK(B57,$B$2:$B$93,0))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ENTERO</t>
        </is>
      </c>
      <c r="D57" s="31" t="inlineStr">
        <is>
          <t>Entero Healthcare Solutions Ltd</t>
        </is>
      </c>
      <c r="E57" s="31" t="inlineStr">
        <is>
          <t>healthcare</t>
        </is>
      </c>
      <c r="F57" s="31" t="inlineStr">
        <is>
          <t>Pharmacy Distribution</t>
        </is>
      </c>
      <c r="G57" s="31" t="inlineStr">
        <is>
          <t>midcap</t>
        </is>
      </c>
      <c r="H57" s="32" t="n">
        <v>8217.16</v>
      </c>
      <c r="I57" s="32" t="n">
        <v>1888</v>
      </c>
      <c r="J57" s="32" t="n">
        <v>3.3</v>
      </c>
      <c r="K57" s="32" t="n">
        <v>0</v>
      </c>
      <c r="L57" s="31" t="n">
        <v>84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78.29000000000001</v>
      </c>
      <c r="P57" s="32" t="n">
        <v>37.66</v>
      </c>
      <c r="Q57" s="32" t="inlineStr"/>
      <c r="R57" s="31" t="inlineStr">
        <is>
          <t>Earnings / Momentum Support</t>
        </is>
      </c>
      <c r="S57" s="31" t="inlineStr">
        <is>
          <t>Nifty Pharma</t>
        </is>
      </c>
      <c r="T57" s="32" t="n">
        <v>20.77</v>
      </c>
      <c r="U57" s="32" t="n">
        <v>51.88</v>
      </c>
      <c r="V57" s="32" t="n">
        <v>25.76</v>
      </c>
      <c r="W57" s="32" t="n">
        <v>24.35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29</t>
        </is>
      </c>
      <c r="CG57" s="31">
        <f>IF(CF57&gt;20,10,IF(CF57&gt;=10,5,2))</f>
        <v/>
      </c>
    </row>
    <row r="58">
      <c r="A58" s="31">
        <f>IF(B58=0,"",RANK(B58,$B$2:$B$93,0))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3" t="inlineStr">
        <is>
          <t>SYNCOMF</t>
        </is>
      </c>
      <c r="D58" s="33" t="inlineStr">
        <is>
          <t>Syncom Formulations (India) Ltd</t>
        </is>
      </c>
      <c r="E58" s="31" t="inlineStr">
        <is>
          <t>healthcare</t>
        </is>
      </c>
      <c r="F58" s="31" t="inlineStr">
        <is>
          <t>Pharma - Others</t>
        </is>
      </c>
      <c r="G58" s="31" t="inlineStr">
        <is>
          <t>smallcap</t>
        </is>
      </c>
      <c r="H58" s="32" t="n">
        <v>1911.02</v>
      </c>
      <c r="I58" s="32" t="n">
        <v>20.33</v>
      </c>
      <c r="J58" s="32" t="n">
        <v>-1.21</v>
      </c>
      <c r="K58" s="32" t="n">
        <v>0</v>
      </c>
      <c r="L58" s="31" t="n">
        <v>61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76.66</v>
      </c>
      <c r="P58" s="32" t="n">
        <v>26.72</v>
      </c>
      <c r="Q58" s="32" t="inlineStr"/>
      <c r="R58" s="31" t="inlineStr">
        <is>
          <t>Earnings / Momentum Support</t>
        </is>
      </c>
      <c r="S58" s="31" t="inlineStr">
        <is>
          <t>Nifty Pharma</t>
        </is>
      </c>
      <c r="T58" s="32" t="n">
        <v>20.77</v>
      </c>
      <c r="U58" s="32" t="n">
        <v>19.58</v>
      </c>
      <c r="V58" s="32" t="n">
        <v>-0.98</v>
      </c>
      <c r="W58" s="32" t="n">
        <v>14.41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IF(B59=0,"",RANK(B59,$B$2:$B$93,0))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BHAGERIA</t>
        </is>
      </c>
      <c r="D59" s="31" t="inlineStr">
        <is>
          <t>Bhageria Industries Ltd</t>
        </is>
      </c>
      <c r="E59" s="31" t="inlineStr">
        <is>
          <t>chemicals</t>
        </is>
      </c>
      <c r="F59" s="31" t="inlineStr">
        <is>
          <t>Dyes &amp; Pigments</t>
        </is>
      </c>
      <c r="G59" s="31" t="inlineStr">
        <is>
          <t>smallcap</t>
        </is>
      </c>
      <c r="H59" s="32" t="n">
        <v>1395.96</v>
      </c>
      <c r="I59" s="32" t="n">
        <v>319.85</v>
      </c>
      <c r="J59" s="32" t="n">
        <v>4.99</v>
      </c>
      <c r="K59" s="32" t="n">
        <v>0</v>
      </c>
      <c r="L59" s="31" t="n">
        <v>77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75.16</v>
      </c>
      <c r="P59" s="32" t="n">
        <v>36.39</v>
      </c>
      <c r="Q59" s="32" t="inlineStr"/>
      <c r="R59" s="31" t="inlineStr">
        <is>
          <t>Earnings / Momentum Support</t>
        </is>
      </c>
      <c r="S59" s="31" t="inlineStr">
        <is>
          <t>Nifty IT</t>
        </is>
      </c>
      <c r="T59" s="32" t="n">
        <v>-11.38</v>
      </c>
      <c r="U59" s="32" t="n">
        <v>54.84</v>
      </c>
      <c r="V59" s="32" t="n">
        <v>74.72</v>
      </c>
      <c r="W59" s="32" t="n">
        <v>21.39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28</t>
        </is>
      </c>
      <c r="CG59" s="31">
        <f>IF(CF59&gt;20,10,IF(CF59&gt;=10,5,2))</f>
        <v/>
      </c>
    </row>
    <row r="60">
      <c r="A60" s="31">
        <f>IF(B60=0,"",RANK(B60,$B$2:$B$93,0))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3" t="inlineStr">
        <is>
          <t>AEROENTER</t>
        </is>
      </c>
      <c r="D60" s="33" t="inlineStr">
        <is>
          <t>Aeroflex Enterprises Ltd</t>
        </is>
      </c>
      <c r="E60" s="31" t="inlineStr">
        <is>
          <t>metals &amp; mining</t>
        </is>
      </c>
      <c r="F60" s="31" t="inlineStr">
        <is>
          <t>Miscellaneous</t>
        </is>
      </c>
      <c r="G60" s="31" t="inlineStr">
        <is>
          <t>smallcap</t>
        </is>
      </c>
      <c r="H60" s="32" t="n">
        <v>1759.7</v>
      </c>
      <c r="I60" s="32" t="n">
        <v>155.5</v>
      </c>
      <c r="J60" s="32" t="n">
        <v>9.65</v>
      </c>
      <c r="K60" s="32" t="n">
        <v>0</v>
      </c>
      <c r="L60" s="31" t="n">
        <v>46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66.15000000000001</v>
      </c>
      <c r="P60" s="32" t="n">
        <v>54.08</v>
      </c>
      <c r="Q60" s="32" t="inlineStr"/>
      <c r="R60" s="31" t="inlineStr">
        <is>
          <t>Earnings / Momentum Support</t>
        </is>
      </c>
      <c r="S60" s="31" t="inlineStr">
        <is>
          <t>Nifty Metal</t>
        </is>
      </c>
      <c r="T60" s="32" t="n">
        <v>31.49</v>
      </c>
      <c r="U60" s="32" t="n">
        <v>6.38</v>
      </c>
      <c r="V60" s="32" t="n">
        <v>-19.1</v>
      </c>
      <c r="W60" s="32" t="n">
        <v>8.710000000000001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25</t>
        </is>
      </c>
      <c r="CG60" s="31">
        <f>IF(CF60&gt;20,10,IF(CF60&gt;=10,5,2))</f>
        <v/>
      </c>
    </row>
    <row r="61">
      <c r="A61" s="31">
        <f>IF(B61=0,"",RANK(B61,$B$2:$B$93,0))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KENNAMET</t>
        </is>
      </c>
      <c r="D61" s="31" t="inlineStr">
        <is>
          <t>Kennametal India Ltd</t>
        </is>
      </c>
      <c r="E61" s="31" t="inlineStr">
        <is>
          <t>industrials</t>
        </is>
      </c>
      <c r="F61" s="31" t="inlineStr">
        <is>
          <t>Castings, Forgings &amp; Fastners</t>
        </is>
      </c>
      <c r="G61" s="31" t="inlineStr">
        <is>
          <t>midcap</t>
        </is>
      </c>
      <c r="H61" s="32" t="n">
        <v>10266.04</v>
      </c>
      <c r="I61" s="32" t="n">
        <v>4671</v>
      </c>
      <c r="J61" s="32" t="n">
        <v>-0.37</v>
      </c>
      <c r="K61" s="32" t="n">
        <v>0</v>
      </c>
      <c r="L61" s="31" t="n">
        <v>42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85.22</v>
      </c>
      <c r="P61" s="32" t="n">
        <v>48.77</v>
      </c>
      <c r="Q61" s="32" t="inlineStr"/>
      <c r="R61" s="31" t="inlineStr">
        <is>
          <t>Earnings / Momentum Support</t>
        </is>
      </c>
      <c r="S61" s="31" t="inlineStr">
        <is>
          <t>Nifty Infra</t>
        </is>
      </c>
      <c r="T61" s="32" t="n">
        <v>1.74</v>
      </c>
      <c r="U61" s="32" t="n">
        <v>22.24</v>
      </c>
      <c r="V61" s="32" t="n">
        <v>20.15</v>
      </c>
      <c r="W61" s="32" t="n">
        <v>8.039999999999999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25</t>
        </is>
      </c>
      <c r="CG61" s="31">
        <f>IF(CF61&gt;20,10,IF(CF61&gt;=10,5,2))</f>
        <v/>
      </c>
    </row>
    <row r="62">
      <c r="A62" s="31">
        <f>IF(B62=0,"",RANK(B62,$B$2:$B$93,0))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STLTECH</t>
        </is>
      </c>
      <c r="D62" s="31" t="inlineStr">
        <is>
          <t>Sterlite Technologies Ltd</t>
        </is>
      </c>
      <c r="E62" s="31" t="inlineStr">
        <is>
          <t>industrials</t>
        </is>
      </c>
      <c r="F62" s="31" t="inlineStr">
        <is>
          <t>Cables - Telecom</t>
        </is>
      </c>
      <c r="G62" s="31" t="inlineStr">
        <is>
          <t>largecap</t>
        </is>
      </c>
      <c r="H62" s="32" t="n">
        <v>40408.84</v>
      </c>
      <c r="I62" s="32" t="n">
        <v>786.3</v>
      </c>
      <c r="J62" s="32" t="n">
        <v>4.99</v>
      </c>
      <c r="K62" s="32" t="n">
        <v>0</v>
      </c>
      <c r="L62" s="31" t="n">
        <v>99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77.5</v>
      </c>
      <c r="P62" s="32" t="n">
        <v>73.98999999999999</v>
      </c>
      <c r="Q62" s="32" t="inlineStr"/>
      <c r="R62" s="31" t="inlineStr">
        <is>
          <t>Earnings / Momentum Support</t>
        </is>
      </c>
      <c r="S62" s="31" t="inlineStr">
        <is>
          <t>Nifty Infra</t>
        </is>
      </c>
      <c r="T62" s="32" t="n">
        <v>1.74</v>
      </c>
      <c r="U62" s="32" t="n">
        <v>350.72</v>
      </c>
      <c r="V62" s="32" t="n">
        <v>343.01</v>
      </c>
      <c r="W62" s="32" t="n">
        <v>71.36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24</t>
        </is>
      </c>
      <c r="CG62" s="31">
        <f>IF(CF62&gt;20,10,IF(CF62&gt;=10,5,2))</f>
        <v/>
      </c>
    </row>
    <row r="63">
      <c r="A63" s="31">
        <f>IF(B63=0,"",RANK(B63,$B$2:$B$93,0))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CHENNPETRO</t>
        </is>
      </c>
      <c r="D63" s="31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largecap</t>
        </is>
      </c>
      <c r="H63" s="32" t="n">
        <v>21289.86</v>
      </c>
      <c r="I63" s="32" t="n">
        <v>1429.7</v>
      </c>
      <c r="J63" s="32" t="n">
        <v>-1.55</v>
      </c>
      <c r="K63" s="32" t="n">
        <v>0</v>
      </c>
      <c r="L63" s="31" t="n">
        <v>58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74.15000000000001</v>
      </c>
      <c r="P63" s="32" t="n">
        <v>57.81</v>
      </c>
      <c r="Q63" s="32" t="inlineStr"/>
      <c r="R63" s="31" t="inlineStr">
        <is>
          <t>Earnings / Momentum Support</t>
        </is>
      </c>
      <c r="S63" s="31" t="inlineStr">
        <is>
          <t>Nifty Energy</t>
        </is>
      </c>
      <c r="T63" s="32" t="n">
        <v>8.41</v>
      </c>
      <c r="U63" s="32" t="n">
        <v>56.41</v>
      </c>
      <c r="V63" s="32" t="n">
        <v>44.28</v>
      </c>
      <c r="W63" s="32" t="n">
        <v>12.99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IF(B64=0,"",RANK(B64,$B$2:$B$93,0))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KABRAEXTRU</t>
        </is>
      </c>
      <c r="D64" s="31" t="inlineStr">
        <is>
          <t>Kabra Extrusion Technik Ltd</t>
        </is>
      </c>
      <c r="E64" s="31" t="inlineStr">
        <is>
          <t>industrials</t>
        </is>
      </c>
      <c r="F64" s="31" t="inlineStr">
        <is>
          <t>Capital Goods - Engineering Heavy</t>
        </is>
      </c>
      <c r="G64" s="31" t="inlineStr">
        <is>
          <t>smallcap</t>
        </is>
      </c>
      <c r="H64" s="32" t="n">
        <v>2224.27</v>
      </c>
      <c r="I64" s="32" t="n">
        <v>636</v>
      </c>
      <c r="J64" s="32" t="n">
        <v>9.82</v>
      </c>
      <c r="K64" s="32" t="n">
        <v>0</v>
      </c>
      <c r="L64" s="31" t="n">
        <v>53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83.70999999999999</v>
      </c>
      <c r="P64" s="32" t="n">
        <v>55.27</v>
      </c>
      <c r="Q64" s="32" t="inlineStr"/>
      <c r="R64" s="31" t="inlineStr">
        <is>
          <t>Earnings / Momentum Support</t>
        </is>
      </c>
      <c r="S64" s="31" t="inlineStr">
        <is>
          <t>Nifty Infra</t>
        </is>
      </c>
      <c r="T64" s="32" t="n">
        <v>1.74</v>
      </c>
      <c r="U64" s="32" t="n">
        <v>6.76</v>
      </c>
      <c r="V64" s="32" t="n">
        <v>4.94</v>
      </c>
      <c r="W64" s="32" t="n">
        <v>11.12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IF(B65=0,"",RANK(B65,$B$2:$B$93,0))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KRN</t>
        </is>
      </c>
      <c r="D65" s="31" t="inlineStr">
        <is>
          <t>KRN Heat Exchanger and Refrigeration Ltd</t>
        </is>
      </c>
      <c r="E65" s="31" t="inlineStr">
        <is>
          <t>industrials</t>
        </is>
      </c>
      <c r="F65" s="31" t="inlineStr">
        <is>
          <t>Engineering - General</t>
        </is>
      </c>
      <c r="G65" s="31" t="inlineStr">
        <is>
          <t>midcap</t>
        </is>
      </c>
      <c r="H65" s="32" t="n">
        <v>10623.91</v>
      </c>
      <c r="I65" s="32" t="n">
        <v>1623</v>
      </c>
      <c r="J65" s="32" t="n">
        <v>2.81</v>
      </c>
      <c r="K65" s="32" t="n">
        <v>0</v>
      </c>
      <c r="L65" s="31" t="n">
        <v>74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72.51000000000001</v>
      </c>
      <c r="P65" s="32" t="n">
        <v>36.9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-3.41</v>
      </c>
      <c r="U65" s="32" t="n">
        <v>80.59999999999999</v>
      </c>
      <c r="V65" s="32" t="n">
        <v>86.97</v>
      </c>
      <c r="W65" s="32" t="n">
        <v>19.74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IF(B66=0,"",RANK(B66,$B$2:$B$93,0))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NRAIL</t>
        </is>
      </c>
      <c r="D66" s="31" t="inlineStr">
        <is>
          <t>N R Agarwal Industries Ltd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1008.13</v>
      </c>
      <c r="I66" s="32" t="n">
        <v>592.35</v>
      </c>
      <c r="J66" s="32" t="n">
        <v>1.43</v>
      </c>
      <c r="K66" s="32" t="n">
        <v>0</v>
      </c>
      <c r="L66" s="31" t="n">
        <v>19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65.37</v>
      </c>
      <c r="P66" s="32" t="n">
        <v>31.65</v>
      </c>
      <c r="Q66" s="32" t="inlineStr"/>
      <c r="R66" s="31" t="inlineStr">
        <is>
          <t>Earnings / Momentum Support</t>
        </is>
      </c>
      <c r="S66" s="31" t="inlineStr">
        <is>
          <t>Nifty Infra</t>
        </is>
      </c>
      <c r="T66" s="32" t="n">
        <v>1.74</v>
      </c>
      <c r="U66" s="32" t="n">
        <v>19.09</v>
      </c>
      <c r="V66" s="32" t="n">
        <v>17.05</v>
      </c>
      <c r="W66" s="32" t="n">
        <v>2.3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IF(B67=0,"",RANK(B67,$B$2:$B$93,0))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JGCHEM</t>
        </is>
      </c>
      <c r="D67" s="33" t="inlineStr">
        <is>
          <t>JGChemicals Ltd</t>
        </is>
      </c>
      <c r="E67" s="31" t="inlineStr">
        <is>
          <t>Basic Materials</t>
        </is>
      </c>
      <c r="F67" s="31" t="inlineStr">
        <is>
          <t>Chemicals - Inorganic</t>
        </is>
      </c>
      <c r="G67" s="31" t="inlineStr">
        <is>
          <t>smallcap</t>
        </is>
      </c>
      <c r="H67" s="32" t="n">
        <v>2304.14</v>
      </c>
      <c r="I67" s="32" t="n">
        <v>588</v>
      </c>
      <c r="J67" s="32" t="n">
        <v>-1.7</v>
      </c>
      <c r="K67" s="32" t="n">
        <v>0</v>
      </c>
      <c r="L67" s="31" t="n">
        <v>16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68.56</v>
      </c>
      <c r="P67" s="32" t="n">
        <v>43.03</v>
      </c>
      <c r="Q67" s="32" t="inlineStr"/>
      <c r="R67" s="31" t="inlineStr">
        <is>
          <t>Earnings / Momentum Support</t>
        </is>
      </c>
      <c r="S67" s="31" t="inlineStr">
        <is>
          <t>Nifty Metal</t>
        </is>
      </c>
      <c r="T67" s="32" t="n">
        <v>31.49</v>
      </c>
      <c r="U67" s="32" t="n">
        <v>-12.32</v>
      </c>
      <c r="V67" s="32" t="n">
        <v>-33.32</v>
      </c>
      <c r="W67" s="32" t="n">
        <v>1.92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IF(B68=0,"",RANK(B68,$B$2:$B$93,0))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ENGINERSIN</t>
        </is>
      </c>
      <c r="D68" s="31" t="inlineStr">
        <is>
          <t>Engineers India Ltd</t>
        </is>
      </c>
      <c r="E68" s="31" t="inlineStr">
        <is>
          <t>realty</t>
        </is>
      </c>
      <c r="F68" s="31" t="inlineStr">
        <is>
          <t>Infra - Engineering - General</t>
        </is>
      </c>
      <c r="G68" s="31" t="inlineStr">
        <is>
          <t>midcap</t>
        </is>
      </c>
      <c r="H68" s="32" t="n">
        <v>15568.57</v>
      </c>
      <c r="I68" s="32" t="n">
        <v>277</v>
      </c>
      <c r="J68" s="32" t="n">
        <v>-0.88</v>
      </c>
      <c r="K68" s="32" t="n">
        <v>0</v>
      </c>
      <c r="L68" s="31" t="n">
        <v>11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68.09</v>
      </c>
      <c r="P68" s="32" t="n">
        <v>15.81</v>
      </c>
      <c r="Q68" s="32" t="inlineStr"/>
      <c r="R68" s="31" t="inlineStr">
        <is>
          <t>Earnings / Momentum Support</t>
        </is>
      </c>
      <c r="S68" s="31" t="inlineStr">
        <is>
          <t>Nifty Realty</t>
        </is>
      </c>
      <c r="T68" s="32" t="n">
        <v>-8.119999999999999</v>
      </c>
      <c r="U68" s="32" t="n">
        <v>-1.02</v>
      </c>
      <c r="V68" s="32" t="n">
        <v>7.73</v>
      </c>
      <c r="W68" s="32" t="n">
        <v>-0.31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IF(B69=0,"",RANK(B69,$B$2:$B$93,0))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AEROFLEX</t>
        </is>
      </c>
      <c r="D69" s="31" t="inlineStr">
        <is>
          <t>Aeroflex Industries Ltd</t>
        </is>
      </c>
      <c r="E69" s="31" t="inlineStr">
        <is>
          <t>metals &amp; mining</t>
        </is>
      </c>
      <c r="F69" s="31" t="inlineStr">
        <is>
          <t>Stainless Steel</t>
        </is>
      </c>
      <c r="G69" s="31" t="inlineStr">
        <is>
          <t>midcap</t>
        </is>
      </c>
      <c r="H69" s="32" t="n">
        <v>7350.97</v>
      </c>
      <c r="I69" s="32" t="n">
        <v>555.5</v>
      </c>
      <c r="J69" s="32" t="n">
        <v>3.36</v>
      </c>
      <c r="K69" s="32" t="n">
        <v>0</v>
      </c>
      <c r="L69" s="31" t="n">
        <v>85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71.36</v>
      </c>
      <c r="P69" s="32" t="n">
        <v>61.09</v>
      </c>
      <c r="Q69" s="32" t="inlineStr"/>
      <c r="R69" s="31" t="inlineStr">
        <is>
          <t>Earnings / Momentum Support</t>
        </is>
      </c>
      <c r="S69" s="31" t="inlineStr">
        <is>
          <t>Nifty Metal</t>
        </is>
      </c>
      <c r="T69" s="32" t="n">
        <v>31.49</v>
      </c>
      <c r="U69" s="32" t="n">
        <v>92.06</v>
      </c>
      <c r="V69" s="32" t="n">
        <v>46.06</v>
      </c>
      <c r="W69" s="32" t="n">
        <v>24.86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IF(B70=0,"",RANK(B70,$B$2:$B$93,0))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BIL</t>
        </is>
      </c>
      <c r="D70" s="31" t="inlineStr">
        <is>
          <t>Bhartiya International Ltd</t>
        </is>
      </c>
      <c r="E70" s="31" t="inlineStr">
        <is>
          <t>consumer discretionary</t>
        </is>
      </c>
      <c r="F70" s="31" t="inlineStr">
        <is>
          <t>Textiles</t>
        </is>
      </c>
      <c r="G70" s="31" t="inlineStr">
        <is>
          <t>smallcap</t>
        </is>
      </c>
      <c r="H70" s="32" t="n">
        <v>1233.76</v>
      </c>
      <c r="I70" s="32" t="n">
        <v>920</v>
      </c>
      <c r="J70" s="32" t="n">
        <v>1.34</v>
      </c>
      <c r="K70" s="32" t="n">
        <v>0</v>
      </c>
      <c r="L70" s="31" t="n">
        <v>43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65.15000000000001</v>
      </c>
      <c r="P70" s="32" t="n">
        <v>20.4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-3.41</v>
      </c>
      <c r="U70" s="32" t="n">
        <v>6.34</v>
      </c>
      <c r="V70" s="32" t="n">
        <v>10.09</v>
      </c>
      <c r="W70" s="32" t="n">
        <v>8.210000000000001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IF(B71=0,"",RANK(B71,$B$2:$B$93,0))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3" t="inlineStr">
        <is>
          <t>MMP</t>
        </is>
      </c>
      <c r="D71" s="33" t="inlineStr">
        <is>
          <t>MMP Industries Ltd</t>
        </is>
      </c>
      <c r="E71" s="31" t="inlineStr">
        <is>
          <t>metals &amp; mining</t>
        </is>
      </c>
      <c r="F71" s="31" t="inlineStr">
        <is>
          <t>Aluminium Products</t>
        </is>
      </c>
      <c r="G71" s="31" t="inlineStr">
        <is>
          <t>smallcap</t>
        </is>
      </c>
      <c r="H71" s="32" t="n">
        <v>1138.04</v>
      </c>
      <c r="I71" s="32" t="n">
        <v>448</v>
      </c>
      <c r="J71" s="32" t="n">
        <v>10.85</v>
      </c>
      <c r="K71" s="32" t="n">
        <v>0</v>
      </c>
      <c r="L71" s="31" t="n">
        <v>18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79.48999999999999</v>
      </c>
      <c r="P71" s="32" t="n">
        <v>48.15</v>
      </c>
      <c r="Q71" s="32" t="inlineStr"/>
      <c r="R71" s="31" t="inlineStr">
        <is>
          <t>Earnings / Momentum Support</t>
        </is>
      </c>
      <c r="S71" s="31" t="inlineStr">
        <is>
          <t>Nifty Metal</t>
        </is>
      </c>
      <c r="T71" s="32" t="n">
        <v>31.49</v>
      </c>
      <c r="U71" s="32" t="n">
        <v>-1.03</v>
      </c>
      <c r="V71" s="32" t="n">
        <v>-24.73</v>
      </c>
      <c r="W71" s="32" t="n">
        <v>2.09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28</t>
        </is>
      </c>
      <c r="CG71" s="31">
        <f>IF(CF71&gt;20,10,IF(CF71&gt;=10,5,2))</f>
        <v/>
      </c>
    </row>
    <row r="72">
      <c r="A72" s="31">
        <f>IF(B72=0,"",RANK(B72,$B$2:$B$93,0))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ANTELOPUS</t>
        </is>
      </c>
      <c r="D72" s="31" t="inlineStr">
        <is>
          <t>Antelopus Selan Energy Ltd</t>
        </is>
      </c>
      <c r="E72" s="31" t="inlineStr">
        <is>
          <t>energy</t>
        </is>
      </c>
      <c r="F72" s="31" t="inlineStr">
        <is>
          <t>Oil Drilling &amp; Exploration</t>
        </is>
      </c>
      <c r="G72" s="31" t="inlineStr">
        <is>
          <t>smallcap</t>
        </is>
      </c>
      <c r="H72" s="32" t="n">
        <v>3463.49</v>
      </c>
      <c r="I72" s="32" t="n">
        <v>985</v>
      </c>
      <c r="J72" s="32" t="n">
        <v>2.91</v>
      </c>
      <c r="K72" s="32" t="n">
        <v>0</v>
      </c>
      <c r="L72" s="31" t="n">
        <v>59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66.73999999999999</v>
      </c>
      <c r="P72" s="32" t="n">
        <v>44.94</v>
      </c>
      <c r="Q72" s="32" t="inlineStr"/>
      <c r="R72" s="31" t="inlineStr">
        <is>
          <t>Earnings / Momentum Support</t>
        </is>
      </c>
      <c r="S72" s="31" t="inlineStr">
        <is>
          <t>Nifty Energy</t>
        </is>
      </c>
      <c r="T72" s="32" t="n">
        <v>8.41</v>
      </c>
      <c r="U72" s="32" t="n">
        <v>25.19</v>
      </c>
      <c r="V72" s="32" t="n">
        <v>15.48</v>
      </c>
      <c r="W72" s="32" t="n">
        <v>13.1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28</t>
        </is>
      </c>
      <c r="CG72" s="31">
        <f>IF(CF72&gt;20,10,IF(CF72&gt;=10,5,2))</f>
        <v/>
      </c>
    </row>
    <row r="73">
      <c r="A73" s="31">
        <f>IF(B73=0,"",RANK(B73,$B$2:$B$93,0))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PTCIL</t>
        </is>
      </c>
      <c r="D73" s="31" t="inlineStr">
        <is>
          <t>PTC Industries Ltd</t>
        </is>
      </c>
      <c r="E73" s="31" t="inlineStr">
        <is>
          <t>industrials</t>
        </is>
      </c>
      <c r="F73" s="31" t="inlineStr">
        <is>
          <t>Castings - Steel/Alloy</t>
        </is>
      </c>
      <c r="G73" s="31" t="inlineStr">
        <is>
          <t>largecap</t>
        </is>
      </c>
      <c r="H73" s="32" t="n">
        <v>35644.79</v>
      </c>
      <c r="I73" s="32" t="n">
        <v>23775</v>
      </c>
      <c r="J73" s="32" t="n">
        <v>-0.23</v>
      </c>
      <c r="K73" s="32" t="n">
        <v>0</v>
      </c>
      <c r="L73" s="31" t="n">
        <v>73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78.3</v>
      </c>
      <c r="P73" s="32" t="n">
        <v>32.75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-3.41</v>
      </c>
      <c r="U73" s="32" t="n">
        <v>75.44</v>
      </c>
      <c r="V73" s="32" t="n">
        <v>81.63</v>
      </c>
      <c r="W73" s="32" t="n">
        <v>18.93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24</t>
        </is>
      </c>
      <c r="CG73" s="31">
        <f>IF(CF73&gt;20,10,IF(CF73&gt;=10,5,2))</f>
        <v/>
      </c>
    </row>
    <row r="74">
      <c r="A74" s="31">
        <f>IF(B74=0,"",RANK(B74,$B$2:$B$93,0))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GMMPFAUDLR</t>
        </is>
      </c>
      <c r="D74" s="31" t="inlineStr">
        <is>
          <t>GMM Pfaudler Ltd</t>
        </is>
      </c>
      <c r="E74" s="31" t="inlineStr">
        <is>
          <t>industrials</t>
        </is>
      </c>
      <c r="F74" s="31" t="inlineStr">
        <is>
          <t>Glass - Others</t>
        </is>
      </c>
      <c r="G74" s="31" t="inlineStr">
        <is>
          <t>midcap</t>
        </is>
      </c>
      <c r="H74" s="32" t="n">
        <v>5556.71</v>
      </c>
      <c r="I74" s="32" t="n">
        <v>1236</v>
      </c>
      <c r="J74" s="32" t="n">
        <v>7.67</v>
      </c>
      <c r="K74" s="32" t="n">
        <v>0</v>
      </c>
      <c r="L74" s="31" t="n">
        <v>53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70.22</v>
      </c>
      <c r="P74" s="32" t="n">
        <v>30.53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-3.41</v>
      </c>
      <c r="U74" s="32" t="n">
        <v>-0.75</v>
      </c>
      <c r="V74" s="32" t="n">
        <v>2.75</v>
      </c>
      <c r="W74" s="32" t="n">
        <v>11.23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IF(B75=0,"",RANK(B75,$B$2:$B$93,0))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SBC</t>
        </is>
      </c>
      <c r="D75" s="31" t="inlineStr">
        <is>
          <t>SBC Exports Ltd</t>
        </is>
      </c>
      <c r="E75" s="31" t="inlineStr">
        <is>
          <t>textiles</t>
        </is>
      </c>
      <c r="F75" s="31" t="inlineStr">
        <is>
          <t>Textiles - Readymade Apparel</t>
        </is>
      </c>
      <c r="G75" s="31" t="inlineStr">
        <is>
          <t>smallcap</t>
        </is>
      </c>
      <c r="H75" s="32" t="n">
        <v>2233.81</v>
      </c>
      <c r="I75" s="32" t="n">
        <v>46.91</v>
      </c>
      <c r="J75" s="32" t="n">
        <v>2.51</v>
      </c>
      <c r="K75" s="32" t="n">
        <v>0</v>
      </c>
      <c r="L75" s="31" t="n">
        <v>80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71.83</v>
      </c>
      <c r="P75" s="32" t="n">
        <v>33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-3.41</v>
      </c>
      <c r="U75" s="32" t="n">
        <v>123.98</v>
      </c>
      <c r="V75" s="32" t="n">
        <v>131.89</v>
      </c>
      <c r="W75" s="32" t="n">
        <v>22.72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IF(B76=0,"",RANK(B76,$B$2:$B$93,0))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3" t="inlineStr">
        <is>
          <t>SAMBHV</t>
        </is>
      </c>
      <c r="D76" s="33" t="inlineStr">
        <is>
          <t>Sambhv Steel Tubes Ltd</t>
        </is>
      </c>
      <c r="E76" s="31" t="inlineStr">
        <is>
          <t>metals &amp; mining</t>
        </is>
      </c>
      <c r="F76" s="31" t="inlineStr">
        <is>
          <t>Steel - Tubes/Pipes</t>
        </is>
      </c>
      <c r="G76" s="31" t="inlineStr">
        <is>
          <t>smallcap</t>
        </is>
      </c>
      <c r="H76" s="32" t="n">
        <v>3933.27</v>
      </c>
      <c r="I76" s="32" t="n">
        <v>133.48</v>
      </c>
      <c r="J76" s="32" t="n">
        <v>3.72</v>
      </c>
      <c r="K76" s="32" t="n">
        <v>0</v>
      </c>
      <c r="L76" s="31" t="n">
        <v>11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65.22</v>
      </c>
      <c r="P76" s="32" t="n">
        <v>34.12</v>
      </c>
      <c r="Q76" s="32" t="inlineStr"/>
      <c r="R76" s="31" t="inlineStr">
        <is>
          <t>Earnings / Momentum Support</t>
        </is>
      </c>
      <c r="S76" s="31" t="inlineStr">
        <is>
          <t>Nifty Metal</t>
        </is>
      </c>
      <c r="T76" s="32" t="n">
        <v>31.49</v>
      </c>
      <c r="U76" s="32" t="n">
        <v>-6.1</v>
      </c>
      <c r="V76" s="32" t="n">
        <v>-28.59</v>
      </c>
      <c r="W76" s="32" t="n">
        <v>-0.51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IF(B77=0,"",RANK(B77,$B$2:$B$93,0))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GLENMARK</t>
        </is>
      </c>
      <c r="D77" s="33" t="inlineStr">
        <is>
          <t>Glenmark Pharmaceuticals Ltd</t>
        </is>
      </c>
      <c r="E77" s="31" t="inlineStr">
        <is>
          <t>healthcare</t>
        </is>
      </c>
      <c r="F77" s="31" t="inlineStr">
        <is>
          <t>Pharma - Formulators</t>
        </is>
      </c>
      <c r="G77" s="31" t="inlineStr">
        <is>
          <t>largecap</t>
        </is>
      </c>
      <c r="H77" s="32" t="n">
        <v>69568.38</v>
      </c>
      <c r="I77" s="32" t="n">
        <v>2465</v>
      </c>
      <c r="J77" s="32" t="n">
        <v>1.14</v>
      </c>
      <c r="K77" s="32" t="n">
        <v>0</v>
      </c>
      <c r="L77" s="31" t="n">
        <v>35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63.17</v>
      </c>
      <c r="P77" s="32" t="n">
        <v>19.47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20.77</v>
      </c>
      <c r="U77" s="32" t="n">
        <v>19.19</v>
      </c>
      <c r="V77" s="32" t="n">
        <v>-1.31</v>
      </c>
      <c r="W77" s="32" t="n">
        <v>6.26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IF(B78=0,"",RANK(B78,$B$2:$B$93,0))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GIPCL</t>
        </is>
      </c>
      <c r="D78" s="31" t="inlineStr">
        <is>
          <t>Gujarat Industries Power Co Ltd</t>
        </is>
      </c>
      <c r="E78" s="31" t="inlineStr">
        <is>
          <t>power &amp; utilities</t>
        </is>
      </c>
      <c r="F78" s="31" t="inlineStr">
        <is>
          <t>Power - Generation/Distribution</t>
        </is>
      </c>
      <c r="G78" s="31" t="inlineStr">
        <is>
          <t>smallcap</t>
        </is>
      </c>
      <c r="H78" s="32" t="n">
        <v>3131.17</v>
      </c>
      <c r="I78" s="32" t="n">
        <v>201.73</v>
      </c>
      <c r="J78" s="32" t="n">
        <v>-1.68</v>
      </c>
      <c r="K78" s="32" t="n">
        <v>0</v>
      </c>
      <c r="L78" s="31" t="n">
        <v>38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71.79000000000001</v>
      </c>
      <c r="P78" s="32" t="n">
        <v>21.28</v>
      </c>
      <c r="Q78" s="32" t="inlineStr"/>
      <c r="R78" s="31" t="inlineStr">
        <is>
          <t>Earnings / Momentum Support</t>
        </is>
      </c>
      <c r="S78" s="31" t="inlineStr">
        <is>
          <t>Nifty IT</t>
        </is>
      </c>
      <c r="T78" s="32" t="n">
        <v>-11.38</v>
      </c>
      <c r="U78" s="32" t="n">
        <v>7.79</v>
      </c>
      <c r="V78" s="32" t="n">
        <v>21.62</v>
      </c>
      <c r="W78" s="32" t="n">
        <v>7.14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Shallow Cyclical (2 to 3 Years Growth)</t>
        </is>
      </c>
      <c r="AG78" s="31">
        <f>IF(AF78="Structural (10 Years Consistency)",10,IF(AF78="Shallow Cyclical (2 to 3 years growth)",5,0))</f>
        <v/>
      </c>
      <c r="AH78" s="31" t="inlineStr">
        <is>
          <t>Yes due to Product Mix change or Operating Leverage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Allocated capital in Non-core Areas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Sideways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Overhead supply in last 2 years in last 2 years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More than 15%</t>
        </is>
      </c>
      <c r="CC78" s="31">
        <f>IF(CB78="More than 15%",-10,IF(CB78="Less than 15%",10,0))</f>
        <v/>
      </c>
      <c r="CD78" s="31" t="inlineStr">
        <is>
          <t>Yes Upto 10%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IF(B79=0,"",RANK(B79,$B$2:$B$93,0))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INOVSYNTH</t>
        </is>
      </c>
      <c r="D79" s="31" t="inlineStr">
        <is>
          <t>Innovassynth Technologies (India) Ltd</t>
        </is>
      </c>
      <c r="E79" s="31" t="inlineStr">
        <is>
          <t>Basic Materials</t>
        </is>
      </c>
      <c r="F79" s="31" t="inlineStr">
        <is>
          <t>Chemicals - Speciality</t>
        </is>
      </c>
      <c r="G79" s="31" t="inlineStr">
        <is>
          <t>smallcap</t>
        </is>
      </c>
      <c r="H79" s="32" t="n">
        <v>1324.66</v>
      </c>
      <c r="I79" s="32" t="n">
        <v>142.65</v>
      </c>
      <c r="J79" s="32" t="n">
        <v/>
      </c>
      <c r="K79" s="32" t="n">
        <v>0</v>
      </c>
      <c r="L79" s="31" t="n">
        <v>75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78.70999999999999</v>
      </c>
      <c r="P79" s="32" t="n">
        <v>52.23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-3.41</v>
      </c>
      <c r="U79" s="32" t="n">
        <v>46.37</v>
      </c>
      <c r="V79" s="32" t="n">
        <v>51.54</v>
      </c>
      <c r="W79" s="32" t="n">
        <v>20.2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IF(B80=0,"",RANK(B80,$B$2:$B$93,0))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GNRL</t>
        </is>
      </c>
      <c r="D80" s="31" t="inlineStr">
        <is>
          <t>Gujarat Natural Resources Ltd</t>
        </is>
      </c>
      <c r="E80" s="31" t="inlineStr">
        <is>
          <t>Energy</t>
        </is>
      </c>
      <c r="F80" s="31" t="inlineStr">
        <is>
          <t>Oil Exploration/Allied Services</t>
        </is>
      </c>
      <c r="G80" s="31" t="inlineStr">
        <is>
          <t>smallcap</t>
        </is>
      </c>
      <c r="H80" s="32" t="n">
        <v>1767.2</v>
      </c>
      <c r="I80" s="32" t="n">
        <v>115.2</v>
      </c>
      <c r="J80" s="32" t="n">
        <v>15.67</v>
      </c>
      <c r="K80" s="32" t="n">
        <v>0</v>
      </c>
      <c r="L80" s="31" t="n">
        <v>44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52.44</v>
      </c>
      <c r="P80" s="32" t="n">
        <v>15.95</v>
      </c>
      <c r="Q80" s="32" t="inlineStr"/>
      <c r="R80" s="31" t="inlineStr">
        <is>
          <t>Volume Spike / Accumulation</t>
        </is>
      </c>
      <c r="S80" s="31" t="inlineStr">
        <is>
          <t>Nifty Energy</t>
        </is>
      </c>
      <c r="T80" s="32" t="n">
        <v>8.41</v>
      </c>
      <c r="U80" s="32" t="n">
        <v>45.04</v>
      </c>
      <c r="V80" s="32" t="n">
        <v>33.8</v>
      </c>
      <c r="W80" s="32" t="n">
        <v>8.24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Shallow Cyclical (2 to 3 Years Growth)</t>
        </is>
      </c>
      <c r="AG80" s="31">
        <f>IF(AF80="Structural (10 Years Consistency)",10,IF(AF80="Shallow Cyclical (2 to 3 years growth)",5,0))</f>
        <v/>
      </c>
      <c r="AH80" s="31" t="inlineStr">
        <is>
          <t>Yes due to Product Mix change or Operating Leverage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Allocated capital in Non-core Areas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Sideways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Overhead supply in last 2 years in last 2 years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More than 15%</t>
        </is>
      </c>
      <c r="CC80" s="31">
        <f>IF(CB80="More than 15%",-10,IF(CB80="Less than 15%",10,0))</f>
        <v/>
      </c>
      <c r="CD80" s="31" t="inlineStr">
        <is>
          <t>Yes Upto 10%</t>
        </is>
      </c>
      <c r="CE80" s="31">
        <f>IF(CD80="Yes, more than 10%",-10,IF(CD80="No",10,0))</f>
        <v/>
      </c>
      <c r="CF80" s="31" t="inlineStr">
        <is>
          <t>20</t>
        </is>
      </c>
      <c r="CG80" s="31">
        <f>IF(CF80&gt;20,10,IF(CF80&gt;=10,5,2))</f>
        <v/>
      </c>
    </row>
    <row r="81">
      <c r="A81" s="31">
        <f>IF(B81=0,"",RANK(B81,$B$2:$B$93,0))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MANINDS</t>
        </is>
      </c>
      <c r="D81" s="33" t="inlineStr">
        <is>
          <t>Man Industries (India) Ltd</t>
        </is>
      </c>
      <c r="E81" s="31" t="inlineStr">
        <is>
          <t>metals &amp; mining</t>
        </is>
      </c>
      <c r="F81" s="31" t="inlineStr">
        <is>
          <t>Steel - Tubes/Pipes</t>
        </is>
      </c>
      <c r="G81" s="31" t="inlineStr">
        <is>
          <t>midcap</t>
        </is>
      </c>
      <c r="H81" s="32" t="n">
        <v>6165.79</v>
      </c>
      <c r="I81" s="32" t="n">
        <v>822</v>
      </c>
      <c r="J81" s="32" t="n">
        <v>4.24</v>
      </c>
      <c r="K81" s="32" t="n">
        <v>0</v>
      </c>
      <c r="L81" s="31" t="n">
        <v>35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76.22</v>
      </c>
      <c r="P81" s="32" t="n">
        <v>35.01</v>
      </c>
      <c r="Q81" s="32" t="inlineStr"/>
      <c r="R81" s="31" t="inlineStr">
        <is>
          <t>Earnings / Momentum Support</t>
        </is>
      </c>
      <c r="S81" s="31" t="inlineStr">
        <is>
          <t>Nifty Metal</t>
        </is>
      </c>
      <c r="T81" s="32" t="n">
        <v>31.49</v>
      </c>
      <c r="U81" s="32" t="n">
        <v>21.23</v>
      </c>
      <c r="V81" s="32" t="n">
        <v>-7.8</v>
      </c>
      <c r="W81" s="32" t="n">
        <v>6.28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24</t>
        </is>
      </c>
      <c r="CG81" s="31">
        <f>IF(CF81&gt;20,10,IF(CF81&gt;=10,5,2))</f>
        <v/>
      </c>
    </row>
    <row r="82">
      <c r="A82" s="31">
        <f>IF(B82=0,"",RANK(B82,$B$2:$B$93,0))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KIRIINDUS</t>
        </is>
      </c>
      <c r="D82" s="31" t="inlineStr">
        <is>
          <t>Kiri Industries Ltd</t>
        </is>
      </c>
      <c r="E82" s="31" t="inlineStr">
        <is>
          <t>Basic Materials</t>
        </is>
      </c>
      <c r="F82" s="31" t="inlineStr">
        <is>
          <t>Dyes &amp; Pigments</t>
        </is>
      </c>
      <c r="G82" s="31" t="inlineStr">
        <is>
          <t>smallcap</t>
        </is>
      </c>
      <c r="H82" s="32" t="n">
        <v>3770.29</v>
      </c>
      <c r="I82" s="32" t="n">
        <v>578.55</v>
      </c>
      <c r="J82" s="32" t="n">
        <v>3.48</v>
      </c>
      <c r="K82" s="32" t="n">
        <v>0</v>
      </c>
      <c r="L82" s="31" t="n">
        <v>57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70.34</v>
      </c>
      <c r="P82" s="32" t="n">
        <v>18.15</v>
      </c>
      <c r="Q82" s="32" t="inlineStr"/>
      <c r="R82" s="31" t="inlineStr">
        <is>
          <t>Earnings / Momentum Support</t>
        </is>
      </c>
      <c r="S82" s="31" t="inlineStr">
        <is>
          <t>Nifty IT</t>
        </is>
      </c>
      <c r="T82" s="32" t="n">
        <v>-11.38</v>
      </c>
      <c r="U82" s="32" t="n">
        <v>6.83</v>
      </c>
      <c r="V82" s="32" t="n">
        <v>20.55</v>
      </c>
      <c r="W82" s="32" t="n">
        <v>12.87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22</t>
        </is>
      </c>
      <c r="CG82" s="31">
        <f>IF(CF82&gt;20,10,IF(CF82&gt;=10,5,2))</f>
        <v/>
      </c>
    </row>
    <row r="83">
      <c r="A83" s="31">
        <f>IF(B83=0,"",RANK(B83,$B$2:$B$93,0))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BALAMINES</t>
        </is>
      </c>
      <c r="D83" s="31" t="inlineStr">
        <is>
          <t>Balaji Amines Ltd</t>
        </is>
      </c>
      <c r="E83" s="31" t="inlineStr">
        <is>
          <t>chemicals</t>
        </is>
      </c>
      <c r="F83" s="31" t="inlineStr">
        <is>
          <t>Speciality Chemicals</t>
        </is>
      </c>
      <c r="G83" s="31" t="inlineStr">
        <is>
          <t>midcap</t>
        </is>
      </c>
      <c r="H83" s="32" t="n">
        <v>8310.860000000001</v>
      </c>
      <c r="I83" s="32" t="n">
        <v>2565</v>
      </c>
      <c r="J83" s="32" t="n">
        <v>1.58</v>
      </c>
      <c r="K83" s="32" t="n">
        <v>0</v>
      </c>
      <c r="L83" s="31" t="n">
        <v>80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71.38</v>
      </c>
      <c r="P83" s="32" t="n">
        <v>57.06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-3.41</v>
      </c>
      <c r="U83" s="32" t="n">
        <v>70.63</v>
      </c>
      <c r="V83" s="32" t="n">
        <v>76.65000000000001</v>
      </c>
      <c r="W83" s="32" t="n">
        <v>22.5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Duopoly That Cooperate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Shallow Cyclical (2 to 3 Years Growth)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4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Downtrend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Overhead supply in last 2 years in last 2 years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No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21</t>
        </is>
      </c>
      <c r="CG83" s="31">
        <f>IF(CF83&gt;20,10,IF(CF83&gt;=10,5,2))</f>
        <v/>
      </c>
    </row>
    <row r="84">
      <c r="A84" s="31">
        <f>IF(B84=0,"",RANK(B84,$B$2:$B$93,0))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3" t="inlineStr">
        <is>
          <t>RAMRAT</t>
        </is>
      </c>
      <c r="D84" s="33" t="inlineStr">
        <is>
          <t>Ram Ratna Wires Ltd</t>
        </is>
      </c>
      <c r="E84" s="31" t="inlineStr">
        <is>
          <t>metals &amp; mining</t>
        </is>
      </c>
      <c r="F84" s="31" t="inlineStr">
        <is>
          <t>Copper Wires</t>
        </is>
      </c>
      <c r="G84" s="31" t="inlineStr">
        <is>
          <t>smallcap</t>
        </is>
      </c>
      <c r="H84" s="32" t="n">
        <v>4926.96</v>
      </c>
      <c r="I84" s="32" t="n">
        <v>527.8</v>
      </c>
      <c r="J84" s="32" t="n">
        <v>-5.86</v>
      </c>
      <c r="K84" s="32" t="n">
        <v>0</v>
      </c>
      <c r="L84" s="31" t="n">
        <v>31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73.09999999999999</v>
      </c>
      <c r="P84" s="32" t="n">
        <v>45.66</v>
      </c>
      <c r="Q84" s="32" t="inlineStr"/>
      <c r="R84" s="31" t="inlineStr">
        <is>
          <t>Earnings / Momentum Support</t>
        </is>
      </c>
      <c r="S84" s="31" t="inlineStr">
        <is>
          <t>Nifty Metal</t>
        </is>
      </c>
      <c r="T84" s="32" t="n">
        <v>31.49</v>
      </c>
      <c r="U84" s="32" t="n">
        <v>18.75</v>
      </c>
      <c r="V84" s="32" t="n">
        <v>-9.69</v>
      </c>
      <c r="W84" s="32" t="n">
        <v>5.5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IF(B85=0,"",RANK(B85,$B$2:$B$93,0))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3" t="inlineStr">
        <is>
          <t>DEEPINDS</t>
        </is>
      </c>
      <c r="D85" s="33" t="inlineStr">
        <is>
          <t>Deep Industries Ltd</t>
        </is>
      </c>
      <c r="E85" s="31" t="inlineStr">
        <is>
          <t>energy</t>
        </is>
      </c>
      <c r="F85" s="31" t="inlineStr">
        <is>
          <t>Oil Drilling &amp; Exploration</t>
        </is>
      </c>
      <c r="G85" s="31" t="inlineStr">
        <is>
          <t>midcap</t>
        </is>
      </c>
      <c r="H85" s="32" t="n">
        <v>5011.84</v>
      </c>
      <c r="I85" s="32" t="n">
        <v>783.1</v>
      </c>
      <c r="J85" s="32" t="n">
        <v>-0.43</v>
      </c>
      <c r="K85" s="32" t="n">
        <v>0</v>
      </c>
      <c r="L85" s="31" t="n">
        <v>13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80.48</v>
      </c>
      <c r="P85" s="32" t="n">
        <v>32.86</v>
      </c>
      <c r="Q85" s="32" t="inlineStr"/>
      <c r="R85" s="31" t="inlineStr">
        <is>
          <t>Earnings / Momentum Support</t>
        </is>
      </c>
      <c r="S85" s="31" t="inlineStr">
        <is>
          <t>Nifty Energy</t>
        </is>
      </c>
      <c r="T85" s="32" t="n">
        <v>8.41</v>
      </c>
      <c r="U85" s="32" t="n">
        <v>0.27</v>
      </c>
      <c r="V85" s="32" t="n">
        <v>-7.51</v>
      </c>
      <c r="W85" s="32" t="n">
        <v>1.2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IF(B86=0,"",RANK(B86,$B$2:$B$93,0))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3" t="inlineStr">
        <is>
          <t>PRABHA</t>
        </is>
      </c>
      <c r="D86" s="33" t="inlineStr">
        <is>
          <t>Prabha Energy Ltd</t>
        </is>
      </c>
      <c r="E86" s="31" t="inlineStr">
        <is>
          <t>energy</t>
        </is>
      </c>
      <c r="F86" s="31" t="inlineStr">
        <is>
          <t>Oil Exploration/Allied Services</t>
        </is>
      </c>
      <c r="G86" s="31" t="inlineStr">
        <is>
          <t>smallcap</t>
        </is>
      </c>
      <c r="H86" s="32" t="n">
        <v>3319.96</v>
      </c>
      <c r="I86" s="32" t="n">
        <v>242.5</v>
      </c>
      <c r="J86" s="32" t="n">
        <v>5.16</v>
      </c>
      <c r="K86" s="32" t="n">
        <v>0</v>
      </c>
      <c r="L86" s="31" t="n">
        <v>1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70.81</v>
      </c>
      <c r="P86" s="32" t="n">
        <v>24.7</v>
      </c>
      <c r="Q86" s="32" t="inlineStr"/>
      <c r="R86" s="31" t="inlineStr">
        <is>
          <t>Earnings / Momentum Support</t>
        </is>
      </c>
      <c r="S86" s="31" t="inlineStr">
        <is>
          <t>Nifty Energy</t>
        </is>
      </c>
      <c r="T86" s="32" t="n">
        <v>8.41</v>
      </c>
      <c r="U86" s="32" t="n">
        <v>-49.77</v>
      </c>
      <c r="V86" s="32" t="n">
        <v>-53.66</v>
      </c>
      <c r="W86" s="32" t="n">
        <v>-13.83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27</t>
        </is>
      </c>
      <c r="CG86" s="31">
        <f>IF(CF86&gt;20,10,IF(CF86&gt;=10,5,2))</f>
        <v/>
      </c>
    </row>
    <row r="87">
      <c r="A87" s="31">
        <f>IF(B87=0,"",RANK(B87,$B$2:$B$93,0))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DOLPHIN</t>
        </is>
      </c>
      <c r="D87" s="33" t="inlineStr">
        <is>
          <t>Dolphin Offshore Enterprises (India) Ltd</t>
        </is>
      </c>
      <c r="E87" s="31" t="inlineStr">
        <is>
          <t>energy</t>
        </is>
      </c>
      <c r="F87" s="31" t="inlineStr">
        <is>
          <t>Oil Drilling &amp; Exploration</t>
        </is>
      </c>
      <c r="G87" s="31" t="inlineStr">
        <is>
          <t>smallcap</t>
        </is>
      </c>
      <c r="H87" s="32" t="n">
        <v>2866.53</v>
      </c>
      <c r="I87" s="32" t="n">
        <v>716.55</v>
      </c>
      <c r="J87" s="32" t="n">
        <v>6.31</v>
      </c>
      <c r="K87" s="32" t="n">
        <v>0</v>
      </c>
      <c r="L87" s="31" t="n">
        <v>4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78.88</v>
      </c>
      <c r="P87" s="32" t="n">
        <v>36.36</v>
      </c>
      <c r="Q87" s="32" t="inlineStr"/>
      <c r="R87" s="31" t="inlineStr">
        <is>
          <t>Earnings / Momentum Support</t>
        </is>
      </c>
      <c r="S87" s="31" t="inlineStr">
        <is>
          <t>Nifty Energy</t>
        </is>
      </c>
      <c r="T87" s="32" t="n">
        <v>8.41</v>
      </c>
      <c r="U87" s="32" t="n">
        <v>-16.64</v>
      </c>
      <c r="V87" s="32" t="n">
        <v>-23.1</v>
      </c>
      <c r="W87" s="32" t="n">
        <v>-3.81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25</t>
        </is>
      </c>
      <c r="CG87" s="31">
        <f>IF(CF87&gt;20,10,IF(CF87&gt;=10,5,2))</f>
        <v/>
      </c>
    </row>
    <row r="88">
      <c r="A88" s="31">
        <f>IF(B88=0,"",RANK(B88,$B$2:$B$93,0))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3" t="inlineStr">
        <is>
          <t>TNPETRO</t>
        </is>
      </c>
      <c r="D88" s="33" t="inlineStr">
        <is>
          <t>Tamil Nadu Petro Products Ltd</t>
        </is>
      </c>
      <c r="E88" s="31" t="inlineStr">
        <is>
          <t>energy</t>
        </is>
      </c>
      <c r="F88" s="31" t="inlineStr">
        <is>
          <t>Petrochem - Others</t>
        </is>
      </c>
      <c r="G88" s="31" t="inlineStr">
        <is>
          <t>smallcap</t>
        </is>
      </c>
      <c r="H88" s="32" t="n">
        <v>1180.88</v>
      </c>
      <c r="I88" s="32" t="n">
        <v>131.25</v>
      </c>
      <c r="J88" s="32" t="n">
        <v>-1.09</v>
      </c>
      <c r="K88" s="32" t="n">
        <v>0</v>
      </c>
      <c r="L88" s="31" t="n">
        <v>7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78.09999999999999</v>
      </c>
      <c r="P88" s="32" t="n">
        <v>36.8</v>
      </c>
      <c r="Q88" s="32" t="inlineStr"/>
      <c r="R88" s="31" t="inlineStr">
        <is>
          <t>Earnings / Momentum Support</t>
        </is>
      </c>
      <c r="S88" s="31" t="inlineStr">
        <is>
          <t>Nifty Energy</t>
        </is>
      </c>
      <c r="T88" s="32" t="n">
        <v>8.41</v>
      </c>
      <c r="U88" s="32" t="n">
        <v>-12.81</v>
      </c>
      <c r="V88" s="32" t="n">
        <v>-19.57</v>
      </c>
      <c r="W88" s="32" t="n">
        <v>-1.91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IF(B89=0,"",RANK(B89,$B$2:$B$93,0))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JTLIND</t>
        </is>
      </c>
      <c r="D89" s="33" t="inlineStr">
        <is>
          <t>JTL Industries Ltd</t>
        </is>
      </c>
      <c r="E89" s="31" t="inlineStr">
        <is>
          <t>metals &amp; mining</t>
        </is>
      </c>
      <c r="F89" s="31" t="inlineStr">
        <is>
          <t>Steel - Tubes/Pipes</t>
        </is>
      </c>
      <c r="G89" s="31" t="inlineStr">
        <is>
          <t>smallcap</t>
        </is>
      </c>
      <c r="H89" s="32" t="n">
        <v>3400.17</v>
      </c>
      <c r="I89" s="32" t="n">
        <v>89</v>
      </c>
      <c r="J89" s="32" t="n">
        <v>-2.91</v>
      </c>
      <c r="K89" s="32" t="n">
        <v>0</v>
      </c>
      <c r="L89" s="31" t="n">
        <v>21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65.48999999999999</v>
      </c>
      <c r="P89" s="32" t="n">
        <v>14.69</v>
      </c>
      <c r="Q89" s="32" t="inlineStr"/>
      <c r="R89" s="31" t="inlineStr">
        <is>
          <t>Earnings / Momentum Support</t>
        </is>
      </c>
      <c r="S89" s="31" t="inlineStr">
        <is>
          <t>Nifty Metal</t>
        </is>
      </c>
      <c r="T89" s="32" t="n">
        <v>31.49</v>
      </c>
      <c r="U89" s="32" t="n">
        <v>1.19</v>
      </c>
      <c r="V89" s="32" t="n">
        <v>-23.05</v>
      </c>
      <c r="W89" s="32" t="n">
        <v>2.86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IF(B90=0,"",RANK(B90,$B$2:$B$93,0))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FLYSBS</t>
        </is>
      </c>
      <c r="D90" s="31" t="inlineStr">
        <is>
          <t>FlySBS Aviation Ltd</t>
        </is>
      </c>
      <c r="E90" s="31" t="inlineStr">
        <is>
          <t>unknown</t>
        </is>
      </c>
      <c r="F90" s="31" t="inlineStr">
        <is>
          <t>Transport - Airlines</t>
        </is>
      </c>
      <c r="G90" s="31" t="inlineStr">
        <is>
          <t>smallcap</t>
        </is>
      </c>
      <c r="H90" s="32" t="n">
        <v>1142.05</v>
      </c>
      <c r="I90" s="32" t="n">
        <v>660</v>
      </c>
      <c r="J90" s="32" t="n">
        <v>3.84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inlineStr"/>
      <c r="P90" s="32" t="inlineStr"/>
      <c r="Q90" s="32" t="inlineStr"/>
      <c r="R90" s="31" t="inlineStr"/>
      <c r="S90" s="31" t="inlineStr"/>
      <c r="T90" s="32" t="inlineStr"/>
      <c r="U90" s="32" t="inlineStr"/>
      <c r="V90" s="32" t="inlineStr"/>
      <c r="W90" s="32" t="inlineStr"/>
      <c r="X90" s="31" t="n"/>
      <c r="Y90" s="31">
        <f>IF(X90="Growing Industry",10,IF(X90="Cyclical in an Upturn",5,0))</f>
        <v/>
      </c>
      <c r="Z90" s="31" t="n"/>
      <c r="AA90" s="31">
        <f>IF(Z90="Monopoly",10,IF(Z90="Oligopoly",5,IF(Z90="Duopoly that cooperate",10,IF(Z90="Duopoly that compete",5,IF(Z90="Too many players with High ROCE",5,0)))))</f>
        <v/>
      </c>
      <c r="AB90" s="31" t="n"/>
      <c r="AC90" s="31">
        <f>IF(AB90="No",5,0)</f>
        <v/>
      </c>
      <c r="AD90" s="31" t="n"/>
      <c r="AE90" s="31">
        <f>IF(AD90="Tailwind",10,0)</f>
        <v/>
      </c>
      <c r="AF90" s="31" t="n"/>
      <c r="AG90" s="31">
        <f>IF(AF90="Structural (10 Years Consistency)",10,IF(AF90="Shallow Cyclical (2 to 3 years growth)",5,0))</f>
        <v/>
      </c>
      <c r="AH90" s="31" t="n"/>
      <c r="AI90" s="31">
        <f>IF(AH90="Yes due to Product Mix change or Operating Leverage",10,IF(AH90="Yes, these are peak margins",-5,IF(AH90="No",5,0)))</f>
        <v/>
      </c>
      <c r="AJ90" s="31" t="n"/>
      <c r="AK90" s="31">
        <f>IF(AJ90="Stable",10,0)</f>
        <v/>
      </c>
      <c r="AL90" s="31" t="n"/>
      <c r="AM90" s="31">
        <f>IF(AL90="Yes",10,0)</f>
        <v/>
      </c>
      <c r="AN90" s="31" t="n"/>
      <c r="AO90" s="31">
        <f>IF(AN90="B2C",10,IF(AN90="B2B",5,0))</f>
        <v/>
      </c>
      <c r="AP90" s="31" t="n"/>
      <c r="AQ90" s="31">
        <f>IF(AP90="Yes",10,0)</f>
        <v/>
      </c>
      <c r="AR90" s="31" t="n"/>
      <c r="AS90" s="31">
        <f>IF(AR90="Fully Annuity",10,IF(AR90="Higher Annuity, Lower One Time",5,IF(AR90="Higher One Time, Lower Annuity",3,0)))</f>
        <v/>
      </c>
      <c r="AT90" s="31" t="n"/>
      <c r="AU90" s="31">
        <f>IF(AT90="Good",10,0)</f>
        <v/>
      </c>
      <c r="AV90" s="31" t="n"/>
      <c r="AW90" s="31">
        <f>IF(AV90="Yes for more than 2 years",10,IF(AV90="Yes only for next 1 to 2 years",5,0))</f>
        <v/>
      </c>
      <c r="AX90" s="31" t="n"/>
      <c r="AY90" s="31">
        <f>IF(AX90="Above 40",20,IF(AX90="20 to 40",10,IF(AX90="0 to 20",-5,0)))</f>
        <v/>
      </c>
      <c r="AZ90" s="31" t="n"/>
      <c r="BA90" s="31">
        <f>IF(AZ90="Between 50 to 75",10,IF(AZ90="Above 75",0,0))</f>
        <v/>
      </c>
      <c r="BB90" s="31" t="n"/>
      <c r="BC90" s="31">
        <f>IF(BB90="Stage 2",20,IF(BB90="Stage 1",0,IF(BB90="Stage 3",5,IF(BB90="Stage 4",-5,0))))</f>
        <v/>
      </c>
      <c r="BD90" s="31" t="n"/>
      <c r="BE90" s="31">
        <f>IF(BD90="Positive Trend",20,IF(BD90="Negative Trend",-10,0))</f>
        <v/>
      </c>
      <c r="BF90" s="31" t="n"/>
      <c r="BG90" s="31">
        <f>IF(BF90="Uptrend",10,IF(BF90="Sideways",5,0))</f>
        <v/>
      </c>
      <c r="BH90" s="31" t="n"/>
      <c r="BI90" s="31">
        <f>IF(BH90="Uptrend",10,IF(BH90="Sideways",5,0))</f>
        <v/>
      </c>
      <c r="BJ90" s="31" t="n"/>
      <c r="BK90" s="31">
        <f>IF(BJ90="Overhead supply in last 2 years in last 2 years",-5,IF(BJ90="Close to 52 week high or retracement",5,IF(BJ90="Blue sky scenario",10,IF(BJ90="Long term Downtrend",-10,0))))</f>
        <v/>
      </c>
      <c r="BL90" s="31" t="n"/>
      <c r="BM90" s="31">
        <f>IF(BL90="Yes",10,0)</f>
        <v/>
      </c>
      <c r="BN90" s="31" t="n"/>
      <c r="BO90" s="31">
        <f>IF(BN90="More than 20%",10,IF(BN90="Between 12 to 20%",5,IF(BN90="Less than 12%",0,0)))</f>
        <v/>
      </c>
      <c r="BP90" s="31" t="n"/>
      <c r="BQ90" s="31">
        <f>IF(BP90="No",10,0)</f>
        <v/>
      </c>
      <c r="BR90" s="31" t="n"/>
      <c r="BS90" s="31">
        <f>IF(BR90="NO",5,0)</f>
        <v/>
      </c>
      <c r="BT90" s="31" t="n"/>
      <c r="BU90" s="31">
        <f>IF(BT90="Above 2",0,IF(BT90="Between 1.5 to 2",5,IF(BT90="Less than 1.5",10,0)))</f>
        <v/>
      </c>
      <c r="BV90" s="31" t="n"/>
      <c r="BW90" s="31">
        <f>IF(BV90="Above 70%",10,IF(BV90="Between 50% to 70%",5,IF(BV90="Less than 50%",0,IF(BV90="Negative",-10,IF(BV90="Less than 50% and Borrowings are increasing",-5,0)))))</f>
        <v/>
      </c>
      <c r="BX90" s="31" t="n"/>
      <c r="BY90" s="31">
        <f>IF(BX90="More than 1.2",-10,IF(BX90="Between 0.7 to 1.2",0,IF(BX90="Less than 0.7",10,0)))</f>
        <v/>
      </c>
      <c r="BZ90" s="31" t="n"/>
      <c r="CA90" s="31">
        <f>IF(BZ90="Yes",-10,0)</f>
        <v/>
      </c>
      <c r="CB90" s="31" t="n"/>
      <c r="CC90" s="31">
        <f>IF(CB90="More than 15%",-10,IF(CB90="Less than 15%",10,0))</f>
        <v/>
      </c>
      <c r="CD90" s="31" t="n"/>
      <c r="CE90" s="31">
        <f>IF(CD90="Yes, more than 10%",-10,IF(CD90="No",10,0))</f>
        <v/>
      </c>
      <c r="CF90" s="31" t="n"/>
      <c r="CG90" s="31">
        <f>IF(CF90&gt;20,10,IF(CF90&gt;=10,5,2))</f>
        <v/>
      </c>
    </row>
    <row r="91">
      <c r="A91" s="31">
        <f>IF(B91=0,"",RANK(B91,$B$2:$B$93,0))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MONOLITH</t>
        </is>
      </c>
      <c r="D91" s="31" t="inlineStr">
        <is>
          <t>Monolithisch India Ltd</t>
        </is>
      </c>
      <c r="E91" s="31" t="inlineStr">
        <is>
          <t>unknown</t>
        </is>
      </c>
      <c r="F91" s="31" t="inlineStr">
        <is>
          <t>Refractories</t>
        </is>
      </c>
      <c r="G91" s="31" t="inlineStr">
        <is>
          <t>smallcap</t>
        </is>
      </c>
      <c r="H91" s="32" t="n">
        <v>2836.55</v>
      </c>
      <c r="I91" s="32" t="n">
        <v>1305</v>
      </c>
      <c r="J91" s="32" t="n">
        <v>3.11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inlineStr"/>
      <c r="P91" s="32" t="inlineStr"/>
      <c r="Q91" s="32" t="inlineStr"/>
      <c r="R91" s="31" t="inlineStr"/>
      <c r="S91" s="31" t="inlineStr"/>
      <c r="T91" s="32" t="inlineStr"/>
      <c r="U91" s="32" t="inlineStr"/>
      <c r="V91" s="32" t="inlineStr"/>
      <c r="W91" s="32" t="inlineStr"/>
      <c r="X91" s="31" t="n"/>
      <c r="Y91" s="31">
        <f>IF(X91="Growing Industry",10,IF(X91="Cyclical in an Upturn",5,0))</f>
        <v/>
      </c>
      <c r="Z91" s="31" t="n"/>
      <c r="AA91" s="31">
        <f>IF(Z91="Monopoly",10,IF(Z91="Oligopoly",5,IF(Z91="Duopoly that cooperate",10,IF(Z91="Duopoly that compete",5,IF(Z91="Too many players with High ROCE",5,0)))))</f>
        <v/>
      </c>
      <c r="AB91" s="31" t="n"/>
      <c r="AC91" s="31">
        <f>IF(AB91="No",5,0)</f>
        <v/>
      </c>
      <c r="AD91" s="31" t="n"/>
      <c r="AE91" s="31">
        <f>IF(AD91="Tailwind",10,0)</f>
        <v/>
      </c>
      <c r="AF91" s="31" t="n"/>
      <c r="AG91" s="31">
        <f>IF(AF91="Structural (10 Years Consistency)",10,IF(AF91="Shallow Cyclical (2 to 3 years growth)",5,0))</f>
        <v/>
      </c>
      <c r="AH91" s="31" t="n"/>
      <c r="AI91" s="31">
        <f>IF(AH91="Yes due to Product Mix change or Operating Leverage",10,IF(AH91="Yes, these are peak margins",-5,IF(AH91="No",5,0)))</f>
        <v/>
      </c>
      <c r="AJ91" s="31" t="n"/>
      <c r="AK91" s="31">
        <f>IF(AJ91="Stable",10,0)</f>
        <v/>
      </c>
      <c r="AL91" s="31" t="n"/>
      <c r="AM91" s="31">
        <f>IF(AL91="Yes",10,0)</f>
        <v/>
      </c>
      <c r="AN91" s="31" t="n"/>
      <c r="AO91" s="31">
        <f>IF(AN91="B2C",10,IF(AN91="B2B",5,0))</f>
        <v/>
      </c>
      <c r="AP91" s="31" t="n"/>
      <c r="AQ91" s="31">
        <f>IF(AP91="Yes",10,0)</f>
        <v/>
      </c>
      <c r="AR91" s="31" t="n"/>
      <c r="AS91" s="31">
        <f>IF(AR91="Fully Annuity",10,IF(AR91="Higher Annuity, Lower One Time",5,IF(AR91="Higher One Time, Lower Annuity",3,0)))</f>
        <v/>
      </c>
      <c r="AT91" s="31" t="n"/>
      <c r="AU91" s="31">
        <f>IF(AT91="Good",10,0)</f>
        <v/>
      </c>
      <c r="AV91" s="31" t="n"/>
      <c r="AW91" s="31">
        <f>IF(AV91="Yes for more than 2 years",10,IF(AV91="Yes only for next 1 to 2 years",5,0))</f>
        <v/>
      </c>
      <c r="AX91" s="31" t="n"/>
      <c r="AY91" s="31">
        <f>IF(AX91="Above 40",20,IF(AX91="20 to 40",10,IF(AX91="0 to 20",-5,0)))</f>
        <v/>
      </c>
      <c r="AZ91" s="31" t="n"/>
      <c r="BA91" s="31">
        <f>IF(AZ91="Between 50 to 75",10,IF(AZ91="Above 75",0,0))</f>
        <v/>
      </c>
      <c r="BB91" s="31" t="n"/>
      <c r="BC91" s="31">
        <f>IF(BB91="Stage 2",20,IF(BB91="Stage 1",0,IF(BB91="Stage 3",5,IF(BB91="Stage 4",-5,0))))</f>
        <v/>
      </c>
      <c r="BD91" s="31" t="n"/>
      <c r="BE91" s="31">
        <f>IF(BD91="Positive Trend",20,IF(BD91="Negative Trend",-10,0))</f>
        <v/>
      </c>
      <c r="BF91" s="31" t="n"/>
      <c r="BG91" s="31">
        <f>IF(BF91="Uptrend",10,IF(BF91="Sideways",5,0))</f>
        <v/>
      </c>
      <c r="BH91" s="31" t="n"/>
      <c r="BI91" s="31">
        <f>IF(BH91="Uptrend",10,IF(BH91="Sideways",5,0))</f>
        <v/>
      </c>
      <c r="BJ91" s="31" t="n"/>
      <c r="BK91" s="31">
        <f>IF(BJ91="Overhead supply in last 2 years in last 2 years",-5,IF(BJ91="Close to 52 week high or retracement",5,IF(BJ91="Blue sky scenario",10,IF(BJ91="Long term Downtrend",-10,0))))</f>
        <v/>
      </c>
      <c r="BL91" s="31" t="n"/>
      <c r="BM91" s="31">
        <f>IF(BL91="Yes",10,0)</f>
        <v/>
      </c>
      <c r="BN91" s="31" t="n"/>
      <c r="BO91" s="31">
        <f>IF(BN91="More than 20%",10,IF(BN91="Between 12 to 20%",5,IF(BN91="Less than 12%",0,0)))</f>
        <v/>
      </c>
      <c r="BP91" s="31" t="n"/>
      <c r="BQ91" s="31">
        <f>IF(BP91="No",10,0)</f>
        <v/>
      </c>
      <c r="BR91" s="31" t="n"/>
      <c r="BS91" s="31">
        <f>IF(BR91="NO",5,0)</f>
        <v/>
      </c>
      <c r="BT91" s="31" t="n"/>
      <c r="BU91" s="31">
        <f>IF(BT91="Above 2",0,IF(BT91="Between 1.5 to 2",5,IF(BT91="Less than 1.5",10,0)))</f>
        <v/>
      </c>
      <c r="BV91" s="31" t="n"/>
      <c r="BW91" s="31">
        <f>IF(BV91="Above 70%",10,IF(BV91="Between 50% to 70%",5,IF(BV91="Less than 50%",0,IF(BV91="Negative",-10,IF(BV91="Less than 50% and Borrowings are increasing",-5,0)))))</f>
        <v/>
      </c>
      <c r="BX91" s="31" t="n"/>
      <c r="BY91" s="31">
        <f>IF(BX91="More than 1.2",-10,IF(BX91="Between 0.7 to 1.2",0,IF(BX91="Less than 0.7",10,0)))</f>
        <v/>
      </c>
      <c r="BZ91" s="31" t="n"/>
      <c r="CA91" s="31">
        <f>IF(BZ91="Yes",-10,0)</f>
        <v/>
      </c>
      <c r="CB91" s="31" t="n"/>
      <c r="CC91" s="31">
        <f>IF(CB91="More than 15%",-10,IF(CB91="Less than 15%",10,0))</f>
        <v/>
      </c>
      <c r="CD91" s="31" t="n"/>
      <c r="CE91" s="31">
        <f>IF(CD91="Yes, more than 10%",-10,IF(CD91="No",10,0))</f>
        <v/>
      </c>
      <c r="CF91" s="31" t="n"/>
      <c r="CG91" s="31">
        <f>IF(CF91&gt;20,10,IF(CF91&gt;=10,5,2))</f>
        <v/>
      </c>
    </row>
    <row r="92">
      <c r="A92" s="31">
        <f>IF(B92=0,"",RANK(B92,$B$2:$B$93,0))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DYCL</t>
        </is>
      </c>
      <c r="D92" s="31" t="inlineStr">
        <is>
          <t>Dynamic Cables Ltd</t>
        </is>
      </c>
      <c r="E92" s="31" t="inlineStr">
        <is>
          <t>unknown</t>
        </is>
      </c>
      <c r="F92" s="31" t="inlineStr">
        <is>
          <t>Cables - Power</t>
        </is>
      </c>
      <c r="G92" s="31" t="inlineStr">
        <is>
          <t>smallcap</t>
        </is>
      </c>
      <c r="H92" s="32" t="n">
        <v>2236.12</v>
      </c>
      <c r="I92" s="32" t="n">
        <v>461.45</v>
      </c>
      <c r="J92" s="32" t="n">
        <v>-5.42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inlineStr"/>
      <c r="P92" s="32" t="inlineStr"/>
      <c r="Q92" s="32" t="inlineStr"/>
      <c r="R92" s="31" t="inlineStr"/>
      <c r="S92" s="31" t="inlineStr"/>
      <c r="T92" s="32" t="inlineStr"/>
      <c r="U92" s="32" t="inlineStr"/>
      <c r="V92" s="32" t="inlineStr"/>
      <c r="W92" s="32" t="inlineStr"/>
      <c r="X92" s="31" t="n"/>
      <c r="Y92" s="31">
        <f>IF(X92="Growing Industry",10,IF(X92="Cyclical in an Upturn",5,0))</f>
        <v/>
      </c>
      <c r="Z92" s="31" t="n"/>
      <c r="AA92" s="31">
        <f>IF(Z92="Monopoly",10,IF(Z92="Oligopoly",5,IF(Z92="Duopoly that cooperate",10,IF(Z92="Duopoly that compete",5,IF(Z92="Too many players with High ROCE",5,0)))))</f>
        <v/>
      </c>
      <c r="AB92" s="31" t="n"/>
      <c r="AC92" s="31">
        <f>IF(AB92="No",5,0)</f>
        <v/>
      </c>
      <c r="AD92" s="31" t="n"/>
      <c r="AE92" s="31">
        <f>IF(AD92="Tailwind",10,0)</f>
        <v/>
      </c>
      <c r="AF92" s="31" t="n"/>
      <c r="AG92" s="31">
        <f>IF(AF92="Structural (10 Years Consistency)",10,IF(AF92="Shallow Cyclical (2 to 3 years growth)",5,0))</f>
        <v/>
      </c>
      <c r="AH92" s="31" t="n"/>
      <c r="AI92" s="31">
        <f>IF(AH92="Yes due to Product Mix change or Operating Leverage",10,IF(AH92="Yes, these are peak margins",-5,IF(AH92="No",5,0)))</f>
        <v/>
      </c>
      <c r="AJ92" s="31" t="n"/>
      <c r="AK92" s="31">
        <f>IF(AJ92="Stable",10,0)</f>
        <v/>
      </c>
      <c r="AL92" s="31" t="n"/>
      <c r="AM92" s="31">
        <f>IF(AL92="Yes",10,0)</f>
        <v/>
      </c>
      <c r="AN92" s="31" t="n"/>
      <c r="AO92" s="31">
        <f>IF(AN92="B2C",10,IF(AN92="B2B",5,0))</f>
        <v/>
      </c>
      <c r="AP92" s="31" t="n"/>
      <c r="AQ92" s="31">
        <f>IF(AP92="Yes",10,0)</f>
        <v/>
      </c>
      <c r="AR92" s="31" t="n"/>
      <c r="AS92" s="31">
        <f>IF(AR92="Fully Annuity",10,IF(AR92="Higher Annuity, Lower One Time",5,IF(AR92="Higher One Time, Lower Annuity",3,0)))</f>
        <v/>
      </c>
      <c r="AT92" s="31" t="n"/>
      <c r="AU92" s="31">
        <f>IF(AT92="Good",10,0)</f>
        <v/>
      </c>
      <c r="AV92" s="31" t="n"/>
      <c r="AW92" s="31">
        <f>IF(AV92="Yes for more than 2 years",10,IF(AV92="Yes only for next 1 to 2 years",5,0))</f>
        <v/>
      </c>
      <c r="AX92" s="31" t="n"/>
      <c r="AY92" s="31">
        <f>IF(AX92="Above 40",20,IF(AX92="20 to 40",10,IF(AX92="0 to 20",-5,0)))</f>
        <v/>
      </c>
      <c r="AZ92" s="31" t="n"/>
      <c r="BA92" s="31">
        <f>IF(AZ92="Between 50 to 75",10,IF(AZ92="Above 75",0,0))</f>
        <v/>
      </c>
      <c r="BB92" s="31" t="n"/>
      <c r="BC92" s="31">
        <f>IF(BB92="Stage 2",20,IF(BB92="Stage 1",0,IF(BB92="Stage 3",5,IF(BB92="Stage 4",-5,0))))</f>
        <v/>
      </c>
      <c r="BD92" s="31" t="n"/>
      <c r="BE92" s="31">
        <f>IF(BD92="Positive Trend",20,IF(BD92="Negative Trend",-10,0))</f>
        <v/>
      </c>
      <c r="BF92" s="31" t="n"/>
      <c r="BG92" s="31">
        <f>IF(BF92="Uptrend",10,IF(BF92="Sideways",5,0))</f>
        <v/>
      </c>
      <c r="BH92" s="31" t="n"/>
      <c r="BI92" s="31">
        <f>IF(BH92="Uptrend",10,IF(BH92="Sideways",5,0))</f>
        <v/>
      </c>
      <c r="BJ92" s="31" t="n"/>
      <c r="BK92" s="31">
        <f>IF(BJ92="Overhead supply in last 2 years in last 2 years",-5,IF(BJ92="Close to 52 week high or retracement",5,IF(BJ92="Blue sky scenario",10,IF(BJ92="Long term Downtrend",-10,0))))</f>
        <v/>
      </c>
      <c r="BL92" s="31" t="n"/>
      <c r="BM92" s="31">
        <f>IF(BL92="Yes",10,0)</f>
        <v/>
      </c>
      <c r="BN92" s="31" t="n"/>
      <c r="BO92" s="31">
        <f>IF(BN92="More than 20%",10,IF(BN92="Between 12 to 20%",5,IF(BN92="Less than 12%",0,0)))</f>
        <v/>
      </c>
      <c r="BP92" s="31" t="n"/>
      <c r="BQ92" s="31">
        <f>IF(BP92="No",10,0)</f>
        <v/>
      </c>
      <c r="BR92" s="31" t="n"/>
      <c r="BS92" s="31">
        <f>IF(BR92="NO",5,0)</f>
        <v/>
      </c>
      <c r="BT92" s="31" t="n"/>
      <c r="BU92" s="31">
        <f>IF(BT92="Above 2",0,IF(BT92="Between 1.5 to 2",5,IF(BT92="Less than 1.5",10,0)))</f>
        <v/>
      </c>
      <c r="BV92" s="31" t="n"/>
      <c r="BW92" s="31">
        <f>IF(BV92="Above 70%",10,IF(BV92="Between 50% to 70%",5,IF(BV92="Less than 50%",0,IF(BV92="Negative",-10,IF(BV92="Less than 50% and Borrowings are increasing",-5,0)))))</f>
        <v/>
      </c>
      <c r="BX92" s="31" t="n"/>
      <c r="BY92" s="31">
        <f>IF(BX92="More than 1.2",-10,IF(BX92="Between 0.7 to 1.2",0,IF(BX92="Less than 0.7",10,0)))</f>
        <v/>
      </c>
      <c r="BZ92" s="31" t="n"/>
      <c r="CA92" s="31">
        <f>IF(BZ92="Yes",-10,0)</f>
        <v/>
      </c>
      <c r="CB92" s="31" t="n"/>
      <c r="CC92" s="31">
        <f>IF(CB92="More than 15%",-10,IF(CB92="Less than 15%",10,0))</f>
        <v/>
      </c>
      <c r="CD92" s="31" t="n"/>
      <c r="CE92" s="31">
        <f>IF(CD92="Yes, more than 10%",-10,IF(CD92="No",10,0))</f>
        <v/>
      </c>
      <c r="CF92" s="31" t="n"/>
      <c r="CG92" s="31">
        <f>IF(CF92&gt;20,10,IF(CF92&gt;=10,5,2))</f>
        <v/>
      </c>
    </row>
    <row r="93">
      <c r="A93" s="31">
        <f>IF(B93=0,"",RANK(B93,$B$2:$B$93,0))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SUNRAKSHAK</t>
        </is>
      </c>
      <c r="D93" s="31" t="inlineStr">
        <is>
          <t>Sunrakshakk Industries India Ltd</t>
        </is>
      </c>
      <c r="E93" s="31" t="inlineStr">
        <is>
          <t>unknown</t>
        </is>
      </c>
      <c r="F93" s="31" t="inlineStr">
        <is>
          <t>Textiles - Processing/Texturising</t>
        </is>
      </c>
      <c r="G93" s="31" t="inlineStr">
        <is>
          <t>smallcap</t>
        </is>
      </c>
      <c r="H93" s="32" t="n">
        <v>1150.35</v>
      </c>
      <c r="I93" s="32" t="n">
        <v>371</v>
      </c>
      <c r="J93" s="32" t="n">
        <v>1.32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</sheetData>
  <autoFilter ref="A1:CG93"/>
  <conditionalFormatting sqref="B2:B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3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3">
    <cfRule type="cellIs" priority="37" operator="equal" dxfId="3" stopIfTrue="1">
      <formula>"Underperforming"</formula>
    </cfRule>
  </conditionalFormatting>
  <conditionalFormatting sqref="N2:N93">
    <cfRule type="cellIs" priority="38" operator="equal" dxfId="3" stopIfTrue="1">
      <formula>-5</formula>
    </cfRule>
  </conditionalFormatting>
  <conditionalFormatting sqref="Q2:Q93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3" showDropDown="0" showInputMessage="0" showErrorMessage="0" allowBlank="1" type="list">
      <formula1>"Growing Industry,Stagnant Industry,Cyclical in an Upturn"</formula1>
    </dataValidation>
    <dataValidation sqref="Z2:Z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3" showDropDown="0" showInputMessage="0" showErrorMessage="0" allowBlank="1" type="list">
      <formula1>"Yes,No"</formula1>
    </dataValidation>
    <dataValidation sqref="AD2:AD93" showDropDown="0" showInputMessage="0" showErrorMessage="0" allowBlank="1" type="list">
      <formula1>"Tailwind,Headwind"</formula1>
    </dataValidation>
    <dataValidation sqref="AF2:AF93" showDropDown="0" showInputMessage="0" showErrorMessage="0" allowBlank="1" type="list">
      <formula1>"Structural (10 Years Consistency),Shallow Cyclical (2 to 3 Years Growth),Cyclical"</formula1>
    </dataValidation>
    <dataValidation sqref="AH2:AH93" showDropDown="0" showInputMessage="0" showErrorMessage="0" allowBlank="1" type="list">
      <formula1>"Yes due to Product Mix change or Operating Leverage,Yes, these are peak margins,No"</formula1>
    </dataValidation>
    <dataValidation sqref="AJ2:AJ93" showDropDown="0" showInputMessage="0" showErrorMessage="0" allowBlank="1" type="list">
      <formula1>"Stable,Volatile"</formula1>
    </dataValidation>
    <dataValidation sqref="AL2:AL93" showDropDown="0" showInputMessage="0" showErrorMessage="0" allowBlank="1" type="list">
      <formula1>"Yes,No"</formula1>
    </dataValidation>
    <dataValidation sqref="AN2:AN93" showDropDown="0" showInputMessage="0" showErrorMessage="0" allowBlank="1" type="list">
      <formula1>"B2C,B2B,B2G"</formula1>
    </dataValidation>
    <dataValidation sqref="AP2:AP93" showDropDown="0" showInputMessage="0" showErrorMessage="0" allowBlank="1" type="list">
      <formula1>"Yes,No"</formula1>
    </dataValidation>
    <dataValidation sqref="AR2:AR93" showDropDown="0" showInputMessage="0" showErrorMessage="0" allowBlank="1" type="list">
      <formula1>"Fully Annuity,Higher Annuity, Lower One time,Higher One Time, Lower Annuity,Fully One Time"</formula1>
    </dataValidation>
    <dataValidation sqref="AT2:AT93" showDropDown="0" showInputMessage="0" showErrorMessage="0" allowBlank="1" type="list">
      <formula1>"Good,Allocated capital in Non-core Areas"</formula1>
    </dataValidation>
    <dataValidation sqref="AV2:AV93" showDropDown="0" showInputMessage="0" showErrorMessage="0" allowBlank="1" type="list">
      <formula1>"Yes for more than 2 years,Yes only for next 1 to 2 years,No"</formula1>
    </dataValidation>
    <dataValidation sqref="AX2:AX93" showDropDown="0" showInputMessage="0" showErrorMessage="0" allowBlank="1" type="list">
      <formula1>"Above 40,20 to 40,0 to 20"</formula1>
    </dataValidation>
    <dataValidation sqref="AZ2:AZ93" showDropDown="0" showInputMessage="0" showErrorMessage="0" allowBlank="1" type="list">
      <formula1>"Between 50 to 75,Above 75,Below 45"</formula1>
    </dataValidation>
    <dataValidation sqref="BB2:BB93" showDropDown="0" showInputMessage="0" showErrorMessage="0" allowBlank="1" type="list">
      <formula1>"Stage 1,Stage 2,Stage 3,Stage 4"</formula1>
    </dataValidation>
    <dataValidation sqref="BD2:BD93" showDropDown="0" showInputMessage="0" showErrorMessage="0" allowBlank="1" type="list">
      <formula1>"Positive Trend,Negative Trend"</formula1>
    </dataValidation>
    <dataValidation sqref="BF2:BF93" showDropDown="0" showInputMessage="0" showErrorMessage="0" allowBlank="1" type="list">
      <formula1>"Uptrend,Sideways,Downtrend"</formula1>
    </dataValidation>
    <dataValidation sqref="BH2:BH93" showDropDown="0" showInputMessage="0" showErrorMessage="0" allowBlank="1" type="list">
      <formula1>"Uptrend,Sideways,Downtrend"</formula1>
    </dataValidation>
    <dataValidation sqref="BJ2:BJ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3" showDropDown="0" showInputMessage="0" showErrorMessage="0" allowBlank="1" type="list">
      <formula1>"Yes,No"</formula1>
    </dataValidation>
    <dataValidation sqref="BN2:BN93" showDropDown="0" showInputMessage="0" showErrorMessage="0" allowBlank="1" type="list">
      <formula1>"More than 20%,Between 12 to 20%,Less than 12%"</formula1>
    </dataValidation>
    <dataValidation sqref="BP2:BP93" showDropDown="0" showInputMessage="0" showErrorMessage="0" allowBlank="1" type="list">
      <formula1>"Yes,No"</formula1>
    </dataValidation>
    <dataValidation sqref="BR2:BR93" showDropDown="0" showInputMessage="0" showErrorMessage="0" allowBlank="1" type="list">
      <formula1>"Yes,No"</formula1>
    </dataValidation>
    <dataValidation sqref="BT2:BT93" showDropDown="0" showInputMessage="0" showErrorMessage="0" allowBlank="1" type="list">
      <formula1>"Above 2,Between 1.5 to 2,Less than 1.5"</formula1>
    </dataValidation>
    <dataValidation sqref="BV2:BV93" showDropDown="0" showInputMessage="0" showErrorMessage="0" allowBlank="1" type="list">
      <formula1>"Above 70%,Between 50% to 70%,Less than 50%,Less than 50% and Borrowings are increasing,Negative"</formula1>
    </dataValidation>
    <dataValidation sqref="BX2:BX93" showDropDown="0" showInputMessage="0" showErrorMessage="0" allowBlank="1" type="list">
      <formula1>"More than 1.2,Between 0.7 to 1.2,Less than 0.7"</formula1>
    </dataValidation>
    <dataValidation sqref="BZ2:BZ93" showDropDown="0" showInputMessage="0" showErrorMessage="0" allowBlank="1" type="list">
      <formula1>"Yes,No"</formula1>
    </dataValidation>
    <dataValidation sqref="CB2:CB93" showDropDown="0" showInputMessage="0" showErrorMessage="0" allowBlank="1" type="list">
      <formula1>"More than 15%,Less than 15%"</formula1>
    </dataValidation>
    <dataValidation sqref="CD2:CD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IF(B2=0,"",RANK(B2,$B$2:$B$9,0))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PAISALO</t>
        </is>
      </c>
      <c r="D2" s="31" t="inlineStr">
        <is>
          <t>Paisalo Digital Ltd</t>
        </is>
      </c>
      <c r="E2" s="31" t="inlineStr">
        <is>
          <t>financials</t>
        </is>
      </c>
      <c r="F2" s="31" t="inlineStr">
        <is>
          <t>Finance - Capital Markets - Brokers</t>
        </is>
      </c>
      <c r="G2" s="31" t="inlineStr">
        <is>
          <t>midcap</t>
        </is>
      </c>
      <c r="H2" s="32" t="n">
        <v>7177.04</v>
      </c>
      <c r="I2" s="32" t="n">
        <v>78.91</v>
      </c>
      <c r="J2" s="32" t="n">
        <v>6.49</v>
      </c>
      <c r="K2" s="32" t="n">
        <v>0</v>
      </c>
      <c r="L2" s="31" t="n">
        <v>86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74.03</v>
      </c>
      <c r="P2" s="32" t="n">
        <v>66.65000000000001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6.02</v>
      </c>
      <c r="U2" s="32" t="n">
        <v>114.77</v>
      </c>
      <c r="V2" s="32" t="n">
        <v>102.59</v>
      </c>
      <c r="W2" s="32" t="n">
        <v>25.36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IF(B3=0,"",RANK(B3,$B$2:$B$9,0))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CGCL</t>
        </is>
      </c>
      <c r="D3" s="31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26430.37</v>
      </c>
      <c r="I3" s="32" t="n">
        <v>274.7</v>
      </c>
      <c r="J3" s="32" t="n">
        <v>-1.86</v>
      </c>
      <c r="K3" s="32" t="n">
        <v>0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74.16</v>
      </c>
      <c r="P3" s="32" t="n">
        <v>40.42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6.02</v>
      </c>
      <c r="U3" s="32" t="n">
        <v>52</v>
      </c>
      <c r="V3" s="32" t="n">
        <v>43.37</v>
      </c>
      <c r="W3" s="32" t="n">
        <v>17.98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31</t>
        </is>
      </c>
      <c r="CC3" s="31">
        <f>IF(CB3&gt;20,10,IF(CB3&gt;=10,5,2))</f>
        <v/>
      </c>
    </row>
    <row r="4">
      <c r="A4" s="31">
        <f>IF(B4=0,"",RANK(B4,$B$2:$B$9,0))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27862.46</v>
      </c>
      <c r="I4" s="32" t="n">
        <v>655</v>
      </c>
      <c r="J4" s="32" t="n">
        <v>0.59</v>
      </c>
      <c r="K4" s="32" t="n">
        <v>0</v>
      </c>
      <c r="L4" s="31" t="n">
        <v>63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68.62</v>
      </c>
      <c r="P4" s="32" t="n">
        <v>32.06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6.02</v>
      </c>
      <c r="U4" s="32" t="n">
        <v>50.8</v>
      </c>
      <c r="V4" s="32" t="n">
        <v>42.24</v>
      </c>
      <c r="W4" s="32" t="n">
        <v>15.04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IF(B5=0,"",RANK(B5,$B$2:$B$9,0))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TFCILTD</t>
        </is>
      </c>
      <c r="D5" s="31" t="inlineStr">
        <is>
          <t>Tourism Finance Corporation of India Ltd</t>
        </is>
      </c>
      <c r="E5" s="31" t="inlineStr">
        <is>
          <t>financials</t>
        </is>
      </c>
      <c r="F5" s="31" t="inlineStr">
        <is>
          <t>Finance - PSU Lending</t>
        </is>
      </c>
      <c r="G5" s="31" t="inlineStr">
        <is>
          <t>midcap</t>
        </is>
      </c>
      <c r="H5" s="32" t="n">
        <v>6481.68</v>
      </c>
      <c r="I5" s="32" t="n">
        <v>140</v>
      </c>
      <c r="J5" s="32" t="n">
        <v>-2.28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86.02</v>
      </c>
      <c r="P5" s="32" t="n">
        <v>65.98999999999999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6.02</v>
      </c>
      <c r="U5" s="32" t="n">
        <v>108.08</v>
      </c>
      <c r="V5" s="32" t="n">
        <v>96.27</v>
      </c>
      <c r="W5" s="32" t="n">
        <v>38.42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IF(B6=0,"",RANK(B6,$B$2:$B$9,0))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IFCI</t>
        </is>
      </c>
      <c r="D6" s="31" t="inlineStr">
        <is>
          <t>IFCI Ltd</t>
        </is>
      </c>
      <c r="E6" s="31" t="inlineStr">
        <is>
          <t>financials</t>
        </is>
      </c>
      <c r="F6" s="31" t="inlineStr">
        <is>
          <t>Finance - PSU Lending</t>
        </is>
      </c>
      <c r="G6" s="31" t="inlineStr">
        <is>
          <t>largecap</t>
        </is>
      </c>
      <c r="H6" s="32" t="n">
        <v>27560.14</v>
      </c>
      <c r="I6" s="32" t="n">
        <v>102.29</v>
      </c>
      <c r="J6" s="32" t="n">
        <v>0.9</v>
      </c>
      <c r="K6" s="32" t="n">
        <v>0</v>
      </c>
      <c r="L6" s="31" t="n">
        <v>77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73.54000000000001</v>
      </c>
      <c r="P6" s="32" t="n">
        <v>47.87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6.02</v>
      </c>
      <c r="U6" s="32" t="n">
        <v>93.36</v>
      </c>
      <c r="V6" s="32" t="n">
        <v>82.39</v>
      </c>
      <c r="W6" s="32" t="n">
        <v>21.05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less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IF(B7=0,"",RANK(B7,$B$2:$B$9,0))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GCSL</t>
        </is>
      </c>
      <c r="D7" s="31" t="inlineStr">
        <is>
          <t>Gretex Corporate Services Ltd</t>
        </is>
      </c>
      <c r="E7" s="31" t="inlineStr">
        <is>
          <t>Financial Services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1456.57</v>
      </c>
      <c r="I7" s="32" t="n">
        <v>602.9</v>
      </c>
      <c r="J7" s="32" t="n">
        <v>1.36</v>
      </c>
      <c r="K7" s="32" t="n">
        <v>0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73.90000000000001</v>
      </c>
      <c r="P7" s="32" t="n">
        <v>33.8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6.02</v>
      </c>
      <c r="U7" s="32" t="n">
        <v>98.26000000000001</v>
      </c>
      <c r="V7" s="32" t="n">
        <v>87.01000000000001</v>
      </c>
      <c r="W7" s="32" t="n">
        <v>23.54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8">
      <c r="A8" s="31">
        <f>IF(B8=0,"",RANK(B8,$B$2:$B$9,0))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OFSS</t>
        </is>
      </c>
      <c r="D8" s="31" t="inlineStr">
        <is>
          <t>Oracle Financial Services Software Ltd</t>
        </is>
      </c>
      <c r="E8" s="31" t="inlineStr">
        <is>
          <t>Technology</t>
        </is>
      </c>
      <c r="F8" s="31" t="inlineStr">
        <is>
          <t>IT Product Companies</t>
        </is>
      </c>
      <c r="G8" s="31" t="inlineStr">
        <is>
          <t>largecap</t>
        </is>
      </c>
      <c r="H8" s="32" t="n">
        <v>103167.38</v>
      </c>
      <c r="I8" s="32" t="n">
        <v>11847</v>
      </c>
      <c r="J8" s="32" t="n">
        <v>-1.75</v>
      </c>
      <c r="K8" s="32" t="n">
        <v>0</v>
      </c>
      <c r="L8" s="31" t="n">
        <v>64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68.75</v>
      </c>
      <c r="P8" s="32" t="n">
        <v>28.59</v>
      </c>
      <c r="Q8" s="32" t="inlineStr"/>
      <c r="R8" s="31" t="inlineStr">
        <is>
          <t>Earnings / Momentum Support</t>
        </is>
      </c>
      <c r="S8" s="31" t="inlineStr">
        <is>
          <t>Nifty IT</t>
        </is>
      </c>
      <c r="T8" s="32" t="n">
        <v>-11.38</v>
      </c>
      <c r="U8" s="32" t="n">
        <v>52.12</v>
      </c>
      <c r="V8" s="32" t="n">
        <v>71.65000000000001</v>
      </c>
      <c r="W8" s="32" t="n">
        <v>15.48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9">
      <c r="A9" s="31">
        <f>IF(B9=0,"",RANK(B9,$B$2:$B$9,0))</f>
        <v/>
      </c>
      <c r="B9" s="32">
        <f>SUM(N9,Y9,AA9,AC9,AE9,AG9,AI9,AK9,AM9,AO9,AQ9,AS9,AU9,AW9,AY9,BA9,BC9,BE9,BG9,BI9,BK9,BM9,BO9,BQ9,BS9,BU9,BW9,BY9,CA9,CC9)</f>
        <v/>
      </c>
      <c r="C9" s="33" t="inlineStr">
        <is>
          <t>ALEMBICLTD</t>
        </is>
      </c>
      <c r="D9" s="33" t="inlineStr">
        <is>
          <t>Alembic Ltd</t>
        </is>
      </c>
      <c r="E9" s="31" t="inlineStr">
        <is>
          <t>realty</t>
        </is>
      </c>
      <c r="F9" s="31" t="inlineStr">
        <is>
          <t>Finance - Holding Company</t>
        </is>
      </c>
      <c r="G9" s="31" t="inlineStr">
        <is>
          <t>smallcap</t>
        </is>
      </c>
      <c r="H9" s="32" t="n">
        <v>2775.81</v>
      </c>
      <c r="I9" s="32" t="n">
        <v>108.1</v>
      </c>
      <c r="J9" s="32" t="n">
        <v>-2.97</v>
      </c>
      <c r="K9" s="32" t="n">
        <v>0</v>
      </c>
      <c r="L9" s="31" t="n">
        <v>3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72.33</v>
      </c>
      <c r="P9" s="32" t="n">
        <v>17.05</v>
      </c>
      <c r="Q9" s="32" t="inlineStr"/>
      <c r="R9" s="31" t="inlineStr">
        <is>
          <t>Earnings / Momentum Support</t>
        </is>
      </c>
      <c r="S9" s="31" t="inlineStr">
        <is>
          <t>Nifty Realty</t>
        </is>
      </c>
      <c r="T9" s="32" t="n">
        <v>-8.119999999999999</v>
      </c>
      <c r="U9" s="32" t="n">
        <v>-23.78</v>
      </c>
      <c r="V9" s="32" t="n">
        <v>-17.04</v>
      </c>
      <c r="W9" s="32" t="n">
        <v>-5.83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0 to 20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22</t>
        </is>
      </c>
      <c r="CC9" s="31">
        <f>IF(CB9&gt;20,10,IF(CB9&gt;=10,5,2))</f>
        <v/>
      </c>
    </row>
  </sheetData>
  <autoFilter ref="A1:CC9"/>
  <conditionalFormatting sqref="B2:B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9">
    <cfRule type="cellIs" priority="35" operator="equal" dxfId="3" stopIfTrue="1">
      <formula>"Underperforming"</formula>
    </cfRule>
  </conditionalFormatting>
  <conditionalFormatting sqref="N2:N9">
    <cfRule type="cellIs" priority="36" operator="equal" dxfId="3" stopIfTrue="1">
      <formula>-5</formula>
    </cfRule>
  </conditionalFormatting>
  <conditionalFormatting sqref="Q2:Q9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9" showDropDown="0" showInputMessage="0" showErrorMessage="0" allowBlank="1" type="list">
      <formula1>"Growing Industry,Stagnant Industry,Cyclical in an Upturn"</formula1>
    </dataValidation>
    <dataValidation sqref="Z2:Z9" showDropDown="0" showInputMessage="0" showErrorMessage="0" allowBlank="1" type="list">
      <formula1>"Fragmented with Low ROE,Fragmented with High ROE,Highly Cyclical"</formula1>
    </dataValidation>
    <dataValidation sqref="AB2:AB9" showDropDown="0" showInputMessage="0" showErrorMessage="0" allowBlank="1" type="list">
      <formula1>"Yes,No"</formula1>
    </dataValidation>
    <dataValidation sqref="AD2:AD9" showDropDown="0" showInputMessage="0" showErrorMessage="0" allowBlank="1" type="list">
      <formula1>"Tailwind,Headwind"</formula1>
    </dataValidation>
    <dataValidation sqref="AF2:AF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9" showDropDown="0" showInputMessage="0" showErrorMessage="0" allowBlank="1" type="list">
      <formula1>"Yes,No"</formula1>
    </dataValidation>
    <dataValidation sqref="AJ2:AJ9" showDropDown="0" showInputMessage="0" showErrorMessage="0" allowBlank="1" type="list">
      <formula1>"Yes,No,Not Applicable"</formula1>
    </dataValidation>
    <dataValidation sqref="AL2:AL9" showDropDown="0" showInputMessage="0" showErrorMessage="0" allowBlank="1" type="list">
      <formula1>"Yes,No"</formula1>
    </dataValidation>
    <dataValidation sqref="AN2:AN9" showDropDown="0" showInputMessage="0" showErrorMessage="0" allowBlank="1" type="list">
      <formula1>"Yes,No"</formula1>
    </dataValidation>
    <dataValidation sqref="AP2:AP9" showDropDown="0" showInputMessage="0" showErrorMessage="0" allowBlank="1" type="list">
      <formula1>"Yes,No"</formula1>
    </dataValidation>
    <dataValidation sqref="AR2:AR9" showDropDown="0" showInputMessage="0" showErrorMessage="0" allowBlank="1" type="list">
      <formula1>"Yes,No"</formula1>
    </dataValidation>
    <dataValidation sqref="AT2:AT9" showDropDown="0" showInputMessage="0" showErrorMessage="0" allowBlank="1" type="list">
      <formula1>"No,Yes"</formula1>
    </dataValidation>
    <dataValidation sqref="AV2:AV9" showDropDown="0" showInputMessage="0" showErrorMessage="0" allowBlank="1" type="list">
      <formula1>"No,Yes"</formula1>
    </dataValidation>
    <dataValidation sqref="AX2:AX9" showDropDown="0" showInputMessage="0" showErrorMessage="0" allowBlank="1" type="list">
      <formula1>"No,Yes CEO Resignation,Yes CEO Retirement"</formula1>
    </dataValidation>
    <dataValidation sqref="AZ2:AZ9" showDropDown="0" showInputMessage="0" showErrorMessage="0" allowBlank="1" type="list">
      <formula1>"No,Yes"</formula1>
    </dataValidation>
    <dataValidation sqref="BB2:BB9" showDropDown="0" showInputMessage="0" showErrorMessage="0" allowBlank="1" type="list">
      <formula1>"No,Yes"</formula1>
    </dataValidation>
    <dataValidation sqref="BD2:BD9" showDropDown="0" showInputMessage="0" showErrorMessage="0" allowBlank="1" type="list">
      <formula1>"Yes,No"</formula1>
    </dataValidation>
    <dataValidation sqref="BF2:BF9" showDropDown="0" showInputMessage="0" showErrorMessage="0" allowBlank="1" type="list">
      <formula1>"Yes,No"</formula1>
    </dataValidation>
    <dataValidation sqref="BH2:BH9" showDropDown="0" showInputMessage="0" showErrorMessage="0" allowBlank="1" type="list">
      <formula1>"Yes,No"</formula1>
    </dataValidation>
    <dataValidation sqref="BJ2:BJ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9" showDropDown="0" showInputMessage="0" showErrorMessage="0" allowBlank="1" type="list">
      <formula1>"Above 40,20 to 40,0 to 20"</formula1>
    </dataValidation>
    <dataValidation sqref="BN2:BN9" showDropDown="0" showInputMessage="0" showErrorMessage="0" allowBlank="1" type="list">
      <formula1>"Between 50 to 75,Above 75,Below 45"</formula1>
    </dataValidation>
    <dataValidation sqref="BP2:BP9" showDropDown="0" showInputMessage="0" showErrorMessage="0" allowBlank="1" type="list">
      <formula1>"Stage 1,Stage 2,Stage 3,Stage 4"</formula1>
    </dataValidation>
    <dataValidation sqref="BR2:BR9" showDropDown="0" showInputMessage="0" showErrorMessage="0" allowBlank="1" type="list">
      <formula1>"Positive Trend,Negative Trend"</formula1>
    </dataValidation>
    <dataValidation sqref="BT2:BT9" showDropDown="0" showInputMessage="0" showErrorMessage="0" allowBlank="1" type="list">
      <formula1>"Uptrend,Sideways,Downtrend"</formula1>
    </dataValidation>
    <dataValidation sqref="BV2:BV9" showDropDown="0" showInputMessage="0" showErrorMessage="0" allowBlank="1" type="list">
      <formula1>"Uptrend,Sideways,Downtrend"</formula1>
    </dataValidation>
    <dataValidation sqref="BX2:BX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2026-09-07T16:42:20Z</dcterms:created>
  <dcterms:modified xmlns:dcterms="http://purl.org/dc/terms/" xmlns:xsi="http://www.w3.org/2001/XMLSchema-instance" xsi:type="dcterms:W3CDTF">2026-09-07T16:43:53Z</dcterms:modified>
</cp:coreProperties>
</file>