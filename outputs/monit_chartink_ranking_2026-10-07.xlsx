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Universe'!$A$1:$J$273</definedName>
    <definedName name="_xlnm._FilterDatabase" localSheetId="3" hidden="1">'Confluence Overlap'!$A$1:$K$82</definedName>
    <definedName name="_xlnm._FilterDatabase" localSheetId="4" hidden="1">'Monit Non Financial'!$A$1:$CE$252</definedName>
    <definedName name="_xlnm._FilterDatabase" localSheetId="5" hidden="1">'Monit Banks NBFC'!$A$1:$CA$22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07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33" customWidth="1" min="3" max="3"/>
    <col width="46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510</v>
      </c>
      <c r="C6" s="17" t="inlineStr">
        <is>
          <t>SETL</t>
        </is>
      </c>
      <c r="D6" s="18" t="inlineStr">
        <is>
          <t>Standard Enginnering Technology Ltd</t>
        </is>
      </c>
      <c r="E6" s="18" t="inlineStr">
        <is>
          <t>industrials</t>
        </is>
      </c>
      <c r="F6" s="16" t="n">
        <v>70</v>
      </c>
      <c r="G6" s="19" t="n">
        <v>8544.23</v>
      </c>
      <c r="H6" s="18" t="inlineStr">
        <is>
          <t>Potential Leader</t>
        </is>
      </c>
      <c r="J6" s="18" t="inlineStr">
        <is>
          <t>media</t>
        </is>
      </c>
      <c r="K6" s="16" t="n">
        <v>7</v>
      </c>
      <c r="L6" s="16" t="n">
        <v>3</v>
      </c>
      <c r="M6" s="20" t="inlineStr">
        <is>
          <t>133.3%</t>
        </is>
      </c>
    </row>
    <row r="7">
      <c r="A7" s="16" t="n">
        <v>2</v>
      </c>
      <c r="B7" s="17" t="n">
        <v>444</v>
      </c>
      <c r="C7" s="17" t="inlineStr">
        <is>
          <t>KABRAEXTRU</t>
        </is>
      </c>
      <c r="D7" s="18" t="inlineStr">
        <is>
          <t>Kabra Extrusion Technik Limited</t>
        </is>
      </c>
      <c r="E7" s="18" t="inlineStr">
        <is>
          <t>industrials</t>
        </is>
      </c>
      <c r="F7" s="16" t="n">
        <v>59</v>
      </c>
      <c r="G7" s="19" t="n">
        <v>2852.73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7</v>
      </c>
      <c r="L7" s="16" t="n">
        <v>3</v>
      </c>
      <c r="M7" s="20" t="inlineStr">
        <is>
          <t>133.3%</t>
        </is>
      </c>
    </row>
    <row r="8">
      <c r="A8" s="16" t="n">
        <v>3</v>
      </c>
      <c r="B8" s="17" t="n">
        <v>402</v>
      </c>
      <c r="C8" s="17" t="inlineStr">
        <is>
          <t>REDINGTON</t>
        </is>
      </c>
      <c r="D8" s="18" t="inlineStr">
        <is>
          <t>Redington (india) Limited</t>
        </is>
      </c>
      <c r="E8" s="18" t="inlineStr">
        <is>
          <t>services</t>
        </is>
      </c>
      <c r="F8" s="16" t="n">
        <v>52</v>
      </c>
      <c r="G8" s="19" t="n">
        <v>31716.59</v>
      </c>
      <c r="H8" s="18" t="inlineStr">
        <is>
          <t>Potential Leader</t>
        </is>
      </c>
      <c r="J8" s="18" t="inlineStr">
        <is>
          <t>telecom</t>
        </is>
      </c>
      <c r="K8" s="16" t="n">
        <v>10</v>
      </c>
      <c r="L8" s="16" t="n">
        <v>6</v>
      </c>
      <c r="M8" s="20" t="inlineStr">
        <is>
          <t>66.7%</t>
        </is>
      </c>
    </row>
    <row r="9">
      <c r="A9" s="16" t="n">
        <v>4</v>
      </c>
      <c r="B9" s="17" t="n">
        <v>378</v>
      </c>
      <c r="C9" s="17" t="inlineStr">
        <is>
          <t>RATNAVEER</t>
        </is>
      </c>
      <c r="D9" s="18" t="inlineStr">
        <is>
          <t>Ratnaveer Precision Engineering Ltd</t>
        </is>
      </c>
      <c r="E9" s="18" t="inlineStr">
        <is>
          <t>metals &amp; mining</t>
        </is>
      </c>
      <c r="F9" s="16" t="n">
        <v>48</v>
      </c>
      <c r="G9" s="19" t="n">
        <v>2813.63</v>
      </c>
      <c r="H9" s="18" t="inlineStr">
        <is>
          <t>Potential Leader</t>
        </is>
      </c>
      <c r="J9" s="18" t="inlineStr">
        <is>
          <t>castings, forgings &amp; fasteners</t>
        </is>
      </c>
      <c r="K9" s="16" t="n">
        <v>22</v>
      </c>
      <c r="L9" s="16" t="n">
        <v>18</v>
      </c>
      <c r="M9" s="20" t="inlineStr">
        <is>
          <t>22.2%</t>
        </is>
      </c>
    </row>
    <row r="10">
      <c r="A10" s="16" t="n">
        <v>5</v>
      </c>
      <c r="B10" s="17" t="n">
        <v>378</v>
      </c>
      <c r="C10" s="17" t="inlineStr">
        <is>
          <t>SHILPAMED</t>
        </is>
      </c>
      <c r="D10" s="18" t="inlineStr">
        <is>
          <t>Shilpa Medicare Limited</t>
        </is>
      </c>
      <c r="E10" s="18" t="inlineStr">
        <is>
          <t>healthcare</t>
        </is>
      </c>
      <c r="F10" s="16" t="n">
        <v>48</v>
      </c>
      <c r="G10" s="19" t="n">
        <v>20999.62</v>
      </c>
      <c r="H10" s="18" t="inlineStr">
        <is>
          <t>Potential Leader</t>
        </is>
      </c>
      <c r="J10" s="18" t="inlineStr">
        <is>
          <t>fmcg</t>
        </is>
      </c>
      <c r="K10" s="16" t="n">
        <v>59</v>
      </c>
      <c r="L10" s="16" t="n">
        <v>49</v>
      </c>
      <c r="M10" s="20" t="inlineStr">
        <is>
          <t>20.4%</t>
        </is>
      </c>
    </row>
    <row r="11">
      <c r="A11" s="16" t="n">
        <v>6</v>
      </c>
      <c r="B11" s="17" t="n">
        <v>378</v>
      </c>
      <c r="C11" s="17" t="inlineStr">
        <is>
          <t>STLTECH</t>
        </is>
      </c>
      <c r="D11" s="18" t="inlineStr">
        <is>
          <t>Sterlite Technologies Limited</t>
        </is>
      </c>
      <c r="E11" s="18" t="inlineStr">
        <is>
          <t>industrials</t>
        </is>
      </c>
      <c r="F11" s="16" t="n">
        <v>48</v>
      </c>
      <c r="G11" s="19" t="n">
        <v>52247.82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53</v>
      </c>
      <c r="L11" s="16" t="n">
        <v>45</v>
      </c>
      <c r="M11" s="20" t="inlineStr">
        <is>
          <t>17.8%</t>
        </is>
      </c>
    </row>
    <row r="12">
      <c r="A12" s="16" t="n">
        <v>7</v>
      </c>
      <c r="B12" s="17" t="n">
        <v>372</v>
      </c>
      <c r="C12" s="17" t="inlineStr">
        <is>
          <t>MOREPENLAB</t>
        </is>
      </c>
      <c r="D12" s="18" t="inlineStr">
        <is>
          <t>Morepen Laboratories Limited</t>
        </is>
      </c>
      <c r="E12" s="18" t="inlineStr">
        <is>
          <t>healthcare</t>
        </is>
      </c>
      <c r="F12" s="16" t="n">
        <v>47</v>
      </c>
      <c r="G12" s="19" t="n">
        <v>7888.34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79</v>
      </c>
      <c r="L12" s="16" t="n">
        <v>75</v>
      </c>
      <c r="M12" s="20" t="inlineStr">
        <is>
          <t>5.3%</t>
        </is>
      </c>
    </row>
    <row r="13">
      <c r="A13" s="16" t="n">
        <v>8</v>
      </c>
      <c r="B13" s="17" t="n">
        <v>354</v>
      </c>
      <c r="C13" s="17" t="inlineStr">
        <is>
          <t>INDSWFTLAB</t>
        </is>
      </c>
      <c r="D13" s="18" t="inlineStr">
        <is>
          <t>Ind-swift Laboratories Limited</t>
        </is>
      </c>
      <c r="E13" s="18" t="inlineStr">
        <is>
          <t>healthcare</t>
        </is>
      </c>
      <c r="F13" s="16" t="n">
        <v>44</v>
      </c>
      <c r="G13" s="19" t="n">
        <v>3482.38</v>
      </c>
      <c r="H13" s="18" t="inlineStr">
        <is>
          <t>Potential Leader</t>
        </is>
      </c>
      <c r="J13" s="18" t="inlineStr">
        <is>
          <t>energy</t>
        </is>
      </c>
      <c r="K13" s="16" t="n">
        <v>22</v>
      </c>
      <c r="L13" s="16" t="n">
        <v>21</v>
      </c>
      <c r="M13" s="20" t="inlineStr">
        <is>
          <t>4.8%</t>
        </is>
      </c>
    </row>
    <row r="14">
      <c r="A14" s="16" t="n">
        <v>9</v>
      </c>
      <c r="B14" s="17" t="n">
        <v>342</v>
      </c>
      <c r="C14" s="17" t="inlineStr">
        <is>
          <t>MANINDS</t>
        </is>
      </c>
      <c r="D14" s="18" t="inlineStr">
        <is>
          <t>Man Industries (india) Limited</t>
        </is>
      </c>
      <c r="E14" s="18" t="inlineStr">
        <is>
          <t>metals &amp; mining</t>
        </is>
      </c>
      <c r="F14" s="16" t="n">
        <v>42</v>
      </c>
      <c r="G14" s="19" t="n">
        <v>6916.26</v>
      </c>
      <c r="H14" s="18" t="inlineStr">
        <is>
          <t>Potential Leader</t>
        </is>
      </c>
      <c r="J14" s="18" t="inlineStr">
        <is>
          <t>services</t>
        </is>
      </c>
      <c r="K14" s="16" t="n">
        <v>43</v>
      </c>
      <c r="L14" s="16" t="n">
        <v>42</v>
      </c>
      <c r="M14" s="20" t="inlineStr">
        <is>
          <t>2.4%</t>
        </is>
      </c>
    </row>
    <row r="15">
      <c r="A15" s="16" t="n">
        <v>10</v>
      </c>
      <c r="B15" s="17" t="n">
        <v>324</v>
      </c>
      <c r="C15" s="17" t="inlineStr">
        <is>
          <t>RGL</t>
        </is>
      </c>
      <c r="D15" s="18" t="inlineStr">
        <is>
          <t>Renaissance Global Ltd</t>
        </is>
      </c>
      <c r="E15" s="18" t="inlineStr">
        <is>
          <t>consumer discretionary</t>
        </is>
      </c>
      <c r="F15" s="16" t="n">
        <v>39</v>
      </c>
      <c r="G15" s="19" t="n">
        <v>1756.76</v>
      </c>
      <c r="H15" s="18" t="inlineStr">
        <is>
          <t>Potential Leader</t>
        </is>
      </c>
      <c r="J15" s="18" t="inlineStr">
        <is>
          <t>financials</t>
        </is>
      </c>
      <c r="K15" s="16" t="n">
        <v>59</v>
      </c>
      <c r="L15" s="16" t="n">
        <v>58</v>
      </c>
      <c r="M15" s="20" t="inlineStr">
        <is>
          <t>1.7%</t>
        </is>
      </c>
    </row>
    <row r="16">
      <c r="A16" s="16" t="n">
        <v>11</v>
      </c>
      <c r="B16" s="17" t="n">
        <v>318</v>
      </c>
      <c r="C16" s="17" t="inlineStr">
        <is>
          <t>WELSPUNLIV</t>
        </is>
      </c>
      <c r="D16" s="18" t="inlineStr">
        <is>
          <t>Welspun Living Ltd</t>
        </is>
      </c>
      <c r="E16" s="18" t="inlineStr">
        <is>
          <t>textiles</t>
        </is>
      </c>
      <c r="F16" s="16" t="n">
        <v>38</v>
      </c>
      <c r="G16" s="19" t="n">
        <v>22471.88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38</v>
      </c>
      <c r="L16" s="16" t="n">
        <v>38</v>
      </c>
      <c r="M16" s="20" t="inlineStr">
        <is>
          <t>0.0%</t>
        </is>
      </c>
    </row>
    <row r="17">
      <c r="A17" s="16" t="n">
        <v>12</v>
      </c>
      <c r="B17" s="17" t="n">
        <v>312</v>
      </c>
      <c r="C17" s="17" t="inlineStr">
        <is>
          <t>YUKEN</t>
        </is>
      </c>
      <c r="D17" s="18" t="inlineStr">
        <is>
          <t>Yuken India Ltd</t>
        </is>
      </c>
      <c r="E17" s="18" t="inlineStr">
        <is>
          <t>industrials</t>
        </is>
      </c>
      <c r="F17" s="16" t="n">
        <v>37</v>
      </c>
      <c r="G17" s="19" t="n">
        <v>1682.51</v>
      </c>
      <c r="H17" s="18" t="inlineStr">
        <is>
          <t>Potential Leader</t>
        </is>
      </c>
      <c r="J17" s="18" t="inlineStr">
        <is>
          <t>industrials</t>
        </is>
      </c>
      <c r="K17" s="16" t="n">
        <v>169</v>
      </c>
      <c r="L17" s="16" t="n">
        <v>177</v>
      </c>
      <c r="M17" s="21" t="inlineStr">
        <is>
          <t>-4.5%</t>
        </is>
      </c>
    </row>
    <row r="18">
      <c r="A18" s="16" t="n">
        <v>13</v>
      </c>
      <c r="B18" s="17" t="n">
        <v>306</v>
      </c>
      <c r="C18" s="17" t="inlineStr">
        <is>
          <t>BODALCHEM</t>
        </is>
      </c>
      <c r="D18" s="18" t="inlineStr">
        <is>
          <t>Bodal Chemicals Limited</t>
        </is>
      </c>
      <c r="E18" s="18" t="inlineStr">
        <is>
          <t>chemicals</t>
        </is>
      </c>
      <c r="F18" s="16" t="n">
        <v>36</v>
      </c>
      <c r="G18" s="19" t="n">
        <v>2349.74</v>
      </c>
      <c r="H18" s="18" t="inlineStr">
        <is>
          <t>Potential Leader</t>
        </is>
      </c>
      <c r="J18" s="18" t="inlineStr">
        <is>
          <t>i.t</t>
        </is>
      </c>
      <c r="K18" s="16" t="n">
        <v>46</v>
      </c>
      <c r="L18" s="16" t="n">
        <v>52</v>
      </c>
      <c r="M18" s="21" t="inlineStr">
        <is>
          <t>-11.5%</t>
        </is>
      </c>
    </row>
    <row r="19">
      <c r="A19" s="16" t="n">
        <v>14</v>
      </c>
      <c r="B19" s="17" t="n">
        <v>306</v>
      </c>
      <c r="C19" s="17" t="inlineStr">
        <is>
          <t>WELINV</t>
        </is>
      </c>
      <c r="D19" s="18" t="inlineStr">
        <is>
          <t>Welspun Investments And Commercials Limited</t>
        </is>
      </c>
      <c r="E19" s="18" t="inlineStr">
        <is>
          <t>financials</t>
        </is>
      </c>
      <c r="F19" s="16" t="n">
        <v>36</v>
      </c>
      <c r="G19" s="19" t="n">
        <v>891.6900000000001</v>
      </c>
      <c r="H19" s="18" t="inlineStr">
        <is>
          <t>Potential Leader</t>
        </is>
      </c>
      <c r="J19" s="18" t="inlineStr">
        <is>
          <t>plastic products</t>
        </is>
      </c>
      <c r="K19" s="16" t="n">
        <v>13</v>
      </c>
      <c r="L19" s="16" t="n">
        <v>15</v>
      </c>
      <c r="M19" s="21" t="inlineStr">
        <is>
          <t>-13.3%</t>
        </is>
      </c>
    </row>
    <row r="20">
      <c r="A20" s="16" t="n">
        <v>15</v>
      </c>
      <c r="B20" s="17" t="n">
        <v>300</v>
      </c>
      <c r="C20" s="17" t="inlineStr">
        <is>
          <t>INDORAMA</t>
        </is>
      </c>
      <c r="D20" s="18" t="inlineStr">
        <is>
          <t>Indo Rama Synthetics (india) Limited</t>
        </is>
      </c>
      <c r="E20" s="18" t="inlineStr">
        <is>
          <t>textiles</t>
        </is>
      </c>
      <c r="F20" s="16" t="n">
        <v>35</v>
      </c>
      <c r="G20" s="19" t="n">
        <v>2483.19</v>
      </c>
      <c r="H20" s="18" t="inlineStr">
        <is>
          <t>Potential Leader</t>
        </is>
      </c>
      <c r="J20" s="18" t="inlineStr">
        <is>
          <t>transportation</t>
        </is>
      </c>
      <c r="K20" s="16" t="n">
        <v>36</v>
      </c>
      <c r="L20" s="16" t="n">
        <v>42</v>
      </c>
      <c r="M20" s="21" t="inlineStr">
        <is>
          <t>-14.3%</t>
        </is>
      </c>
    </row>
    <row r="21">
      <c r="A21" s="16" t="n">
        <v>16</v>
      </c>
      <c r="B21" s="17" t="n">
        <v>294</v>
      </c>
      <c r="C21" s="17" t="inlineStr">
        <is>
          <t>BHAGERIA</t>
        </is>
      </c>
      <c r="D21" s="18" t="inlineStr">
        <is>
          <t>Bhageria Industries Limited</t>
        </is>
      </c>
      <c r="E21" s="18" t="inlineStr">
        <is>
          <t>chemicals</t>
        </is>
      </c>
      <c r="F21" s="16" t="n">
        <v>34</v>
      </c>
      <c r="G21" s="19" t="n">
        <v>1717.62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QUADFUTURE</t>
        </is>
      </c>
      <c r="D22" s="18" t="inlineStr">
        <is>
          <t>Quadrant Future Tek Ltd</t>
        </is>
      </c>
      <c r="E22" s="18" t="inlineStr">
        <is>
          <t>industrials</t>
        </is>
      </c>
      <c r="F22" s="16" t="n">
        <v>34</v>
      </c>
      <c r="G22" s="19" t="n">
        <v>2189.6</v>
      </c>
      <c r="H22" s="18" t="inlineStr">
        <is>
          <t>Potential Leader</t>
        </is>
      </c>
    </row>
    <row r="23">
      <c r="A23" s="16" t="n">
        <v>18</v>
      </c>
      <c r="B23" s="17" t="n">
        <v>294</v>
      </c>
      <c r="C23" s="17" t="inlineStr">
        <is>
          <t>TBZ</t>
        </is>
      </c>
      <c r="D23" s="18" t="inlineStr">
        <is>
          <t>Tribhovandas Bhimji Zaveri Limited</t>
        </is>
      </c>
      <c r="E23" s="18" t="inlineStr">
        <is>
          <t>consumer discretionary</t>
        </is>
      </c>
      <c r="F23" s="16" t="n">
        <v>34</v>
      </c>
      <c r="G23" s="19" t="n">
        <v>4062.89</v>
      </c>
      <c r="H23" s="18" t="inlineStr">
        <is>
          <t>Potential Leader</t>
        </is>
      </c>
    </row>
    <row r="24">
      <c r="A24" s="16" t="n">
        <v>19</v>
      </c>
      <c r="B24" s="17" t="n">
        <v>282</v>
      </c>
      <c r="C24" s="17" t="inlineStr">
        <is>
          <t>BAFNAPH</t>
        </is>
      </c>
      <c r="D24" s="18" t="inlineStr">
        <is>
          <t>Bafna Pharmaceuticals Ltd</t>
        </is>
      </c>
      <c r="E24" s="18" t="inlineStr">
        <is>
          <t>healthcare</t>
        </is>
      </c>
      <c r="F24" s="16" t="n">
        <v>32</v>
      </c>
      <c r="G24" s="19" t="n">
        <v>932.0599999999999</v>
      </c>
      <c r="H24" s="18" t="inlineStr">
        <is>
          <t>Potential Leader</t>
        </is>
      </c>
    </row>
    <row r="25">
      <c r="A25" s="16" t="n">
        <v>20</v>
      </c>
      <c r="B25" s="17" t="n">
        <v>282</v>
      </c>
      <c r="C25" s="17" t="inlineStr">
        <is>
          <t>SIGMAADV</t>
        </is>
      </c>
      <c r="D25" s="18" t="inlineStr">
        <is>
          <t>Sigma Advanced System Ltd</t>
        </is>
      </c>
      <c r="E25" s="18" t="inlineStr">
        <is>
          <t>aerospace &amp; defence</t>
        </is>
      </c>
      <c r="F25" s="16" t="n">
        <v>32</v>
      </c>
      <c r="G25" s="19" t="n">
        <v>21212.2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DELTACORP</t>
        </is>
      </c>
      <c r="B30" s="18" t="inlineStr">
        <is>
          <t>Delta Corp Limited</t>
        </is>
      </c>
      <c r="C30" s="18" t="inlineStr">
        <is>
          <t>miscellaneous</t>
        </is>
      </c>
      <c r="D30" s="16" t="n">
        <v>10</v>
      </c>
      <c r="E30" s="16" t="n">
        <v>0</v>
      </c>
      <c r="F30" s="19" t="n">
        <v>2258.38</v>
      </c>
      <c r="J30" s="17" t="inlineStr">
        <is>
          <t>PREMIERPOL</t>
        </is>
      </c>
      <c r="K30" s="18" t="inlineStr">
        <is>
          <t>plastic products</t>
        </is>
      </c>
      <c r="L30" s="19" t="n">
        <v>295</v>
      </c>
      <c r="M30" s="19" t="n">
        <v>1018.41</v>
      </c>
      <c r="N30" s="16" t="n">
        <v>19</v>
      </c>
    </row>
    <row r="31">
      <c r="A31" s="17" t="inlineStr">
        <is>
          <t>SATIA</t>
        </is>
      </c>
      <c r="B31" s="18" t="inlineStr">
        <is>
          <t>Satia Industries Ltd</t>
        </is>
      </c>
      <c r="C31" s="18" t="inlineStr">
        <is>
          <t>building materials</t>
        </is>
      </c>
      <c r="D31" s="16" t="n">
        <v>8</v>
      </c>
      <c r="E31" s="16" t="n">
        <v>0</v>
      </c>
      <c r="F31" s="19" t="n">
        <v>692.6</v>
      </c>
      <c r="J31" s="17" t="inlineStr">
        <is>
          <t>SHANTIGOLD</t>
        </is>
      </c>
      <c r="K31" s="18" t="inlineStr">
        <is>
          <t>consumer discretionary</t>
        </is>
      </c>
      <c r="L31" s="19" t="n">
        <v>290</v>
      </c>
      <c r="M31" s="19" t="n">
        <v>2583.43</v>
      </c>
      <c r="N31" s="16" t="n">
        <v>20</v>
      </c>
    </row>
    <row r="32">
      <c r="A32" s="17" t="inlineStr">
        <is>
          <t>TEXRAIL</t>
        </is>
      </c>
      <c r="B32" s="18" t="inlineStr">
        <is>
          <t>Texmaco Rail &amp; Engineering Limited</t>
        </is>
      </c>
      <c r="C32" s="18" t="inlineStr">
        <is>
          <t>Industrials</t>
        </is>
      </c>
      <c r="D32" s="16" t="n">
        <v>7</v>
      </c>
      <c r="E32" s="16" t="n">
        <v>1</v>
      </c>
      <c r="F32" s="19" t="n">
        <v>4668.36</v>
      </c>
      <c r="J32" s="17" t="inlineStr">
        <is>
          <t>PGIL</t>
        </is>
      </c>
      <c r="K32" s="18" t="inlineStr">
        <is>
          <t>readymade garments/apparels</t>
        </is>
      </c>
      <c r="L32" s="19" t="n">
        <v>290</v>
      </c>
      <c r="M32" s="19" t="n">
        <v>11701.91</v>
      </c>
      <c r="N32" s="16" t="n">
        <v>18</v>
      </c>
    </row>
    <row r="33">
      <c r="A33" s="17" t="inlineStr">
        <is>
          <t>SUNTV</t>
        </is>
      </c>
      <c r="B33" s="18" t="inlineStr">
        <is>
          <t>Sun Tv Network Limited</t>
        </is>
      </c>
      <c r="C33" s="18" t="inlineStr">
        <is>
          <t>media</t>
        </is>
      </c>
      <c r="D33" s="16" t="n">
        <v>7</v>
      </c>
      <c r="E33" s="16" t="n">
        <v>0</v>
      </c>
      <c r="F33" s="19" t="n">
        <v>24910.09</v>
      </c>
      <c r="J33" s="17" t="inlineStr">
        <is>
          <t>RPTECH</t>
        </is>
      </c>
      <c r="K33" s="18" t="inlineStr">
        <is>
          <t>i.t</t>
        </is>
      </c>
      <c r="L33" s="19" t="n">
        <v>290</v>
      </c>
      <c r="M33" s="19" t="n">
        <v>6314.84</v>
      </c>
      <c r="N33" s="16" t="n">
        <v>13</v>
      </c>
    </row>
    <row r="34">
      <c r="A34" s="17" t="inlineStr">
        <is>
          <t>ALICON</t>
        </is>
      </c>
      <c r="B34" s="18" t="inlineStr">
        <is>
          <t>Alicon Castalloy Limited</t>
        </is>
      </c>
      <c r="C34" s="18" t="inlineStr">
        <is>
          <t>castings, forgings &amp; fasteners</t>
        </is>
      </c>
      <c r="D34" s="16" t="n">
        <v>6</v>
      </c>
      <c r="E34" s="16" t="n">
        <v>0</v>
      </c>
      <c r="F34" s="19" t="n">
        <v>1422.74</v>
      </c>
      <c r="J34" s="17" t="inlineStr">
        <is>
          <t>FCL</t>
        </is>
      </c>
      <c r="K34" s="18" t="inlineStr">
        <is>
          <t>chemicals</t>
        </is>
      </c>
      <c r="L34" s="19" t="n">
        <v>290</v>
      </c>
      <c r="M34" s="19" t="n">
        <v>6893.85</v>
      </c>
      <c r="N34" s="16" t="n">
        <v>27</v>
      </c>
    </row>
    <row r="35">
      <c r="A35" s="17" t="inlineStr">
        <is>
          <t>ISGEC</t>
        </is>
      </c>
      <c r="B35" s="18" t="inlineStr">
        <is>
          <t>ISGEC Heavy Engineering  Ltd</t>
        </is>
      </c>
      <c r="C35" s="18" t="inlineStr">
        <is>
          <t>realty</t>
        </is>
      </c>
      <c r="D35" s="16" t="n">
        <v>5</v>
      </c>
      <c r="E35" s="16" t="n">
        <v>0</v>
      </c>
      <c r="F35" s="19" t="n">
        <v>6654.42</v>
      </c>
      <c r="J35" s="17" t="inlineStr">
        <is>
          <t>ARIES</t>
        </is>
      </c>
      <c r="K35" s="18" t="inlineStr">
        <is>
          <t>chemicals</t>
        </is>
      </c>
      <c r="L35" s="19" t="n">
        <v>288</v>
      </c>
      <c r="M35" s="19" t="n">
        <v>648.92</v>
      </c>
      <c r="N35" s="16" t="n">
        <v>27</v>
      </c>
    </row>
    <row r="36">
      <c r="A36" s="17" t="inlineStr">
        <is>
          <t>SHRINGARMS</t>
        </is>
      </c>
      <c r="B36" s="18" t="inlineStr">
        <is>
          <t>Shringar House of Mangalsutra Limited</t>
        </is>
      </c>
      <c r="C36" s="18" t="inlineStr">
        <is>
          <t>Consumer Cyclical</t>
        </is>
      </c>
      <c r="D36" s="16" t="n">
        <v>4</v>
      </c>
      <c r="E36" s="16" t="n">
        <v>0</v>
      </c>
      <c r="F36" s="19" t="n">
        <v>2131.44</v>
      </c>
      <c r="J36" s="17" t="inlineStr">
        <is>
          <t>ORIENTBELL</t>
        </is>
      </c>
      <c r="K36" s="18" t="inlineStr">
        <is>
          <t>building materials</t>
        </is>
      </c>
      <c r="L36" s="19" t="n">
        <v>288</v>
      </c>
      <c r="M36" s="19" t="n">
        <v>608.35</v>
      </c>
      <c r="N36" s="16" t="n">
        <v>27</v>
      </c>
    </row>
    <row r="37">
      <c r="A37" s="17" t="inlineStr">
        <is>
          <t>PATELRMART</t>
        </is>
      </c>
      <c r="B37" s="18" t="inlineStr">
        <is>
          <t>Patel Retail Ltd</t>
        </is>
      </c>
      <c r="C37" s="18" t="inlineStr">
        <is>
          <t>consumer discretionary</t>
        </is>
      </c>
      <c r="D37" s="16" t="n">
        <v>3</v>
      </c>
      <c r="E37" s="16" t="n">
        <v>0</v>
      </c>
      <c r="F37" s="19" t="n">
        <v>758.23</v>
      </c>
      <c r="J37" s="17" t="inlineStr">
        <is>
          <t>JGCHEM</t>
        </is>
      </c>
      <c r="K37" s="18" t="inlineStr">
        <is>
          <t>chemicals</t>
        </is>
      </c>
      <c r="L37" s="19" t="n">
        <v>288</v>
      </c>
      <c r="M37" s="19" t="n">
        <v>2607.64</v>
      </c>
      <c r="N37" s="16" t="n">
        <v>16</v>
      </c>
    </row>
    <row r="38">
      <c r="A38" s="17" t="inlineStr">
        <is>
          <t>SUDARSCHEM</t>
        </is>
      </c>
      <c r="B38" s="18" t="inlineStr">
        <is>
          <t>Sudarshan Chemical Industries Limited</t>
        </is>
      </c>
      <c r="C38" s="18" t="inlineStr">
        <is>
          <t>Basic Materials</t>
        </is>
      </c>
      <c r="D38" s="16" t="n">
        <v>3</v>
      </c>
      <c r="E38" s="16" t="n">
        <v>0</v>
      </c>
      <c r="F38" s="19" t="n">
        <v>9765.799999999999</v>
      </c>
      <c r="J38" s="17" t="inlineStr">
        <is>
          <t>VINCOFE</t>
        </is>
      </c>
      <c r="K38" s="18" t="inlineStr">
        <is>
          <t>consumer discretionary</t>
        </is>
      </c>
      <c r="L38" s="19" t="n">
        <v>287</v>
      </c>
      <c r="M38" s="19" t="n">
        <v>2727.43</v>
      </c>
      <c r="N38" s="16" t="n">
        <v>28</v>
      </c>
    </row>
    <row r="39">
      <c r="A39" s="17" t="inlineStr">
        <is>
          <t>AMANTA</t>
        </is>
      </c>
      <c r="B39" s="18" t="inlineStr">
        <is>
          <t>Amanta Healthcare Ltd</t>
        </is>
      </c>
      <c r="C39" s="18" t="inlineStr">
        <is>
          <t>healthcare</t>
        </is>
      </c>
      <c r="D39" s="16" t="n">
        <v>3</v>
      </c>
      <c r="E39" s="16" t="n">
        <v>1</v>
      </c>
      <c r="F39" s="19" t="n">
        <v>767.58</v>
      </c>
      <c r="J39" s="17" t="inlineStr">
        <is>
          <t>WELINV</t>
        </is>
      </c>
      <c r="K39" s="18" t="inlineStr">
        <is>
          <t>financials</t>
        </is>
      </c>
      <c r="L39" s="19" t="n">
        <v>285</v>
      </c>
      <c r="M39" s="19" t="n">
        <v>891.6900000000001</v>
      </c>
      <c r="N39" s="16" t="n">
        <v>30</v>
      </c>
    </row>
    <row r="40">
      <c r="A40" s="17" t="inlineStr">
        <is>
          <t>MANINFRA</t>
        </is>
      </c>
      <c r="B40" s="18" t="inlineStr">
        <is>
          <t>Man Infraconstruction Limited</t>
        </is>
      </c>
      <c r="C40" s="18" t="inlineStr">
        <is>
          <t>Industrials</t>
        </is>
      </c>
      <c r="D40" s="16" t="n">
        <v>3</v>
      </c>
      <c r="E40" s="16" t="n">
        <v>0</v>
      </c>
      <c r="F40" s="19" t="n">
        <v>4853.53</v>
      </c>
      <c r="J40" s="17" t="inlineStr">
        <is>
          <t>OCCLLTD</t>
        </is>
      </c>
      <c r="K40" s="18" t="inlineStr">
        <is>
          <t>chemicals</t>
        </is>
      </c>
      <c r="L40" s="19" t="n">
        <v>285</v>
      </c>
      <c r="M40" s="19" t="n">
        <v>1036.92</v>
      </c>
      <c r="N40" s="16" t="n">
        <v>18</v>
      </c>
    </row>
    <row r="41">
      <c r="J41" s="17" t="inlineStr">
        <is>
          <t>MENONBE</t>
        </is>
      </c>
      <c r="K41" s="18" t="inlineStr">
        <is>
          <t>auto</t>
        </is>
      </c>
      <c r="L41" s="19" t="n">
        <v>285</v>
      </c>
      <c r="M41" s="19" t="n">
        <v>1708.94</v>
      </c>
      <c r="N41" s="16" t="n">
        <v>22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107.88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3084.44</v>
      </c>
    </row>
    <row r="48">
      <c r="A48" s="16" t="n">
        <v>2</v>
      </c>
      <c r="B48" s="27" t="n">
        <v>99</v>
      </c>
      <c r="C48" s="28" t="n">
        <v>87.16</v>
      </c>
      <c r="D48" s="28" t="n">
        <v>260</v>
      </c>
      <c r="E48" s="17" t="inlineStr">
        <is>
          <t>BODALCHEM</t>
        </is>
      </c>
      <c r="F48" s="18" t="inlineStr">
        <is>
          <t>Bodal Chemicals Limited</t>
        </is>
      </c>
      <c r="G48" s="18" t="inlineStr">
        <is>
          <t>chemicals</t>
        </is>
      </c>
      <c r="H48" s="19" t="n">
        <v>2349.74</v>
      </c>
    </row>
    <row r="49">
      <c r="A49" s="16" t="n">
        <v>3</v>
      </c>
      <c r="B49" s="27" t="n">
        <v>98</v>
      </c>
      <c r="C49" s="28" t="n">
        <v>82.92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21212.2</v>
      </c>
    </row>
    <row r="50">
      <c r="A50" s="16" t="n">
        <v>4</v>
      </c>
      <c r="B50" s="27" t="n">
        <v>98</v>
      </c>
      <c r="C50" s="28" t="n">
        <v>73.72</v>
      </c>
      <c r="D50" s="28" t="n">
        <v>273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2852.73</v>
      </c>
    </row>
    <row r="51">
      <c r="A51" s="16" t="n">
        <v>5</v>
      </c>
      <c r="B51" s="27" t="n">
        <v>97</v>
      </c>
      <c r="C51" s="28" t="n">
        <v>72.09999999999999</v>
      </c>
      <c r="D51" s="28" t="n">
        <v>268</v>
      </c>
      <c r="E51" s="17" t="inlineStr">
        <is>
          <t>TBZ</t>
        </is>
      </c>
      <c r="F51" s="18" t="inlineStr">
        <is>
          <t>Tribhovandas Bhimji Zaveri Limited</t>
        </is>
      </c>
      <c r="G51" s="18" t="inlineStr">
        <is>
          <t>consumer discretionary</t>
        </is>
      </c>
      <c r="H51" s="19" t="n">
        <v>4062.89</v>
      </c>
    </row>
    <row r="52">
      <c r="A52" s="16" t="n">
        <v>6</v>
      </c>
      <c r="B52" s="27" t="n">
        <v>97</v>
      </c>
      <c r="C52" s="28" t="n">
        <v>62.91</v>
      </c>
      <c r="D52" s="28" t="n">
        <v>275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7888.34</v>
      </c>
    </row>
    <row r="53">
      <c r="A53" s="16" t="n">
        <v>7</v>
      </c>
      <c r="B53" s="27" t="n">
        <v>96</v>
      </c>
      <c r="C53" s="28" t="n">
        <v>51.93</v>
      </c>
      <c r="D53" s="28" t="n">
        <v>283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14541.33</v>
      </c>
    </row>
    <row r="54">
      <c r="A54" s="16" t="n">
        <v>8</v>
      </c>
      <c r="B54" s="27" t="n">
        <v>96</v>
      </c>
      <c r="C54" s="28" t="n">
        <v>51.49</v>
      </c>
      <c r="D54" s="28" t="n">
        <v>263</v>
      </c>
      <c r="E54" s="17" t="inlineStr">
        <is>
          <t>SPECTRUM</t>
        </is>
      </c>
      <c r="F54" s="18" t="inlineStr">
        <is>
          <t>Spectrum Electrical Industries Ltd</t>
        </is>
      </c>
      <c r="G54" s="18" t="inlineStr">
        <is>
          <t>industrials</t>
        </is>
      </c>
      <c r="H54" s="19" t="n">
        <v>6691.28</v>
      </c>
    </row>
    <row r="55">
      <c r="A55" s="16" t="n">
        <v>9</v>
      </c>
      <c r="B55" s="27" t="n">
        <v>95</v>
      </c>
      <c r="C55" s="28" t="n">
        <v>46.91</v>
      </c>
      <c r="D55" s="28" t="n">
        <v>275</v>
      </c>
      <c r="E55" s="17" t="inlineStr">
        <is>
          <t>INDSWFTLAB</t>
        </is>
      </c>
      <c r="F55" s="18" t="inlineStr">
        <is>
          <t>Ind-swift Laboratories Limited</t>
        </is>
      </c>
      <c r="G55" s="18" t="inlineStr">
        <is>
          <t>healthcare</t>
        </is>
      </c>
      <c r="H55" s="19" t="n">
        <v>3482.38</v>
      </c>
    </row>
    <row r="56">
      <c r="A56" s="16" t="n">
        <v>10</v>
      </c>
      <c r="B56" s="27" t="n">
        <v>95</v>
      </c>
      <c r="C56" s="28" t="n">
        <v>46.3</v>
      </c>
      <c r="D56" s="28" t="n">
        <v>260</v>
      </c>
      <c r="E56" s="17" t="inlineStr">
        <is>
          <t>MODISONLTD</t>
        </is>
      </c>
      <c r="F56" s="18" t="inlineStr">
        <is>
          <t>Modison Ltd</t>
        </is>
      </c>
      <c r="G56" s="18" t="inlineStr">
        <is>
          <t>industrials</t>
        </is>
      </c>
      <c r="H56" s="19" t="n">
        <v>1594.27</v>
      </c>
    </row>
    <row r="57">
      <c r="A57" s="16" t="n">
        <v>11</v>
      </c>
      <c r="B57" s="29" t="n">
        <v>94</v>
      </c>
      <c r="C57" s="28" t="n">
        <v>45.36</v>
      </c>
      <c r="D57" s="28" t="n">
        <v>260</v>
      </c>
      <c r="E57" s="17" t="inlineStr">
        <is>
          <t>BAFNAPH</t>
        </is>
      </c>
      <c r="F57" s="18" t="inlineStr">
        <is>
          <t>Bafna Pharmaceuticals Ltd</t>
        </is>
      </c>
      <c r="G57" s="18" t="inlineStr">
        <is>
          <t>healthcare</t>
        </is>
      </c>
      <c r="H57" s="19" t="n">
        <v>932.0599999999999</v>
      </c>
    </row>
    <row r="58">
      <c r="A58" s="16" t="n">
        <v>12</v>
      </c>
      <c r="B58" s="29" t="n">
        <v>94</v>
      </c>
      <c r="C58" s="28" t="n">
        <v>44.4</v>
      </c>
      <c r="D58" s="28" t="n">
        <v>280</v>
      </c>
      <c r="E58" s="17" t="inlineStr">
        <is>
          <t>BHAGYANGR</t>
        </is>
      </c>
      <c r="F58" s="18" t="inlineStr">
        <is>
          <t>Bhagyanagar India</t>
        </is>
      </c>
      <c r="G58" s="18" t="inlineStr">
        <is>
          <t>power &amp; utilities</t>
        </is>
      </c>
      <c r="H58" s="19" t="n">
        <v>1450.23</v>
      </c>
    </row>
    <row r="59">
      <c r="A59" s="16" t="n">
        <v>13</v>
      </c>
      <c r="B59" s="29" t="n">
        <v>93</v>
      </c>
      <c r="C59" s="28" t="n">
        <v>43.57</v>
      </c>
      <c r="D59" s="28" t="n">
        <v>282</v>
      </c>
      <c r="E59" s="17" t="inlineStr">
        <is>
          <t>KPL</t>
        </is>
      </c>
      <c r="F59" s="18" t="inlineStr">
        <is>
          <t>Kwality Pharmaceuticals Limited</t>
        </is>
      </c>
      <c r="G59" s="18" t="inlineStr">
        <is>
          <t>Healthcare</t>
        </is>
      </c>
      <c r="H59" s="19" t="n">
        <v>3820.78</v>
      </c>
    </row>
    <row r="60">
      <c r="A60" s="16" t="n">
        <v>14</v>
      </c>
      <c r="B60" s="29" t="n">
        <v>93</v>
      </c>
      <c r="C60" s="28" t="n">
        <v>42.52</v>
      </c>
      <c r="D60" s="28" t="n">
        <v>270</v>
      </c>
      <c r="E60" s="17" t="inlineStr">
        <is>
          <t>SHILPAMED</t>
        </is>
      </c>
      <c r="F60" s="18" t="inlineStr">
        <is>
          <t>Shilpa Medicare Limited</t>
        </is>
      </c>
      <c r="G60" s="18" t="inlineStr">
        <is>
          <t>healthcare</t>
        </is>
      </c>
      <c r="H60" s="19" t="n">
        <v>20999.62</v>
      </c>
    </row>
    <row r="61">
      <c r="A61" s="16" t="n">
        <v>15</v>
      </c>
      <c r="B61" s="29" t="n">
        <v>93</v>
      </c>
      <c r="C61" s="28" t="n">
        <v>42.22</v>
      </c>
      <c r="D61" s="28" t="n">
        <v>272</v>
      </c>
      <c r="E61" s="17" t="inlineStr">
        <is>
          <t>SHUKRAPHAR</t>
        </is>
      </c>
      <c r="F61" s="18" t="inlineStr">
        <is>
          <t>Shukra Pharmaceuticals Limited</t>
        </is>
      </c>
      <c r="G61" s="18" t="inlineStr">
        <is>
          <t>Healthcare</t>
        </is>
      </c>
      <c r="H61" s="19" t="n">
        <v>3018.07</v>
      </c>
    </row>
    <row r="62">
      <c r="A62" s="16" t="n">
        <v>16</v>
      </c>
      <c r="B62" s="29" t="n">
        <v>92</v>
      </c>
      <c r="C62" s="28" t="n">
        <v>42.14</v>
      </c>
      <c r="D62" s="28" t="n">
        <v>258</v>
      </c>
      <c r="E62" s="17" t="inlineStr">
        <is>
          <t>RAYMOND</t>
        </is>
      </c>
      <c r="F62" s="18" t="inlineStr">
        <is>
          <t>Raymond Limited</t>
        </is>
      </c>
      <c r="G62" s="18" t="inlineStr">
        <is>
          <t>transportation</t>
        </is>
      </c>
      <c r="H62" s="19" t="n">
        <v>8616.639999999999</v>
      </c>
    </row>
    <row r="63">
      <c r="A63" s="16" t="n">
        <v>17</v>
      </c>
      <c r="B63" s="29" t="n">
        <v>92</v>
      </c>
      <c r="C63" s="28" t="n">
        <v>42.07</v>
      </c>
      <c r="D63" s="28" t="n">
        <v>272</v>
      </c>
      <c r="E63" s="17" t="inlineStr">
        <is>
          <t>TFCILTD</t>
        </is>
      </c>
      <c r="F63" s="18" t="inlineStr">
        <is>
          <t>Tourism Finance Corporation Of India Limited</t>
        </is>
      </c>
      <c r="G63" s="18" t="inlineStr">
        <is>
          <t>financials</t>
        </is>
      </c>
      <c r="H63" s="19" t="n">
        <v>6511.77</v>
      </c>
    </row>
    <row r="64">
      <c r="A64" s="16" t="n">
        <v>18</v>
      </c>
      <c r="B64" s="29" t="n">
        <v>91</v>
      </c>
      <c r="C64" s="28" t="n">
        <v>41.2</v>
      </c>
      <c r="D64" s="28" t="n">
        <v>275</v>
      </c>
      <c r="E64" s="17" t="inlineStr">
        <is>
          <t>E2E</t>
        </is>
      </c>
      <c r="F64" s="18" t="inlineStr">
        <is>
          <t>E2E Networks Ltd</t>
        </is>
      </c>
      <c r="G64" s="18" t="inlineStr">
        <is>
          <t>i.t</t>
        </is>
      </c>
      <c r="H64" s="19" t="n">
        <v>14161.37</v>
      </c>
    </row>
    <row r="65">
      <c r="A65" s="16" t="n">
        <v>19</v>
      </c>
      <c r="B65" s="29" t="n">
        <v>91</v>
      </c>
      <c r="C65" s="28" t="n">
        <v>39.97</v>
      </c>
      <c r="D65" s="28" t="n">
        <v>275</v>
      </c>
      <c r="E65" s="17" t="inlineStr">
        <is>
          <t>HIIL</t>
        </is>
      </c>
      <c r="F65" s="18" t="inlineStr">
        <is>
          <t>Hindusthan Insulators &amp; Industries Limited</t>
        </is>
      </c>
      <c r="G65" s="18" t="inlineStr">
        <is>
          <t>Industrials</t>
        </is>
      </c>
      <c r="H65" s="19" t="n">
        <v>1185.51</v>
      </c>
    </row>
    <row r="66">
      <c r="A66" s="16" t="n">
        <v>20</v>
      </c>
      <c r="B66" s="29" t="n">
        <v>90</v>
      </c>
      <c r="C66" s="28" t="n">
        <v>39.87</v>
      </c>
      <c r="D66" s="28" t="n">
        <v>275</v>
      </c>
      <c r="E66" s="17" t="inlineStr">
        <is>
          <t>CYIENTDLM</t>
        </is>
      </c>
      <c r="F66" s="18" t="inlineStr">
        <is>
          <t>Cyient DLM Ltd</t>
        </is>
      </c>
      <c r="G66" s="18" t="inlineStr">
        <is>
          <t>aerospace &amp; defence</t>
        </is>
      </c>
      <c r="H66" s="19" t="n">
        <v>7454.1</v>
      </c>
    </row>
    <row r="67">
      <c r="A67" s="16" t="n">
        <v>21</v>
      </c>
      <c r="B67" s="29" t="n">
        <v>90</v>
      </c>
      <c r="C67" s="28" t="n">
        <v>38.86</v>
      </c>
      <c r="D67" s="28" t="n">
        <v>270</v>
      </c>
      <c r="E67" s="17" t="inlineStr">
        <is>
          <t>MARINE</t>
        </is>
      </c>
      <c r="F67" s="18" t="inlineStr">
        <is>
          <t>Marine Electricals (India) Ltd</t>
        </is>
      </c>
      <c r="G67" s="18" t="inlineStr">
        <is>
          <t>industrials</t>
        </is>
      </c>
      <c r="H67" s="19" t="n">
        <v>6701.24</v>
      </c>
    </row>
    <row r="6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INDIAGLYCO</t>
        </is>
      </c>
      <c r="B2" s="31" t="inlineStr">
        <is>
          <t>India Glycols Limited</t>
        </is>
      </c>
      <c r="C2" s="31" t="inlineStr">
        <is>
          <t>fmcg</t>
        </is>
      </c>
      <c r="D2" s="31" t="inlineStr">
        <is>
          <t>breweries &amp; distilleries</t>
        </is>
      </c>
      <c r="E2" s="31" t="inlineStr">
        <is>
          <t>smallcap</t>
        </is>
      </c>
      <c r="F2" s="31" t="n">
        <v>2137.82</v>
      </c>
      <c r="G2" s="31" t="n">
        <v>382.7</v>
      </c>
      <c r="H2" s="31" t="n">
        <v>19.99</v>
      </c>
      <c r="I2" s="31" t="n">
        <v>9155076</v>
      </c>
      <c r="J2" s="31" t="inlineStr">
        <is>
          <t>500201</t>
        </is>
      </c>
    </row>
    <row r="3">
      <c r="A3" s="31" t="inlineStr">
        <is>
          <t>NELCAST</t>
        </is>
      </c>
      <c r="B3" s="31" t="inlineStr">
        <is>
          <t>Nelcast Limited</t>
        </is>
      </c>
      <c r="C3" s="31" t="inlineStr">
        <is>
          <t>castings, forgings &amp; fasteners</t>
        </is>
      </c>
      <c r="D3" s="31" t="inlineStr">
        <is>
          <t>castings &amp; forgings</t>
        </is>
      </c>
      <c r="E3" s="31" t="inlineStr">
        <is>
          <t>smallcap</t>
        </is>
      </c>
      <c r="F3" s="31" t="n">
        <v>1082.99</v>
      </c>
      <c r="G3" s="31" t="n">
        <v>146.29</v>
      </c>
      <c r="H3" s="31" t="n">
        <v>17.52</v>
      </c>
      <c r="I3" s="31" t="n">
        <v>6710048</v>
      </c>
      <c r="J3" s="31" t="inlineStr">
        <is>
          <t>532864</t>
        </is>
      </c>
    </row>
    <row r="4">
      <c r="A4" s="31" t="inlineStr">
        <is>
          <t>CHENNPETRO</t>
        </is>
      </c>
      <c r="B4" s="31" t="inlineStr">
        <is>
          <t>Chennai Petroleum Corporation Limited</t>
        </is>
      </c>
      <c r="C4" s="31" t="inlineStr">
        <is>
          <t>energy</t>
        </is>
      </c>
      <c r="D4" s="31" t="inlineStr">
        <is>
          <t>refineries</t>
        </is>
      </c>
      <c r="E4" s="31" t="inlineStr">
        <is>
          <t>largecap</t>
        </is>
      </c>
      <c r="F4" s="31" t="n">
        <v>20932.48</v>
      </c>
      <c r="G4" s="31" t="n">
        <v>1612.3</v>
      </c>
      <c r="H4" s="31" t="n">
        <v>14.7</v>
      </c>
      <c r="I4" s="31" t="n">
        <v>20027812</v>
      </c>
      <c r="J4" s="31" t="inlineStr">
        <is>
          <t>500110</t>
        </is>
      </c>
    </row>
    <row r="5">
      <c r="A5" s="31" t="inlineStr">
        <is>
          <t>DHANBANK</t>
        </is>
      </c>
      <c r="B5" s="31" t="inlineStr">
        <is>
          <t>Dhanlaxmi Bank Limited</t>
        </is>
      </c>
      <c r="C5" s="31" t="inlineStr">
        <is>
          <t>bank</t>
        </is>
      </c>
      <c r="D5" s="31" t="inlineStr">
        <is>
          <t>banks - private sector</t>
        </is>
      </c>
      <c r="E5" s="31" t="inlineStr">
        <is>
          <t>smallcap</t>
        </is>
      </c>
      <c r="F5" s="31" t="n">
        <v>1137.92</v>
      </c>
      <c r="G5" s="31" t="n">
        <v>32.83</v>
      </c>
      <c r="H5" s="31" t="n">
        <v>13.87</v>
      </c>
      <c r="I5" s="31" t="n">
        <v>18177967</v>
      </c>
      <c r="J5" s="31" t="inlineStr">
        <is>
          <t>532180</t>
        </is>
      </c>
    </row>
    <row r="6">
      <c r="A6" s="31" t="inlineStr">
        <is>
          <t>TFCILTD</t>
        </is>
      </c>
      <c r="B6" s="31" t="inlineStr">
        <is>
          <t>Tourism Finance Corporation Of India Limited</t>
        </is>
      </c>
      <c r="C6" s="31" t="inlineStr">
        <is>
          <t>financials</t>
        </is>
      </c>
      <c r="D6" s="31" t="inlineStr">
        <is>
          <t>finance - term-lending institutions</t>
        </is>
      </c>
      <c r="E6" s="31" t="inlineStr">
        <is>
          <t>midcap</t>
        </is>
      </c>
      <c r="F6" s="31" t="n">
        <v>6511.77</v>
      </c>
      <c r="G6" s="31" t="n">
        <v>152.24</v>
      </c>
      <c r="H6" s="31" t="n">
        <v>8.24</v>
      </c>
      <c r="I6" s="31" t="n">
        <v>19824302</v>
      </c>
      <c r="J6" s="31" t="inlineStr">
        <is>
          <t>526650</t>
        </is>
      </c>
    </row>
    <row r="7">
      <c r="A7" s="31" t="inlineStr">
        <is>
          <t>PVRINOX</t>
        </is>
      </c>
      <c r="B7" s="31" t="inlineStr">
        <is>
          <t>PVR Inox Ltd</t>
        </is>
      </c>
      <c r="C7" s="31" t="inlineStr">
        <is>
          <t>media</t>
        </is>
      </c>
      <c r="D7" s="31" t="inlineStr">
        <is>
          <t>entertainment / electronic media software</t>
        </is>
      </c>
      <c r="E7" s="31" t="inlineStr">
        <is>
          <t>midcap</t>
        </is>
      </c>
      <c r="F7" s="31" t="n">
        <v>12269.1</v>
      </c>
      <c r="G7" s="31" t="n">
        <v>1343.8</v>
      </c>
      <c r="H7" s="31" t="n">
        <v>7.56</v>
      </c>
      <c r="I7" s="31" t="n">
        <v>5065408</v>
      </c>
      <c r="J7" s="31" t="inlineStr">
        <is>
          <t>532689</t>
        </is>
      </c>
    </row>
    <row r="8">
      <c r="A8" s="31" t="inlineStr">
        <is>
          <t>SYNCOMF</t>
        </is>
      </c>
      <c r="B8" s="31" t="inlineStr">
        <is>
          <t>Syncom Formulations (India) Ltd</t>
        </is>
      </c>
      <c r="C8" s="31" t="inlineStr">
        <is>
          <t>healthcare</t>
        </is>
      </c>
      <c r="D8" s="31" t="inlineStr">
        <is>
          <t>pharmaceuticals - indian - bulk drugs &amp; formln</t>
        </is>
      </c>
      <c r="E8" s="31" t="inlineStr">
        <is>
          <t>smallcap</t>
        </is>
      </c>
      <c r="F8" s="31" t="n">
        <v>2182.68</v>
      </c>
      <c r="G8" s="31" t="n">
        <v>24.94</v>
      </c>
      <c r="H8" s="31" t="n">
        <v>7.41</v>
      </c>
      <c r="I8" s="31" t="n">
        <v>40584346</v>
      </c>
      <c r="J8" s="31" t="inlineStr">
        <is>
          <t>524470</t>
        </is>
      </c>
    </row>
    <row r="9">
      <c r="A9" s="31" t="inlineStr">
        <is>
          <t>AVADHSUGAR</t>
        </is>
      </c>
      <c r="B9" s="31" t="inlineStr">
        <is>
          <t>Avadh Sugar &amp; Energy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1748.21</v>
      </c>
      <c r="G9" s="31" t="n">
        <v>937.55</v>
      </c>
      <c r="H9" s="31" t="n">
        <v>7.36</v>
      </c>
      <c r="I9" s="31" t="n">
        <v>570096</v>
      </c>
      <c r="J9" s="31" t="inlineStr">
        <is>
          <t>540649</t>
        </is>
      </c>
    </row>
    <row r="10">
      <c r="A10" s="31" t="inlineStr">
        <is>
          <t>ARFIN</t>
        </is>
      </c>
      <c r="B10" s="31" t="inlineStr">
        <is>
          <t>Arfin India Ltd</t>
        </is>
      </c>
      <c r="C10" s="31" t="inlineStr">
        <is>
          <t>metals &amp; mining</t>
        </is>
      </c>
      <c r="D10" s="31" t="inlineStr">
        <is>
          <t>aluminium and aluminium products</t>
        </is>
      </c>
      <c r="E10" s="31" t="inlineStr">
        <is>
          <t>smallcap</t>
        </is>
      </c>
      <c r="F10" s="31" t="n">
        <v>1625.81</v>
      </c>
      <c r="G10" s="31" t="n">
        <v>103.06</v>
      </c>
      <c r="H10" s="31" t="n">
        <v>6.95</v>
      </c>
      <c r="I10" s="31" t="n">
        <v>11566941</v>
      </c>
      <c r="J10" s="31" t="inlineStr">
        <is>
          <t>539151</t>
        </is>
      </c>
    </row>
    <row r="11">
      <c r="A11" s="31" t="inlineStr">
        <is>
          <t>GPTINFRA</t>
        </is>
      </c>
      <c r="B11" s="31" t="inlineStr">
        <is>
          <t>Gpt Infraprojects Limited</t>
        </is>
      </c>
      <c r="C11" s="31" t="inlineStr">
        <is>
          <t>realty</t>
        </is>
      </c>
      <c r="D11" s="31" t="inlineStr">
        <is>
          <t>construction</t>
        </is>
      </c>
      <c r="E11" s="31" t="inlineStr">
        <is>
          <t>smallcap</t>
        </is>
      </c>
      <c r="F11" s="31" t="n">
        <v>1536.85</v>
      </c>
      <c r="G11" s="31" t="n">
        <v>130.06</v>
      </c>
      <c r="H11" s="31" t="n">
        <v>6.94</v>
      </c>
      <c r="I11" s="31" t="n">
        <v>1834242</v>
      </c>
      <c r="J11" s="31" t="inlineStr">
        <is>
          <t>533761</t>
        </is>
      </c>
    </row>
    <row r="12">
      <c r="A12" s="31" t="inlineStr">
        <is>
          <t>PTCIL</t>
        </is>
      </c>
      <c r="B12" s="31" t="inlineStr">
        <is>
          <t>PTC Industries Ltd</t>
        </is>
      </c>
      <c r="C12" s="31" t="inlineStr">
        <is>
          <t>castings, forgings &amp; fasteners</t>
        </is>
      </c>
      <c r="D12" s="31" t="inlineStr">
        <is>
          <t>castings &amp; forgings</t>
        </is>
      </c>
      <c r="E12" s="31" t="inlineStr">
        <is>
          <t>largecap</t>
        </is>
      </c>
      <c r="F12" s="31" t="n">
        <v>34670.27</v>
      </c>
      <c r="G12" s="31" t="n">
        <v>24685</v>
      </c>
      <c r="H12" s="31" t="n">
        <v>6.75</v>
      </c>
      <c r="I12" s="31" t="n">
        <v>117090</v>
      </c>
      <c r="J12" s="31" t="inlineStr">
        <is>
          <t>539006</t>
        </is>
      </c>
    </row>
    <row r="13">
      <c r="A13" s="31" t="inlineStr">
        <is>
          <t>EBGNG</t>
        </is>
      </c>
      <c r="B13" s="31" t="inlineStr">
        <is>
          <t>GNG Electronics Ltd</t>
        </is>
      </c>
      <c r="C13" s="31" t="inlineStr">
        <is>
          <t>services</t>
        </is>
      </c>
      <c r="D13" s="31" t="inlineStr">
        <is>
          <t>trading</t>
        </is>
      </c>
      <c r="E13" s="31" t="inlineStr">
        <is>
          <t>midcap</t>
        </is>
      </c>
      <c r="F13" s="31" t="n">
        <v>7811.5</v>
      </c>
      <c r="G13" s="31" t="n">
        <v>731.35</v>
      </c>
      <c r="H13" s="31" t="n">
        <v>6.74</v>
      </c>
      <c r="I13" s="31" t="n">
        <v>1130382</v>
      </c>
      <c r="J13" s="31" t="inlineStr">
        <is>
          <t>544455</t>
        </is>
      </c>
    </row>
    <row r="14">
      <c r="A14" s="31" t="inlineStr">
        <is>
          <t>PANAMAPET</t>
        </is>
      </c>
      <c r="B14" s="31" t="inlineStr">
        <is>
          <t>Panama Petrochem Limited</t>
        </is>
      </c>
      <c r="C14" s="31" t="inlineStr">
        <is>
          <t>energy</t>
        </is>
      </c>
      <c r="D14" s="31" t="inlineStr">
        <is>
          <t>petrochemicals</t>
        </is>
      </c>
      <c r="E14" s="31" t="inlineStr">
        <is>
          <t>smallcap</t>
        </is>
      </c>
      <c r="F14" s="31" t="n">
        <v>3049.48</v>
      </c>
      <c r="G14" s="31" t="n">
        <v>537</v>
      </c>
      <c r="H14" s="31" t="n">
        <v>6.53</v>
      </c>
      <c r="I14" s="31" t="n">
        <v>1895756</v>
      </c>
      <c r="J14" s="31" t="inlineStr">
        <is>
          <t>524820</t>
        </is>
      </c>
    </row>
    <row r="15">
      <c r="A15" s="31" t="inlineStr">
        <is>
          <t>DEEPINDS</t>
        </is>
      </c>
      <c r="B15" s="31" t="inlineStr">
        <is>
          <t>Deep Industries Ltd</t>
        </is>
      </c>
      <c r="C15" s="31" t="inlineStr">
        <is>
          <t>energy</t>
        </is>
      </c>
      <c r="D15" s="31" t="inlineStr">
        <is>
          <t>oil drilling / allied services</t>
        </is>
      </c>
      <c r="E15" s="31" t="inlineStr">
        <is>
          <t>smallcap</t>
        </is>
      </c>
      <c r="F15" s="31" t="n">
        <v>4793.28</v>
      </c>
      <c r="G15" s="31" t="n">
        <v>795.6</v>
      </c>
      <c r="H15" s="31" t="n">
        <v>6.23</v>
      </c>
      <c r="I15" s="31" t="n">
        <v>817946</v>
      </c>
      <c r="J15" s="31" t="inlineStr">
        <is>
          <t>543288</t>
        </is>
      </c>
    </row>
    <row r="16">
      <c r="A16" s="31" t="inlineStr">
        <is>
          <t>CUPID</t>
        </is>
      </c>
      <c r="B16" s="31" t="inlineStr">
        <is>
          <t>Cupid Limited</t>
        </is>
      </c>
      <c r="C16" s="31" t="inlineStr">
        <is>
          <t>fmcg</t>
        </is>
      </c>
      <c r="D16" s="31" t="inlineStr">
        <is>
          <t>personal care - indian</t>
        </is>
      </c>
      <c r="E16" s="31" t="inlineStr">
        <is>
          <t>largecap</t>
        </is>
      </c>
      <c r="F16" s="31" t="n">
        <v>43593.9</v>
      </c>
      <c r="G16" s="31" t="n">
        <v>343.95</v>
      </c>
      <c r="H16" s="31" t="n">
        <v>6.09</v>
      </c>
      <c r="I16" s="31" t="n">
        <v>41373811</v>
      </c>
      <c r="J16" s="31" t="inlineStr">
        <is>
          <t>530843</t>
        </is>
      </c>
    </row>
    <row r="17">
      <c r="A17" s="31" t="inlineStr">
        <is>
          <t>TATVA</t>
        </is>
      </c>
      <c r="B17" s="31" t="inlineStr">
        <is>
          <t>Tatva Chintan Pharma Chem Ltd</t>
        </is>
      </c>
      <c r="C17" s="31" t="inlineStr">
        <is>
          <t>chemicals</t>
        </is>
      </c>
      <c r="D17" s="31" t="inlineStr">
        <is>
          <t>chemicals</t>
        </is>
      </c>
      <c r="E17" s="31" t="inlineStr">
        <is>
          <t>smallcap</t>
        </is>
      </c>
      <c r="F17" s="31" t="n">
        <v>4391.62</v>
      </c>
      <c r="G17" s="31" t="n">
        <v>1991.2</v>
      </c>
      <c r="H17" s="31" t="n">
        <v>6.06</v>
      </c>
      <c r="I17" s="31" t="n">
        <v>278517</v>
      </c>
      <c r="J17" s="31" t="inlineStr">
        <is>
          <t>543321</t>
        </is>
      </c>
    </row>
    <row r="18">
      <c r="A18" s="31" t="inlineStr">
        <is>
          <t>GANDHAR</t>
        </is>
      </c>
      <c r="B18" s="31" t="inlineStr">
        <is>
          <t>Gandhar Oil Refinery (India) Ltd</t>
        </is>
      </c>
      <c r="C18" s="31" t="inlineStr">
        <is>
          <t>energy</t>
        </is>
      </c>
      <c r="D18" s="31" t="inlineStr">
        <is>
          <t>refineries</t>
        </is>
      </c>
      <c r="E18" s="31" t="inlineStr">
        <is>
          <t>smallcap</t>
        </is>
      </c>
      <c r="F18" s="31" t="n">
        <v>2765.1</v>
      </c>
      <c r="G18" s="31" t="n">
        <v>299.2</v>
      </c>
      <c r="H18" s="31" t="n">
        <v>5.91</v>
      </c>
      <c r="I18" s="31" t="n">
        <v>1975725</v>
      </c>
      <c r="J18" s="31" t="inlineStr">
        <is>
          <t>544029</t>
        </is>
      </c>
    </row>
    <row r="19">
      <c r="A19" s="31" t="inlineStr">
        <is>
          <t>CONFIPET</t>
        </is>
      </c>
      <c r="B19" s="31" t="inlineStr">
        <is>
          <t>Confidence Petroleum India Ltd</t>
        </is>
      </c>
      <c r="C19" s="31" t="inlineStr">
        <is>
          <t>miscellaneous</t>
        </is>
      </c>
      <c r="D19" s="31" t="inlineStr">
        <is>
          <t>miscellaneous</t>
        </is>
      </c>
      <c r="E19" s="31" t="inlineStr">
        <is>
          <t>smallcap</t>
        </is>
      </c>
      <c r="F19" s="31" t="n">
        <v>2879.53</v>
      </c>
      <c r="G19" s="31" t="n">
        <v>91.75</v>
      </c>
      <c r="H19" s="31" t="n">
        <v>5.86</v>
      </c>
      <c r="I19" s="31" t="n">
        <v>5428764</v>
      </c>
      <c r="J19" s="31" t="inlineStr">
        <is>
          <t>526829</t>
        </is>
      </c>
    </row>
    <row r="20">
      <c r="A20" s="31" t="inlineStr">
        <is>
          <t>ZIMLAB</t>
        </is>
      </c>
      <c r="B20" s="31" t="inlineStr">
        <is>
          <t>Zim Laboratories Ltd</t>
        </is>
      </c>
      <c r="C20" s="31" t="inlineStr">
        <is>
          <t>healthcare</t>
        </is>
      </c>
      <c r="D20" s="31" t="inlineStr">
        <is>
          <t>pharmaceuticals - indian - bulk drugs &amp; formln</t>
        </is>
      </c>
      <c r="E20" s="31" t="inlineStr">
        <is>
          <t>smallcap</t>
        </is>
      </c>
      <c r="F20" s="31" t="n">
        <v>742.03</v>
      </c>
      <c r="G20" s="31" t="n">
        <v>146.61</v>
      </c>
      <c r="H20" s="31" t="n">
        <v>5.8</v>
      </c>
      <c r="I20" s="31" t="n">
        <v>846341</v>
      </c>
      <c r="J20" s="31" t="inlineStr">
        <is>
          <t>541400</t>
        </is>
      </c>
    </row>
    <row r="21">
      <c r="A21" s="31" t="inlineStr">
        <is>
          <t>MOBIKWIK</t>
        </is>
      </c>
      <c r="B21" s="31" t="inlineStr">
        <is>
          <t>One Mobikwik Systems Ltd</t>
        </is>
      </c>
      <c r="C21" s="31" t="inlineStr">
        <is>
          <t>i.t</t>
        </is>
      </c>
      <c r="D21" s="31" t="inlineStr">
        <is>
          <t>miscellaneous</t>
        </is>
      </c>
      <c r="E21" s="31" t="inlineStr">
        <is>
          <t>smallcap</t>
        </is>
      </c>
      <c r="F21" s="31" t="n">
        <v>1906.78</v>
      </c>
      <c r="G21" s="31" t="n">
        <v>256.08</v>
      </c>
      <c r="H21" s="31" t="n">
        <v>5.76</v>
      </c>
      <c r="I21" s="31" t="n">
        <v>74766600</v>
      </c>
      <c r="J21" s="31" t="inlineStr">
        <is>
          <t>544305</t>
        </is>
      </c>
    </row>
    <row r="22">
      <c r="A22" s="31" t="inlineStr">
        <is>
          <t>BBOX</t>
        </is>
      </c>
      <c r="B22" s="31" t="inlineStr">
        <is>
          <t>Black Box Ltd</t>
        </is>
      </c>
      <c r="C22" s="31" t="inlineStr">
        <is>
          <t>i.t</t>
        </is>
      </c>
      <c r="D22" s="31" t="inlineStr">
        <is>
          <t>computers - software - medium / small</t>
        </is>
      </c>
      <c r="E22" s="31" t="inlineStr">
        <is>
          <t>midcap</t>
        </is>
      </c>
      <c r="F22" s="31" t="n">
        <v>14917.45</v>
      </c>
      <c r="G22" s="31" t="n">
        <v>884.85</v>
      </c>
      <c r="H22" s="31" t="n">
        <v>5.35</v>
      </c>
      <c r="I22" s="31" t="n">
        <v>2262486</v>
      </c>
      <c r="J22" s="31" t="inlineStr">
        <is>
          <t>500463</t>
        </is>
      </c>
    </row>
    <row r="23">
      <c r="A23" s="31" t="inlineStr">
        <is>
          <t>CYIENTDLM</t>
        </is>
      </c>
      <c r="B23" s="31" t="inlineStr">
        <is>
          <t>Cyient DLM Ltd</t>
        </is>
      </c>
      <c r="C23" s="31" t="inlineStr">
        <is>
          <t>aerospace &amp; defence</t>
        </is>
      </c>
      <c r="D23" s="31" t="inlineStr">
        <is>
          <t>electronics - components</t>
        </is>
      </c>
      <c r="E23" s="31" t="inlineStr">
        <is>
          <t>midcap</t>
        </is>
      </c>
      <c r="F23" s="31" t="n">
        <v>7454.1</v>
      </c>
      <c r="G23" s="31" t="n">
        <v>988.3</v>
      </c>
      <c r="H23" s="31" t="n">
        <v>5.25</v>
      </c>
      <c r="I23" s="31" t="n">
        <v>1350010</v>
      </c>
      <c r="J23" s="31" t="inlineStr">
        <is>
          <t>543933</t>
        </is>
      </c>
    </row>
    <row r="24">
      <c r="A24" s="31" t="inlineStr">
        <is>
          <t>JAMNAAUTO</t>
        </is>
      </c>
      <c r="B24" s="31" t="inlineStr">
        <is>
          <t>Jamna Auto Industries Limited</t>
        </is>
      </c>
      <c r="C24" s="31" t="inlineStr">
        <is>
          <t>auto</t>
        </is>
      </c>
      <c r="D24" s="31" t="inlineStr">
        <is>
          <t>auto ancillaries</t>
        </is>
      </c>
      <c r="E24" s="31" t="inlineStr">
        <is>
          <t>midcap</t>
        </is>
      </c>
      <c r="F24" s="31" t="n">
        <v>5765.32</v>
      </c>
      <c r="G24" s="31" t="n">
        <v>151.77</v>
      </c>
      <c r="H24" s="31" t="n">
        <v>5.24</v>
      </c>
      <c r="I24" s="31" t="n">
        <v>12310484</v>
      </c>
      <c r="J24" s="31" t="inlineStr">
        <is>
          <t>520051</t>
        </is>
      </c>
    </row>
    <row r="25">
      <c r="A25" s="31" t="inlineStr">
        <is>
          <t>EMIL</t>
        </is>
      </c>
      <c r="B25" s="31" t="inlineStr">
        <is>
          <t>Electronics Mart India Ltd</t>
        </is>
      </c>
      <c r="C25" s="31" t="inlineStr">
        <is>
          <t>consumer discretionary</t>
        </is>
      </c>
      <c r="D25" s="31" t="inlineStr">
        <is>
          <t>trading</t>
        </is>
      </c>
      <c r="E25" s="31" t="inlineStr">
        <is>
          <t>midcap</t>
        </is>
      </c>
      <c r="F25" s="31" t="n">
        <v>7749.61</v>
      </c>
      <c r="G25" s="31" t="n">
        <v>211.54</v>
      </c>
      <c r="H25" s="31" t="n">
        <v>5.02</v>
      </c>
      <c r="I25" s="31" t="n">
        <v>9094206</v>
      </c>
      <c r="J25" s="31" t="inlineStr">
        <is>
          <t>543626</t>
        </is>
      </c>
    </row>
    <row r="26">
      <c r="A26" s="31" t="inlineStr">
        <is>
          <t>PANACHE</t>
        </is>
      </c>
      <c r="B26" s="31" t="inlineStr">
        <is>
          <t>Panache Digilife Ltd</t>
        </is>
      </c>
      <c r="C26" s="31" t="inlineStr">
        <is>
          <t>i.t</t>
        </is>
      </c>
      <c r="D26" s="31" t="inlineStr">
        <is>
          <t>computers - hardware</t>
        </is>
      </c>
      <c r="E26" s="31" t="inlineStr">
        <is>
          <t>smallcap</t>
        </is>
      </c>
      <c r="F26" s="31" t="n">
        <v>911.2</v>
      </c>
      <c r="G26" s="31" t="n">
        <v>597.45</v>
      </c>
      <c r="H26" s="31" t="n">
        <v>5</v>
      </c>
      <c r="I26" s="31" t="n">
        <v>65399</v>
      </c>
      <c r="J26" s="31" t="inlineStr">
        <is>
          <t>538424</t>
        </is>
      </c>
    </row>
    <row r="27">
      <c r="A27" s="31" t="inlineStr">
        <is>
          <t>BHAGYANGR</t>
        </is>
      </c>
      <c r="B27" s="31" t="inlineStr">
        <is>
          <t>Bhagyanagar India</t>
        </is>
      </c>
      <c r="C27" s="31" t="inlineStr">
        <is>
          <t>power &amp; utilities</t>
        </is>
      </c>
      <c r="D27" s="31" t="inlineStr">
        <is>
          <t>power generation and supply</t>
        </is>
      </c>
      <c r="E27" s="31" t="inlineStr">
        <is>
          <t>smallcap</t>
        </is>
      </c>
      <c r="F27" s="31" t="n">
        <v>1450.23</v>
      </c>
      <c r="G27" s="31" t="n">
        <v>454.55</v>
      </c>
      <c r="H27" s="31" t="n">
        <v>4.99</v>
      </c>
      <c r="I27" s="31" t="n">
        <v>601005</v>
      </c>
      <c r="J27" s="31" t="inlineStr">
        <is>
          <t>512296</t>
        </is>
      </c>
    </row>
    <row r="28">
      <c r="A28" s="31" t="inlineStr">
        <is>
          <t>STLNETWORK</t>
        </is>
      </c>
      <c r="B28" s="31" t="inlineStr">
        <is>
          <t>STL Networks Ltd</t>
        </is>
      </c>
      <c r="C28" s="31" t="inlineStr">
        <is>
          <t>telecom-service</t>
        </is>
      </c>
      <c r="D28" s="31" t="inlineStr">
        <is>
          <t>telecommunications - service provider</t>
        </is>
      </c>
      <c r="E28" s="31" t="inlineStr">
        <is>
          <t>smallcap</t>
        </is>
      </c>
      <c r="F28" s="31" t="n">
        <v>2297.86</v>
      </c>
      <c r="G28" s="31" t="n">
        <v>49.43</v>
      </c>
      <c r="H28" s="31" t="n">
        <v>4.99</v>
      </c>
      <c r="I28" s="31" t="n">
        <v>2388042</v>
      </c>
      <c r="J28" s="31" t="inlineStr">
        <is>
          <t>544395</t>
        </is>
      </c>
    </row>
    <row r="29">
      <c r="A29" s="31" t="inlineStr">
        <is>
          <t>E2E</t>
        </is>
      </c>
      <c r="B29" s="31" t="inlineStr">
        <is>
          <t>E2E Networks Ltd</t>
        </is>
      </c>
      <c r="C29" s="31" t="inlineStr">
        <is>
          <t>i.t</t>
        </is>
      </c>
      <c r="D29" s="31" t="inlineStr">
        <is>
          <t>computers - software - medium / small</t>
        </is>
      </c>
      <c r="E29" s="31" t="inlineStr">
        <is>
          <t>midcap</t>
        </is>
      </c>
      <c r="F29" s="31" t="n">
        <v>14161.37</v>
      </c>
      <c r="G29" s="31" t="n">
        <v>723.3</v>
      </c>
      <c r="H29" s="31" t="n">
        <v>4.99</v>
      </c>
      <c r="I29" s="31" t="n">
        <v>482956</v>
      </c>
      <c r="J29" s="31" t="inlineStr">
        <is>
          <t>535080</t>
        </is>
      </c>
    </row>
    <row r="30">
      <c r="A30" s="31" t="inlineStr">
        <is>
          <t>IBULLSLTD</t>
        </is>
      </c>
      <c r="B30" s="31" t="inlineStr">
        <is>
          <t>Indiabulls Limited</t>
        </is>
      </c>
      <c r="C30" s="31" t="inlineStr">
        <is>
          <t>miscellaneous</t>
        </is>
      </c>
      <c r="D30" s="31" t="inlineStr">
        <is>
          <t>diversified - medium / small</t>
        </is>
      </c>
      <c r="E30" s="31" t="inlineStr">
        <is>
          <t>midcap</t>
        </is>
      </c>
      <c r="F30" s="31" t="n">
        <v>7209.94</v>
      </c>
      <c r="G30" s="31" t="n">
        <v>32.49</v>
      </c>
      <c r="H30" s="31" t="n">
        <v>4.98</v>
      </c>
      <c r="I30" s="31" t="n">
        <v>22176156</v>
      </c>
      <c r="J30" s="31" t="inlineStr">
        <is>
          <t>533520</t>
        </is>
      </c>
    </row>
    <row r="31">
      <c r="A31" s="31" t="inlineStr">
        <is>
          <t>NAHARINDUS</t>
        </is>
      </c>
      <c r="B31" s="31" t="inlineStr">
        <is>
          <t>Nahar Industrial Enterprises Limited</t>
        </is>
      </c>
      <c r="C31" s="31" t="inlineStr">
        <is>
          <t>textiles</t>
        </is>
      </c>
      <c r="D31" s="31" t="inlineStr">
        <is>
          <t>textiles - cotton/blended</t>
        </is>
      </c>
      <c r="E31" s="31" t="inlineStr">
        <is>
          <t>smallcap</t>
        </is>
      </c>
      <c r="F31" s="31" t="n">
        <v>551.5599999999999</v>
      </c>
      <c r="G31" s="31" t="n">
        <v>133.93</v>
      </c>
      <c r="H31" s="31" t="n">
        <v>4.91</v>
      </c>
      <c r="I31" s="31" t="n">
        <v>43058</v>
      </c>
      <c r="J31" s="31" t="inlineStr">
        <is>
          <t>519136</t>
        </is>
      </c>
    </row>
    <row r="32">
      <c r="A32" s="31" t="inlineStr">
        <is>
          <t>GLAND</t>
        </is>
      </c>
      <c r="B32" s="31" t="inlineStr">
        <is>
          <t>Gland Pharma Ltd</t>
        </is>
      </c>
      <c r="C32" s="31" t="inlineStr">
        <is>
          <t>healthcare</t>
        </is>
      </c>
      <c r="D32" s="31" t="inlineStr">
        <is>
          <t>pharmaceuticals - indian - formulations</t>
        </is>
      </c>
      <c r="E32" s="31" t="inlineStr">
        <is>
          <t>largecap</t>
        </is>
      </c>
      <c r="F32" s="31" t="n">
        <v>49588.53</v>
      </c>
      <c r="G32" s="31" t="n">
        <v>3150.6</v>
      </c>
      <c r="H32" s="31" t="n">
        <v>4.81</v>
      </c>
      <c r="I32" s="31" t="n">
        <v>1341221</v>
      </c>
      <c r="J32" s="31" t="inlineStr">
        <is>
          <t>543245</t>
        </is>
      </c>
    </row>
    <row r="33">
      <c r="A33" s="31" t="inlineStr">
        <is>
          <t>AMANTA</t>
        </is>
      </c>
      <c r="B33" s="31" t="inlineStr">
        <is>
          <t>Amanta Healthcare Ltd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smallcap</t>
        </is>
      </c>
      <c r="F33" s="31" t="n">
        <v>767.58</v>
      </c>
      <c r="G33" s="31" t="n">
        <v>207.08</v>
      </c>
      <c r="H33" s="31" t="n">
        <v>4.76</v>
      </c>
      <c r="I33" s="31" t="n">
        <v>187306</v>
      </c>
      <c r="J33" s="31" t="inlineStr">
        <is>
          <t>544502</t>
        </is>
      </c>
    </row>
    <row r="34">
      <c r="A34" s="31" t="inlineStr">
        <is>
          <t>OCCLLTD</t>
        </is>
      </c>
      <c r="B34" s="31" t="inlineStr">
        <is>
          <t>OCCL Ltd</t>
        </is>
      </c>
      <c r="C34" s="31" t="inlineStr">
        <is>
          <t>chemicals</t>
        </is>
      </c>
      <c r="D34" s="31" t="inlineStr">
        <is>
          <t>chemicals</t>
        </is>
      </c>
      <c r="E34" s="31" t="inlineStr">
        <is>
          <t>smallcap</t>
        </is>
      </c>
      <c r="F34" s="31" t="n">
        <v>1036.92</v>
      </c>
      <c r="G34" s="31" t="n">
        <v>217.3</v>
      </c>
      <c r="H34" s="31" t="n">
        <v>4.68</v>
      </c>
      <c r="I34" s="31" t="n">
        <v>195497</v>
      </c>
      <c r="J34" s="31" t="inlineStr">
        <is>
          <t>544278</t>
        </is>
      </c>
    </row>
    <row r="35">
      <c r="A35" s="31" t="inlineStr">
        <is>
          <t>MRPL</t>
        </is>
      </c>
      <c r="B35" s="31" t="inlineStr">
        <is>
          <t>Mangalore Refinery And Petrochemicals Limited</t>
        </is>
      </c>
      <c r="C35" s="31" t="inlineStr">
        <is>
          <t>energy</t>
        </is>
      </c>
      <c r="D35" s="31" t="inlineStr">
        <is>
          <t>refineries</t>
        </is>
      </c>
      <c r="E35" s="31" t="inlineStr">
        <is>
          <t>largecap</t>
        </is>
      </c>
      <c r="F35" s="31" t="n">
        <v>30621.41</v>
      </c>
      <c r="G35" s="31" t="n">
        <v>182.86</v>
      </c>
      <c r="H35" s="31" t="n">
        <v>4.66</v>
      </c>
      <c r="I35" s="31" t="n">
        <v>23675207</v>
      </c>
      <c r="J35" s="31" t="inlineStr">
        <is>
          <t>500109</t>
        </is>
      </c>
    </row>
    <row r="36">
      <c r="A36" s="31" t="inlineStr">
        <is>
          <t>AEGISLOG</t>
        </is>
      </c>
      <c r="B36" s="31" t="inlineStr">
        <is>
          <t>Aegis Logistics Ltd</t>
        </is>
      </c>
      <c r="C36" s="31" t="inlineStr">
        <is>
          <t>services</t>
        </is>
      </c>
      <c r="D36" s="31" t="inlineStr">
        <is>
          <t>trading</t>
        </is>
      </c>
      <c r="E36" s="31" t="inlineStr">
        <is>
          <t>largecap</t>
        </is>
      </c>
      <c r="F36" s="31" t="n">
        <v>48996.09</v>
      </c>
      <c r="G36" s="31" t="n">
        <v>1460.2</v>
      </c>
      <c r="H36" s="31" t="n">
        <v>4.61</v>
      </c>
      <c r="I36" s="31" t="n">
        <v>1713087</v>
      </c>
      <c r="J36" s="31" t="inlineStr">
        <is>
          <t>500003</t>
        </is>
      </c>
    </row>
    <row r="37">
      <c r="A37" s="31" t="inlineStr">
        <is>
          <t>ORIENTBELL</t>
        </is>
      </c>
      <c r="B37" s="31" t="inlineStr">
        <is>
          <t>Orient Bell Limited</t>
        </is>
      </c>
      <c r="C37" s="31" t="inlineStr">
        <is>
          <t>building materials</t>
        </is>
      </c>
      <c r="D37" s="31" t="inlineStr">
        <is>
          <t>ceramics - tiles / sanitaryware</t>
        </is>
      </c>
      <c r="E37" s="31" t="inlineStr">
        <is>
          <t>smallcap</t>
        </is>
      </c>
      <c r="F37" s="31" t="n">
        <v>608.35</v>
      </c>
      <c r="G37" s="31" t="n">
        <v>432.55</v>
      </c>
      <c r="H37" s="31" t="n">
        <v>4.59</v>
      </c>
      <c r="I37" s="31" t="n">
        <v>57426</v>
      </c>
      <c r="J37" s="31" t="inlineStr">
        <is>
          <t>530365</t>
        </is>
      </c>
    </row>
    <row r="38">
      <c r="A38" s="31" t="inlineStr">
        <is>
          <t>MVGJL</t>
        </is>
      </c>
      <c r="B38" s="31" t="inlineStr">
        <is>
          <t>Manoj Vaibhav Gems N Jewellers Ltd</t>
        </is>
      </c>
      <c r="C38" s="31" t="inlineStr">
        <is>
          <t>consumer discretionary</t>
        </is>
      </c>
      <c r="D38" s="31" t="inlineStr">
        <is>
          <t>diamond cutting / jewellery</t>
        </is>
      </c>
      <c r="E38" s="31" t="inlineStr">
        <is>
          <t>smallcap</t>
        </is>
      </c>
      <c r="F38" s="31" t="n">
        <v>992.38</v>
      </c>
      <c r="G38" s="31" t="n">
        <v>212.39</v>
      </c>
      <c r="H38" s="31" t="n">
        <v>4.54</v>
      </c>
      <c r="I38" s="31" t="n">
        <v>454478</v>
      </c>
      <c r="J38" s="31" t="inlineStr">
        <is>
          <t>543995</t>
        </is>
      </c>
    </row>
    <row r="39">
      <c r="A39" s="31" t="inlineStr">
        <is>
          <t>KROSS</t>
        </is>
      </c>
      <c r="B39" s="31" t="inlineStr">
        <is>
          <t>Kross Ltd</t>
        </is>
      </c>
      <c r="C39" s="31" t="inlineStr">
        <is>
          <t>auto</t>
        </is>
      </c>
      <c r="D39" s="31" t="inlineStr">
        <is>
          <t>auto ancillaries</t>
        </is>
      </c>
      <c r="E39" s="31" t="inlineStr">
        <is>
          <t>smallcap</t>
        </is>
      </c>
      <c r="F39" s="31" t="n">
        <v>1633.38</v>
      </c>
      <c r="G39" s="31" t="n">
        <v>263.9</v>
      </c>
      <c r="H39" s="31" t="n">
        <v>4.23</v>
      </c>
      <c r="I39" s="31" t="n">
        <v>1500938</v>
      </c>
      <c r="J39" s="31" t="inlineStr">
        <is>
          <t>544253</t>
        </is>
      </c>
    </row>
    <row r="40">
      <c r="A40" s="31" t="inlineStr">
        <is>
          <t>MAHABANK</t>
        </is>
      </c>
      <c r="B40" s="31" t="inlineStr">
        <is>
          <t>Bank Of Maharashtra Ltd</t>
        </is>
      </c>
      <c r="C40" s="31" t="inlineStr">
        <is>
          <t>bank</t>
        </is>
      </c>
      <c r="D40" s="31" t="inlineStr">
        <is>
          <t>banks - public sector</t>
        </is>
      </c>
      <c r="E40" s="31" t="inlineStr">
        <is>
          <t>largecap</t>
        </is>
      </c>
      <c r="F40" s="31" t="n">
        <v>62147.76</v>
      </c>
      <c r="G40" s="31" t="n">
        <v>84.15000000000001</v>
      </c>
      <c r="H40" s="31" t="n">
        <v>4.15</v>
      </c>
      <c r="I40" s="31" t="n">
        <v>20883267</v>
      </c>
      <c r="J40" s="31" t="inlineStr">
        <is>
          <t>532525</t>
        </is>
      </c>
    </row>
    <row r="41">
      <c r="A41" s="31" t="inlineStr">
        <is>
          <t>PREMIERPOL</t>
        </is>
      </c>
      <c r="B41" s="31" t="inlineStr">
        <is>
          <t>Premier Polyfilm Limited</t>
        </is>
      </c>
      <c r="C41" s="31" t="inlineStr">
        <is>
          <t>plastic products</t>
        </is>
      </c>
      <c r="D41" s="31" t="inlineStr">
        <is>
          <t>plastics products</t>
        </is>
      </c>
      <c r="E41" s="31" t="inlineStr">
        <is>
          <t>smallcap</t>
        </is>
      </c>
      <c r="F41" s="31" t="n">
        <v>1018.41</v>
      </c>
      <c r="G41" s="31" t="n">
        <v>101.23</v>
      </c>
      <c r="H41" s="31" t="n">
        <v>4.11</v>
      </c>
      <c r="I41" s="31" t="n">
        <v>809457</v>
      </c>
      <c r="J41" s="31" t="inlineStr">
        <is>
          <t>514354</t>
        </is>
      </c>
    </row>
    <row r="42">
      <c r="A42" s="31" t="inlineStr">
        <is>
          <t>DPABHUSHAN</t>
        </is>
      </c>
      <c r="B42" s="31" t="inlineStr">
        <is>
          <t>D.P. Abhushan Ltd</t>
        </is>
      </c>
      <c r="C42" s="31" t="inlineStr">
        <is>
          <t>consumer discretionary</t>
        </is>
      </c>
      <c r="D42" s="31" t="inlineStr">
        <is>
          <t>trading</t>
        </is>
      </c>
      <c r="E42" s="31" t="inlineStr">
        <is>
          <t>smallcap</t>
        </is>
      </c>
      <c r="F42" s="31" t="n">
        <v>4962.79</v>
      </c>
      <c r="G42" s="31" t="n">
        <v>2262.7</v>
      </c>
      <c r="H42" s="31" t="n">
        <v>4.08</v>
      </c>
      <c r="I42" s="31" t="n">
        <v>263103</v>
      </c>
      <c r="J42" s="31" t="inlineStr">
        <is>
          <t>535026</t>
        </is>
      </c>
    </row>
    <row r="43">
      <c r="A43" s="31" t="inlineStr">
        <is>
          <t>BELRISE</t>
        </is>
      </c>
      <c r="B43" s="31" t="inlineStr">
        <is>
          <t>Belrise Industries Ltd</t>
        </is>
      </c>
      <c r="C43" s="31" t="inlineStr">
        <is>
          <t>auto</t>
        </is>
      </c>
      <c r="D43" s="31" t="inlineStr">
        <is>
          <t>auto ancillaries</t>
        </is>
      </c>
      <c r="E43" s="31" t="inlineStr">
        <is>
          <t>largecap</t>
        </is>
      </c>
      <c r="F43" s="31" t="n">
        <v>22903.12</v>
      </c>
      <c r="G43" s="31" t="n">
        <v>246.31</v>
      </c>
      <c r="H43" s="31" t="n">
        <v>4.01</v>
      </c>
      <c r="I43" s="31" t="n">
        <v>3749664</v>
      </c>
      <c r="J43" s="31" t="n"/>
    </row>
    <row r="44">
      <c r="A44" s="31" t="inlineStr">
        <is>
          <t>ALICON</t>
        </is>
      </c>
      <c r="B44" s="31" t="inlineStr">
        <is>
          <t>Alicon Castalloy Limited</t>
        </is>
      </c>
      <c r="C44" s="31" t="inlineStr">
        <is>
          <t>castings, forgings &amp; fasteners</t>
        </is>
      </c>
      <c r="D44" s="31" t="inlineStr">
        <is>
          <t>castings &amp; forgings</t>
        </is>
      </c>
      <c r="E44" s="31" t="inlineStr">
        <is>
          <t>smallcap</t>
        </is>
      </c>
      <c r="F44" s="31" t="n">
        <v>1422.74</v>
      </c>
      <c r="G44" s="31" t="n">
        <v>901.4</v>
      </c>
      <c r="H44" s="31" t="n">
        <v>3.98</v>
      </c>
      <c r="I44" s="31" t="n">
        <v>131461</v>
      </c>
      <c r="J44" s="31" t="inlineStr">
        <is>
          <t>531147</t>
        </is>
      </c>
    </row>
    <row r="45">
      <c r="A45" s="31" t="inlineStr">
        <is>
          <t>MMP</t>
        </is>
      </c>
      <c r="B45" s="31" t="inlineStr">
        <is>
          <t>MMP Industries Ltd</t>
        </is>
      </c>
      <c r="C45" s="31" t="inlineStr">
        <is>
          <t>metals &amp; mining</t>
        </is>
      </c>
      <c r="D45" s="31" t="inlineStr">
        <is>
          <t>aluminium and aluminium products</t>
        </is>
      </c>
      <c r="E45" s="31" t="inlineStr">
        <is>
          <t>smallcap</t>
        </is>
      </c>
      <c r="F45" s="31" t="n">
        <v>1220.72</v>
      </c>
      <c r="G45" s="31" t="n">
        <v>498.8</v>
      </c>
      <c r="H45" s="31" t="n">
        <v>3.8</v>
      </c>
      <c r="I45" s="31" t="n">
        <v>191291</v>
      </c>
      <c r="J45" s="31" t="inlineStr">
        <is>
          <t>535071</t>
        </is>
      </c>
    </row>
    <row r="46">
      <c r="A46" s="31" t="inlineStr">
        <is>
          <t>SYRMA</t>
        </is>
      </c>
      <c r="B46" s="31" t="inlineStr">
        <is>
          <t>Syrma SGS Technology Ltd</t>
        </is>
      </c>
      <c r="C46" s="31" t="inlineStr">
        <is>
          <t>consumer discretionary</t>
        </is>
      </c>
      <c r="D46" s="31" t="inlineStr">
        <is>
          <t>electronics - components</t>
        </is>
      </c>
      <c r="E46" s="31" t="inlineStr">
        <is>
          <t>largecap</t>
        </is>
      </c>
      <c r="F46" s="31" t="n">
        <v>32493.87</v>
      </c>
      <c r="G46" s="31" t="n">
        <v>1746.7</v>
      </c>
      <c r="H46" s="31" t="n">
        <v>3.66</v>
      </c>
      <c r="I46" s="31" t="n">
        <v>1814188</v>
      </c>
      <c r="J46" s="31" t="inlineStr">
        <is>
          <t>543573</t>
        </is>
      </c>
    </row>
    <row r="47">
      <c r="A47" s="31" t="inlineStr">
        <is>
          <t>SOTL</t>
        </is>
      </c>
      <c r="B47" s="31" t="inlineStr">
        <is>
          <t>Savita Oil Technologies Limited</t>
        </is>
      </c>
      <c r="C47" s="31" t="inlineStr">
        <is>
          <t>energy</t>
        </is>
      </c>
      <c r="D47" s="31" t="inlineStr">
        <is>
          <t>petrochemicals</t>
        </is>
      </c>
      <c r="E47" s="31" t="inlineStr">
        <is>
          <t>midcap</t>
        </is>
      </c>
      <c r="F47" s="31" t="n">
        <v>5316.86</v>
      </c>
      <c r="G47" s="31" t="n">
        <v>803.8</v>
      </c>
      <c r="H47" s="31" t="n">
        <v>3.65</v>
      </c>
      <c r="I47" s="31" t="n">
        <v>583613</v>
      </c>
      <c r="J47" s="31" t="inlineStr">
        <is>
          <t>524667</t>
        </is>
      </c>
    </row>
    <row r="48">
      <c r="A48" s="31" t="inlineStr">
        <is>
          <t>FAIRCHEMOR</t>
        </is>
      </c>
      <c r="B48" s="31" t="inlineStr">
        <is>
          <t>Fairchem Organics Ltd</t>
        </is>
      </c>
      <c r="C48" s="31" t="inlineStr">
        <is>
          <t>chemicals</t>
        </is>
      </c>
      <c r="D48" s="31" t="inlineStr">
        <is>
          <t>chemicals</t>
        </is>
      </c>
      <c r="E48" s="31" t="inlineStr">
        <is>
          <t>smallcap</t>
        </is>
      </c>
      <c r="F48" s="31" t="n">
        <v>855.64</v>
      </c>
      <c r="G48" s="31" t="n">
        <v>703.85</v>
      </c>
      <c r="H48" s="31" t="n">
        <v>3.61</v>
      </c>
      <c r="I48" s="31" t="n">
        <v>129286</v>
      </c>
      <c r="J48" s="31" t="inlineStr">
        <is>
          <t>543252</t>
        </is>
      </c>
    </row>
    <row r="49">
      <c r="A49" s="31" t="inlineStr">
        <is>
          <t>HFCL</t>
        </is>
      </c>
      <c r="B49" s="31" t="inlineStr">
        <is>
          <t>HFCL Ltd</t>
        </is>
      </c>
      <c r="C49" s="31" t="inlineStr">
        <is>
          <t>telecom</t>
        </is>
      </c>
      <c r="D49" s="31" t="inlineStr">
        <is>
          <t>cables - telephone</t>
        </is>
      </c>
      <c r="E49" s="31" t="inlineStr">
        <is>
          <t>largecap</t>
        </is>
      </c>
      <c r="F49" s="31" t="n">
        <v>40221.17</v>
      </c>
      <c r="G49" s="31" t="n">
        <v>271.9</v>
      </c>
      <c r="H49" s="31" t="n">
        <v>3.47</v>
      </c>
      <c r="I49" s="31" t="n">
        <v>12439455</v>
      </c>
      <c r="J49" s="31" t="inlineStr">
        <is>
          <t>500183</t>
        </is>
      </c>
    </row>
    <row r="50">
      <c r="A50" s="31" t="inlineStr">
        <is>
          <t>ARIHANTCAP</t>
        </is>
      </c>
      <c r="B50" s="31" t="inlineStr">
        <is>
          <t>Arihant Capital Markets Ltd</t>
        </is>
      </c>
      <c r="C50" s="31" t="inlineStr">
        <is>
          <t>financials</t>
        </is>
      </c>
      <c r="D50" s="31" t="inlineStr">
        <is>
          <t>finance &amp; investments</t>
        </is>
      </c>
      <c r="E50" s="31" t="inlineStr">
        <is>
          <t>smallcap</t>
        </is>
      </c>
      <c r="F50" s="31" t="n">
        <v>1031.79</v>
      </c>
      <c r="G50" s="31" t="n">
        <v>97.38</v>
      </c>
      <c r="H50" s="31" t="n">
        <v>3.45</v>
      </c>
      <c r="I50" s="31" t="n">
        <v>1292989</v>
      </c>
      <c r="J50" s="31" t="inlineStr">
        <is>
          <t>511605</t>
        </is>
      </c>
    </row>
    <row r="51">
      <c r="A51" s="31" t="inlineStr">
        <is>
          <t>BLACKBUCK</t>
        </is>
      </c>
      <c r="B51" s="31" t="inlineStr">
        <is>
          <t>BlackBuck Ltd</t>
        </is>
      </c>
      <c r="C51" s="31" t="inlineStr">
        <is>
          <t>transportation</t>
        </is>
      </c>
      <c r="D51" s="31" t="inlineStr">
        <is>
          <t>miscellaneous</t>
        </is>
      </c>
      <c r="E51" s="31" t="inlineStr">
        <is>
          <t>midcap</t>
        </is>
      </c>
      <c r="F51" s="31" t="n">
        <v>10855.46</v>
      </c>
      <c r="G51" s="31" t="n">
        <v>616.4</v>
      </c>
      <c r="H51" s="31" t="n">
        <v>3.42</v>
      </c>
      <c r="I51" s="31" t="n">
        <v>430095</v>
      </c>
      <c r="J51" s="31" t="inlineStr">
        <is>
          <t>544288</t>
        </is>
      </c>
    </row>
    <row r="52">
      <c r="A52" s="31" t="inlineStr">
        <is>
          <t>THELEELA</t>
        </is>
      </c>
      <c r="B52" s="31" t="inlineStr">
        <is>
          <t>Leela Palaces Hotels &amp; Resorts Ltd</t>
        </is>
      </c>
      <c r="C52" s="31" t="inlineStr">
        <is>
          <t>services</t>
        </is>
      </c>
      <c r="D52" s="31" t="inlineStr">
        <is>
          <t>hotels</t>
        </is>
      </c>
      <c r="E52" s="31" t="inlineStr">
        <is>
          <t>midcap</t>
        </is>
      </c>
      <c r="F52" s="31" t="n">
        <v>19459.73</v>
      </c>
      <c r="G52" s="31" t="n">
        <v>602.45</v>
      </c>
      <c r="H52" s="31" t="n">
        <v>3.39</v>
      </c>
      <c r="I52" s="31" t="n">
        <v>627331</v>
      </c>
      <c r="J52" s="31" t="inlineStr">
        <is>
          <t>544408</t>
        </is>
      </c>
    </row>
    <row r="53">
      <c r="A53" s="31" t="inlineStr">
        <is>
          <t>SUNFLAG</t>
        </is>
      </c>
      <c r="B53" s="31" t="inlineStr">
        <is>
          <t>Sunflag Iron And Steel Company Limited</t>
        </is>
      </c>
      <c r="C53" s="31" t="inlineStr">
        <is>
          <t>metals &amp; mining</t>
        </is>
      </c>
      <c r="D53" s="31" t="inlineStr">
        <is>
          <t>steel - medium / small</t>
        </is>
      </c>
      <c r="E53" s="31" t="inlineStr">
        <is>
          <t>midcap</t>
        </is>
      </c>
      <c r="F53" s="31" t="n">
        <v>8272.969999999999</v>
      </c>
      <c r="G53" s="31" t="n">
        <v>474.4</v>
      </c>
      <c r="H53" s="31" t="n">
        <v>3.34</v>
      </c>
      <c r="I53" s="31" t="n">
        <v>829970</v>
      </c>
      <c r="J53" s="31" t="inlineStr">
        <is>
          <t>500404</t>
        </is>
      </c>
    </row>
    <row r="54">
      <c r="A54" s="31" t="inlineStr">
        <is>
          <t>LIKHITHA</t>
        </is>
      </c>
      <c r="B54" s="31" t="inlineStr">
        <is>
          <t>Likhitha Infrastructure Ltd</t>
        </is>
      </c>
      <c r="C54" s="31" t="inlineStr">
        <is>
          <t>realty</t>
        </is>
      </c>
      <c r="D54" s="31" t="inlineStr">
        <is>
          <t>construction</t>
        </is>
      </c>
      <c r="E54" s="31" t="inlineStr">
        <is>
          <t>smallcap</t>
        </is>
      </c>
      <c r="F54" s="31" t="n">
        <v>894.17</v>
      </c>
      <c r="G54" s="31" t="n">
        <v>234.14</v>
      </c>
      <c r="H54" s="31" t="n">
        <v>3.3</v>
      </c>
      <c r="I54" s="31" t="n">
        <v>53476</v>
      </c>
      <c r="J54" s="31" t="inlineStr">
        <is>
          <t>543240</t>
        </is>
      </c>
    </row>
    <row r="55">
      <c r="A55" s="31" t="inlineStr">
        <is>
          <t>TARSONS</t>
        </is>
      </c>
      <c r="B55" s="31" t="inlineStr">
        <is>
          <t>Tarsons Products Ltd</t>
        </is>
      </c>
      <c r="C55" s="31" t="inlineStr">
        <is>
          <t>healthcare</t>
        </is>
      </c>
      <c r="D55" s="31" t="inlineStr">
        <is>
          <t>miscellaneous</t>
        </is>
      </c>
      <c r="E55" s="31" t="inlineStr">
        <is>
          <t>smallcap</t>
        </is>
      </c>
      <c r="F55" s="31" t="n">
        <v>1764.59</v>
      </c>
      <c r="G55" s="31" t="n">
        <v>341.7</v>
      </c>
      <c r="H55" s="31" t="n">
        <v>3.03</v>
      </c>
      <c r="I55" s="31" t="n">
        <v>230964</v>
      </c>
      <c r="J55" s="31" t="inlineStr">
        <is>
          <t>543399</t>
        </is>
      </c>
    </row>
    <row r="56">
      <c r="A56" s="31" t="inlineStr">
        <is>
          <t>RAIN</t>
        </is>
      </c>
      <c r="B56" s="31" t="inlineStr">
        <is>
          <t>Rain Industries Limited</t>
        </is>
      </c>
      <c r="C56" s="31" t="inlineStr">
        <is>
          <t>miscellaneous</t>
        </is>
      </c>
      <c r="D56" s="31" t="inlineStr">
        <is>
          <t>miscellaneous</t>
        </is>
      </c>
      <c r="E56" s="31" t="inlineStr">
        <is>
          <t>midcap</t>
        </is>
      </c>
      <c r="F56" s="31" t="n">
        <v>7151.72</v>
      </c>
      <c r="G56" s="31" t="n">
        <v>218.95</v>
      </c>
      <c r="H56" s="31" t="n">
        <v>2.97</v>
      </c>
      <c r="I56" s="31" t="n">
        <v>4431420</v>
      </c>
      <c r="J56" s="31" t="inlineStr">
        <is>
          <t>500339</t>
        </is>
      </c>
    </row>
    <row r="57">
      <c r="A57" s="31" t="inlineStr">
        <is>
          <t>RGL</t>
        </is>
      </c>
      <c r="B57" s="31" t="inlineStr">
        <is>
          <t>Renaissance Global Ltd</t>
        </is>
      </c>
      <c r="C57" s="31" t="inlineStr">
        <is>
          <t>consumer discretionary</t>
        </is>
      </c>
      <c r="D57" s="31" t="inlineStr">
        <is>
          <t>diamond cutting / jewellery</t>
        </is>
      </c>
      <c r="E57" s="31" t="inlineStr">
        <is>
          <t>smallcap</t>
        </is>
      </c>
      <c r="F57" s="31" t="n">
        <v>1756.76</v>
      </c>
      <c r="G57" s="31" t="n">
        <v>168.47</v>
      </c>
      <c r="H57" s="31" t="n">
        <v>2.96</v>
      </c>
      <c r="I57" s="31" t="n">
        <v>600665</v>
      </c>
      <c r="J57" s="31" t="inlineStr">
        <is>
          <t>532923</t>
        </is>
      </c>
    </row>
    <row r="58">
      <c r="A58" s="31" t="inlineStr">
        <is>
          <t>GULFOILLUB</t>
        </is>
      </c>
      <c r="B58" s="31" t="inlineStr">
        <is>
          <t>Gulf Oil Lubricants India Limited</t>
        </is>
      </c>
      <c r="C58" s="31" t="inlineStr">
        <is>
          <t>chemicals</t>
        </is>
      </c>
      <c r="D58" s="31" t="inlineStr">
        <is>
          <t>chemicals</t>
        </is>
      </c>
      <c r="E58" s="31" t="inlineStr">
        <is>
          <t>midcap</t>
        </is>
      </c>
      <c r="F58" s="31" t="n">
        <v>5386.93</v>
      </c>
      <c r="G58" s="31" t="n">
        <v>1118.6</v>
      </c>
      <c r="H58" s="31" t="n">
        <v>2.82</v>
      </c>
      <c r="I58" s="31" t="n">
        <v>48522</v>
      </c>
      <c r="J58" s="31" t="inlineStr">
        <is>
          <t>538567</t>
        </is>
      </c>
    </row>
    <row r="59">
      <c r="A59" s="31" t="inlineStr">
        <is>
          <t>ANTELOPUS</t>
        </is>
      </c>
      <c r="B59" s="31" t="inlineStr">
        <is>
          <t>Antelopus Selan Energy Ltd</t>
        </is>
      </c>
      <c r="C59" s="31" t="inlineStr">
        <is>
          <t>energy</t>
        </is>
      </c>
      <c r="D59" s="31" t="inlineStr">
        <is>
          <t>oil drilling / allied services</t>
        </is>
      </c>
      <c r="E59" s="31" t="inlineStr">
        <is>
          <t>smallcap</t>
        </is>
      </c>
      <c r="F59" s="31" t="n">
        <v>3869.97</v>
      </c>
      <c r="G59" s="31" t="n">
        <v>1130.2</v>
      </c>
      <c r="H59" s="31" t="n">
        <v>2.69</v>
      </c>
      <c r="I59" s="31" t="n">
        <v>378318</v>
      </c>
      <c r="J59" s="31" t="inlineStr">
        <is>
          <t>530075</t>
        </is>
      </c>
    </row>
    <row r="60">
      <c r="A60" s="31" t="inlineStr">
        <is>
          <t>IL&amp;FSENGG</t>
        </is>
      </c>
      <c r="B60" s="31" t="inlineStr">
        <is>
          <t>Il&amp;fs Engineering And Construction Company Limited</t>
        </is>
      </c>
      <c r="C60" s="31" t="inlineStr">
        <is>
          <t>realty</t>
        </is>
      </c>
      <c r="D60" s="31" t="inlineStr">
        <is>
          <t>construction</t>
        </is>
      </c>
      <c r="E60" s="31" t="inlineStr">
        <is>
          <t>smallcap</t>
        </is>
      </c>
      <c r="F60" s="31" t="n">
        <v>518.45</v>
      </c>
      <c r="G60" s="31" t="n">
        <v>40.6</v>
      </c>
      <c r="H60" s="31" t="n">
        <v>2.68</v>
      </c>
      <c r="I60" s="31" t="n">
        <v>13115</v>
      </c>
      <c r="J60" s="31" t="inlineStr">
        <is>
          <t>532907</t>
        </is>
      </c>
    </row>
    <row r="61">
      <c r="A61" s="31" t="inlineStr">
        <is>
          <t>KOPRAN</t>
        </is>
      </c>
      <c r="B61" s="31" t="inlineStr">
        <is>
          <t>Kopran Limited</t>
        </is>
      </c>
      <c r="C61" s="31" t="inlineStr">
        <is>
          <t>healthcare</t>
        </is>
      </c>
      <c r="D61" s="31" t="inlineStr">
        <is>
          <t>pharmaceuticals - indian - bulk drugs &amp; formln</t>
        </is>
      </c>
      <c r="E61" s="31" t="inlineStr">
        <is>
          <t>smallcap</t>
        </is>
      </c>
      <c r="F61" s="31" t="n">
        <v>1301.78</v>
      </c>
      <c r="G61" s="31" t="n">
        <v>276.5</v>
      </c>
      <c r="H61" s="31" t="n">
        <v>2.56</v>
      </c>
      <c r="I61" s="31" t="n">
        <v>300819</v>
      </c>
      <c r="J61" s="31" t="inlineStr">
        <is>
          <t>524280</t>
        </is>
      </c>
    </row>
    <row r="62">
      <c r="A62" s="31" t="inlineStr">
        <is>
          <t>MAWANASUG</t>
        </is>
      </c>
      <c r="B62" s="31" t="inlineStr">
        <is>
          <t>Mawana Sugars Limited</t>
        </is>
      </c>
      <c r="C62" s="31" t="inlineStr">
        <is>
          <t>fmcg</t>
        </is>
      </c>
      <c r="D62" s="31" t="inlineStr">
        <is>
          <t>sugar</t>
        </is>
      </c>
      <c r="E62" s="31" t="inlineStr">
        <is>
          <t>smallcap</t>
        </is>
      </c>
      <c r="F62" s="31" t="n">
        <v>578.5</v>
      </c>
      <c r="G62" s="31" t="n">
        <v>151.66</v>
      </c>
      <c r="H62" s="31" t="n">
        <v>2.55</v>
      </c>
      <c r="I62" s="31" t="n">
        <v>526482</v>
      </c>
      <c r="J62" s="31" t="inlineStr">
        <is>
          <t>523371</t>
        </is>
      </c>
    </row>
    <row r="63">
      <c r="A63" s="31" t="inlineStr">
        <is>
          <t>GPPL</t>
        </is>
      </c>
      <c r="B63" s="31" t="inlineStr">
        <is>
          <t>Gujarat Pipavav Port Limited</t>
        </is>
      </c>
      <c r="C63" s="31" t="inlineStr">
        <is>
          <t>transportation</t>
        </is>
      </c>
      <c r="D63" s="31" t="inlineStr">
        <is>
          <t>miscellaneous</t>
        </is>
      </c>
      <c r="E63" s="31" t="inlineStr">
        <is>
          <t>midcap</t>
        </is>
      </c>
      <c r="F63" s="31" t="n">
        <v>8131.94</v>
      </c>
      <c r="G63" s="31" t="n">
        <v>172.46</v>
      </c>
      <c r="H63" s="31" t="n">
        <v>2.53</v>
      </c>
      <c r="I63" s="31" t="n">
        <v>2205709</v>
      </c>
      <c r="J63" s="31" t="inlineStr">
        <is>
          <t>533248</t>
        </is>
      </c>
    </row>
    <row r="64">
      <c r="A64" s="31" t="inlineStr">
        <is>
          <t>IOLCP</t>
        </is>
      </c>
      <c r="B64" s="31" t="inlineStr">
        <is>
          <t>Iol Chemicals And Pharmaceuticals Limited</t>
        </is>
      </c>
      <c r="C64" s="31" t="inlineStr">
        <is>
          <t>healthcare</t>
        </is>
      </c>
      <c r="D64" s="31" t="inlineStr">
        <is>
          <t>pharmaceuticals - indian - bulk drugs &amp; formln</t>
        </is>
      </c>
      <c r="E64" s="31" t="inlineStr">
        <is>
          <t>midcap</t>
        </is>
      </c>
      <c r="F64" s="31" t="n">
        <v>6307.91</v>
      </c>
      <c r="G64" s="31" t="n">
        <v>220.22</v>
      </c>
      <c r="H64" s="31" t="n">
        <v>2.48</v>
      </c>
      <c r="I64" s="31" t="n">
        <v>6360102</v>
      </c>
      <c r="J64" s="31" t="inlineStr">
        <is>
          <t>524164</t>
        </is>
      </c>
    </row>
    <row r="65">
      <c r="A65" s="31" t="inlineStr">
        <is>
          <t>MUKANDLTD</t>
        </is>
      </c>
      <c r="B65" s="31" t="inlineStr">
        <is>
          <t>Mukand Limited</t>
        </is>
      </c>
      <c r="C65" s="31" t="inlineStr">
        <is>
          <t>metals &amp; mining</t>
        </is>
      </c>
      <c r="D65" s="31" t="inlineStr">
        <is>
          <t>steel - medium / small</t>
        </is>
      </c>
      <c r="E65" s="31" t="inlineStr">
        <is>
          <t>smallcap</t>
        </is>
      </c>
      <c r="F65" s="31" t="n">
        <v>2623.32</v>
      </c>
      <c r="G65" s="31" t="n">
        <v>185.92</v>
      </c>
      <c r="H65" s="31" t="n">
        <v>2.41</v>
      </c>
      <c r="I65" s="31" t="n">
        <v>781279</v>
      </c>
      <c r="J65" s="31" t="inlineStr">
        <is>
          <t>500460</t>
        </is>
      </c>
    </row>
    <row r="66">
      <c r="A66" s="31" t="inlineStr">
        <is>
          <t>ANGELONE</t>
        </is>
      </c>
      <c r="B66" s="31" t="inlineStr">
        <is>
          <t>Angel One Ltd</t>
        </is>
      </c>
      <c r="C66" s="31" t="inlineStr">
        <is>
          <t>financials</t>
        </is>
      </c>
      <c r="D66" s="31" t="inlineStr">
        <is>
          <t>finance &amp; investments</t>
        </is>
      </c>
      <c r="E66" s="31" t="inlineStr">
        <is>
          <t>largecap</t>
        </is>
      </c>
      <c r="F66" s="31" t="n">
        <v>26948.81</v>
      </c>
      <c r="G66" s="31" t="n">
        <v>302</v>
      </c>
      <c r="H66" s="31" t="n">
        <v>2.37</v>
      </c>
      <c r="I66" s="31" t="n">
        <v>13538340</v>
      </c>
      <c r="J66" s="31" t="n"/>
    </row>
    <row r="67">
      <c r="A67" s="31" t="inlineStr">
        <is>
          <t>GESHIP</t>
        </is>
      </c>
      <c r="B67" s="31" t="inlineStr">
        <is>
          <t>The Great Eastern Shipping Company Limited</t>
        </is>
      </c>
      <c r="C67" s="31" t="inlineStr">
        <is>
          <t>transportation</t>
        </is>
      </c>
      <c r="D67" s="31" t="inlineStr">
        <is>
          <t>shipping</t>
        </is>
      </c>
      <c r="E67" s="31" t="inlineStr">
        <is>
          <t>largecap</t>
        </is>
      </c>
      <c r="F67" s="31" t="n">
        <v>21880.5</v>
      </c>
      <c r="G67" s="31" t="n">
        <v>1567.9</v>
      </c>
      <c r="H67" s="31" t="n">
        <v>2.3</v>
      </c>
      <c r="I67" s="31" t="n">
        <v>464716</v>
      </c>
      <c r="J67" s="31" t="inlineStr">
        <is>
          <t>500620</t>
        </is>
      </c>
    </row>
    <row r="68">
      <c r="A68" s="31" t="inlineStr">
        <is>
          <t>SKYGOLD</t>
        </is>
      </c>
      <c r="B68" s="31" t="inlineStr">
        <is>
          <t>Sky Gold Ltd</t>
        </is>
      </c>
      <c r="C68" s="31" t="inlineStr">
        <is>
          <t>consumer discretionary</t>
        </is>
      </c>
      <c r="D68" s="31" t="inlineStr">
        <is>
          <t>diamond cutting / jewellery</t>
        </is>
      </c>
      <c r="E68" s="31" t="inlineStr">
        <is>
          <t>midcap</t>
        </is>
      </c>
      <c r="F68" s="31" t="n">
        <v>13282.76</v>
      </c>
      <c r="G68" s="31" t="n">
        <v>876.95</v>
      </c>
      <c r="H68" s="31" t="n">
        <v>2.25</v>
      </c>
      <c r="I68" s="31" t="n">
        <v>1648118</v>
      </c>
      <c r="J68" s="31" t="inlineStr">
        <is>
          <t>541967</t>
        </is>
      </c>
    </row>
    <row r="69">
      <c r="A69" s="31" t="inlineStr">
        <is>
          <t>CPPLUS</t>
        </is>
      </c>
      <c r="B69" s="31" t="inlineStr">
        <is>
          <t>Aditya Infotech Ltd</t>
        </is>
      </c>
      <c r="C69" s="31" t="inlineStr">
        <is>
          <t>consumer discretionary</t>
        </is>
      </c>
      <c r="D69" s="31" t="inlineStr">
        <is>
          <t>trading</t>
        </is>
      </c>
      <c r="E69" s="31" t="inlineStr">
        <is>
          <t>largecap</t>
        </is>
      </c>
      <c r="F69" s="31" t="n">
        <v>46857.35</v>
      </c>
      <c r="G69" s="31" t="n">
        <v>4064.9</v>
      </c>
      <c r="H69" s="31" t="n">
        <v>2.24</v>
      </c>
      <c r="I69" s="31" t="n">
        <v>208910</v>
      </c>
      <c r="J69" s="31" t="inlineStr">
        <is>
          <t>544466</t>
        </is>
      </c>
    </row>
    <row r="70">
      <c r="A70" s="31" t="inlineStr">
        <is>
          <t>BALRAMCHIN</t>
        </is>
      </c>
      <c r="B70" s="31" t="inlineStr">
        <is>
          <t>Balrampur Chini Mills Limited</t>
        </is>
      </c>
      <c r="C70" s="31" t="inlineStr">
        <is>
          <t>fmcg</t>
        </is>
      </c>
      <c r="D70" s="31" t="inlineStr">
        <is>
          <t>sugar</t>
        </is>
      </c>
      <c r="E70" s="31" t="inlineStr">
        <is>
          <t>midcap</t>
        </is>
      </c>
      <c r="F70" s="31" t="n">
        <v>14604.9</v>
      </c>
      <c r="G70" s="31" t="n">
        <v>706.6</v>
      </c>
      <c r="H70" s="31" t="n">
        <v>2.21</v>
      </c>
      <c r="I70" s="31" t="n">
        <v>1646549</v>
      </c>
      <c r="J70" s="31" t="inlineStr">
        <is>
          <t>500038</t>
        </is>
      </c>
    </row>
    <row r="71">
      <c r="A71" s="31" t="inlineStr">
        <is>
          <t>ADANIGREEN</t>
        </is>
      </c>
      <c r="B71" s="31" t="inlineStr">
        <is>
          <t>Adani Green Energy Ltd</t>
        </is>
      </c>
      <c r="C71" s="31" t="inlineStr">
        <is>
          <t>power &amp; utilities</t>
        </is>
      </c>
      <c r="D71" s="31" t="inlineStr">
        <is>
          <t>power generation and supply</t>
        </is>
      </c>
      <c r="E71" s="31" t="inlineStr">
        <is>
          <t>largecap</t>
        </is>
      </c>
      <c r="F71" s="31" t="n">
        <v>216274.23</v>
      </c>
      <c r="G71" s="31" t="n">
        <v>1341.4</v>
      </c>
      <c r="H71" s="31" t="n">
        <v>2.16</v>
      </c>
      <c r="I71" s="31" t="n">
        <v>6420423</v>
      </c>
      <c r="J71" s="31" t="inlineStr">
        <is>
          <t>541450</t>
        </is>
      </c>
    </row>
    <row r="72">
      <c r="A72" s="31" t="inlineStr">
        <is>
          <t>DEEPAKFERT</t>
        </is>
      </c>
      <c r="B72" s="31" t="inlineStr">
        <is>
          <t>Deepak Fertilizers And Petrochemicals Corporation Limited</t>
        </is>
      </c>
      <c r="C72" s="31" t="inlineStr">
        <is>
          <t>chemicals</t>
        </is>
      </c>
      <c r="D72" s="31" t="inlineStr">
        <is>
          <t>chemicals</t>
        </is>
      </c>
      <c r="E72" s="31" t="inlineStr">
        <is>
          <t>midcap</t>
        </is>
      </c>
      <c r="F72" s="31" t="n">
        <v>17491.51</v>
      </c>
      <c r="G72" s="31" t="n">
        <v>1415.4</v>
      </c>
      <c r="H72" s="31" t="n">
        <v>2.15</v>
      </c>
      <c r="I72" s="31" t="n">
        <v>423588</v>
      </c>
      <c r="J72" s="31" t="inlineStr">
        <is>
          <t>500645</t>
        </is>
      </c>
    </row>
    <row r="73">
      <c r="A73" s="31" t="inlineStr">
        <is>
          <t>LOKESHMACH</t>
        </is>
      </c>
      <c r="B73" s="31" t="inlineStr">
        <is>
          <t>Lokesh Machines Limited</t>
        </is>
      </c>
      <c r="C73" s="31" t="inlineStr">
        <is>
          <t>industrials</t>
        </is>
      </c>
      <c r="D73" s="31" t="inlineStr">
        <is>
          <t>engineering</t>
        </is>
      </c>
      <c r="E73" s="31" t="inlineStr">
        <is>
          <t>smallcap</t>
        </is>
      </c>
      <c r="F73" s="31" t="n">
        <v>993.28</v>
      </c>
      <c r="G73" s="31" t="n">
        <v>465.45</v>
      </c>
      <c r="H73" s="31" t="n">
        <v>2.14</v>
      </c>
      <c r="I73" s="31" t="n">
        <v>252924</v>
      </c>
      <c r="J73" s="31" t="inlineStr">
        <is>
          <t>532740</t>
        </is>
      </c>
    </row>
    <row r="74">
      <c r="A74" s="31" t="inlineStr">
        <is>
          <t>MOREPENLAB</t>
        </is>
      </c>
      <c r="B74" s="31" t="inlineStr">
        <is>
          <t>Morepen Laboratories Limited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midcap</t>
        </is>
      </c>
      <c r="F74" s="31" t="n">
        <v>7888.34</v>
      </c>
      <c r="G74" s="31" t="n">
        <v>146.97</v>
      </c>
      <c r="H74" s="31" t="n">
        <v>2.09</v>
      </c>
      <c r="I74" s="31" t="n">
        <v>19889954</v>
      </c>
      <c r="J74" s="31" t="inlineStr">
        <is>
          <t>500288</t>
        </is>
      </c>
    </row>
    <row r="75">
      <c r="A75" s="31" t="inlineStr">
        <is>
          <t>ASAHIINDIA</t>
        </is>
      </c>
      <c r="B75" s="31" t="inlineStr">
        <is>
          <t>Asahi India Glass Limited</t>
        </is>
      </c>
      <c r="C75" s="31" t="inlineStr">
        <is>
          <t>building materials</t>
        </is>
      </c>
      <c r="D75" s="31" t="inlineStr">
        <is>
          <t>glass &amp; glass products</t>
        </is>
      </c>
      <c r="E75" s="31" t="inlineStr">
        <is>
          <t>largecap</t>
        </is>
      </c>
      <c r="F75" s="31" t="n">
        <v>24395.26</v>
      </c>
      <c r="G75" s="31" t="n">
        <v>976.25</v>
      </c>
      <c r="H75" s="31" t="n">
        <v>2.02</v>
      </c>
      <c r="I75" s="31" t="n">
        <v>142786</v>
      </c>
      <c r="J75" s="31" t="inlineStr">
        <is>
          <t>515030</t>
        </is>
      </c>
    </row>
    <row r="76">
      <c r="A76" s="31" t="inlineStr">
        <is>
          <t>NRL</t>
        </is>
      </c>
      <c r="B76" s="31" t="inlineStr">
        <is>
          <t>Nupur Recyclers Ltd</t>
        </is>
      </c>
      <c r="C76" s="31" t="inlineStr">
        <is>
          <t>services</t>
        </is>
      </c>
      <c r="D76" s="31" t="inlineStr">
        <is>
          <t>trading</t>
        </is>
      </c>
      <c r="E76" s="31" t="inlineStr">
        <is>
          <t>smallcap</t>
        </is>
      </c>
      <c r="F76" s="31" t="n">
        <v>1084.38</v>
      </c>
      <c r="G76" s="31" t="n">
        <v>160.14</v>
      </c>
      <c r="H76" s="31" t="n">
        <v>2</v>
      </c>
      <c r="I76" s="31" t="n">
        <v>78987</v>
      </c>
      <c r="J76" s="31" t="inlineStr">
        <is>
          <t>535413</t>
        </is>
      </c>
    </row>
    <row r="77">
      <c r="A77" s="31" t="inlineStr">
        <is>
          <t>BAFNAPH</t>
        </is>
      </c>
      <c r="B77" s="31" t="inlineStr">
        <is>
          <t>Bafna Pharmaceuticals Ltd</t>
        </is>
      </c>
      <c r="C77" s="31" t="inlineStr">
        <is>
          <t>healthcare</t>
        </is>
      </c>
      <c r="D77" s="31" t="inlineStr">
        <is>
          <t>pharmaceuticals - indian - formulations</t>
        </is>
      </c>
      <c r="E77" s="31" t="inlineStr">
        <is>
          <t>smallcap</t>
        </is>
      </c>
      <c r="F77" s="31" t="n">
        <v>932.0599999999999</v>
      </c>
      <c r="G77" s="31" t="n">
        <v>401.85</v>
      </c>
      <c r="H77" s="31" t="n">
        <v>1.99</v>
      </c>
      <c r="I77" s="31" t="n">
        <v>956</v>
      </c>
      <c r="J77" s="31" t="inlineStr">
        <is>
          <t>532989</t>
        </is>
      </c>
    </row>
    <row r="78">
      <c r="A78" s="31" t="inlineStr">
        <is>
          <t>MOLDTECH</t>
        </is>
      </c>
      <c r="B78" s="31" t="inlineStr">
        <is>
          <t>Mold-tek Technologies Limited</t>
        </is>
      </c>
      <c r="C78" s="31" t="inlineStr">
        <is>
          <t>realty</t>
        </is>
      </c>
      <c r="D78" s="31" t="inlineStr">
        <is>
          <t>engineering - turnkey services</t>
        </is>
      </c>
      <c r="E78" s="31" t="inlineStr">
        <is>
          <t>smallcap</t>
        </is>
      </c>
      <c r="F78" s="31" t="n">
        <v>624.26</v>
      </c>
      <c r="G78" s="31" t="n">
        <v>220.99</v>
      </c>
      <c r="H78" s="31" t="n">
        <v>1.97</v>
      </c>
      <c r="I78" s="31" t="n">
        <v>64307</v>
      </c>
      <c r="J78" s="31" t="inlineStr">
        <is>
          <t>526263</t>
        </is>
      </c>
    </row>
    <row r="79">
      <c r="A79" s="31" t="inlineStr">
        <is>
          <t>HITECHCORP</t>
        </is>
      </c>
      <c r="B79" s="31" t="inlineStr">
        <is>
          <t>Hitech Corporation</t>
        </is>
      </c>
      <c r="C79" s="31" t="inlineStr">
        <is>
          <t>industrials</t>
        </is>
      </c>
      <c r="D79" s="31" t="inlineStr">
        <is>
          <t>packaging</t>
        </is>
      </c>
      <c r="E79" s="31" t="inlineStr">
        <is>
          <t>smallcap</t>
        </is>
      </c>
      <c r="F79" s="31" t="n">
        <v>588.1</v>
      </c>
      <c r="G79" s="31" t="n">
        <v>349.1</v>
      </c>
      <c r="H79" s="31" t="n">
        <v>1.96</v>
      </c>
      <c r="I79" s="31" t="n">
        <v>143436</v>
      </c>
      <c r="J79" s="31" t="inlineStr">
        <is>
          <t>526217</t>
        </is>
      </c>
    </row>
    <row r="80">
      <c r="A80" s="31" t="inlineStr">
        <is>
          <t>WONDERLA</t>
        </is>
      </c>
      <c r="B80" s="31" t="inlineStr">
        <is>
          <t>Wonderla Holidays Limited</t>
        </is>
      </c>
      <c r="C80" s="31" t="inlineStr">
        <is>
          <t>media</t>
        </is>
      </c>
      <c r="D80" s="31" t="inlineStr">
        <is>
          <t>recreation / amusement parks</t>
        </is>
      </c>
      <c r="E80" s="31" t="inlineStr">
        <is>
          <t>smallcap</t>
        </is>
      </c>
      <c r="F80" s="31" t="n">
        <v>3234.05</v>
      </c>
      <c r="G80" s="31" t="n">
        <v>519.6</v>
      </c>
      <c r="H80" s="31" t="n">
        <v>1.94</v>
      </c>
      <c r="I80" s="31" t="n">
        <v>102613</v>
      </c>
      <c r="J80" s="31" t="inlineStr">
        <is>
          <t>538268</t>
        </is>
      </c>
    </row>
    <row r="81">
      <c r="A81" s="31" t="inlineStr">
        <is>
          <t>MANAKSTEEL</t>
        </is>
      </c>
      <c r="B81" s="31" t="inlineStr">
        <is>
          <t>Manaksia Steels Limited</t>
        </is>
      </c>
      <c r="C81" s="31" t="inlineStr">
        <is>
          <t>metals &amp; mining</t>
        </is>
      </c>
      <c r="D81" s="31" t="inlineStr">
        <is>
          <t>steel - medium / small</t>
        </is>
      </c>
      <c r="E81" s="31" t="inlineStr">
        <is>
          <t>smallcap</t>
        </is>
      </c>
      <c r="F81" s="31" t="n">
        <v>713.53</v>
      </c>
      <c r="G81" s="31" t="n">
        <v>110.97</v>
      </c>
      <c r="H81" s="31" t="n">
        <v>1.92</v>
      </c>
      <c r="I81" s="31" t="n">
        <v>48669</v>
      </c>
      <c r="J81" s="31" t="inlineStr">
        <is>
          <t>539044</t>
        </is>
      </c>
    </row>
    <row r="82">
      <c r="A82" s="31" t="inlineStr">
        <is>
          <t>KRONOX</t>
        </is>
      </c>
      <c r="B82" s="31" t="inlineStr">
        <is>
          <t>Kronox Lab Sciences Ltd</t>
        </is>
      </c>
      <c r="C82" s="31" t="inlineStr">
        <is>
          <t>chemicals</t>
        </is>
      </c>
      <c r="D82" s="31" t="inlineStr">
        <is>
          <t>chemicals</t>
        </is>
      </c>
      <c r="E82" s="31" t="inlineStr">
        <is>
          <t>smallcap</t>
        </is>
      </c>
      <c r="F82" s="31" t="n">
        <v>766.75</v>
      </c>
      <c r="G82" s="31" t="n">
        <v>210.6</v>
      </c>
      <c r="H82" s="31" t="n">
        <v>1.91</v>
      </c>
      <c r="I82" s="31" t="n">
        <v>38705</v>
      </c>
      <c r="J82" s="31" t="inlineStr">
        <is>
          <t>544187</t>
        </is>
      </c>
    </row>
    <row r="83">
      <c r="A83" s="31" t="inlineStr">
        <is>
          <t>MTARTECH</t>
        </is>
      </c>
      <c r="B83" s="31" t="inlineStr">
        <is>
          <t>MTAR Technologies Ltd</t>
        </is>
      </c>
      <c r="C83" s="31" t="inlineStr">
        <is>
          <t>aerospace &amp; defence</t>
        </is>
      </c>
      <c r="D83" s="31" t="inlineStr">
        <is>
          <t>engineering</t>
        </is>
      </c>
      <c r="E83" s="31" t="inlineStr">
        <is>
          <t>largecap</t>
        </is>
      </c>
      <c r="F83" s="31" t="n">
        <v>23741.79</v>
      </c>
      <c r="G83" s="31" t="n">
        <v>7864.5</v>
      </c>
      <c r="H83" s="31" t="n">
        <v>1.89</v>
      </c>
      <c r="I83" s="31" t="n">
        <v>111087</v>
      </c>
      <c r="J83" s="31" t="inlineStr">
        <is>
          <t>543270</t>
        </is>
      </c>
    </row>
    <row r="84">
      <c r="A84" s="31" t="inlineStr">
        <is>
          <t>KOTAKBANK</t>
        </is>
      </c>
      <c r="B84" s="31" t="inlineStr">
        <is>
          <t>Kotak Mahindra Bank Limited</t>
        </is>
      </c>
      <c r="C84" s="31" t="inlineStr">
        <is>
          <t>bank</t>
        </is>
      </c>
      <c r="D84" s="31" t="inlineStr">
        <is>
          <t>banks - private sector</t>
        </is>
      </c>
      <c r="E84" s="31" t="inlineStr">
        <is>
          <t>largecap</t>
        </is>
      </c>
      <c r="F84" s="31" t="n">
        <v>429598.37</v>
      </c>
      <c r="G84" s="31" t="n">
        <v>440</v>
      </c>
      <c r="H84" s="31" t="n">
        <v>1.88</v>
      </c>
      <c r="I84" s="31" t="n">
        <v>37972097</v>
      </c>
      <c r="J84" s="31" t="inlineStr">
        <is>
          <t>500247</t>
        </is>
      </c>
    </row>
    <row r="85">
      <c r="A85" s="31" t="inlineStr">
        <is>
          <t>UTTAMSUGAR</t>
        </is>
      </c>
      <c r="B85" s="31" t="inlineStr">
        <is>
          <t>Uttam Sugar Mills Limited</t>
        </is>
      </c>
      <c r="C85" s="31" t="inlineStr">
        <is>
          <t>fmcg</t>
        </is>
      </c>
      <c r="D85" s="31" t="inlineStr">
        <is>
          <t>sugar</t>
        </is>
      </c>
      <c r="E85" s="31" t="inlineStr">
        <is>
          <t>smallcap</t>
        </is>
      </c>
      <c r="F85" s="31" t="n">
        <v>1154.82</v>
      </c>
      <c r="G85" s="31" t="n">
        <v>308.3</v>
      </c>
      <c r="H85" s="31" t="n">
        <v>1.82</v>
      </c>
      <c r="I85" s="31" t="n">
        <v>345726</v>
      </c>
      <c r="J85" s="31" t="inlineStr">
        <is>
          <t>532729</t>
        </is>
      </c>
    </row>
    <row r="86">
      <c r="A86" s="31" t="inlineStr">
        <is>
          <t>INDGN</t>
        </is>
      </c>
      <c r="B86" s="31" t="inlineStr">
        <is>
          <t>Indegene Ltd</t>
        </is>
      </c>
      <c r="C86" s="31" t="inlineStr">
        <is>
          <t>healthcare</t>
        </is>
      </c>
      <c r="D86" s="31" t="inlineStr">
        <is>
          <t>miscellaneous</t>
        </is>
      </c>
      <c r="E86" s="31" t="inlineStr">
        <is>
          <t>midcap</t>
        </is>
      </c>
      <c r="F86" s="31" t="n">
        <v>14368.11</v>
      </c>
      <c r="G86" s="31" t="n">
        <v>607.1</v>
      </c>
      <c r="H86" s="31" t="n">
        <v>1.81</v>
      </c>
      <c r="I86" s="31" t="n">
        <v>424853</v>
      </c>
      <c r="J86" s="31" t="inlineStr">
        <is>
          <t>544172</t>
        </is>
      </c>
    </row>
    <row r="87">
      <c r="A87" s="31" t="inlineStr">
        <is>
          <t>MAGADSUGAR</t>
        </is>
      </c>
      <c r="B87" s="31" t="inlineStr">
        <is>
          <t>Magadh Sugar &amp; Energy Ltd</t>
        </is>
      </c>
      <c r="C87" s="31" t="inlineStr">
        <is>
          <t>fmcg</t>
        </is>
      </c>
      <c r="D87" s="31" t="inlineStr">
        <is>
          <t>sugar</t>
        </is>
      </c>
      <c r="E87" s="31" t="inlineStr">
        <is>
          <t>smallcap</t>
        </is>
      </c>
      <c r="F87" s="31" t="n">
        <v>778.49</v>
      </c>
      <c r="G87" s="31" t="n">
        <v>562.3</v>
      </c>
      <c r="H87" s="31" t="n">
        <v>1.78</v>
      </c>
      <c r="I87" s="31" t="n">
        <v>52127</v>
      </c>
      <c r="J87" s="31" t="inlineStr">
        <is>
          <t>540650</t>
        </is>
      </c>
    </row>
    <row r="88">
      <c r="A88" s="31" t="inlineStr">
        <is>
          <t>DBOL</t>
        </is>
      </c>
      <c r="B88" s="31" t="inlineStr">
        <is>
          <t>Dhampur Bio Organics Ltd</t>
        </is>
      </c>
      <c r="C88" s="31" t="inlineStr">
        <is>
          <t>fmcg</t>
        </is>
      </c>
      <c r="D88" s="31" t="inlineStr">
        <is>
          <t>sugar</t>
        </is>
      </c>
      <c r="E88" s="31" t="inlineStr">
        <is>
          <t>smallcap</t>
        </is>
      </c>
      <c r="F88" s="31" t="n">
        <v>915.48</v>
      </c>
      <c r="G88" s="31" t="n">
        <v>140.25</v>
      </c>
      <c r="H88" s="31" t="n">
        <v>1.7</v>
      </c>
      <c r="I88" s="31" t="n">
        <v>767613</v>
      </c>
      <c r="J88" s="31" t="inlineStr">
        <is>
          <t>543593</t>
        </is>
      </c>
    </row>
    <row r="89">
      <c r="A89" s="31" t="inlineStr">
        <is>
          <t>VMART</t>
        </is>
      </c>
      <c r="B89" s="31" t="inlineStr">
        <is>
          <t>V-mart Retail Limited</t>
        </is>
      </c>
      <c r="C89" s="31" t="inlineStr">
        <is>
          <t>consumer discretionary</t>
        </is>
      </c>
      <c r="D89" s="31" t="inlineStr">
        <is>
          <t>trading</t>
        </is>
      </c>
      <c r="E89" s="31" t="inlineStr">
        <is>
          <t>midcap</t>
        </is>
      </c>
      <c r="F89" s="31" t="n">
        <v>6308.16</v>
      </c>
      <c r="G89" s="31" t="n">
        <v>806.2</v>
      </c>
      <c r="H89" s="31" t="n">
        <v>1.66</v>
      </c>
      <c r="I89" s="31" t="n">
        <v>85019</v>
      </c>
      <c r="J89" s="31" t="inlineStr">
        <is>
          <t>534976</t>
        </is>
      </c>
    </row>
    <row r="90">
      <c r="A90" s="31" t="inlineStr">
        <is>
          <t>RBZJEWEL</t>
        </is>
      </c>
      <c r="B90" s="31" t="inlineStr">
        <is>
          <t>RBZ Jewellers Ltd</t>
        </is>
      </c>
      <c r="C90" s="31" t="inlineStr">
        <is>
          <t>consumer discretionary</t>
        </is>
      </c>
      <c r="D90" s="31" t="inlineStr">
        <is>
          <t>diamond cutting / jewellery</t>
        </is>
      </c>
      <c r="E90" s="31" t="inlineStr">
        <is>
          <t>smallcap</t>
        </is>
      </c>
      <c r="F90" s="31" t="n">
        <v>784.6</v>
      </c>
      <c r="G90" s="31" t="n">
        <v>199.38</v>
      </c>
      <c r="H90" s="31" t="n">
        <v>1.65</v>
      </c>
      <c r="I90" s="31" t="n">
        <v>101810</v>
      </c>
      <c r="J90" s="31" t="inlineStr">
        <is>
          <t>544060</t>
        </is>
      </c>
    </row>
    <row r="91">
      <c r="A91" s="31" t="inlineStr">
        <is>
          <t>APOLLO</t>
        </is>
      </c>
      <c r="B91" s="31" t="inlineStr">
        <is>
          <t>Apollo Micro Systems Ltd</t>
        </is>
      </c>
      <c r="C91" s="31" t="inlineStr">
        <is>
          <t>aerospace &amp; defence</t>
        </is>
      </c>
      <c r="D91" s="31" t="inlineStr">
        <is>
          <t>electronics - components</t>
        </is>
      </c>
      <c r="E91" s="31" t="inlineStr">
        <is>
          <t>midcap</t>
        </is>
      </c>
      <c r="F91" s="31" t="n">
        <v>15163.12</v>
      </c>
      <c r="G91" s="31" t="n">
        <v>414.75</v>
      </c>
      <c r="H91" s="31" t="n">
        <v>1.64</v>
      </c>
      <c r="I91" s="31" t="n">
        <v>9053893</v>
      </c>
      <c r="J91" s="31" t="inlineStr">
        <is>
          <t>540879</t>
        </is>
      </c>
    </row>
    <row r="92">
      <c r="A92" s="31" t="inlineStr">
        <is>
          <t>WELCORP</t>
        </is>
      </c>
      <c r="B92" s="31" t="inlineStr">
        <is>
          <t>Welspun Corp Limited</t>
        </is>
      </c>
      <c r="C92" s="31" t="inlineStr">
        <is>
          <t>industrials</t>
        </is>
      </c>
      <c r="D92" s="31" t="inlineStr">
        <is>
          <t>steel - large</t>
        </is>
      </c>
      <c r="E92" s="31" t="inlineStr">
        <is>
          <t>largecap</t>
        </is>
      </c>
      <c r="F92" s="31" t="n">
        <v>70192.05</v>
      </c>
      <c r="G92" s="31" t="n">
        <v>2704.6</v>
      </c>
      <c r="H92" s="31" t="n">
        <v>1.64</v>
      </c>
      <c r="I92" s="31" t="n">
        <v>1200738</v>
      </c>
      <c r="J92" s="31" t="inlineStr">
        <is>
          <t>532144</t>
        </is>
      </c>
    </row>
    <row r="93">
      <c r="A93" s="31" t="inlineStr">
        <is>
          <t>PCJEWELLER</t>
        </is>
      </c>
      <c r="B93" s="31" t="inlineStr">
        <is>
          <t>Pc Jeweller Limited</t>
        </is>
      </c>
      <c r="C93" s="31" t="inlineStr">
        <is>
          <t>consumer discretionary</t>
        </is>
      </c>
      <c r="D93" s="31" t="inlineStr">
        <is>
          <t>diamond cutting / jewellery</t>
        </is>
      </c>
      <c r="E93" s="31" t="inlineStr">
        <is>
          <t>midcap</t>
        </is>
      </c>
      <c r="F93" s="31" t="n">
        <v>12555.72</v>
      </c>
      <c r="G93" s="31" t="n">
        <v>13.14</v>
      </c>
      <c r="H93" s="31" t="n">
        <v>1.62</v>
      </c>
      <c r="I93" s="31" t="n">
        <v>208486730</v>
      </c>
      <c r="J93" s="31" t="inlineStr">
        <is>
          <t>534809</t>
        </is>
      </c>
    </row>
    <row r="94">
      <c r="A94" s="31" t="inlineStr">
        <is>
          <t>FINEORG</t>
        </is>
      </c>
      <c r="B94" s="31" t="inlineStr">
        <is>
          <t>Fine Organic Industries Ltd</t>
        </is>
      </c>
      <c r="C94" s="31" t="inlineStr">
        <is>
          <t>chemicals</t>
        </is>
      </c>
      <c r="D94" s="31" t="inlineStr">
        <is>
          <t>chemicals</t>
        </is>
      </c>
      <c r="E94" s="31" t="inlineStr">
        <is>
          <t>midcap</t>
        </is>
      </c>
      <c r="F94" s="31" t="n">
        <v>16976.43</v>
      </c>
      <c r="G94" s="31" t="n">
        <v>5625.5</v>
      </c>
      <c r="H94" s="31" t="n">
        <v>1.6</v>
      </c>
      <c r="I94" s="31" t="n">
        <v>67944</v>
      </c>
      <c r="J94" s="31" t="inlineStr">
        <is>
          <t>541557</t>
        </is>
      </c>
    </row>
    <row r="95">
      <c r="A95" s="31" t="inlineStr">
        <is>
          <t>MCX</t>
        </is>
      </c>
      <c r="B95" s="31" t="inlineStr">
        <is>
          <t>Multi Commodity Exchange Of India Limited</t>
        </is>
      </c>
      <c r="C95" s="31" t="inlineStr">
        <is>
          <t>financials</t>
        </is>
      </c>
      <c r="D95" s="31" t="inlineStr">
        <is>
          <t>miscellaneous</t>
        </is>
      </c>
      <c r="E95" s="31" t="inlineStr">
        <is>
          <t>largecap</t>
        </is>
      </c>
      <c r="F95" s="31" t="n">
        <v>84402.3</v>
      </c>
      <c r="G95" s="31" t="n">
        <v>3362.6</v>
      </c>
      <c r="H95" s="31" t="n">
        <v>1.59</v>
      </c>
      <c r="I95" s="31" t="n">
        <v>2369566</v>
      </c>
      <c r="J95" s="31" t="inlineStr">
        <is>
          <t>534091</t>
        </is>
      </c>
    </row>
    <row r="96">
      <c r="A96" s="31" t="inlineStr">
        <is>
          <t>GLOBAL</t>
        </is>
      </c>
      <c r="B96" s="31" t="inlineStr">
        <is>
          <t>Global Education Ltd</t>
        </is>
      </c>
      <c r="C96" s="31" t="inlineStr">
        <is>
          <t>services</t>
        </is>
      </c>
      <c r="D96" s="31" t="inlineStr">
        <is>
          <t>miscellaneous</t>
        </is>
      </c>
      <c r="E96" s="31" t="inlineStr">
        <is>
          <t>smallcap</t>
        </is>
      </c>
      <c r="F96" s="31" t="n">
        <v>725.96</v>
      </c>
      <c r="G96" s="31" t="n">
        <v>144.79</v>
      </c>
      <c r="H96" s="31" t="n">
        <v>1.52</v>
      </c>
      <c r="I96" s="31" t="n">
        <v>84933</v>
      </c>
      <c r="J96" s="31" t="inlineStr">
        <is>
          <t>538406</t>
        </is>
      </c>
    </row>
    <row r="97">
      <c r="A97" s="31" t="inlineStr">
        <is>
          <t>TEGA</t>
        </is>
      </c>
      <c r="B97" s="31" t="inlineStr">
        <is>
          <t>Tega Industries Ltd</t>
        </is>
      </c>
      <c r="C97" s="31" t="inlineStr">
        <is>
          <t>industrials</t>
        </is>
      </c>
      <c r="D97" s="31" t="inlineStr">
        <is>
          <t>engineering</t>
        </is>
      </c>
      <c r="E97" s="31" t="inlineStr">
        <is>
          <t>midcap</t>
        </is>
      </c>
      <c r="F97" s="31" t="n">
        <v>15720.47</v>
      </c>
      <c r="G97" s="31" t="n">
        <v>2123.6</v>
      </c>
      <c r="H97" s="31" t="n">
        <v>1.49</v>
      </c>
      <c r="I97" s="31" t="n">
        <v>488724</v>
      </c>
      <c r="J97" s="31" t="inlineStr">
        <is>
          <t>543413</t>
        </is>
      </c>
    </row>
    <row r="98">
      <c r="A98" s="31" t="inlineStr">
        <is>
          <t>SHREEPUSHK</t>
        </is>
      </c>
      <c r="B98" s="31" t="inlineStr">
        <is>
          <t>Shree Pushkar Chemicals &amp; Fertilisers Limited</t>
        </is>
      </c>
      <c r="C98" s="31" t="inlineStr">
        <is>
          <t>chemicals</t>
        </is>
      </c>
      <c r="D98" s="31" t="inlineStr">
        <is>
          <t>dyes and pigments</t>
        </is>
      </c>
      <c r="E98" s="31" t="inlineStr">
        <is>
          <t>smallcap</t>
        </is>
      </c>
      <c r="F98" s="31" t="n">
        <v>1649.55</v>
      </c>
      <c r="G98" s="31" t="n">
        <v>517.5</v>
      </c>
      <c r="H98" s="31" t="n">
        <v>1.45</v>
      </c>
      <c r="I98" s="31" t="n">
        <v>50642</v>
      </c>
      <c r="J98" s="31" t="inlineStr">
        <is>
          <t>539334</t>
        </is>
      </c>
    </row>
    <row r="99">
      <c r="A99" s="31" t="inlineStr">
        <is>
          <t>PAISALO</t>
        </is>
      </c>
      <c r="B99" s="31" t="inlineStr">
        <is>
          <t>Paisalo Digital Ltd</t>
        </is>
      </c>
      <c r="C99" s="31" t="inlineStr">
        <is>
          <t>financials</t>
        </is>
      </c>
      <c r="D99" s="31" t="inlineStr">
        <is>
          <t>finance &amp; investments</t>
        </is>
      </c>
      <c r="E99" s="31" t="inlineStr">
        <is>
          <t>midcap</t>
        </is>
      </c>
      <c r="F99" s="31" t="n">
        <v>7558.13</v>
      </c>
      <c r="G99" s="31" t="n">
        <v>84.23</v>
      </c>
      <c r="H99" s="31" t="n">
        <v>1.36</v>
      </c>
      <c r="I99" s="31" t="n">
        <v>11691827</v>
      </c>
      <c r="J99" s="31" t="inlineStr">
        <is>
          <t>532900</t>
        </is>
      </c>
    </row>
    <row r="100">
      <c r="A100" s="31" t="inlineStr">
        <is>
          <t>PLASTIBLEN</t>
        </is>
      </c>
      <c r="B100" s="31" t="inlineStr">
        <is>
          <t>Plastiblends India Limited</t>
        </is>
      </c>
      <c r="C100" s="31" t="inlineStr">
        <is>
          <t>chemicals</t>
        </is>
      </c>
      <c r="D100" s="31" t="inlineStr">
        <is>
          <t>chemicals</t>
        </is>
      </c>
      <c r="E100" s="31" t="inlineStr">
        <is>
          <t>smallcap</t>
        </is>
      </c>
      <c r="F100" s="31" t="n">
        <v>526.02</v>
      </c>
      <c r="G100" s="31" t="n">
        <v>205.09</v>
      </c>
      <c r="H100" s="31" t="n">
        <v>1.33</v>
      </c>
      <c r="I100" s="31" t="n">
        <v>47821</v>
      </c>
      <c r="J100" s="31" t="inlineStr">
        <is>
          <t>523648</t>
        </is>
      </c>
    </row>
    <row r="101">
      <c r="A101" s="31" t="inlineStr">
        <is>
          <t>SHANTIGOLD</t>
        </is>
      </c>
      <c r="B101" s="31" t="inlineStr">
        <is>
          <t>Shanti Gold International Ltd</t>
        </is>
      </c>
      <c r="C101" s="31" t="inlineStr">
        <is>
          <t>consumer discretionary</t>
        </is>
      </c>
      <c r="D101" s="31" t="inlineStr">
        <is>
          <t>diamond cutting / jewellery</t>
        </is>
      </c>
      <c r="E101" s="31" t="inlineStr">
        <is>
          <t>smallcap</t>
        </is>
      </c>
      <c r="F101" s="31" t="n">
        <v>2583.43</v>
      </c>
      <c r="G101" s="31" t="n">
        <v>341.05</v>
      </c>
      <c r="H101" s="31" t="n">
        <v>1.31</v>
      </c>
      <c r="I101" s="31" t="n">
        <v>3025042</v>
      </c>
      <c r="J101" s="31" t="inlineStr">
        <is>
          <t>544459</t>
        </is>
      </c>
    </row>
    <row r="102">
      <c r="A102" s="31" t="inlineStr">
        <is>
          <t>VENUSREM</t>
        </is>
      </c>
      <c r="B102" s="31" t="inlineStr">
        <is>
          <t>Venus Remedies Limited</t>
        </is>
      </c>
      <c r="C102" s="31" t="inlineStr">
        <is>
          <t>healthcare</t>
        </is>
      </c>
      <c r="D102" s="31" t="inlineStr">
        <is>
          <t>pharmaceuticals - indian - formulations</t>
        </is>
      </c>
      <c r="E102" s="31" t="inlineStr">
        <is>
          <t>smallcap</t>
        </is>
      </c>
      <c r="F102" s="31" t="n">
        <v>2334.81</v>
      </c>
      <c r="G102" s="31" t="n">
        <v>1769.4</v>
      </c>
      <c r="H102" s="31" t="n">
        <v>1.3</v>
      </c>
      <c r="I102" s="31" t="n">
        <v>24817</v>
      </c>
      <c r="J102" s="31" t="inlineStr">
        <is>
          <t>526953</t>
        </is>
      </c>
    </row>
    <row r="103">
      <c r="A103" s="31" t="inlineStr">
        <is>
          <t>YASHO</t>
        </is>
      </c>
      <c r="B103" s="31" t="inlineStr">
        <is>
          <t>Yasho Industries Ltd</t>
        </is>
      </c>
      <c r="C103" s="31" t="inlineStr">
        <is>
          <t>chemicals</t>
        </is>
      </c>
      <c r="D103" s="31" t="inlineStr">
        <is>
          <t>chemicals</t>
        </is>
      </c>
      <c r="E103" s="31" t="inlineStr">
        <is>
          <t>midcap</t>
        </is>
      </c>
      <c r="F103" s="31" t="n">
        <v>5163.81</v>
      </c>
      <c r="G103" s="31" t="n">
        <v>4337.6</v>
      </c>
      <c r="H103" s="31" t="n">
        <v>1.28</v>
      </c>
      <c r="I103" s="31" t="n">
        <v>60414</v>
      </c>
      <c r="J103" s="31" t="inlineStr">
        <is>
          <t>541167</t>
        </is>
      </c>
    </row>
    <row r="104">
      <c r="A104" s="31" t="inlineStr">
        <is>
          <t>UDS</t>
        </is>
      </c>
      <c r="B104" s="31" t="inlineStr">
        <is>
          <t>Updater Services Ltd</t>
        </is>
      </c>
      <c r="C104" s="31" t="inlineStr">
        <is>
          <t>miscellaneous</t>
        </is>
      </c>
      <c r="D104" s="31" t="inlineStr">
        <is>
          <t>miscellaneous</t>
        </is>
      </c>
      <c r="E104" s="31" t="inlineStr">
        <is>
          <t>smallcap</t>
        </is>
      </c>
      <c r="F104" s="31" t="n">
        <v>1442.17</v>
      </c>
      <c r="G104" s="31" t="n">
        <v>218.11</v>
      </c>
      <c r="H104" s="31" t="n">
        <v>1.26</v>
      </c>
      <c r="I104" s="31" t="n">
        <v>108092</v>
      </c>
      <c r="J104" s="31" t="inlineStr">
        <is>
          <t>543996</t>
        </is>
      </c>
    </row>
    <row r="105">
      <c r="A105" s="31" t="inlineStr">
        <is>
          <t>ESAFSFB</t>
        </is>
      </c>
      <c r="B105" s="31" t="inlineStr">
        <is>
          <t>ESAF Small Finance Bank Ltd</t>
        </is>
      </c>
      <c r="C105" s="31" t="inlineStr">
        <is>
          <t>bank</t>
        </is>
      </c>
      <c r="D105" s="31" t="inlineStr">
        <is>
          <t>banks - private sector</t>
        </is>
      </c>
      <c r="E105" s="31" t="inlineStr">
        <is>
          <t>smallcap</t>
        </is>
      </c>
      <c r="F105" s="31" t="n">
        <v>2174.74</v>
      </c>
      <c r="G105" s="31" t="n">
        <v>42.67</v>
      </c>
      <c r="H105" s="31" t="n">
        <v>1.23</v>
      </c>
      <c r="I105" s="31" t="n">
        <v>219456</v>
      </c>
      <c r="J105" s="31" t="inlineStr">
        <is>
          <t>544020</t>
        </is>
      </c>
    </row>
    <row r="106">
      <c r="A106" s="31" t="inlineStr">
        <is>
          <t>AVALON</t>
        </is>
      </c>
      <c r="B106" s="31" t="inlineStr">
        <is>
          <t>Avalon Technologies Ltd</t>
        </is>
      </c>
      <c r="C106" s="31" t="inlineStr">
        <is>
          <t>consumer discretionary</t>
        </is>
      </c>
      <c r="D106" s="31" t="inlineStr">
        <is>
          <t>electronics - components</t>
        </is>
      </c>
      <c r="E106" s="31" t="inlineStr">
        <is>
          <t>midcap</t>
        </is>
      </c>
      <c r="F106" s="31" t="n">
        <v>16037.49</v>
      </c>
      <c r="G106" s="31" t="n">
        <v>2429.7</v>
      </c>
      <c r="H106" s="31" t="n">
        <v>1.22</v>
      </c>
      <c r="I106" s="31" t="n">
        <v>364773</v>
      </c>
      <c r="J106" s="31" t="inlineStr">
        <is>
          <t>543896</t>
        </is>
      </c>
    </row>
    <row r="107">
      <c r="A107" s="31" t="inlineStr">
        <is>
          <t>ENRIN</t>
        </is>
      </c>
      <c r="B107" s="31" t="inlineStr">
        <is>
          <t>Siemens Energy India Ltd</t>
        </is>
      </c>
      <c r="C107" s="31" t="inlineStr">
        <is>
          <t>power &amp; utilities</t>
        </is>
      </c>
      <c r="D107" s="31" t="inlineStr">
        <is>
          <t>power generation and supply</t>
        </is>
      </c>
      <c r="E107" s="31" t="inlineStr">
        <is>
          <t>largecap</t>
        </is>
      </c>
      <c r="F107" s="31" t="n">
        <v>117786.86</v>
      </c>
      <c r="G107" s="31" t="n">
        <v>3344</v>
      </c>
      <c r="H107" s="31" t="n">
        <v>1.1</v>
      </c>
      <c r="I107" s="31" t="n">
        <v>426581</v>
      </c>
      <c r="J107" s="31" t="n"/>
    </row>
    <row r="108">
      <c r="A108" s="31" t="inlineStr">
        <is>
          <t>NPST</t>
        </is>
      </c>
      <c r="B108" s="31" t="inlineStr">
        <is>
          <t>Network People Services Technologies Ltd</t>
        </is>
      </c>
      <c r="C108" s="31" t="inlineStr">
        <is>
          <t>i.t</t>
        </is>
      </c>
      <c r="D108" s="31" t="inlineStr">
        <is>
          <t>computers - software - medium / small</t>
        </is>
      </c>
      <c r="E108" s="31" t="inlineStr">
        <is>
          <t>smallcap</t>
        </is>
      </c>
      <c r="F108" s="31" t="n">
        <v>3829.5</v>
      </c>
      <c r="G108" s="31" t="n">
        <v>1854.9</v>
      </c>
      <c r="H108" s="31" t="n">
        <v>1.06</v>
      </c>
      <c r="I108" s="31" t="n">
        <v>107305</v>
      </c>
      <c r="J108" s="31" t="inlineStr">
        <is>
          <t>535391</t>
        </is>
      </c>
    </row>
    <row r="109">
      <c r="A109" s="31" t="inlineStr">
        <is>
          <t>VSSL</t>
        </is>
      </c>
      <c r="B109" s="31" t="inlineStr">
        <is>
          <t>Vardhman Special Steels Limited</t>
        </is>
      </c>
      <c r="C109" s="31" t="inlineStr">
        <is>
          <t>metals &amp; mining</t>
        </is>
      </c>
      <c r="D109" s="31" t="inlineStr">
        <is>
          <t>steel - medium / small</t>
        </is>
      </c>
      <c r="E109" s="31" t="inlineStr">
        <is>
          <t>smallcap</t>
        </is>
      </c>
      <c r="F109" s="31" t="n">
        <v>3768.32</v>
      </c>
      <c r="G109" s="31" t="n">
        <v>393.75</v>
      </c>
      <c r="H109" s="31" t="n">
        <v>1.03</v>
      </c>
      <c r="I109" s="31" t="n">
        <v>60271</v>
      </c>
      <c r="J109" s="31" t="inlineStr">
        <is>
          <t>534392</t>
        </is>
      </c>
    </row>
    <row r="110">
      <c r="A110" s="31" t="inlineStr">
        <is>
          <t>STEELCAS</t>
        </is>
      </c>
      <c r="B110" s="31" t="inlineStr">
        <is>
          <t>Steelcast Ltd</t>
        </is>
      </c>
      <c r="C110" s="31" t="inlineStr">
        <is>
          <t>castings, forgings &amp; fasteners</t>
        </is>
      </c>
      <c r="D110" s="31" t="inlineStr">
        <is>
          <t>castings &amp; forgings</t>
        </is>
      </c>
      <c r="E110" s="31" t="inlineStr">
        <is>
          <t>smallcap</t>
        </is>
      </c>
      <c r="F110" s="31" t="n">
        <v>3740.35</v>
      </c>
      <c r="G110" s="31" t="n">
        <v>373.3</v>
      </c>
      <c r="H110" s="31" t="n">
        <v>1</v>
      </c>
      <c r="I110" s="31" t="n">
        <v>147905</v>
      </c>
      <c r="J110" s="31" t="inlineStr">
        <is>
          <t>513517</t>
        </is>
      </c>
    </row>
    <row r="111">
      <c r="A111" s="31" t="inlineStr">
        <is>
          <t>PARAGMILK</t>
        </is>
      </c>
      <c r="B111" s="31" t="inlineStr">
        <is>
          <t>Parag Milk Foods Limited</t>
        </is>
      </c>
      <c r="C111" s="31" t="inlineStr">
        <is>
          <t>fmcg</t>
        </is>
      </c>
      <c r="D111" s="31" t="inlineStr">
        <is>
          <t>food - processing - indian</t>
        </is>
      </c>
      <c r="E111" s="31" t="inlineStr">
        <is>
          <t>smallcap</t>
        </is>
      </c>
      <c r="F111" s="31" t="n">
        <v>3877.57</v>
      </c>
      <c r="G111" s="31" t="n">
        <v>311.8</v>
      </c>
      <c r="H111" s="31" t="n">
        <v>1</v>
      </c>
      <c r="I111" s="31" t="n">
        <v>2455573</v>
      </c>
      <c r="J111" s="31" t="inlineStr">
        <is>
          <t>539889</t>
        </is>
      </c>
    </row>
    <row r="112">
      <c r="A112" s="31" t="inlineStr">
        <is>
          <t>AKUMS</t>
        </is>
      </c>
      <c r="B112" s="31" t="inlineStr">
        <is>
          <t>Akums Drugs &amp; Pharmaceuticals Ltd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midcap</t>
        </is>
      </c>
      <c r="F112" s="31" t="n">
        <v>12822.1</v>
      </c>
      <c r="G112" s="31" t="n">
        <v>822.55</v>
      </c>
      <c r="H112" s="31" t="n">
        <v>0.97</v>
      </c>
      <c r="I112" s="31" t="n">
        <v>153950</v>
      </c>
      <c r="J112" s="31" t="inlineStr">
        <is>
          <t>544222</t>
        </is>
      </c>
    </row>
    <row r="113">
      <c r="A113" s="31" t="inlineStr">
        <is>
          <t>ONWARDTEC</t>
        </is>
      </c>
      <c r="B113" s="31" t="inlineStr">
        <is>
          <t>Onward Technologies Limited</t>
        </is>
      </c>
      <c r="C113" s="31" t="inlineStr">
        <is>
          <t>i.t</t>
        </is>
      </c>
      <c r="D113" s="31" t="inlineStr">
        <is>
          <t>computers - software - medium / small</t>
        </is>
      </c>
      <c r="E113" s="31" t="inlineStr">
        <is>
          <t>smallcap</t>
        </is>
      </c>
      <c r="F113" s="31" t="n">
        <v>655.28</v>
      </c>
      <c r="G113" s="31" t="n">
        <v>297.4</v>
      </c>
      <c r="H113" s="31" t="n">
        <v>0.95</v>
      </c>
      <c r="I113" s="31" t="n">
        <v>38634</v>
      </c>
      <c r="J113" s="31" t="inlineStr">
        <is>
          <t>517536</t>
        </is>
      </c>
    </row>
    <row r="114">
      <c r="A114" s="31" t="inlineStr">
        <is>
          <t>INDORAMA</t>
        </is>
      </c>
      <c r="B114" s="31" t="inlineStr">
        <is>
          <t>Indo Rama Synthetics (india) Limited</t>
        </is>
      </c>
      <c r="C114" s="31" t="inlineStr">
        <is>
          <t>textiles</t>
        </is>
      </c>
      <c r="D114" s="31" t="inlineStr">
        <is>
          <t>textiles - manmade</t>
        </is>
      </c>
      <c r="E114" s="31" t="inlineStr">
        <is>
          <t>smallcap</t>
        </is>
      </c>
      <c r="F114" s="31" t="n">
        <v>2483.19</v>
      </c>
      <c r="G114" s="31" t="n">
        <v>95.98999999999999</v>
      </c>
      <c r="H114" s="31" t="n">
        <v>0.9399999999999999</v>
      </c>
      <c r="I114" s="31" t="n">
        <v>554572</v>
      </c>
      <c r="J114" s="31" t="inlineStr">
        <is>
          <t>500207</t>
        </is>
      </c>
    </row>
    <row r="115">
      <c r="A115" s="31" t="inlineStr">
        <is>
          <t>NYKAA</t>
        </is>
      </c>
      <c r="B115" s="31" t="inlineStr">
        <is>
          <t>FSN E-Commerce Ventures Ltd</t>
        </is>
      </c>
      <c r="C115" s="31" t="inlineStr">
        <is>
          <t>i.t</t>
        </is>
      </c>
      <c r="D115" s="31" t="inlineStr">
        <is>
          <t>trading</t>
        </is>
      </c>
      <c r="E115" s="31" t="inlineStr">
        <is>
          <t>largecap</t>
        </is>
      </c>
      <c r="F115" s="31" t="n">
        <v>96854.53</v>
      </c>
      <c r="G115" s="31" t="n">
        <v>341.25</v>
      </c>
      <c r="H115" s="31" t="n">
        <v>0.9</v>
      </c>
      <c r="I115" s="31" t="n">
        <v>6078112</v>
      </c>
      <c r="J115" s="31" t="inlineStr">
        <is>
          <t>543384</t>
        </is>
      </c>
    </row>
    <row r="116">
      <c r="A116" s="31" t="inlineStr">
        <is>
          <t>NINSYS</t>
        </is>
      </c>
      <c r="B116" s="31" t="inlineStr">
        <is>
          <t>NINtec Systems Ltd</t>
        </is>
      </c>
      <c r="C116" s="31" t="inlineStr">
        <is>
          <t>i.t</t>
        </is>
      </c>
      <c r="D116" s="31" t="inlineStr">
        <is>
          <t>computers - software - medium / small</t>
        </is>
      </c>
      <c r="E116" s="31" t="inlineStr">
        <is>
          <t>smallcap</t>
        </is>
      </c>
      <c r="F116" s="31" t="n">
        <v>1527.97</v>
      </c>
      <c r="G116" s="31" t="n">
        <v>829.75</v>
      </c>
      <c r="H116" s="31" t="n">
        <v>0.88</v>
      </c>
      <c r="I116" s="31" t="n">
        <v>6983</v>
      </c>
      <c r="J116" s="31" t="inlineStr">
        <is>
          <t>539843</t>
        </is>
      </c>
    </row>
    <row r="117">
      <c r="A117" s="31" t="inlineStr">
        <is>
          <t>GMMPFAUDLR</t>
        </is>
      </c>
      <c r="B117" s="31" t="inlineStr">
        <is>
          <t>GMM Pfaudler Ltd</t>
        </is>
      </c>
      <c r="C117" s="31" t="inlineStr">
        <is>
          <t>industrials</t>
        </is>
      </c>
      <c r="D117" s="31" t="inlineStr">
        <is>
          <t>engineering</t>
        </is>
      </c>
      <c r="E117" s="31" t="inlineStr">
        <is>
          <t>midcap</t>
        </is>
      </c>
      <c r="F117" s="31" t="n">
        <v>6409.55</v>
      </c>
      <c r="G117" s="31" t="n">
        <v>1438</v>
      </c>
      <c r="H117" s="31" t="n">
        <v>0.86</v>
      </c>
      <c r="I117" s="31" t="n">
        <v>171982</v>
      </c>
      <c r="J117" s="31" t="inlineStr">
        <is>
          <t>505255</t>
        </is>
      </c>
    </row>
    <row r="118">
      <c r="A118" s="31" t="inlineStr">
        <is>
          <t>JAYNECOIND</t>
        </is>
      </c>
      <c r="B118" s="31" t="inlineStr">
        <is>
          <t>Jayaswal Neco Industries Limited</t>
        </is>
      </c>
      <c r="C118" s="31" t="inlineStr">
        <is>
          <t>metals &amp; mining</t>
        </is>
      </c>
      <c r="D118" s="31" t="inlineStr">
        <is>
          <t>steel - large</t>
        </is>
      </c>
      <c r="E118" s="31" t="inlineStr">
        <is>
          <t>midcap</t>
        </is>
      </c>
      <c r="F118" s="31" t="n">
        <v>9171.08</v>
      </c>
      <c r="G118" s="31" t="n">
        <v>95.23999999999999</v>
      </c>
      <c r="H118" s="31" t="n">
        <v>0.84</v>
      </c>
      <c r="I118" s="31" t="n">
        <v>2969185</v>
      </c>
      <c r="J118" s="31" t="inlineStr">
        <is>
          <t>522285</t>
        </is>
      </c>
    </row>
    <row r="119">
      <c r="A119" s="31" t="inlineStr">
        <is>
          <t>APARINDS</t>
        </is>
      </c>
      <c r="B119" s="31" t="inlineStr">
        <is>
          <t>Apar Industries Limited</t>
        </is>
      </c>
      <c r="C119" s="31" t="inlineStr">
        <is>
          <t>industrials</t>
        </is>
      </c>
      <c r="D119" s="31" t="inlineStr">
        <is>
          <t>electric equipment</t>
        </is>
      </c>
      <c r="E119" s="31" t="inlineStr">
        <is>
          <t>largecap</t>
        </is>
      </c>
      <c r="F119" s="31" t="n">
        <v>75437.2</v>
      </c>
      <c r="G119" s="31" t="n">
        <v>18160</v>
      </c>
      <c r="H119" s="31" t="n">
        <v>0.8</v>
      </c>
      <c r="I119" s="31" t="n">
        <v>106708</v>
      </c>
      <c r="J119" s="31" t="inlineStr">
        <is>
          <t>532259</t>
        </is>
      </c>
    </row>
    <row r="120">
      <c r="A120" s="31" t="inlineStr">
        <is>
          <t>LXCHEM</t>
        </is>
      </c>
      <c r="B120" s="31" t="inlineStr">
        <is>
          <t>Laxmi Organic Industries Ltd</t>
        </is>
      </c>
      <c r="C120" s="31" t="inlineStr">
        <is>
          <t>chemicals</t>
        </is>
      </c>
      <c r="D120" s="31" t="inlineStr">
        <is>
          <t>chemicals</t>
        </is>
      </c>
      <c r="E120" s="31" t="inlineStr">
        <is>
          <t>midcap</t>
        </is>
      </c>
      <c r="F120" s="31" t="n">
        <v>5235.42</v>
      </c>
      <c r="G120" s="31" t="n">
        <v>190.35</v>
      </c>
      <c r="H120" s="31" t="n">
        <v>0.79</v>
      </c>
      <c r="I120" s="31" t="n">
        <v>2013189</v>
      </c>
      <c r="J120" s="31" t="inlineStr">
        <is>
          <t>543277</t>
        </is>
      </c>
    </row>
    <row r="121">
      <c r="A121" s="31" t="inlineStr">
        <is>
          <t>KECL</t>
        </is>
      </c>
      <c r="B121" s="31" t="inlineStr">
        <is>
          <t>Kirloskar Electric Company Limited</t>
        </is>
      </c>
      <c r="C121" s="31" t="inlineStr">
        <is>
          <t>industrials</t>
        </is>
      </c>
      <c r="D121" s="31" t="inlineStr">
        <is>
          <t>electric equipment</t>
        </is>
      </c>
      <c r="E121" s="31" t="inlineStr">
        <is>
          <t>smallcap</t>
        </is>
      </c>
      <c r="F121" s="31" t="n">
        <v>850.83</v>
      </c>
      <c r="G121" s="31" t="n">
        <v>129.04</v>
      </c>
      <c r="H121" s="31" t="n">
        <v>0.73</v>
      </c>
      <c r="I121" s="31" t="n">
        <v>272071</v>
      </c>
      <c r="J121" s="31" t="inlineStr">
        <is>
          <t>533193</t>
        </is>
      </c>
    </row>
    <row r="122">
      <c r="A122" s="31" t="inlineStr">
        <is>
          <t>SHREEJISPG</t>
        </is>
      </c>
      <c r="B122" s="31" t="inlineStr">
        <is>
          <t>Shreeji Shipping Global Ltd</t>
        </is>
      </c>
      <c r="C122" s="31" t="inlineStr">
        <is>
          <t>transportation</t>
        </is>
      </c>
      <c r="D122" s="31" t="inlineStr">
        <is>
          <t>shipping</t>
        </is>
      </c>
      <c r="E122" s="31" t="inlineStr">
        <is>
          <t>midcap</t>
        </is>
      </c>
      <c r="F122" s="31" t="n">
        <v>12976.44</v>
      </c>
      <c r="G122" s="31" t="n">
        <v>802.1</v>
      </c>
      <c r="H122" s="31" t="n">
        <v>0.7</v>
      </c>
      <c r="I122" s="31" t="n">
        <v>1943741</v>
      </c>
      <c r="J122" s="31" t="inlineStr">
        <is>
          <t>544490</t>
        </is>
      </c>
    </row>
    <row r="123">
      <c r="A123" s="31" t="inlineStr">
        <is>
          <t>SUNTV</t>
        </is>
      </c>
      <c r="B123" s="31" t="inlineStr">
        <is>
          <t>Sun Tv Network Limited</t>
        </is>
      </c>
      <c r="C123" s="31" t="inlineStr">
        <is>
          <t>media</t>
        </is>
      </c>
      <c r="D123" s="31" t="inlineStr">
        <is>
          <t>entertainment / electronic media software</t>
        </is>
      </c>
      <c r="E123" s="31" t="inlineStr">
        <is>
          <t>largecap</t>
        </is>
      </c>
      <c r="F123" s="31" t="n">
        <v>24910.09</v>
      </c>
      <c r="G123" s="31" t="n">
        <v>636.5</v>
      </c>
      <c r="H123" s="31" t="n">
        <v>0.7</v>
      </c>
      <c r="I123" s="31" t="n">
        <v>1153473</v>
      </c>
      <c r="J123" s="31" t="inlineStr">
        <is>
          <t>532733</t>
        </is>
      </c>
    </row>
    <row r="124">
      <c r="A124" s="31" t="inlineStr">
        <is>
          <t>VHL</t>
        </is>
      </c>
      <c r="B124" s="31" t="inlineStr">
        <is>
          <t>Vardhman Holdings Limited</t>
        </is>
      </c>
      <c r="C124" s="31" t="inlineStr">
        <is>
          <t>financials</t>
        </is>
      </c>
      <c r="D124" s="31" t="inlineStr">
        <is>
          <t>finance &amp; investments</t>
        </is>
      </c>
      <c r="E124" s="31" t="inlineStr">
        <is>
          <t>smallcap</t>
        </is>
      </c>
      <c r="F124" s="31" t="n">
        <v>1140.72</v>
      </c>
      <c r="G124" s="31" t="n">
        <v>3598.8</v>
      </c>
      <c r="H124" s="31" t="n">
        <v>0.6899999999999999</v>
      </c>
      <c r="I124" s="31" t="n">
        <v>611</v>
      </c>
      <c r="J124" s="31" t="inlineStr">
        <is>
          <t>500439</t>
        </is>
      </c>
    </row>
    <row r="125">
      <c r="A125" s="31" t="inlineStr">
        <is>
          <t>USHAMART</t>
        </is>
      </c>
      <c r="B125" s="31" t="inlineStr">
        <is>
          <t>Usha Martin Limited</t>
        </is>
      </c>
      <c r="C125" s="31" t="inlineStr">
        <is>
          <t>metals &amp; mining</t>
        </is>
      </c>
      <c r="D125" s="31" t="inlineStr">
        <is>
          <t>steel - medium / small</t>
        </is>
      </c>
      <c r="E125" s="31" t="inlineStr">
        <is>
          <t>midcap</t>
        </is>
      </c>
      <c r="F125" s="31" t="n">
        <v>15746.02</v>
      </c>
      <c r="G125" s="31" t="n">
        <v>520.25</v>
      </c>
      <c r="H125" s="31" t="n">
        <v>0.6899999999999999</v>
      </c>
      <c r="I125" s="31" t="n">
        <v>962383</v>
      </c>
      <c r="J125" s="31" t="inlineStr">
        <is>
          <t>517146</t>
        </is>
      </c>
    </row>
    <row r="126">
      <c r="A126" s="31" t="inlineStr">
        <is>
          <t>FINCABLES</t>
        </is>
      </c>
      <c r="B126" s="31" t="inlineStr">
        <is>
          <t>Finolex Cables Limited</t>
        </is>
      </c>
      <c r="C126" s="31" t="inlineStr">
        <is>
          <t>industrials</t>
        </is>
      </c>
      <c r="D126" s="31" t="inlineStr">
        <is>
          <t>cables - power</t>
        </is>
      </c>
      <c r="E126" s="31" t="inlineStr">
        <is>
          <t>largecap</t>
        </is>
      </c>
      <c r="F126" s="31" t="n">
        <v>22543.26</v>
      </c>
      <c r="G126" s="31" t="n">
        <v>1483.5</v>
      </c>
      <c r="H126" s="31" t="n">
        <v>0.64</v>
      </c>
      <c r="I126" s="31" t="n">
        <v>409024</v>
      </c>
      <c r="J126" s="31" t="inlineStr">
        <is>
          <t>500144</t>
        </is>
      </c>
    </row>
    <row r="127">
      <c r="A127" s="31" t="inlineStr">
        <is>
          <t>ROSSTECH</t>
        </is>
      </c>
      <c r="B127" s="31" t="inlineStr">
        <is>
          <t>Rossell Techsys Ltd</t>
        </is>
      </c>
      <c r="C127" s="31" t="inlineStr">
        <is>
          <t>aerospace &amp; defence</t>
        </is>
      </c>
      <c r="D127" s="31" t="inlineStr">
        <is>
          <t>engineering</t>
        </is>
      </c>
      <c r="E127" s="31" t="inlineStr">
        <is>
          <t>midcap</t>
        </is>
      </c>
      <c r="F127" s="31" t="n">
        <v>6077.05</v>
      </c>
      <c r="G127" s="31" t="n">
        <v>1622.4</v>
      </c>
      <c r="H127" s="31" t="n">
        <v>0.64</v>
      </c>
      <c r="I127" s="31" t="n">
        <v>141894</v>
      </c>
      <c r="J127" s="31" t="inlineStr">
        <is>
          <t>544294</t>
        </is>
      </c>
    </row>
    <row r="128">
      <c r="A128" s="31" t="inlineStr">
        <is>
          <t>MBAPL</t>
        </is>
      </c>
      <c r="B128" s="31" t="inlineStr">
        <is>
          <t>Madhya Bharat Agro Products Ltd</t>
        </is>
      </c>
      <c r="C128" s="31" t="inlineStr">
        <is>
          <t>chemicals</t>
        </is>
      </c>
      <c r="D128" s="31" t="inlineStr">
        <is>
          <t>fertilizers</t>
        </is>
      </c>
      <c r="E128" s="31" t="inlineStr">
        <is>
          <t>smallcap</t>
        </is>
      </c>
      <c r="F128" s="31" t="n">
        <v>1462.93</v>
      </c>
      <c r="G128" s="31" t="n">
        <v>168.02</v>
      </c>
      <c r="H128" s="31" t="n">
        <v>0.64</v>
      </c>
      <c r="I128" s="31" t="n">
        <v>341290</v>
      </c>
      <c r="J128" s="31" t="inlineStr">
        <is>
          <t>538370</t>
        </is>
      </c>
    </row>
    <row r="129">
      <c r="A129" s="31" t="inlineStr">
        <is>
          <t>TDPOWERSYS</t>
        </is>
      </c>
      <c r="B129" s="31" t="inlineStr">
        <is>
          <t>Td Power Systems Limited</t>
        </is>
      </c>
      <c r="C129" s="31" t="inlineStr">
        <is>
          <t>industrials</t>
        </is>
      </c>
      <c r="D129" s="31" t="inlineStr">
        <is>
          <t>electric equipment</t>
        </is>
      </c>
      <c r="E129" s="31" t="inlineStr">
        <is>
          <t>midcap</t>
        </is>
      </c>
      <c r="F129" s="31" t="n">
        <v>12748.24</v>
      </c>
      <c r="G129" s="31" t="n">
        <v>821.1</v>
      </c>
      <c r="H129" s="31" t="n">
        <v>0.63</v>
      </c>
      <c r="I129" s="31" t="n">
        <v>2690340</v>
      </c>
      <c r="J129" s="31" t="inlineStr">
        <is>
          <t>533553</t>
        </is>
      </c>
    </row>
    <row r="130">
      <c r="A130" s="31" t="inlineStr">
        <is>
          <t>TCPLPACK</t>
        </is>
      </c>
      <c r="B130" s="31" t="inlineStr">
        <is>
          <t>TCPL Packaging Ltd</t>
        </is>
      </c>
      <c r="C130" s="31" t="inlineStr">
        <is>
          <t>industrials</t>
        </is>
      </c>
      <c r="D130" s="31" t="inlineStr">
        <is>
          <t>packaging</t>
        </is>
      </c>
      <c r="E130" s="31" t="inlineStr">
        <is>
          <t>smallcap</t>
        </is>
      </c>
      <c r="F130" s="31" t="n">
        <v>3647.19</v>
      </c>
      <c r="G130" s="31" t="n">
        <v>4031.5</v>
      </c>
      <c r="H130" s="31" t="n">
        <v>0.59</v>
      </c>
      <c r="I130" s="31" t="n">
        <v>3112</v>
      </c>
      <c r="J130" s="31" t="inlineStr">
        <is>
          <t>523301</t>
        </is>
      </c>
    </row>
    <row r="131">
      <c r="A131" s="31" t="inlineStr">
        <is>
          <t>AEROFLEX</t>
        </is>
      </c>
      <c r="B131" s="31" t="inlineStr">
        <is>
          <t>Aeroflex Industries Ltd</t>
        </is>
      </c>
      <c r="C131" s="31" t="inlineStr">
        <is>
          <t>metals &amp; mining</t>
        </is>
      </c>
      <c r="D131" s="31" t="inlineStr">
        <is>
          <t>steel - medium / small</t>
        </is>
      </c>
      <c r="E131" s="31" t="inlineStr">
        <is>
          <t>midcap</t>
        </is>
      </c>
      <c r="F131" s="31" t="n">
        <v>7420.45</v>
      </c>
      <c r="G131" s="31" t="n">
        <v>563.85</v>
      </c>
      <c r="H131" s="31" t="n">
        <v>0.55</v>
      </c>
      <c r="I131" s="31" t="n">
        <v>1019697</v>
      </c>
      <c r="J131" s="31" t="inlineStr">
        <is>
          <t>543972</t>
        </is>
      </c>
    </row>
    <row r="132">
      <c r="A132" s="31" t="inlineStr">
        <is>
          <t>MANORAMA</t>
        </is>
      </c>
      <c r="B132" s="31" t="inlineStr">
        <is>
          <t>Manorama Industries Ltd</t>
        </is>
      </c>
      <c r="C132" s="31" t="inlineStr">
        <is>
          <t>fmcg</t>
        </is>
      </c>
      <c r="D132" s="31" t="inlineStr">
        <is>
          <t>food - processing - indian</t>
        </is>
      </c>
      <c r="E132" s="31" t="inlineStr">
        <is>
          <t>midcap</t>
        </is>
      </c>
      <c r="F132" s="31" t="n">
        <v>11855.73</v>
      </c>
      <c r="G132" s="31" t="n">
        <v>1996</v>
      </c>
      <c r="H132" s="31" t="n">
        <v>0.52</v>
      </c>
      <c r="I132" s="31" t="n">
        <v>175806</v>
      </c>
      <c r="J132" s="31" t="inlineStr">
        <is>
          <t>541974</t>
        </is>
      </c>
    </row>
    <row r="133">
      <c r="A133" s="31" t="inlineStr">
        <is>
          <t>PGIL</t>
        </is>
      </c>
      <c r="B133" s="31" t="inlineStr">
        <is>
          <t>Pearl Global Industries Limited</t>
        </is>
      </c>
      <c r="C133" s="31" t="inlineStr">
        <is>
          <t>readymade garments/apparels</t>
        </is>
      </c>
      <c r="D133" s="31" t="inlineStr">
        <is>
          <t>textiles - products</t>
        </is>
      </c>
      <c r="E133" s="31" t="inlineStr">
        <is>
          <t>midcap</t>
        </is>
      </c>
      <c r="F133" s="31" t="n">
        <v>11701.91</v>
      </c>
      <c r="G133" s="31" t="n">
        <v>1273.1</v>
      </c>
      <c r="H133" s="31" t="n">
        <v>0.51</v>
      </c>
      <c r="I133" s="31" t="n">
        <v>177377</v>
      </c>
      <c r="J133" s="31" t="inlineStr">
        <is>
          <t>532808</t>
        </is>
      </c>
    </row>
    <row r="134">
      <c r="A134" s="31" t="inlineStr">
        <is>
          <t>VHLTD</t>
        </is>
      </c>
      <c r="B134" s="31" t="inlineStr">
        <is>
          <t>Viceroy Hotels Ltd</t>
        </is>
      </c>
      <c r="C134" s="31" t="inlineStr">
        <is>
          <t>services</t>
        </is>
      </c>
      <c r="D134" s="31" t="inlineStr">
        <is>
          <t>hotels</t>
        </is>
      </c>
      <c r="E134" s="31" t="inlineStr">
        <is>
          <t>smallcap</t>
        </is>
      </c>
      <c r="F134" s="31" t="n">
        <v>990.26</v>
      </c>
      <c r="G134" s="31" t="n">
        <v>129.62</v>
      </c>
      <c r="H134" s="31" t="n">
        <v>0.5</v>
      </c>
      <c r="I134" s="31" t="n">
        <v>79381</v>
      </c>
      <c r="J134" s="31" t="inlineStr">
        <is>
          <t>523796</t>
        </is>
      </c>
    </row>
    <row r="135">
      <c r="A135" s="31" t="inlineStr">
        <is>
          <t>IIFLCAPS</t>
        </is>
      </c>
      <c r="B135" s="31" t="inlineStr">
        <is>
          <t>IIFL Capital Services Ltd</t>
        </is>
      </c>
      <c r="C135" s="31" t="inlineStr">
        <is>
          <t>financials</t>
        </is>
      </c>
      <c r="D135" s="31" t="inlineStr">
        <is>
          <t>finance &amp; investments</t>
        </is>
      </c>
      <c r="E135" s="31" t="inlineStr">
        <is>
          <t>midcap</t>
        </is>
      </c>
      <c r="F135" s="31" t="n">
        <v>10818.75</v>
      </c>
      <c r="G135" s="31" t="n">
        <v>346.85</v>
      </c>
      <c r="H135" s="31" t="n">
        <v>0.49</v>
      </c>
      <c r="I135" s="31" t="n">
        <v>319500</v>
      </c>
      <c r="J135" s="31" t="inlineStr">
        <is>
          <t>542773</t>
        </is>
      </c>
    </row>
    <row r="136">
      <c r="A136" s="31" t="inlineStr">
        <is>
          <t>KPIL</t>
        </is>
      </c>
      <c r="B136" s="31" t="inlineStr">
        <is>
          <t>Kalpataru Projects International Ltd</t>
        </is>
      </c>
      <c r="C136" s="31" t="inlineStr">
        <is>
          <t>realty</t>
        </is>
      </c>
      <c r="D136" s="31" t="inlineStr">
        <is>
          <t>transmisson line towers / equipment</t>
        </is>
      </c>
      <c r="E136" s="31" t="inlineStr">
        <is>
          <t>largecap</t>
        </is>
      </c>
      <c r="F136" s="31" t="n">
        <v>24787.64</v>
      </c>
      <c r="G136" s="31" t="n">
        <v>1458.4</v>
      </c>
      <c r="H136" s="31" t="n">
        <v>0.48</v>
      </c>
      <c r="I136" s="31" t="n">
        <v>171837</v>
      </c>
      <c r="J136" s="31" t="inlineStr">
        <is>
          <t>522287</t>
        </is>
      </c>
    </row>
    <row r="137">
      <c r="A137" s="31" t="inlineStr">
        <is>
          <t>NRAIL</t>
        </is>
      </c>
      <c r="B137" s="31" t="inlineStr">
        <is>
          <t>N R Agarwal Industries Ltd</t>
        </is>
      </c>
      <c r="C137" s="31" t="inlineStr">
        <is>
          <t>building materials</t>
        </is>
      </c>
      <c r="D137" s="31" t="inlineStr">
        <is>
          <t>paper</t>
        </is>
      </c>
      <c r="E137" s="31" t="inlineStr">
        <is>
          <t>smallcap</t>
        </is>
      </c>
      <c r="F137" s="31" t="n">
        <v>1120.28</v>
      </c>
      <c r="G137" s="31" t="n">
        <v>660.9</v>
      </c>
      <c r="H137" s="31" t="n">
        <v>0.4</v>
      </c>
      <c r="I137" s="31" t="n">
        <v>10667</v>
      </c>
      <c r="J137" s="31" t="inlineStr">
        <is>
          <t>516082</t>
        </is>
      </c>
    </row>
    <row r="138">
      <c r="A138" s="31" t="inlineStr">
        <is>
          <t>MOTISONS</t>
        </is>
      </c>
      <c r="B138" s="31" t="inlineStr">
        <is>
          <t>Motisons Jewellers Ltd</t>
        </is>
      </c>
      <c r="C138" s="31" t="inlineStr">
        <is>
          <t>consumer discretionary</t>
        </is>
      </c>
      <c r="D138" s="31" t="inlineStr">
        <is>
          <t>diamond cutting / jewellery</t>
        </is>
      </c>
      <c r="E138" s="31" t="inlineStr">
        <is>
          <t>smallcap</t>
        </is>
      </c>
      <c r="F138" s="31" t="n">
        <v>2003.15</v>
      </c>
      <c r="G138" s="31" t="n">
        <v>17.68</v>
      </c>
      <c r="H138" s="31" t="n">
        <v>0.4</v>
      </c>
      <c r="I138" s="31" t="n">
        <v>12310506</v>
      </c>
      <c r="J138" s="31" t="inlineStr">
        <is>
          <t>544053</t>
        </is>
      </c>
    </row>
    <row r="139">
      <c r="A139" s="31" t="inlineStr">
        <is>
          <t>DIVISLAB</t>
        </is>
      </c>
      <c r="B139" s="31" t="inlineStr">
        <is>
          <t>Divi's Laboratories Limited</t>
        </is>
      </c>
      <c r="C139" s="31" t="inlineStr">
        <is>
          <t>healthcare</t>
        </is>
      </c>
      <c r="D139" s="31" t="inlineStr">
        <is>
          <t>pharmaceuticals - indian - bulk drugs</t>
        </is>
      </c>
      <c r="E139" s="31" t="inlineStr">
        <is>
          <t>largecap</t>
        </is>
      </c>
      <c r="F139" s="31" t="n">
        <v>253522.49</v>
      </c>
      <c r="G139" s="31" t="n">
        <v>9588</v>
      </c>
      <c r="H139" s="31" t="n">
        <v>0.4</v>
      </c>
      <c r="I139" s="31" t="n">
        <v>422217</v>
      </c>
      <c r="J139" s="31" t="inlineStr">
        <is>
          <t>532488</t>
        </is>
      </c>
    </row>
    <row r="140">
      <c r="A140" s="31" t="inlineStr">
        <is>
          <t>NGLFINE</t>
        </is>
      </c>
      <c r="B140" s="31" t="inlineStr">
        <is>
          <t>NGL Fine Chem Ltd</t>
        </is>
      </c>
      <c r="C140" s="31" t="inlineStr">
        <is>
          <t>healthcare</t>
        </is>
      </c>
      <c r="D140" s="31" t="inlineStr">
        <is>
          <t>pharmaceuticals - indian - bulk drugs</t>
        </is>
      </c>
      <c r="E140" s="31" t="inlineStr">
        <is>
          <t>smallcap</t>
        </is>
      </c>
      <c r="F140" s="31" t="n">
        <v>1928.84</v>
      </c>
      <c r="G140" s="31" t="n">
        <v>3134.2</v>
      </c>
      <c r="H140" s="31" t="n">
        <v>0.39</v>
      </c>
      <c r="I140" s="31" t="n">
        <v>10470</v>
      </c>
      <c r="J140" s="31" t="inlineStr">
        <is>
          <t>524774</t>
        </is>
      </c>
    </row>
    <row r="141">
      <c r="A141" s="31" t="inlineStr">
        <is>
          <t>KMEW</t>
        </is>
      </c>
      <c r="B141" s="31" t="inlineStr">
        <is>
          <t>Knowledge Marine &amp; Engineering Works Ltd</t>
        </is>
      </c>
      <c r="C141" s="31" t="inlineStr">
        <is>
          <t>transportation</t>
        </is>
      </c>
      <c r="D141" s="31" t="inlineStr">
        <is>
          <t>miscellaneous</t>
        </is>
      </c>
      <c r="E141" s="31" t="inlineStr">
        <is>
          <t>midcap</t>
        </is>
      </c>
      <c r="F141" s="31" t="n">
        <v>7827.74</v>
      </c>
      <c r="G141" s="31" t="n">
        <v>3214</v>
      </c>
      <c r="H141" s="31" t="n">
        <v>0.37</v>
      </c>
      <c r="I141" s="31" t="n">
        <v>92519</v>
      </c>
      <c r="J141" s="31" t="inlineStr">
        <is>
          <t>543273</t>
        </is>
      </c>
    </row>
    <row r="142">
      <c r="A142" s="31" t="inlineStr">
        <is>
          <t>PATELRMART</t>
        </is>
      </c>
      <c r="B142" s="31" t="inlineStr">
        <is>
          <t>Patel Retail Ltd</t>
        </is>
      </c>
      <c r="C142" s="31" t="inlineStr">
        <is>
          <t>consumer discretionary</t>
        </is>
      </c>
      <c r="D142" s="31" t="inlineStr">
        <is>
          <t>trading</t>
        </is>
      </c>
      <c r="E142" s="31" t="inlineStr">
        <is>
          <t>smallcap</t>
        </is>
      </c>
      <c r="F142" s="31" t="n">
        <v>758.23</v>
      </c>
      <c r="G142" s="31" t="n">
        <v>227.86</v>
      </c>
      <c r="H142" s="31" t="n">
        <v>0.37</v>
      </c>
      <c r="I142" s="31" t="n">
        <v>234782</v>
      </c>
      <c r="J142" s="31" t="inlineStr">
        <is>
          <t>544487</t>
        </is>
      </c>
    </row>
    <row r="143">
      <c r="A143" s="31" t="inlineStr">
        <is>
          <t>RATNAVEER</t>
        </is>
      </c>
      <c r="B143" s="31" t="inlineStr">
        <is>
          <t>Ratnaveer Precision Engineering Ltd</t>
        </is>
      </c>
      <c r="C143" s="31" t="inlineStr">
        <is>
          <t>metals &amp; mining</t>
        </is>
      </c>
      <c r="D143" s="31" t="inlineStr">
        <is>
          <t>steel - medium / small</t>
        </is>
      </c>
      <c r="E143" s="31" t="inlineStr">
        <is>
          <t>smallcap</t>
        </is>
      </c>
      <c r="F143" s="31" t="n">
        <v>2813.63</v>
      </c>
      <c r="G143" s="31" t="n">
        <v>336.45</v>
      </c>
      <c r="H143" s="31" t="n">
        <v>0.36</v>
      </c>
      <c r="I143" s="31" t="n">
        <v>5211840</v>
      </c>
      <c r="J143" s="31" t="inlineStr">
        <is>
          <t>543978</t>
        </is>
      </c>
    </row>
    <row r="144">
      <c r="A144" s="31" t="inlineStr">
        <is>
          <t>SETL</t>
        </is>
      </c>
      <c r="B144" s="31" t="inlineStr">
        <is>
          <t>Standard Enginnering Technology Ltd</t>
        </is>
      </c>
      <c r="C144" s="31" t="inlineStr">
        <is>
          <t>industrials</t>
        </is>
      </c>
      <c r="D144" s="31" t="inlineStr">
        <is>
          <t>engineering</t>
        </is>
      </c>
      <c r="E144" s="31" t="inlineStr">
        <is>
          <t>midcap</t>
        </is>
      </c>
      <c r="F144" s="31" t="n">
        <v>8544.23</v>
      </c>
      <c r="G144" s="31" t="n">
        <v>429.8</v>
      </c>
      <c r="H144" s="31" t="n">
        <v>0.35</v>
      </c>
      <c r="I144" s="31" t="n">
        <v>300178</v>
      </c>
      <c r="J144" s="31" t="inlineStr">
        <is>
          <t>544333</t>
        </is>
      </c>
    </row>
    <row r="145">
      <c r="A145" s="31" t="inlineStr">
        <is>
          <t>ATLANTAELE</t>
        </is>
      </c>
      <c r="B145" s="31" t="inlineStr">
        <is>
          <t>Atlanta Electricals Ltd</t>
        </is>
      </c>
      <c r="C145" s="31" t="inlineStr">
        <is>
          <t>industrials</t>
        </is>
      </c>
      <c r="D145" s="31" t="inlineStr">
        <is>
          <t>electric equipment</t>
        </is>
      </c>
      <c r="E145" s="31" t="inlineStr">
        <is>
          <t>midcap</t>
        </is>
      </c>
      <c r="F145" s="31" t="n">
        <v>14374.29</v>
      </c>
      <c r="G145" s="31" t="n">
        <v>1875.8</v>
      </c>
      <c r="H145" s="31" t="n">
        <v>0.35</v>
      </c>
      <c r="I145" s="31" t="n">
        <v>281587</v>
      </c>
      <c r="J145" s="31" t="inlineStr">
        <is>
          <t>544527</t>
        </is>
      </c>
    </row>
    <row r="146">
      <c r="A146" s="31" t="inlineStr">
        <is>
          <t>PREMEXPLN</t>
        </is>
      </c>
      <c r="B146" s="31" t="inlineStr">
        <is>
          <t>Premier Explosives Limited</t>
        </is>
      </c>
      <c r="C146" s="31" t="inlineStr">
        <is>
          <t>aerospace &amp; defence</t>
        </is>
      </c>
      <c r="D146" s="31" t="inlineStr">
        <is>
          <t>chemicals</t>
        </is>
      </c>
      <c r="E146" s="31" t="inlineStr">
        <is>
          <t>smallcap</t>
        </is>
      </c>
      <c r="F146" s="31" t="n">
        <v>3683.18</v>
      </c>
      <c r="G146" s="31" t="n">
        <v>687.05</v>
      </c>
      <c r="H146" s="31" t="n">
        <v>0.28</v>
      </c>
      <c r="I146" s="31" t="n">
        <v>200274</v>
      </c>
      <c r="J146" s="31" t="inlineStr">
        <is>
          <t>526247</t>
        </is>
      </c>
    </row>
    <row r="147">
      <c r="A147" s="31" t="inlineStr">
        <is>
          <t>MANBA</t>
        </is>
      </c>
      <c r="B147" s="31" t="inlineStr">
        <is>
          <t>Manba Finance Ltd</t>
        </is>
      </c>
      <c r="C147" s="31" t="inlineStr">
        <is>
          <t>financials</t>
        </is>
      </c>
      <c r="D147" s="31" t="inlineStr">
        <is>
          <t>finance &amp; investments</t>
        </is>
      </c>
      <c r="E147" s="31" t="inlineStr">
        <is>
          <t>smallcap</t>
        </is>
      </c>
      <c r="F147" s="31" t="n">
        <v>710.13</v>
      </c>
      <c r="G147" s="31" t="n">
        <v>141.74</v>
      </c>
      <c r="H147" s="31" t="n">
        <v>0.28</v>
      </c>
      <c r="I147" s="31" t="n">
        <v>48842</v>
      </c>
      <c r="J147" s="31" t="inlineStr">
        <is>
          <t>544262</t>
        </is>
      </c>
    </row>
    <row r="148">
      <c r="A148" s="31" t="inlineStr">
        <is>
          <t>PRECWIRE</t>
        </is>
      </c>
      <c r="B148" s="31" t="inlineStr">
        <is>
          <t>Precision Wires India Limited</t>
        </is>
      </c>
      <c r="C148" s="31" t="inlineStr">
        <is>
          <t>metals &amp; mining</t>
        </is>
      </c>
      <c r="D148" s="31" t="inlineStr">
        <is>
          <t>mining / minerals / metals</t>
        </is>
      </c>
      <c r="E148" s="31" t="inlineStr">
        <is>
          <t>midcap</t>
        </is>
      </c>
      <c r="F148" s="31" t="n">
        <v>9417.35</v>
      </c>
      <c r="G148" s="31" t="n">
        <v>516.6</v>
      </c>
      <c r="H148" s="31" t="n">
        <v>0.28</v>
      </c>
      <c r="I148" s="31" t="n">
        <v>455686</v>
      </c>
      <c r="J148" s="31" t="inlineStr">
        <is>
          <t>523539</t>
        </is>
      </c>
    </row>
    <row r="149">
      <c r="A149" s="31" t="inlineStr">
        <is>
          <t>FILATEX</t>
        </is>
      </c>
      <c r="B149" s="31" t="inlineStr">
        <is>
          <t>Filatex India Limited</t>
        </is>
      </c>
      <c r="C149" s="31" t="inlineStr">
        <is>
          <t>textiles</t>
        </is>
      </c>
      <c r="D149" s="31" t="inlineStr">
        <is>
          <t>textiles - manmade</t>
        </is>
      </c>
      <c r="E149" s="31" t="inlineStr">
        <is>
          <t>smallcap</t>
        </is>
      </c>
      <c r="F149" s="31" t="n">
        <v>4945.03</v>
      </c>
      <c r="G149" s="31" t="n">
        <v>111.63</v>
      </c>
      <c r="H149" s="31" t="n">
        <v>0.24</v>
      </c>
      <c r="I149" s="31" t="n">
        <v>2534868</v>
      </c>
      <c r="J149" s="31" t="inlineStr">
        <is>
          <t>526227</t>
        </is>
      </c>
    </row>
    <row r="150">
      <c r="A150" s="31" t="inlineStr">
        <is>
          <t>DIACABS</t>
        </is>
      </c>
      <c r="B150" s="31" t="inlineStr">
        <is>
          <t>Diamond Power Infrastructure Ltd</t>
        </is>
      </c>
      <c r="C150" s="31" t="inlineStr">
        <is>
          <t>industrials</t>
        </is>
      </c>
      <c r="D150" s="31" t="inlineStr">
        <is>
          <t>cables - power</t>
        </is>
      </c>
      <c r="E150" s="31" t="inlineStr">
        <is>
          <t>largecap</t>
        </is>
      </c>
      <c r="F150" s="31" t="n">
        <v>22026.96</v>
      </c>
      <c r="G150" s="31" t="n">
        <v>369.15</v>
      </c>
      <c r="H150" s="31" t="n">
        <v>0.23</v>
      </c>
      <c r="I150" s="31" t="n">
        <v>847344</v>
      </c>
      <c r="J150" s="31" t="inlineStr">
        <is>
          <t>522163</t>
        </is>
      </c>
    </row>
    <row r="151">
      <c r="A151" s="31" t="inlineStr">
        <is>
          <t>SGFIN</t>
        </is>
      </c>
      <c r="B151" s="31" t="inlineStr">
        <is>
          <t>SG Finserve Ltd</t>
        </is>
      </c>
      <c r="C151" s="31" t="inlineStr">
        <is>
          <t>financials</t>
        </is>
      </c>
      <c r="D151" s="31" t="inlineStr">
        <is>
          <t>finance &amp; investments</t>
        </is>
      </c>
      <c r="E151" s="31" t="inlineStr">
        <is>
          <t>smallcap</t>
        </is>
      </c>
      <c r="F151" s="31" t="n">
        <v>4363.24</v>
      </c>
      <c r="G151" s="31" t="n">
        <v>663.7</v>
      </c>
      <c r="H151" s="31" t="n">
        <v>0.23</v>
      </c>
      <c r="I151" s="31" t="n">
        <v>231759</v>
      </c>
      <c r="J151" s="31" t="inlineStr">
        <is>
          <t>539199</t>
        </is>
      </c>
    </row>
    <row r="152">
      <c r="A152" s="31" t="inlineStr">
        <is>
          <t>KIRLFER</t>
        </is>
      </c>
      <c r="B152" s="31" t="inlineStr">
        <is>
          <t>Kirloskar Ferrous Industries Ltd</t>
        </is>
      </c>
      <c r="C152" s="31" t="inlineStr">
        <is>
          <t>metals &amp; mining</t>
        </is>
      </c>
      <c r="D152" s="31" t="inlineStr">
        <is>
          <t>steel - large</t>
        </is>
      </c>
      <c r="E152" s="31" t="inlineStr">
        <is>
          <t>midcap</t>
        </is>
      </c>
      <c r="F152" s="31" t="n">
        <v>7800.02</v>
      </c>
      <c r="G152" s="31" t="n">
        <v>473.8</v>
      </c>
      <c r="H152" s="31" t="n">
        <v>0.22</v>
      </c>
      <c r="I152" s="31" t="n">
        <v>69152</v>
      </c>
      <c r="J152" s="31" t="inlineStr">
        <is>
          <t>500245</t>
        </is>
      </c>
    </row>
    <row r="153">
      <c r="A153" s="31" t="inlineStr">
        <is>
          <t>MAYURUNIQ</t>
        </is>
      </c>
      <c r="B153" s="31" t="inlineStr">
        <is>
          <t>Mayur Uniquoters Ltd</t>
        </is>
      </c>
      <c r="C153" s="31" t="inlineStr">
        <is>
          <t>consumer discretionary</t>
        </is>
      </c>
      <c r="D153" s="31" t="inlineStr">
        <is>
          <t>leather / leather products</t>
        </is>
      </c>
      <c r="E153" s="31" t="inlineStr">
        <is>
          <t>smallcap</t>
        </is>
      </c>
      <c r="F153" s="31" t="n">
        <v>3307.39</v>
      </c>
      <c r="G153" s="31" t="n">
        <v>762.85</v>
      </c>
      <c r="H153" s="31" t="n">
        <v>0.22</v>
      </c>
      <c r="I153" s="31" t="n">
        <v>78870</v>
      </c>
      <c r="J153" s="31" t="inlineStr">
        <is>
          <t>522249</t>
        </is>
      </c>
    </row>
    <row r="154">
      <c r="A154" s="31" t="inlineStr">
        <is>
          <t>REDINGTON</t>
        </is>
      </c>
      <c r="B154" s="31" t="inlineStr">
        <is>
          <t>Redington (india) Limited</t>
        </is>
      </c>
      <c r="C154" s="31" t="inlineStr">
        <is>
          <t>services</t>
        </is>
      </c>
      <c r="D154" s="31" t="inlineStr">
        <is>
          <t>trading</t>
        </is>
      </c>
      <c r="E154" s="31" t="inlineStr">
        <is>
          <t>largecap</t>
        </is>
      </c>
      <c r="F154" s="31" t="n">
        <v>31716.59</v>
      </c>
      <c r="G154" s="31" t="n">
        <v>406.5</v>
      </c>
      <c r="H154" s="31" t="n">
        <v>0.2</v>
      </c>
      <c r="I154" s="31" t="n">
        <v>2508651</v>
      </c>
      <c r="J154" s="31" t="inlineStr">
        <is>
          <t>532805</t>
        </is>
      </c>
    </row>
    <row r="155">
      <c r="A155" s="31" t="inlineStr">
        <is>
          <t>LLOYDSENT</t>
        </is>
      </c>
      <c r="B155" s="31" t="inlineStr">
        <is>
          <t>Lloyds Enterprises Ltd</t>
        </is>
      </c>
      <c r="C155" s="31" t="inlineStr">
        <is>
          <t>services</t>
        </is>
      </c>
      <c r="D155" s="31" t="inlineStr">
        <is>
          <t>trading</t>
        </is>
      </c>
      <c r="E155" s="31" t="inlineStr">
        <is>
          <t>midcap</t>
        </is>
      </c>
      <c r="F155" s="31" t="n">
        <v>12033.81</v>
      </c>
      <c r="G155" s="31" t="n">
        <v>78.98</v>
      </c>
      <c r="H155" s="31" t="n">
        <v>0.19</v>
      </c>
      <c r="I155" s="31" t="n">
        <v>1865814</v>
      </c>
      <c r="J155" s="31" t="inlineStr">
        <is>
          <t>512463</t>
        </is>
      </c>
    </row>
    <row r="156">
      <c r="A156" s="31" t="inlineStr">
        <is>
          <t>ARROWGREEN</t>
        </is>
      </c>
      <c r="B156" s="31" t="inlineStr">
        <is>
          <t>Arrow Greentech Limited</t>
        </is>
      </c>
      <c r="C156" s="31" t="inlineStr">
        <is>
          <t>plastic products</t>
        </is>
      </c>
      <c r="D156" s="31" t="inlineStr">
        <is>
          <t>plastics products</t>
        </is>
      </c>
      <c r="E156" s="31" t="inlineStr">
        <is>
          <t>smallcap</t>
        </is>
      </c>
      <c r="F156" s="31" t="n">
        <v>1345.47</v>
      </c>
      <c r="G156" s="31" t="n">
        <v>893.35</v>
      </c>
      <c r="H156" s="31" t="n">
        <v>0.18</v>
      </c>
      <c r="I156" s="31" t="n">
        <v>19826</v>
      </c>
      <c r="J156" s="31" t="inlineStr">
        <is>
          <t>516064</t>
        </is>
      </c>
    </row>
    <row r="157">
      <c r="A157" s="31" t="inlineStr">
        <is>
          <t>ONEPOINT</t>
        </is>
      </c>
      <c r="B157" s="31" t="inlineStr">
        <is>
          <t>One Point One Solutions Ltd</t>
        </is>
      </c>
      <c r="C157" s="31" t="inlineStr">
        <is>
          <t>i.t</t>
        </is>
      </c>
      <c r="D157" s="31" t="inlineStr">
        <is>
          <t>computers - software - medium / small</t>
        </is>
      </c>
      <c r="E157" s="31" t="inlineStr">
        <is>
          <t>smallcap</t>
        </is>
      </c>
      <c r="F157" s="31" t="n">
        <v>2068</v>
      </c>
      <c r="G157" s="31" t="n">
        <v>78.77</v>
      </c>
      <c r="H157" s="31" t="n">
        <v>0.15</v>
      </c>
      <c r="I157" s="31" t="n">
        <v>2116511</v>
      </c>
      <c r="J157" s="31" t="inlineStr">
        <is>
          <t>535039</t>
        </is>
      </c>
    </row>
    <row r="158">
      <c r="A158" s="31" t="inlineStr">
        <is>
          <t>LAURUSLABS</t>
        </is>
      </c>
      <c r="B158" s="31" t="inlineStr">
        <is>
          <t>Laurus Labs Limited</t>
        </is>
      </c>
      <c r="C158" s="31" t="inlineStr">
        <is>
          <t>healthcare</t>
        </is>
      </c>
      <c r="D158" s="31" t="inlineStr">
        <is>
          <t>pharmaceuticals - indian - bulk drugs &amp; formln</t>
        </is>
      </c>
      <c r="E158" s="31" t="inlineStr">
        <is>
          <t>largecap</t>
        </is>
      </c>
      <c r="F158" s="31" t="n">
        <v>110751.16</v>
      </c>
      <c r="G158" s="31" t="n">
        <v>2052.8</v>
      </c>
      <c r="H158" s="31" t="n">
        <v>0.14</v>
      </c>
      <c r="I158" s="31" t="n">
        <v>1499990</v>
      </c>
      <c r="J158" s="31" t="inlineStr">
        <is>
          <t>540222</t>
        </is>
      </c>
    </row>
    <row r="159">
      <c r="A159" s="31" t="inlineStr">
        <is>
          <t>SBC</t>
        </is>
      </c>
      <c r="B159" s="31" t="inlineStr">
        <is>
          <t>SBC Exports Ltd</t>
        </is>
      </c>
      <c r="C159" s="31" t="inlineStr">
        <is>
          <t>textiles</t>
        </is>
      </c>
      <c r="D159" s="31" t="inlineStr">
        <is>
          <t>textiles - products</t>
        </is>
      </c>
      <c r="E159" s="31" t="inlineStr">
        <is>
          <t>smallcap</t>
        </is>
      </c>
      <c r="F159" s="31" t="n">
        <v>2938.09</v>
      </c>
      <c r="G159" s="31" t="n">
        <v>61.77</v>
      </c>
      <c r="H159" s="31" t="n">
        <v>0.11</v>
      </c>
      <c r="I159" s="31" t="n">
        <v>13158768</v>
      </c>
      <c r="J159" s="31" t="inlineStr">
        <is>
          <t>542725</t>
        </is>
      </c>
    </row>
    <row r="160">
      <c r="A160" s="31" t="inlineStr">
        <is>
          <t>MAZDA</t>
        </is>
      </c>
      <c r="B160" s="31" t="inlineStr">
        <is>
          <t>Mazda Limited</t>
        </is>
      </c>
      <c r="C160" s="31" t="inlineStr">
        <is>
          <t>industrials</t>
        </is>
      </c>
      <c r="D160" s="31" t="inlineStr">
        <is>
          <t>engineering</t>
        </is>
      </c>
      <c r="E160" s="31" t="inlineStr">
        <is>
          <t>smallcap</t>
        </is>
      </c>
      <c r="F160" s="31" t="n">
        <v>567.51</v>
      </c>
      <c r="G160" s="31" t="n">
        <v>283.65</v>
      </c>
      <c r="H160" s="31" t="n">
        <v>0.09</v>
      </c>
      <c r="I160" s="31" t="n">
        <v>26709</v>
      </c>
      <c r="J160" s="31" t="inlineStr">
        <is>
          <t>523792</t>
        </is>
      </c>
    </row>
    <row r="161">
      <c r="A161" s="31" t="inlineStr">
        <is>
          <t>NEOGEN</t>
        </is>
      </c>
      <c r="B161" s="31" t="inlineStr">
        <is>
          <t>Neogen Chemicals Ltd</t>
        </is>
      </c>
      <c r="C161" s="31" t="inlineStr">
        <is>
          <t>chemicals</t>
        </is>
      </c>
      <c r="D161" s="31" t="inlineStr">
        <is>
          <t>chemicals</t>
        </is>
      </c>
      <c r="E161" s="31" t="inlineStr">
        <is>
          <t>midcap</t>
        </is>
      </c>
      <c r="F161" s="31" t="n">
        <v>7297.91</v>
      </c>
      <c r="G161" s="31" t="n">
        <v>2431.3</v>
      </c>
      <c r="H161" s="31" t="n">
        <v>0.09</v>
      </c>
      <c r="I161" s="31" t="n">
        <v>79815</v>
      </c>
      <c r="J161" s="31" t="inlineStr">
        <is>
          <t>542665</t>
        </is>
      </c>
    </row>
    <row r="162">
      <c r="A162" s="31" t="inlineStr">
        <is>
          <t>DMCC</t>
        </is>
      </c>
      <c r="B162" s="31" t="inlineStr">
        <is>
          <t>DMCC Speciality Chemicals Ltd</t>
        </is>
      </c>
      <c r="C162" s="31" t="inlineStr">
        <is>
          <t>chemicals</t>
        </is>
      </c>
      <c r="D162" s="31" t="inlineStr">
        <is>
          <t>chemicals</t>
        </is>
      </c>
      <c r="E162" s="31" t="inlineStr">
        <is>
          <t>smallcap</t>
        </is>
      </c>
      <c r="F162" s="31" t="n">
        <v>887.36</v>
      </c>
      <c r="G162" s="31" t="n">
        <v>356.05</v>
      </c>
      <c r="H162" s="31" t="n">
        <v>0.07000000000000001</v>
      </c>
      <c r="I162" s="31" t="n">
        <v>373447</v>
      </c>
      <c r="J162" s="31" t="inlineStr">
        <is>
          <t>506405</t>
        </is>
      </c>
    </row>
    <row r="163">
      <c r="A163" s="31" t="inlineStr">
        <is>
          <t>DHAMPURSUG</t>
        </is>
      </c>
      <c r="B163" s="31" t="inlineStr">
        <is>
          <t>Dhampur Sugar Mills Limited</t>
        </is>
      </c>
      <c r="C163" s="31" t="inlineStr">
        <is>
          <t>fmcg</t>
        </is>
      </c>
      <c r="D163" s="31" t="inlineStr">
        <is>
          <t>sugar</t>
        </is>
      </c>
      <c r="E163" s="31" t="inlineStr">
        <is>
          <t>smallcap</t>
        </is>
      </c>
      <c r="F163" s="31" t="n">
        <v>1214.17</v>
      </c>
      <c r="G163" s="31" t="n">
        <v>188.92</v>
      </c>
      <c r="H163" s="31" t="n">
        <v>0.06</v>
      </c>
      <c r="I163" s="31" t="n">
        <v>1200310</v>
      </c>
      <c r="J163" s="31" t="inlineStr">
        <is>
          <t>500119</t>
        </is>
      </c>
    </row>
    <row r="164">
      <c r="A164" s="31" t="inlineStr">
        <is>
          <t>GALAPREC</t>
        </is>
      </c>
      <c r="B164" s="31" t="inlineStr">
        <is>
          <t>Gala Precision Engineering Ltd</t>
        </is>
      </c>
      <c r="C164" s="31" t="inlineStr">
        <is>
          <t>castings, forgings &amp; fasteners</t>
        </is>
      </c>
      <c r="D164" s="31" t="inlineStr">
        <is>
          <t>fasteners</t>
        </is>
      </c>
      <c r="E164" s="31" t="inlineStr">
        <is>
          <t>smallcap</t>
        </is>
      </c>
      <c r="F164" s="31" t="n">
        <v>1487.96</v>
      </c>
      <c r="G164" s="31" t="n">
        <v>1161.4</v>
      </c>
      <c r="H164" s="31" t="n">
        <v>0.03</v>
      </c>
      <c r="I164" s="31" t="n">
        <v>35302</v>
      </c>
      <c r="J164" s="31" t="inlineStr">
        <is>
          <t>544244</t>
        </is>
      </c>
    </row>
    <row r="165">
      <c r="A165" s="31" t="inlineStr">
        <is>
          <t>AURUM</t>
        </is>
      </c>
      <c r="B165" s="31" t="inlineStr">
        <is>
          <t>Aurum Proptech Ltd</t>
        </is>
      </c>
      <c r="C165" s="31" t="inlineStr">
        <is>
          <t>i.t</t>
        </is>
      </c>
      <c r="D165" s="31" t="inlineStr">
        <is>
          <t>computers - software - medium / small</t>
        </is>
      </c>
      <c r="E165" s="31" t="inlineStr">
        <is>
          <t>smallcap</t>
        </is>
      </c>
      <c r="F165" s="31" t="n">
        <v>2231.85</v>
      </c>
      <c r="G165" s="31" t="n">
        <v>231.2</v>
      </c>
      <c r="H165" s="31" t="n">
        <v>0.03</v>
      </c>
      <c r="I165" s="31" t="n">
        <v>124143</v>
      </c>
      <c r="J165" s="31" t="inlineStr">
        <is>
          <t>539289</t>
        </is>
      </c>
    </row>
    <row r="166">
      <c r="A166" s="31" t="inlineStr">
        <is>
          <t>KINGFA</t>
        </is>
      </c>
      <c r="B166" s="31" t="inlineStr">
        <is>
          <t>Kingfa Science &amp; Technology (india) Limited</t>
        </is>
      </c>
      <c r="C166" s="31" t="inlineStr">
        <is>
          <t>plastic products</t>
        </is>
      </c>
      <c r="D166" s="31" t="inlineStr">
        <is>
          <t>plastics products</t>
        </is>
      </c>
      <c r="E166" s="31" t="inlineStr">
        <is>
          <t>midcap</t>
        </is>
      </c>
      <c r="F166" s="31" t="n">
        <v>9393.82</v>
      </c>
      <c r="G166" s="31" t="n">
        <v>6932.5</v>
      </c>
      <c r="H166" s="31" t="n">
        <v>0.01</v>
      </c>
      <c r="I166" s="31" t="n">
        <v>9197</v>
      </c>
      <c r="J166" s="31" t="inlineStr">
        <is>
          <t>524019</t>
        </is>
      </c>
    </row>
    <row r="167">
      <c r="A167" s="31" t="inlineStr">
        <is>
          <t>STLTECH</t>
        </is>
      </c>
      <c r="B167" s="31" t="inlineStr">
        <is>
          <t>Sterlite Technologies Limited</t>
        </is>
      </c>
      <c r="C167" s="31" t="inlineStr">
        <is>
          <t>industrials</t>
        </is>
      </c>
      <c r="D167" s="31" t="inlineStr">
        <is>
          <t>cables - telephone</t>
        </is>
      </c>
      <c r="E167" s="31" t="inlineStr">
        <is>
          <t>largecap</t>
        </is>
      </c>
      <c r="F167" s="31" t="n">
        <v>52247.82</v>
      </c>
      <c r="G167" s="31" t="n">
        <v>1016.8</v>
      </c>
      <c r="H167" s="31" t="n">
        <v>0.01</v>
      </c>
      <c r="I167" s="31" t="n">
        <v>1206624</v>
      </c>
      <c r="J167" s="31" t="inlineStr">
        <is>
          <t>532374</t>
        </is>
      </c>
    </row>
    <row r="168">
      <c r="A168" s="31" t="inlineStr">
        <is>
          <t>MUFIN</t>
        </is>
      </c>
      <c r="B168" s="31" t="inlineStr">
        <is>
          <t>Mufin Green Finance Ltd</t>
        </is>
      </c>
      <c r="C168" s="31" t="inlineStr">
        <is>
          <t>financials</t>
        </is>
      </c>
      <c r="D168" s="31" t="inlineStr">
        <is>
          <t>finance &amp; investments</t>
        </is>
      </c>
      <c r="E168" s="31" t="inlineStr">
        <is>
          <t>smallcap</t>
        </is>
      </c>
      <c r="F168" s="31" t="n">
        <v>2678.56</v>
      </c>
      <c r="G168" s="31" t="n">
        <v>135.17</v>
      </c>
      <c r="H168" s="31" t="n">
        <v>0</v>
      </c>
      <c r="I168" s="31" t="n">
        <v>2030615</v>
      </c>
      <c r="J168" s="31" t="inlineStr">
        <is>
          <t>542774</t>
        </is>
      </c>
    </row>
    <row r="169">
      <c r="A169" s="31" t="inlineStr">
        <is>
          <t>MANKIND</t>
        </is>
      </c>
      <c r="B169" s="31" t="inlineStr">
        <is>
          <t>Mankind Pharma Ltd</t>
        </is>
      </c>
      <c r="C169" s="31" t="inlineStr">
        <is>
          <t>healthcare</t>
        </is>
      </c>
      <c r="D169" s="31" t="inlineStr">
        <is>
          <t>pharmaceuticals - indian - bulk drugs &amp; formln</t>
        </is>
      </c>
      <c r="E169" s="31" t="inlineStr">
        <is>
          <t>largecap</t>
        </is>
      </c>
      <c r="F169" s="31" t="n">
        <v>103248.99</v>
      </c>
      <c r="G169" s="31" t="n">
        <v>2500</v>
      </c>
      <c r="H169" s="31" t="n">
        <v>0</v>
      </c>
      <c r="I169" s="31" t="n">
        <v>242210</v>
      </c>
      <c r="J169" s="31" t="inlineStr">
        <is>
          <t>543904</t>
        </is>
      </c>
    </row>
    <row r="170">
      <c r="A170" s="31" t="inlineStr">
        <is>
          <t>SWANDEF</t>
        </is>
      </c>
      <c r="B170" s="31" t="inlineStr">
        <is>
          <t>Swan Defence and Heavy Industries Ltd</t>
        </is>
      </c>
      <c r="C170" s="31" t="inlineStr">
        <is>
          <t>transportation</t>
        </is>
      </c>
      <c r="D170" s="31" t="inlineStr">
        <is>
          <t>miscellaneous</t>
        </is>
      </c>
      <c r="E170" s="31" t="inlineStr">
        <is>
          <t>midcap</t>
        </is>
      </c>
      <c r="F170" s="31" t="n">
        <v>14541.33</v>
      </c>
      <c r="G170" s="31" t="n">
        <v>2759.4</v>
      </c>
      <c r="H170" s="31" t="n">
        <v>-0.03</v>
      </c>
      <c r="I170" s="31" t="n">
        <v>15248</v>
      </c>
      <c r="J170" s="31" t="inlineStr">
        <is>
          <t>533107</t>
        </is>
      </c>
    </row>
    <row r="171">
      <c r="A171" s="31" t="inlineStr">
        <is>
          <t>LLOYDSENGG</t>
        </is>
      </c>
      <c r="B171" s="31" t="inlineStr">
        <is>
          <t>Lloyds Engineering Works Ltd</t>
        </is>
      </c>
      <c r="C171" s="31" t="inlineStr">
        <is>
          <t>industrials</t>
        </is>
      </c>
      <c r="D171" s="31" t="inlineStr">
        <is>
          <t>engineering</t>
        </is>
      </c>
      <c r="E171" s="31" t="inlineStr">
        <is>
          <t>midcap</t>
        </is>
      </c>
      <c r="F171" s="31" t="n">
        <v>15688.76</v>
      </c>
      <c r="G171" s="31" t="n">
        <v>101.1</v>
      </c>
      <c r="H171" s="31" t="n">
        <v>-0.05</v>
      </c>
      <c r="I171" s="31" t="n">
        <v>10569722</v>
      </c>
      <c r="J171" s="31" t="inlineStr">
        <is>
          <t>539992</t>
        </is>
      </c>
    </row>
    <row r="172">
      <c r="A172" s="31" t="inlineStr">
        <is>
          <t>VENUSPIPES</t>
        </is>
      </c>
      <c r="B172" s="31" t="inlineStr">
        <is>
          <t>Venus Pipes &amp; Tubes Ltd</t>
        </is>
      </c>
      <c r="C172" s="31" t="inlineStr">
        <is>
          <t>metals &amp; mining</t>
        </is>
      </c>
      <c r="D172" s="31" t="inlineStr">
        <is>
          <t>steel - medium / small</t>
        </is>
      </c>
      <c r="E172" s="31" t="inlineStr">
        <is>
          <t>smallcap</t>
        </is>
      </c>
      <c r="F172" s="31" t="n">
        <v>4641.03</v>
      </c>
      <c r="G172" s="31" t="n">
        <v>2238.5</v>
      </c>
      <c r="H172" s="31" t="n">
        <v>-0.08</v>
      </c>
      <c r="I172" s="31" t="n">
        <v>114368</v>
      </c>
      <c r="J172" s="31" t="inlineStr">
        <is>
          <t>543528</t>
        </is>
      </c>
    </row>
    <row r="173">
      <c r="A173" s="31" t="inlineStr">
        <is>
          <t>SUNDROP</t>
        </is>
      </c>
      <c r="B173" s="31" t="inlineStr">
        <is>
          <t>Sundrop Brands Ltd</t>
        </is>
      </c>
      <c r="C173" s="31" t="inlineStr">
        <is>
          <t>fmcg</t>
        </is>
      </c>
      <c r="D173" s="31" t="inlineStr">
        <is>
          <t>food - processing - indian</t>
        </is>
      </c>
      <c r="E173" s="31" t="inlineStr">
        <is>
          <t>smallcap</t>
        </is>
      </c>
      <c r="F173" s="31" t="n">
        <v>2815.2</v>
      </c>
      <c r="G173" s="31" t="n">
        <v>745.9</v>
      </c>
      <c r="H173" s="31" t="n">
        <v>-0.12</v>
      </c>
      <c r="I173" s="31" t="n">
        <v>6576</v>
      </c>
      <c r="J173" s="31" t="inlineStr">
        <is>
          <t>500215</t>
        </is>
      </c>
    </row>
    <row r="174">
      <c r="A174" s="31" t="inlineStr">
        <is>
          <t>SSWL</t>
        </is>
      </c>
      <c r="B174" s="31" t="inlineStr">
        <is>
          <t>Steel Strips Wheels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midcap</t>
        </is>
      </c>
      <c r="F174" s="31" t="n">
        <v>6675.45</v>
      </c>
      <c r="G174" s="31" t="n">
        <v>424.2</v>
      </c>
      <c r="H174" s="31" t="n">
        <v>-0.12</v>
      </c>
      <c r="I174" s="31" t="n">
        <v>845591</v>
      </c>
      <c r="J174" s="31" t="inlineStr">
        <is>
          <t>513262</t>
        </is>
      </c>
    </row>
    <row r="175">
      <c r="A175" s="31" t="inlineStr">
        <is>
          <t>PETRONET</t>
        </is>
      </c>
      <c r="B175" s="31" t="inlineStr">
        <is>
          <t>Petronet Lng Limited</t>
        </is>
      </c>
      <c r="C175" s="31" t="inlineStr">
        <is>
          <t>energy</t>
        </is>
      </c>
      <c r="D175" s="31" t="inlineStr">
        <is>
          <t>miscellaneous</t>
        </is>
      </c>
      <c r="E175" s="31" t="inlineStr">
        <is>
          <t>largecap</t>
        </is>
      </c>
      <c r="F175" s="31" t="n">
        <v>44625</v>
      </c>
      <c r="G175" s="31" t="n">
        <v>297</v>
      </c>
      <c r="H175" s="31" t="n">
        <v>-0.17</v>
      </c>
      <c r="I175" s="31" t="n">
        <v>3121238</v>
      </c>
      <c r="J175" s="31" t="inlineStr">
        <is>
          <t>532522</t>
        </is>
      </c>
    </row>
    <row r="176">
      <c r="A176" s="31" t="inlineStr">
        <is>
          <t>ACE</t>
        </is>
      </c>
      <c r="B176" s="31" t="inlineStr">
        <is>
          <t>Action Construction Equipment Limited</t>
        </is>
      </c>
      <c r="C176" s="31" t="inlineStr">
        <is>
          <t>industrials</t>
        </is>
      </c>
      <c r="D176" s="31" t="inlineStr">
        <is>
          <t>engineering</t>
        </is>
      </c>
      <c r="E176" s="31" t="inlineStr">
        <is>
          <t>midcap</t>
        </is>
      </c>
      <c r="F176" s="31" t="n">
        <v>14911.6</v>
      </c>
      <c r="G176" s="31" t="n">
        <v>1249.9</v>
      </c>
      <c r="H176" s="31" t="n">
        <v>-0.18</v>
      </c>
      <c r="I176" s="31" t="n">
        <v>245926</v>
      </c>
      <c r="J176" s="31" t="inlineStr">
        <is>
          <t>532762</t>
        </is>
      </c>
    </row>
    <row r="177">
      <c r="A177" s="31" t="inlineStr">
        <is>
          <t>JYOTICNC</t>
        </is>
      </c>
      <c r="B177" s="31" t="inlineStr">
        <is>
          <t>Jyoti CNC Automation Ltd</t>
        </is>
      </c>
      <c r="C177" s="31" t="inlineStr">
        <is>
          <t>industrials</t>
        </is>
      </c>
      <c r="D177" s="31" t="inlineStr">
        <is>
          <t>engineering</t>
        </is>
      </c>
      <c r="E177" s="31" t="inlineStr">
        <is>
          <t>largecap</t>
        </is>
      </c>
      <c r="F177" s="31" t="n">
        <v>24404.77</v>
      </c>
      <c r="G177" s="31" t="n">
        <v>1071</v>
      </c>
      <c r="H177" s="31" t="n">
        <v>-0.2</v>
      </c>
      <c r="I177" s="31" t="n">
        <v>699558</v>
      </c>
      <c r="J177" s="31" t="inlineStr">
        <is>
          <t>544081</t>
        </is>
      </c>
    </row>
    <row r="178">
      <c r="A178" s="31" t="inlineStr">
        <is>
          <t>WHEELS</t>
        </is>
      </c>
      <c r="B178" s="31" t="inlineStr">
        <is>
          <t>Wheels India Limited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midcap</t>
        </is>
      </c>
      <c r="F178" s="31" t="n">
        <v>5592.72</v>
      </c>
      <c r="G178" s="31" t="n">
        <v>2283.9</v>
      </c>
      <c r="H178" s="31" t="n">
        <v>-0.22</v>
      </c>
      <c r="I178" s="31" t="n">
        <v>62357</v>
      </c>
      <c r="J178" s="31" t="inlineStr">
        <is>
          <t>590073</t>
        </is>
      </c>
    </row>
    <row r="179">
      <c r="A179" s="31" t="inlineStr">
        <is>
          <t>SHILPAMED</t>
        </is>
      </c>
      <c r="B179" s="31" t="inlineStr">
        <is>
          <t>Shilpa Medicare Limited</t>
        </is>
      </c>
      <c r="C179" s="31" t="inlineStr">
        <is>
          <t>healthcare</t>
        </is>
      </c>
      <c r="D179" s="31" t="inlineStr">
        <is>
          <t>pharmaceuticals - indian - formulations</t>
        </is>
      </c>
      <c r="E179" s="31" t="inlineStr">
        <is>
          <t>largecap</t>
        </is>
      </c>
      <c r="F179" s="31" t="n">
        <v>20999.62</v>
      </c>
      <c r="G179" s="31" t="n">
        <v>1071.2</v>
      </c>
      <c r="H179" s="31" t="n">
        <v>-0.23</v>
      </c>
      <c r="I179" s="31" t="n">
        <v>433185</v>
      </c>
      <c r="J179" s="31" t="inlineStr">
        <is>
          <t>530549</t>
        </is>
      </c>
    </row>
    <row r="180">
      <c r="A180" s="31" t="inlineStr">
        <is>
          <t>SMCGLOBAL</t>
        </is>
      </c>
      <c r="B180" s="31" t="inlineStr">
        <is>
          <t>SMC Global Securities Ltd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smallcap</t>
        </is>
      </c>
      <c r="F180" s="31" t="n">
        <v>2314.92</v>
      </c>
      <c r="G180" s="31" t="n">
        <v>110.24</v>
      </c>
      <c r="H180" s="31" t="n">
        <v>-0.28</v>
      </c>
      <c r="I180" s="31" t="n">
        <v>6234957</v>
      </c>
      <c r="J180" s="31" t="inlineStr">
        <is>
          <t>543263</t>
        </is>
      </c>
    </row>
    <row r="181">
      <c r="A181" s="31" t="inlineStr">
        <is>
          <t>ASTRAMICRO</t>
        </is>
      </c>
      <c r="B181" s="31" t="inlineStr">
        <is>
          <t>Astra Microwave Products Limited</t>
        </is>
      </c>
      <c r="C181" s="31" t="inlineStr">
        <is>
          <t>aerospace &amp; defence</t>
        </is>
      </c>
      <c r="D181" s="31" t="inlineStr">
        <is>
          <t>telecommunications - equipment</t>
        </is>
      </c>
      <c r="E181" s="31" t="inlineStr">
        <is>
          <t>midcap</t>
        </is>
      </c>
      <c r="F181" s="31" t="n">
        <v>16196.67</v>
      </c>
      <c r="G181" s="31" t="n">
        <v>1701.1</v>
      </c>
      <c r="H181" s="31" t="n">
        <v>-0.28</v>
      </c>
      <c r="I181" s="31" t="n">
        <v>197596</v>
      </c>
      <c r="J181" s="31" t="inlineStr">
        <is>
          <t>532493</t>
        </is>
      </c>
    </row>
    <row r="182">
      <c r="A182" s="31" t="inlineStr">
        <is>
          <t>DIFFNKG</t>
        </is>
      </c>
      <c r="B182" s="31" t="inlineStr">
        <is>
          <t>Diffusion Engineers Ltd</t>
        </is>
      </c>
      <c r="C182" s="31" t="inlineStr">
        <is>
          <t>industrials</t>
        </is>
      </c>
      <c r="D182" s="31" t="inlineStr">
        <is>
          <t>electrodes - welding equipment</t>
        </is>
      </c>
      <c r="E182" s="31" t="inlineStr">
        <is>
          <t>smallcap</t>
        </is>
      </c>
      <c r="F182" s="31" t="n">
        <v>1699.53</v>
      </c>
      <c r="G182" s="31" t="n">
        <v>452.85</v>
      </c>
      <c r="H182" s="31" t="n">
        <v>-0.28</v>
      </c>
      <c r="I182" s="31" t="n">
        <v>89977</v>
      </c>
      <c r="J182" s="31" t="inlineStr">
        <is>
          <t>544264</t>
        </is>
      </c>
    </row>
    <row r="183">
      <c r="A183" s="31" t="inlineStr">
        <is>
          <t>NAZARA</t>
        </is>
      </c>
      <c r="B183" s="31" t="inlineStr">
        <is>
          <t>Nazara Technologies Ltd</t>
        </is>
      </c>
      <c r="C183" s="31" t="inlineStr">
        <is>
          <t>i.t</t>
        </is>
      </c>
      <c r="D183" s="31" t="inlineStr">
        <is>
          <t>telecommunications - service provider</t>
        </is>
      </c>
      <c r="E183" s="31" t="inlineStr">
        <is>
          <t>midcap</t>
        </is>
      </c>
      <c r="F183" s="31" t="n">
        <v>14601.14</v>
      </c>
      <c r="G183" s="31" t="n">
        <v>378.45</v>
      </c>
      <c r="H183" s="31" t="n">
        <v>-0.29</v>
      </c>
      <c r="I183" s="31" t="n">
        <v>421680</v>
      </c>
      <c r="J183" s="31" t="inlineStr">
        <is>
          <t>543280</t>
        </is>
      </c>
    </row>
    <row r="184">
      <c r="A184" s="31" t="inlineStr">
        <is>
          <t>SPECTRUM</t>
        </is>
      </c>
      <c r="B184" s="31" t="inlineStr">
        <is>
          <t>Spectrum Electrical Industries Ltd</t>
        </is>
      </c>
      <c r="C184" s="31" t="inlineStr">
        <is>
          <t>industrials</t>
        </is>
      </c>
      <c r="D184" s="31" t="inlineStr">
        <is>
          <t>electric equipment</t>
        </is>
      </c>
      <c r="E184" s="31" t="inlineStr">
        <is>
          <t>midcap</t>
        </is>
      </c>
      <c r="F184" s="31" t="n">
        <v>6691.28</v>
      </c>
      <c r="G184" s="31" t="n">
        <v>3903.7</v>
      </c>
      <c r="H184" s="31" t="n">
        <v>-0.31</v>
      </c>
      <c r="I184" s="31" t="n">
        <v>5497</v>
      </c>
      <c r="J184" s="31" t="inlineStr">
        <is>
          <t>535112</t>
        </is>
      </c>
    </row>
    <row r="185">
      <c r="A185" s="31" t="inlineStr">
        <is>
          <t>GALAXYSURF</t>
        </is>
      </c>
      <c r="B185" s="31" t="inlineStr">
        <is>
          <t>Galaxy Surfactants Ltd</t>
        </is>
      </c>
      <c r="C185" s="31" t="inlineStr">
        <is>
          <t>chemicals</t>
        </is>
      </c>
      <c r="D185" s="31" t="inlineStr">
        <is>
          <t>chemicals</t>
        </is>
      </c>
      <c r="E185" s="31" t="inlineStr">
        <is>
          <t>midcap</t>
        </is>
      </c>
      <c r="F185" s="31" t="n">
        <v>8659.469999999999</v>
      </c>
      <c r="G185" s="31" t="n">
        <v>2434</v>
      </c>
      <c r="H185" s="31" t="n">
        <v>-0.34</v>
      </c>
      <c r="I185" s="31" t="n">
        <v>78369</v>
      </c>
      <c r="J185" s="31" t="inlineStr">
        <is>
          <t>540935</t>
        </is>
      </c>
    </row>
    <row r="186">
      <c r="A186" s="31" t="inlineStr">
        <is>
          <t>ISGEC</t>
        </is>
      </c>
      <c r="B186" s="31" t="inlineStr">
        <is>
          <t>ISGEC Heavy Engineering  Ltd</t>
        </is>
      </c>
      <c r="C186" s="31" t="inlineStr">
        <is>
          <t>realty</t>
        </is>
      </c>
      <c r="D186" s="31" t="inlineStr">
        <is>
          <t>engineering - turnkey services</t>
        </is>
      </c>
      <c r="E186" s="31" t="inlineStr">
        <is>
          <t>midcap</t>
        </is>
      </c>
      <c r="F186" s="31" t="n">
        <v>6654.42</v>
      </c>
      <c r="G186" s="31" t="n">
        <v>901.75</v>
      </c>
      <c r="H186" s="31" t="n">
        <v>-0.36</v>
      </c>
      <c r="I186" s="31" t="n">
        <v>73566</v>
      </c>
      <c r="J186" s="31" t="inlineStr">
        <is>
          <t>533033</t>
        </is>
      </c>
    </row>
    <row r="187">
      <c r="A187" s="31" t="inlineStr">
        <is>
          <t>SATIA</t>
        </is>
      </c>
      <c r="B187" s="31" t="inlineStr">
        <is>
          <t>Satia Industries Ltd</t>
        </is>
      </c>
      <c r="C187" s="31" t="inlineStr">
        <is>
          <t>building materials</t>
        </is>
      </c>
      <c r="D187" s="31" t="inlineStr">
        <is>
          <t>paper</t>
        </is>
      </c>
      <c r="E187" s="31" t="inlineStr">
        <is>
          <t>smallcap</t>
        </is>
      </c>
      <c r="F187" s="31" t="n">
        <v>692.6</v>
      </c>
      <c r="G187" s="31" t="n">
        <v>69</v>
      </c>
      <c r="H187" s="31" t="n">
        <v>-0.38</v>
      </c>
      <c r="I187" s="31" t="n">
        <v>97840</v>
      </c>
      <c r="J187" s="31" t="inlineStr">
        <is>
          <t>539201</t>
        </is>
      </c>
    </row>
    <row r="188">
      <c r="A188" s="31" t="inlineStr">
        <is>
          <t>ORIENTHOT</t>
        </is>
      </c>
      <c r="B188" s="31" t="inlineStr">
        <is>
          <t>Oriental Hotels Limited</t>
        </is>
      </c>
      <c r="C188" s="31" t="inlineStr">
        <is>
          <t>services</t>
        </is>
      </c>
      <c r="D188" s="31" t="inlineStr">
        <is>
          <t>hotels</t>
        </is>
      </c>
      <c r="E188" s="31" t="inlineStr">
        <is>
          <t>smallcap</t>
        </is>
      </c>
      <c r="F188" s="31" t="n">
        <v>2564.86</v>
      </c>
      <c r="G188" s="31" t="n">
        <v>143.06</v>
      </c>
      <c r="H188" s="31" t="n">
        <v>-0.38</v>
      </c>
      <c r="I188" s="31" t="n">
        <v>343678</v>
      </c>
      <c r="J188" s="31" t="inlineStr">
        <is>
          <t>500314</t>
        </is>
      </c>
    </row>
    <row r="189">
      <c r="A189" s="31" t="inlineStr">
        <is>
          <t>CYIENT</t>
        </is>
      </c>
      <c r="B189" s="31" t="inlineStr">
        <is>
          <t>Cyient Limited</t>
        </is>
      </c>
      <c r="C189" s="31" t="inlineStr">
        <is>
          <t>i.t</t>
        </is>
      </c>
      <c r="D189" s="31" t="inlineStr">
        <is>
          <t>computers - software - medium / small</t>
        </is>
      </c>
      <c r="E189" s="31" t="inlineStr">
        <is>
          <t>midcap</t>
        </is>
      </c>
      <c r="F189" s="31" t="n">
        <v>11724.8</v>
      </c>
      <c r="G189" s="31" t="n">
        <v>1115</v>
      </c>
      <c r="H189" s="31" t="n">
        <v>-0.39</v>
      </c>
      <c r="I189" s="31" t="n">
        <v>259473</v>
      </c>
      <c r="J189" s="31" t="inlineStr">
        <is>
          <t>532175</t>
        </is>
      </c>
    </row>
    <row r="190">
      <c r="A190" s="31" t="inlineStr">
        <is>
          <t>ICIL</t>
        </is>
      </c>
      <c r="B190" s="31" t="inlineStr">
        <is>
          <t>Indo Count Industries Limited</t>
        </is>
      </c>
      <c r="C190" s="31" t="inlineStr">
        <is>
          <t>textiles</t>
        </is>
      </c>
      <c r="D190" s="31" t="inlineStr">
        <is>
          <t>textiles - cotton/blended</t>
        </is>
      </c>
      <c r="E190" s="31" t="inlineStr">
        <is>
          <t>midcap</t>
        </is>
      </c>
      <c r="F190" s="31" t="n">
        <v>9370.940000000001</v>
      </c>
      <c r="G190" s="31" t="n">
        <v>471.1</v>
      </c>
      <c r="H190" s="31" t="n">
        <v>-0.43</v>
      </c>
      <c r="I190" s="31" t="n">
        <v>317864</v>
      </c>
      <c r="J190" s="31" t="inlineStr">
        <is>
          <t>521016</t>
        </is>
      </c>
    </row>
    <row r="191">
      <c r="A191" s="31" t="inlineStr">
        <is>
          <t>AZAD</t>
        </is>
      </c>
      <c r="B191" s="31" t="inlineStr">
        <is>
          <t>Azad Engineering Ltd</t>
        </is>
      </c>
      <c r="C191" s="31" t="inlineStr">
        <is>
          <t>aerospace &amp; defence</t>
        </is>
      </c>
      <c r="D191" s="31" t="inlineStr">
        <is>
          <t>engineering</t>
        </is>
      </c>
      <c r="E191" s="31" t="inlineStr">
        <is>
          <t>midcap</t>
        </is>
      </c>
      <c r="F191" s="31" t="n">
        <v>19778.8</v>
      </c>
      <c r="G191" s="31" t="n">
        <v>3048.2</v>
      </c>
      <c r="H191" s="31" t="n">
        <v>-0.47</v>
      </c>
      <c r="I191" s="31" t="n">
        <v>585882</v>
      </c>
      <c r="J191" s="31" t="inlineStr">
        <is>
          <t>544061</t>
        </is>
      </c>
    </row>
    <row r="192">
      <c r="A192" s="31" t="inlineStr">
        <is>
          <t>GCSL</t>
        </is>
      </c>
      <c r="B192" s="31" t="inlineStr">
        <is>
          <t>Gretex Corporate Services Ltd</t>
        </is>
      </c>
      <c r="C192" s="31" t="inlineStr">
        <is>
          <t>financials</t>
        </is>
      </c>
      <c r="D192" s="31" t="inlineStr">
        <is>
          <t>finance &amp; investments</t>
        </is>
      </c>
      <c r="E192" s="31" t="inlineStr">
        <is>
          <t>smallcap</t>
        </is>
      </c>
      <c r="F192" s="31" t="n">
        <v>1733</v>
      </c>
      <c r="G192" s="31" t="n">
        <v>689.7</v>
      </c>
      <c r="H192" s="31" t="n">
        <v>-0.48</v>
      </c>
      <c r="I192" s="31" t="n">
        <v>392492</v>
      </c>
      <c r="J192" s="31" t="inlineStr">
        <is>
          <t>543324</t>
        </is>
      </c>
    </row>
    <row r="193">
      <c r="A193" s="31" t="inlineStr">
        <is>
          <t>ADFFOODS</t>
        </is>
      </c>
      <c r="B193" s="31" t="inlineStr">
        <is>
          <t>Adf Foods Limited</t>
        </is>
      </c>
      <c r="C193" s="31" t="inlineStr">
        <is>
          <t>fmcg</t>
        </is>
      </c>
      <c r="D193" s="31" t="inlineStr">
        <is>
          <t>food - processing - indian</t>
        </is>
      </c>
      <c r="E193" s="31" t="inlineStr">
        <is>
          <t>smallcap</t>
        </is>
      </c>
      <c r="F193" s="31" t="n">
        <v>3220.1</v>
      </c>
      <c r="G193" s="31" t="n">
        <v>291.7</v>
      </c>
      <c r="H193" s="31" t="n">
        <v>-0.48</v>
      </c>
      <c r="I193" s="31" t="n">
        <v>217579</v>
      </c>
      <c r="J193" s="31" t="inlineStr">
        <is>
          <t>519183</t>
        </is>
      </c>
    </row>
    <row r="194">
      <c r="A194" s="31" t="inlineStr">
        <is>
          <t>5PAISA</t>
        </is>
      </c>
      <c r="B194" s="31" t="inlineStr">
        <is>
          <t>5Paisa Capital Ltd</t>
        </is>
      </c>
      <c r="C194" s="31" t="inlineStr">
        <is>
          <t>financials</t>
        </is>
      </c>
      <c r="D194" s="31" t="inlineStr">
        <is>
          <t>finance &amp; investments</t>
        </is>
      </c>
      <c r="E194" s="31" t="inlineStr">
        <is>
          <t>smallcap</t>
        </is>
      </c>
      <c r="F194" s="31" t="n">
        <v>1639.47</v>
      </c>
      <c r="G194" s="31" t="n">
        <v>348</v>
      </c>
      <c r="H194" s="31" t="n">
        <v>-0.49</v>
      </c>
      <c r="I194" s="31" t="n">
        <v>25160</v>
      </c>
      <c r="J194" s="31" t="inlineStr">
        <is>
          <t>540776</t>
        </is>
      </c>
    </row>
    <row r="195">
      <c r="A195" s="31" t="inlineStr">
        <is>
          <t>MARINE</t>
        </is>
      </c>
      <c r="B195" s="31" t="inlineStr">
        <is>
          <t>Marine Electricals (India) Ltd</t>
        </is>
      </c>
      <c r="C195" s="31" t="inlineStr">
        <is>
          <t>industrials</t>
        </is>
      </c>
      <c r="D195" s="31" t="inlineStr">
        <is>
          <t>electric equipment</t>
        </is>
      </c>
      <c r="E195" s="31" t="inlineStr">
        <is>
          <t>midcap</t>
        </is>
      </c>
      <c r="F195" s="31" t="n">
        <v>6701.24</v>
      </c>
      <c r="G195" s="31" t="n">
        <v>476.4</v>
      </c>
      <c r="H195" s="31" t="n">
        <v>-0.51</v>
      </c>
      <c r="I195" s="31" t="n">
        <v>1413767</v>
      </c>
      <c r="J195" s="31" t="inlineStr">
        <is>
          <t>535119</t>
        </is>
      </c>
    </row>
    <row r="196">
      <c r="A196" s="31" t="inlineStr">
        <is>
          <t>MODISONLTD</t>
        </is>
      </c>
      <c r="B196" s="31" t="inlineStr">
        <is>
          <t>Modison Ltd</t>
        </is>
      </c>
      <c r="C196" s="31" t="inlineStr">
        <is>
          <t>industrials</t>
        </is>
      </c>
      <c r="D196" s="31" t="inlineStr">
        <is>
          <t>electric equipment</t>
        </is>
      </c>
      <c r="E196" s="31" t="inlineStr">
        <is>
          <t>smallcap</t>
        </is>
      </c>
      <c r="F196" s="31" t="n">
        <v>1594.27</v>
      </c>
      <c r="G196" s="31" t="n">
        <v>488.8</v>
      </c>
      <c r="H196" s="31" t="n">
        <v>-0.51</v>
      </c>
      <c r="I196" s="31" t="n">
        <v>44662</v>
      </c>
      <c r="J196" s="31" t="inlineStr">
        <is>
          <t>506261</t>
        </is>
      </c>
    </row>
    <row r="197">
      <c r="A197" s="31" t="inlineStr">
        <is>
          <t>BANSALWIRE</t>
        </is>
      </c>
      <c r="B197" s="31" t="inlineStr">
        <is>
          <t>Bansal Wire Industries Ltd</t>
        </is>
      </c>
      <c r="C197" s="31" t="inlineStr">
        <is>
          <t>metals &amp; mining</t>
        </is>
      </c>
      <c r="D197" s="31" t="inlineStr">
        <is>
          <t>steel - medium / small</t>
        </is>
      </c>
      <c r="E197" s="31" t="inlineStr">
        <is>
          <t>midcap</t>
        </is>
      </c>
      <c r="F197" s="31" t="n">
        <v>5099.03</v>
      </c>
      <c r="G197" s="31" t="n">
        <v>324</v>
      </c>
      <c r="H197" s="31" t="n">
        <v>-0.52</v>
      </c>
      <c r="I197" s="31" t="n">
        <v>110111</v>
      </c>
      <c r="J197" s="31" t="inlineStr">
        <is>
          <t>544209</t>
        </is>
      </c>
    </row>
    <row r="198">
      <c r="A198" s="31" t="inlineStr">
        <is>
          <t>SANATHAN</t>
        </is>
      </c>
      <c r="B198" s="31" t="inlineStr">
        <is>
          <t>Sanathan Textiles Ltd</t>
        </is>
      </c>
      <c r="C198" s="31" t="inlineStr">
        <is>
          <t>textiles</t>
        </is>
      </c>
      <c r="D198" s="31" t="inlineStr">
        <is>
          <t>textiles - cotton/blended</t>
        </is>
      </c>
      <c r="E198" s="31" t="inlineStr">
        <is>
          <t>smallcap</t>
        </is>
      </c>
      <c r="F198" s="31" t="n">
        <v>4436.7</v>
      </c>
      <c r="G198" s="31" t="n">
        <v>522.85</v>
      </c>
      <c r="H198" s="31" t="n">
        <v>-0.53</v>
      </c>
      <c r="I198" s="31" t="n">
        <v>33869</v>
      </c>
      <c r="J198" s="31" t="inlineStr">
        <is>
          <t>544314</t>
        </is>
      </c>
    </row>
    <row r="199">
      <c r="A199" s="31" t="inlineStr">
        <is>
          <t>IGPL</t>
        </is>
      </c>
      <c r="B199" s="31" t="inlineStr">
        <is>
          <t>Ig Petrochemicals Limited</t>
        </is>
      </c>
      <c r="C199" s="31" t="inlineStr">
        <is>
          <t>chemicals</t>
        </is>
      </c>
      <c r="D199" s="31" t="inlineStr">
        <is>
          <t>chemicals</t>
        </is>
      </c>
      <c r="E199" s="31" t="inlineStr">
        <is>
          <t>smallcap</t>
        </is>
      </c>
      <c r="F199" s="31" t="n">
        <v>1815.36</v>
      </c>
      <c r="G199" s="31" t="n">
        <v>586.25</v>
      </c>
      <c r="H199" s="31" t="n">
        <v>-0.55</v>
      </c>
      <c r="I199" s="31" t="n">
        <v>46121</v>
      </c>
      <c r="J199" s="31" t="inlineStr">
        <is>
          <t>500199</t>
        </is>
      </c>
    </row>
    <row r="200">
      <c r="A200" s="31" t="inlineStr">
        <is>
          <t>RAMRAT</t>
        </is>
      </c>
      <c r="B200" s="31" t="inlineStr">
        <is>
          <t>Ram Ratna Wires Ltd</t>
        </is>
      </c>
      <c r="C200" s="31" t="inlineStr">
        <is>
          <t>metals &amp; mining</t>
        </is>
      </c>
      <c r="D200" s="31" t="inlineStr">
        <is>
          <t>mining / minerals / metals</t>
        </is>
      </c>
      <c r="E200" s="31" t="inlineStr">
        <is>
          <t>midcap</t>
        </is>
      </c>
      <c r="F200" s="31" t="n">
        <v>5985.54</v>
      </c>
      <c r="G200" s="31" t="n">
        <v>637.4</v>
      </c>
      <c r="H200" s="31" t="n">
        <v>-0.59</v>
      </c>
      <c r="I200" s="31" t="n">
        <v>113963</v>
      </c>
      <c r="J200" s="31" t="inlineStr">
        <is>
          <t>522281</t>
        </is>
      </c>
    </row>
    <row r="201">
      <c r="A201" s="31" t="inlineStr">
        <is>
          <t>RUBYMILLS</t>
        </is>
      </c>
      <c r="B201" s="31" t="inlineStr">
        <is>
          <t>The Ruby Mills Limited</t>
        </is>
      </c>
      <c r="C201" s="31" t="inlineStr">
        <is>
          <t>textiles</t>
        </is>
      </c>
      <c r="D201" s="31" t="inlineStr">
        <is>
          <t>textiles - composite</t>
        </is>
      </c>
      <c r="E201" s="31" t="inlineStr">
        <is>
          <t>smallcap</t>
        </is>
      </c>
      <c r="F201" s="31" t="n">
        <v>1714.8</v>
      </c>
      <c r="G201" s="31" t="n">
        <v>509.8</v>
      </c>
      <c r="H201" s="31" t="n">
        <v>-0.59</v>
      </c>
      <c r="I201" s="31" t="n">
        <v>12360</v>
      </c>
      <c r="J201" s="31" t="inlineStr">
        <is>
          <t>503169</t>
        </is>
      </c>
    </row>
    <row r="202">
      <c r="A202" s="31" t="inlineStr">
        <is>
          <t>SOMANYCERA</t>
        </is>
      </c>
      <c r="B202" s="31" t="inlineStr">
        <is>
          <t>Somany Ceramics Limited</t>
        </is>
      </c>
      <c r="C202" s="31" t="inlineStr">
        <is>
          <t>building materials</t>
        </is>
      </c>
      <c r="D202" s="31" t="inlineStr">
        <is>
          <t>ceramics - tiles / sanitaryware</t>
        </is>
      </c>
      <c r="E202" s="31" t="inlineStr">
        <is>
          <t>smallcap</t>
        </is>
      </c>
      <c r="F202" s="31" t="n">
        <v>2563.3</v>
      </c>
      <c r="G202" s="31" t="n">
        <v>621.15</v>
      </c>
      <c r="H202" s="31" t="n">
        <v>-0.62</v>
      </c>
      <c r="I202" s="31" t="n">
        <v>53562</v>
      </c>
      <c r="J202" s="31" t="inlineStr">
        <is>
          <t>531548</t>
        </is>
      </c>
    </row>
    <row r="203">
      <c r="A203" s="31" t="inlineStr">
        <is>
          <t>AETHER</t>
        </is>
      </c>
      <c r="B203" s="31" t="inlineStr">
        <is>
          <t>Aether Industries Ltd</t>
        </is>
      </c>
      <c r="C203" s="31" t="inlineStr">
        <is>
          <t>chemicals</t>
        </is>
      </c>
      <c r="D203" s="31" t="inlineStr">
        <is>
          <t>chemicals</t>
        </is>
      </c>
      <c r="E203" s="31" t="inlineStr">
        <is>
          <t>largecap</t>
        </is>
      </c>
      <c r="F203" s="31" t="n">
        <v>23885.61</v>
      </c>
      <c r="G203" s="31" t="n">
        <v>1787.6</v>
      </c>
      <c r="H203" s="31" t="n">
        <v>-0.68</v>
      </c>
      <c r="I203" s="31" t="n">
        <v>273746</v>
      </c>
      <c r="J203" s="31" t="inlineStr">
        <is>
          <t>543534</t>
        </is>
      </c>
    </row>
    <row r="204">
      <c r="A204" s="31" t="inlineStr">
        <is>
          <t>VINDHYATEL</t>
        </is>
      </c>
      <c r="B204" s="31" t="inlineStr">
        <is>
          <t>Vindhya Telelinks Limited</t>
        </is>
      </c>
      <c r="C204" s="31" t="inlineStr">
        <is>
          <t>realty</t>
        </is>
      </c>
      <c r="D204" s="31" t="inlineStr">
        <is>
          <t>construction</t>
        </is>
      </c>
      <c r="E204" s="31" t="inlineStr">
        <is>
          <t>smallcap</t>
        </is>
      </c>
      <c r="F204" s="31" t="n">
        <v>3353.44</v>
      </c>
      <c r="G204" s="31" t="n">
        <v>2810.1</v>
      </c>
      <c r="H204" s="31" t="n">
        <v>-0.6899999999999999</v>
      </c>
      <c r="I204" s="31" t="n">
        <v>74369</v>
      </c>
      <c r="J204" s="31" t="inlineStr">
        <is>
          <t>517015</t>
        </is>
      </c>
    </row>
    <row r="205">
      <c r="A205" s="31" t="inlineStr">
        <is>
          <t>NUVAMA</t>
        </is>
      </c>
      <c r="B205" s="31" t="inlineStr">
        <is>
          <t>Nuvama Wealth Management Ltd</t>
        </is>
      </c>
      <c r="C205" s="31" t="inlineStr">
        <is>
          <t>financials</t>
        </is>
      </c>
      <c r="D205" s="31" t="inlineStr">
        <is>
          <t>finance &amp; investments</t>
        </is>
      </c>
      <c r="E205" s="31" t="inlineStr">
        <is>
          <t>largecap</t>
        </is>
      </c>
      <c r="F205" s="31" t="n">
        <v>33563.4</v>
      </c>
      <c r="G205" s="31" t="n">
        <v>1825.9</v>
      </c>
      <c r="H205" s="31" t="n">
        <v>-0.7</v>
      </c>
      <c r="I205" s="31" t="n">
        <v>241969</v>
      </c>
      <c r="J205" s="31" t="inlineStr">
        <is>
          <t>543988</t>
        </is>
      </c>
    </row>
    <row r="206">
      <c r="A206" s="31" t="inlineStr">
        <is>
          <t>SMSPHARMA</t>
        </is>
      </c>
      <c r="B206" s="31" t="inlineStr">
        <is>
          <t>Sms Pharmaceuticals Limited</t>
        </is>
      </c>
      <c r="C206" s="31" t="inlineStr">
        <is>
          <t>healthcare</t>
        </is>
      </c>
      <c r="D206" s="31" t="inlineStr">
        <is>
          <t>pharmaceuticals - indian - bulk drugs</t>
        </is>
      </c>
      <c r="E206" s="31" t="inlineStr">
        <is>
          <t>smallcap</t>
        </is>
      </c>
      <c r="F206" s="31" t="n">
        <v>4422.25</v>
      </c>
      <c r="G206" s="31" t="n">
        <v>468.85</v>
      </c>
      <c r="H206" s="31" t="n">
        <v>-0.71</v>
      </c>
      <c r="I206" s="31" t="n">
        <v>259092</v>
      </c>
      <c r="J206" s="31" t="inlineStr">
        <is>
          <t>532815</t>
        </is>
      </c>
    </row>
    <row r="207">
      <c r="A207" s="31" t="inlineStr">
        <is>
          <t>GRINDWELL</t>
        </is>
      </c>
      <c r="B207" s="31" t="inlineStr">
        <is>
          <t>Grindwell Norton Limited</t>
        </is>
      </c>
      <c r="C207" s="31" t="inlineStr">
        <is>
          <t>industrials</t>
        </is>
      </c>
      <c r="D207" s="31" t="inlineStr">
        <is>
          <t>abrasives and grinding wheels</t>
        </is>
      </c>
      <c r="E207" s="31" t="inlineStr">
        <is>
          <t>largecap</t>
        </is>
      </c>
      <c r="F207" s="31" t="n">
        <v>22510.48</v>
      </c>
      <c r="G207" s="31" t="n">
        <v>2018.2</v>
      </c>
      <c r="H207" s="31" t="n">
        <v>-0.73</v>
      </c>
      <c r="I207" s="31" t="n">
        <v>20013</v>
      </c>
      <c r="J207" s="31" t="inlineStr">
        <is>
          <t>506076</t>
        </is>
      </c>
    </row>
    <row r="208">
      <c r="A208" s="31" t="inlineStr">
        <is>
          <t>LOTUSDEV</t>
        </is>
      </c>
      <c r="B208" s="31" t="inlineStr">
        <is>
          <t>Sri Lotus Developers &amp; Realty Ltd</t>
        </is>
      </c>
      <c r="C208" s="31" t="inlineStr">
        <is>
          <t>realty</t>
        </is>
      </c>
      <c r="D208" s="31" t="inlineStr">
        <is>
          <t>construction</t>
        </is>
      </c>
      <c r="E208" s="31" t="inlineStr">
        <is>
          <t>midcap</t>
        </is>
      </c>
      <c r="F208" s="31" t="n">
        <v>11960.54</v>
      </c>
      <c r="G208" s="31" t="n">
        <v>242.92</v>
      </c>
      <c r="H208" s="31" t="n">
        <v>-0.74</v>
      </c>
      <c r="I208" s="31" t="n">
        <v>918484</v>
      </c>
      <c r="J208" s="31" t="inlineStr">
        <is>
          <t>544469</t>
        </is>
      </c>
    </row>
    <row r="209">
      <c r="A209" s="31" t="inlineStr">
        <is>
          <t>GANDHITUBE</t>
        </is>
      </c>
      <c r="B209" s="31" t="inlineStr">
        <is>
          <t>Gandhi Special Tubes Limited</t>
        </is>
      </c>
      <c r="C209" s="31" t="inlineStr">
        <is>
          <t>metals &amp; mining</t>
        </is>
      </c>
      <c r="D209" s="31" t="inlineStr">
        <is>
          <t>steel - medium / small</t>
        </is>
      </c>
      <c r="E209" s="31" t="inlineStr">
        <is>
          <t>smallcap</t>
        </is>
      </c>
      <c r="F209" s="31" t="n">
        <v>1107.51</v>
      </c>
      <c r="G209" s="31" t="n">
        <v>974.15</v>
      </c>
      <c r="H209" s="31" t="n">
        <v>-0.75</v>
      </c>
      <c r="I209" s="31" t="n">
        <v>3166</v>
      </c>
      <c r="J209" s="31" t="inlineStr">
        <is>
          <t>513108</t>
        </is>
      </c>
    </row>
    <row r="210">
      <c r="A210" s="31" t="inlineStr">
        <is>
          <t>BHEL</t>
        </is>
      </c>
      <c r="B210" s="31" t="inlineStr">
        <is>
          <t>Bharat Heavy Electricals Limited</t>
        </is>
      </c>
      <c r="C210" s="31" t="inlineStr">
        <is>
          <t>industrials</t>
        </is>
      </c>
      <c r="D210" s="31" t="inlineStr">
        <is>
          <t>electric equipment</t>
        </is>
      </c>
      <c r="E210" s="31" t="inlineStr">
        <is>
          <t>largecap</t>
        </is>
      </c>
      <c r="F210" s="31" t="n">
        <v>157389.26</v>
      </c>
      <c r="G210" s="31" t="n">
        <v>448.5</v>
      </c>
      <c r="H210" s="31" t="n">
        <v>-0.77</v>
      </c>
      <c r="I210" s="31" t="n">
        <v>14450998</v>
      </c>
      <c r="J210" s="31" t="inlineStr">
        <is>
          <t>500103</t>
        </is>
      </c>
    </row>
    <row r="211">
      <c r="A211" s="31" t="inlineStr">
        <is>
          <t>MIDHANI</t>
        </is>
      </c>
      <c r="B211" s="31" t="inlineStr">
        <is>
          <t>Mishra Dhatu Nigam Ltd</t>
        </is>
      </c>
      <c r="C211" s="31" t="inlineStr">
        <is>
          <t>aerospace &amp; defence</t>
        </is>
      </c>
      <c r="D211" s="31" t="inlineStr">
        <is>
          <t>steel - medium / small</t>
        </is>
      </c>
      <c r="E211" s="31" t="inlineStr">
        <is>
          <t>midcap</t>
        </is>
      </c>
      <c r="F211" s="31" t="n">
        <v>8661.66</v>
      </c>
      <c r="G211" s="31" t="n">
        <v>458.7</v>
      </c>
      <c r="H211" s="31" t="n">
        <v>-0.79</v>
      </c>
      <c r="I211" s="31" t="n">
        <v>942710</v>
      </c>
      <c r="J211" s="31" t="inlineStr">
        <is>
          <t>541195</t>
        </is>
      </c>
    </row>
    <row r="212">
      <c r="A212" s="31" t="inlineStr">
        <is>
          <t>UNITEDPOLY</t>
        </is>
      </c>
      <c r="B212" s="31" t="inlineStr">
        <is>
          <t>United Polyfab Gujarat Ltd</t>
        </is>
      </c>
      <c r="C212" s="31" t="inlineStr">
        <is>
          <t>textiles</t>
        </is>
      </c>
      <c r="D212" s="31" t="inlineStr">
        <is>
          <t>textiles - products</t>
        </is>
      </c>
      <c r="E212" s="31" t="inlineStr">
        <is>
          <t>smallcap</t>
        </is>
      </c>
      <c r="F212" s="31" t="n">
        <v>1112.92</v>
      </c>
      <c r="G212" s="31" t="n">
        <v>48.1</v>
      </c>
      <c r="H212" s="31" t="n">
        <v>-0.8</v>
      </c>
      <c r="I212" s="31" t="n">
        <v>98385</v>
      </c>
      <c r="J212" s="31" t="inlineStr">
        <is>
          <t>533024</t>
        </is>
      </c>
    </row>
    <row r="213">
      <c r="A213" s="31" t="inlineStr">
        <is>
          <t>RPEL</t>
        </is>
      </c>
      <c r="B213" s="31" t="inlineStr">
        <is>
          <t>Raghav Productivity Enhancers Ltd</t>
        </is>
      </c>
      <c r="C213" s="31" t="inlineStr">
        <is>
          <t>building materials</t>
        </is>
      </c>
      <c r="D213" s="31" t="inlineStr">
        <is>
          <t>refractories / intermediates</t>
        </is>
      </c>
      <c r="E213" s="31" t="inlineStr">
        <is>
          <t>midcap</t>
        </is>
      </c>
      <c r="F213" s="31" t="n">
        <v>8429.43</v>
      </c>
      <c r="G213" s="31" t="n">
        <v>1820.9</v>
      </c>
      <c r="H213" s="31" t="n">
        <v>-0.8</v>
      </c>
      <c r="I213" s="31" t="n">
        <v>249601</v>
      </c>
      <c r="J213" s="31" t="inlineStr">
        <is>
          <t>539837</t>
        </is>
      </c>
    </row>
    <row r="214">
      <c r="A214" s="31" t="inlineStr">
        <is>
          <t>WELSPUNLIV</t>
        </is>
      </c>
      <c r="B214" s="31" t="inlineStr">
        <is>
          <t>Welspun Living Ltd</t>
        </is>
      </c>
      <c r="C214" s="31" t="inlineStr">
        <is>
          <t>textiles</t>
        </is>
      </c>
      <c r="D214" s="31" t="inlineStr">
        <is>
          <t>textiles - products</t>
        </is>
      </c>
      <c r="E214" s="31" t="inlineStr">
        <is>
          <t>largecap</t>
        </is>
      </c>
      <c r="F214" s="31" t="n">
        <v>22471.88</v>
      </c>
      <c r="G214" s="31" t="n">
        <v>235.86</v>
      </c>
      <c r="H214" s="31" t="n">
        <v>-0.84</v>
      </c>
      <c r="I214" s="31" t="n">
        <v>5454238</v>
      </c>
      <c r="J214" s="31" t="inlineStr">
        <is>
          <t>514162</t>
        </is>
      </c>
    </row>
    <row r="215">
      <c r="A215" s="31" t="inlineStr">
        <is>
          <t>RAYMONDREL</t>
        </is>
      </c>
      <c r="B215" s="31" t="inlineStr">
        <is>
          <t>Raymond Realty Ltd</t>
        </is>
      </c>
      <c r="C215" s="31" t="inlineStr">
        <is>
          <t>realty</t>
        </is>
      </c>
      <c r="D215" s="31" t="inlineStr">
        <is>
          <t>construction</t>
        </is>
      </c>
      <c r="E215" s="31" t="inlineStr">
        <is>
          <t>smallcap</t>
        </is>
      </c>
      <c r="F215" s="31" t="n">
        <v>4712.09</v>
      </c>
      <c r="G215" s="31" t="n">
        <v>701.8</v>
      </c>
      <c r="H215" s="31" t="n">
        <v>-0.85</v>
      </c>
      <c r="I215" s="31" t="n">
        <v>1304100</v>
      </c>
      <c r="J215" s="31" t="inlineStr">
        <is>
          <t>544420</t>
        </is>
      </c>
    </row>
    <row r="216">
      <c r="A216" s="31" t="inlineStr">
        <is>
          <t>ARIES</t>
        </is>
      </c>
      <c r="B216" s="31" t="inlineStr">
        <is>
          <t>Aries Agro Limited</t>
        </is>
      </c>
      <c r="C216" s="31" t="inlineStr">
        <is>
          <t>chemicals</t>
        </is>
      </c>
      <c r="D216" s="31" t="inlineStr">
        <is>
          <t>fertilizers</t>
        </is>
      </c>
      <c r="E216" s="31" t="inlineStr">
        <is>
          <t>smallcap</t>
        </is>
      </c>
      <c r="F216" s="31" t="n">
        <v>648.92</v>
      </c>
      <c r="G216" s="31" t="n">
        <v>494.55</v>
      </c>
      <c r="H216" s="31" t="n">
        <v>-0.89</v>
      </c>
      <c r="I216" s="31" t="n">
        <v>8114</v>
      </c>
      <c r="J216" s="31" t="inlineStr">
        <is>
          <t>532935</t>
        </is>
      </c>
    </row>
    <row r="217">
      <c r="A217" s="31" t="inlineStr">
        <is>
          <t>VALIANTLAB</t>
        </is>
      </c>
      <c r="B217" s="31" t="inlineStr">
        <is>
          <t>Valiant Laboratories Ltd</t>
        </is>
      </c>
      <c r="C217" s="31" t="inlineStr">
        <is>
          <t>healthcare</t>
        </is>
      </c>
      <c r="D217" s="31" t="inlineStr">
        <is>
          <t>pharmaceuticals - indian - bulk drugs &amp; formln</t>
        </is>
      </c>
      <c r="E217" s="31" t="inlineStr">
        <is>
          <t>smallcap</t>
        </is>
      </c>
      <c r="F217" s="31" t="n">
        <v>675.48</v>
      </c>
      <c r="G217" s="31" t="n">
        <v>123.21</v>
      </c>
      <c r="H217" s="31" t="n">
        <v>-0.93</v>
      </c>
      <c r="I217" s="31" t="n">
        <v>45361</v>
      </c>
      <c r="J217" s="31" t="n"/>
    </row>
    <row r="218">
      <c r="A218" s="31" t="inlineStr">
        <is>
          <t>UNIVCABLES</t>
        </is>
      </c>
      <c r="B218" s="31" t="inlineStr">
        <is>
          <t>Universal Cables Limited</t>
        </is>
      </c>
      <c r="C218" s="31" t="inlineStr">
        <is>
          <t>industrials</t>
        </is>
      </c>
      <c r="D218" s="31" t="inlineStr">
        <is>
          <t>cables - power</t>
        </is>
      </c>
      <c r="E218" s="31" t="inlineStr">
        <is>
          <t>midcap</t>
        </is>
      </c>
      <c r="F218" s="31" t="n">
        <v>5721.96</v>
      </c>
      <c r="G218" s="31" t="n">
        <v>1633.1</v>
      </c>
      <c r="H218" s="31" t="n">
        <v>-0.98</v>
      </c>
      <c r="I218" s="31" t="n">
        <v>99488</v>
      </c>
      <c r="J218" s="31" t="inlineStr">
        <is>
          <t>504212</t>
        </is>
      </c>
    </row>
    <row r="219">
      <c r="A219" s="31" t="inlineStr">
        <is>
          <t>UNIMECH</t>
        </is>
      </c>
      <c r="B219" s="31" t="inlineStr">
        <is>
          <t>Unimech Aerospace and Manufacturing Ltd</t>
        </is>
      </c>
      <c r="C219" s="31" t="inlineStr">
        <is>
          <t>aerospace &amp; defence</t>
        </is>
      </c>
      <c r="D219" s="31" t="inlineStr">
        <is>
          <t>engineering</t>
        </is>
      </c>
      <c r="E219" s="31" t="inlineStr">
        <is>
          <t>midcap</t>
        </is>
      </c>
      <c r="F219" s="31" t="n">
        <v>9526</v>
      </c>
      <c r="G219" s="31" t="n">
        <v>1854.5</v>
      </c>
      <c r="H219" s="31" t="n">
        <v>-0.99</v>
      </c>
      <c r="I219" s="31" t="n">
        <v>143988</v>
      </c>
      <c r="J219" s="31" t="inlineStr">
        <is>
          <t>544322</t>
        </is>
      </c>
    </row>
    <row r="220">
      <c r="A220" s="31" t="inlineStr">
        <is>
          <t>CARBORUNIV</t>
        </is>
      </c>
      <c r="B220" s="31" t="inlineStr">
        <is>
          <t>Carborundum Universal Limited</t>
        </is>
      </c>
      <c r="C220" s="31" t="inlineStr">
        <is>
          <t>industrials</t>
        </is>
      </c>
      <c r="D220" s="31" t="inlineStr">
        <is>
          <t>abrasives and grinding wheels</t>
        </is>
      </c>
      <c r="E220" s="31" t="inlineStr">
        <is>
          <t>largecap</t>
        </is>
      </c>
      <c r="F220" s="31" t="n">
        <v>24185.06</v>
      </c>
      <c r="G220" s="31" t="n">
        <v>1256.7</v>
      </c>
      <c r="H220" s="31" t="n">
        <v>-1.02</v>
      </c>
      <c r="I220" s="31" t="n">
        <v>124207</v>
      </c>
      <c r="J220" s="31" t="inlineStr">
        <is>
          <t>513375</t>
        </is>
      </c>
    </row>
    <row r="221">
      <c r="A221" s="31" t="inlineStr">
        <is>
          <t>MENONBE</t>
        </is>
      </c>
      <c r="B221" s="31" t="inlineStr">
        <is>
          <t>Menon Bearings Limited</t>
        </is>
      </c>
      <c r="C221" s="31" t="inlineStr">
        <is>
          <t>auto</t>
        </is>
      </c>
      <c r="D221" s="31" t="inlineStr">
        <is>
          <t>auto ancillaries</t>
        </is>
      </c>
      <c r="E221" s="31" t="inlineStr">
        <is>
          <t>smallcap</t>
        </is>
      </c>
      <c r="F221" s="31" t="n">
        <v>1708.94</v>
      </c>
      <c r="G221" s="31" t="n">
        <v>301.45</v>
      </c>
      <c r="H221" s="31" t="n">
        <v>-1.15</v>
      </c>
      <c r="I221" s="31" t="n">
        <v>224158</v>
      </c>
      <c r="J221" s="31" t="inlineStr">
        <is>
          <t>523828</t>
        </is>
      </c>
    </row>
    <row r="222">
      <c r="A222" s="31" t="inlineStr">
        <is>
          <t>KRISHANA</t>
        </is>
      </c>
      <c r="B222" s="31" t="inlineStr">
        <is>
          <t>Krishana Phoschem Ltd</t>
        </is>
      </c>
      <c r="C222" s="31" t="inlineStr">
        <is>
          <t>chemicals</t>
        </is>
      </c>
      <c r="D222" s="31" t="inlineStr">
        <is>
          <t>fertilizers</t>
        </is>
      </c>
      <c r="E222" s="31" t="inlineStr">
        <is>
          <t>smallcap</t>
        </is>
      </c>
      <c r="F222" s="31" t="n">
        <v>1197.35</v>
      </c>
      <c r="G222" s="31" t="n">
        <v>191.38</v>
      </c>
      <c r="H222" s="31" t="n">
        <v>-1.18</v>
      </c>
      <c r="I222" s="31" t="n">
        <v>413924</v>
      </c>
      <c r="J222" s="31" t="inlineStr">
        <is>
          <t>538405</t>
        </is>
      </c>
    </row>
    <row r="223">
      <c r="A223" s="31" t="inlineStr">
        <is>
          <t>DALMIASUG</t>
        </is>
      </c>
      <c r="B223" s="31" t="inlineStr">
        <is>
          <t>Dalmia Bharat Sugar And Industries Limited</t>
        </is>
      </c>
      <c r="C223" s="31" t="inlineStr">
        <is>
          <t>fmcg</t>
        </is>
      </c>
      <c r="D223" s="31" t="inlineStr">
        <is>
          <t>sugar</t>
        </is>
      </c>
      <c r="E223" s="31" t="inlineStr">
        <is>
          <t>smallcap</t>
        </is>
      </c>
      <c r="F223" s="31" t="n">
        <v>3666.55</v>
      </c>
      <c r="G223" s="31" t="n">
        <v>447.65</v>
      </c>
      <c r="H223" s="31" t="n">
        <v>-1.18</v>
      </c>
      <c r="I223" s="31" t="n">
        <v>310835</v>
      </c>
      <c r="J223" s="31" t="inlineStr">
        <is>
          <t>500097</t>
        </is>
      </c>
    </row>
    <row r="224">
      <c r="A224" s="31" t="inlineStr">
        <is>
          <t>KABRAEXTRU</t>
        </is>
      </c>
      <c r="B224" s="31" t="inlineStr">
        <is>
          <t>Kabra Extrusion Technik Limited</t>
        </is>
      </c>
      <c r="C224" s="31" t="inlineStr">
        <is>
          <t>industrials</t>
        </is>
      </c>
      <c r="D224" s="31" t="inlineStr">
        <is>
          <t>engineering</t>
        </is>
      </c>
      <c r="E224" s="31" t="inlineStr">
        <is>
          <t>smallcap</t>
        </is>
      </c>
      <c r="F224" s="31" t="n">
        <v>2852.73</v>
      </c>
      <c r="G224" s="31" t="n">
        <v>805.9</v>
      </c>
      <c r="H224" s="31" t="n">
        <v>-1.2</v>
      </c>
      <c r="I224" s="31" t="n">
        <v>49892</v>
      </c>
      <c r="J224" s="31" t="inlineStr">
        <is>
          <t>524109</t>
        </is>
      </c>
    </row>
    <row r="225">
      <c r="A225" s="31" t="inlineStr">
        <is>
          <t>MOTILALOFS</t>
        </is>
      </c>
      <c r="B225" s="31" t="inlineStr">
        <is>
          <t>Motilal Oswal Financial Services Limited</t>
        </is>
      </c>
      <c r="C225" s="31" t="inlineStr">
        <is>
          <t>financials</t>
        </is>
      </c>
      <c r="D225" s="31" t="inlineStr">
        <is>
          <t>finance &amp; investments</t>
        </is>
      </c>
      <c r="E225" s="31" t="inlineStr">
        <is>
          <t>largecap</t>
        </is>
      </c>
      <c r="F225" s="31" t="n">
        <v>65101.09</v>
      </c>
      <c r="G225" s="31" t="n">
        <v>1067.9</v>
      </c>
      <c r="H225" s="31" t="n">
        <v>-1.23</v>
      </c>
      <c r="I225" s="31" t="n">
        <v>1232877</v>
      </c>
      <c r="J225" s="31" t="inlineStr">
        <is>
          <t>532892</t>
        </is>
      </c>
    </row>
    <row r="226">
      <c r="A226" s="31" t="inlineStr">
        <is>
          <t>BLUSPRING</t>
        </is>
      </c>
      <c r="B226" s="31" t="inlineStr">
        <is>
          <t>Bluspring Enterprises Ltd</t>
        </is>
      </c>
      <c r="C226" s="31" t="inlineStr">
        <is>
          <t>miscellaneous</t>
        </is>
      </c>
      <c r="D226" s="31" t="inlineStr">
        <is>
          <t>diversified - large</t>
        </is>
      </c>
      <c r="E226" s="31" t="inlineStr">
        <is>
          <t>smallcap</t>
        </is>
      </c>
      <c r="F226" s="31" t="n">
        <v>2159.87</v>
      </c>
      <c r="G226" s="31" t="n">
        <v>142.71</v>
      </c>
      <c r="H226" s="31" t="n">
        <v>-1.26</v>
      </c>
      <c r="I226" s="31" t="n">
        <v>134332</v>
      </c>
      <c r="J226" s="31" t="inlineStr">
        <is>
          <t>544414</t>
        </is>
      </c>
    </row>
    <row r="227">
      <c r="A227" s="31" t="inlineStr">
        <is>
          <t>BODALCHEM</t>
        </is>
      </c>
      <c r="B227" s="31" t="inlineStr">
        <is>
          <t>Bodal Chemicals Limited</t>
        </is>
      </c>
      <c r="C227" s="31" t="inlineStr">
        <is>
          <t>chemicals</t>
        </is>
      </c>
      <c r="D227" s="31" t="inlineStr">
        <is>
          <t>dyes and pigments</t>
        </is>
      </c>
      <c r="E227" s="31" t="inlineStr">
        <is>
          <t>smallcap</t>
        </is>
      </c>
      <c r="F227" s="31" t="n">
        <v>2349.74</v>
      </c>
      <c r="G227" s="31" t="n">
        <v>184.14</v>
      </c>
      <c r="H227" s="31" t="n">
        <v>-1.3</v>
      </c>
      <c r="I227" s="31" t="n">
        <v>263642</v>
      </c>
      <c r="J227" s="31" t="inlineStr">
        <is>
          <t>524370</t>
        </is>
      </c>
    </row>
    <row r="228">
      <c r="A228" s="31" t="inlineStr">
        <is>
          <t>NRBBEARING</t>
        </is>
      </c>
      <c r="B228" s="31" t="inlineStr">
        <is>
          <t>Nrb Bearing Limited</t>
        </is>
      </c>
      <c r="C228" s="31" t="inlineStr">
        <is>
          <t>industrials</t>
        </is>
      </c>
      <c r="D228" s="31" t="inlineStr">
        <is>
          <t>bearings</t>
        </is>
      </c>
      <c r="E228" s="31" t="inlineStr">
        <is>
          <t>midcap</t>
        </is>
      </c>
      <c r="F228" s="31" t="n">
        <v>5204.26</v>
      </c>
      <c r="G228" s="31" t="n">
        <v>529.95</v>
      </c>
      <c r="H228" s="31" t="n">
        <v>-1.3</v>
      </c>
      <c r="I228" s="31" t="n">
        <v>287108</v>
      </c>
      <c r="J228" s="31" t="inlineStr">
        <is>
          <t>530367</t>
        </is>
      </c>
    </row>
    <row r="229">
      <c r="A229" s="31" t="inlineStr">
        <is>
          <t>UGARSUGAR</t>
        </is>
      </c>
      <c r="B229" s="31" t="inlineStr">
        <is>
          <t>The Ugar Sugar Works Limited</t>
        </is>
      </c>
      <c r="C229" s="31" t="inlineStr">
        <is>
          <t>fmcg</t>
        </is>
      </c>
      <c r="D229" s="31" t="inlineStr">
        <is>
          <t>sugar</t>
        </is>
      </c>
      <c r="E229" s="31" t="inlineStr">
        <is>
          <t>smallcap</t>
        </is>
      </c>
      <c r="F229" s="31" t="n">
        <v>666.6799999999999</v>
      </c>
      <c r="G229" s="31" t="n">
        <v>58.45</v>
      </c>
      <c r="H229" s="31" t="n">
        <v>-1.37</v>
      </c>
      <c r="I229" s="31" t="n">
        <v>129567</v>
      </c>
      <c r="J229" s="31" t="inlineStr">
        <is>
          <t>530363</t>
        </is>
      </c>
    </row>
    <row r="230">
      <c r="A230" s="31" t="inlineStr">
        <is>
          <t>WESTLIFE</t>
        </is>
      </c>
      <c r="B230" s="31" t="inlineStr">
        <is>
          <t>Westlife Foodworld Ltd</t>
        </is>
      </c>
      <c r="C230" s="31" t="inlineStr">
        <is>
          <t>consumer discretionary</t>
        </is>
      </c>
      <c r="D230" s="31" t="inlineStr">
        <is>
          <t>hotels</t>
        </is>
      </c>
      <c r="E230" s="31" t="inlineStr">
        <is>
          <t>midcap</t>
        </is>
      </c>
      <c r="F230" s="31" t="n">
        <v>9271.959999999999</v>
      </c>
      <c r="G230" s="31" t="n">
        <v>586.4</v>
      </c>
      <c r="H230" s="31" t="n">
        <v>-1.38</v>
      </c>
      <c r="I230" s="31" t="n">
        <v>86911</v>
      </c>
      <c r="J230" s="31" t="inlineStr">
        <is>
          <t>505533</t>
        </is>
      </c>
    </row>
    <row r="231">
      <c r="A231" s="31" t="inlineStr">
        <is>
          <t>GREENPLY</t>
        </is>
      </c>
      <c r="B231" s="31" t="inlineStr">
        <is>
          <t>Greenply Industries Limited</t>
        </is>
      </c>
      <c r="C231" s="31" t="inlineStr">
        <is>
          <t>building materials</t>
        </is>
      </c>
      <c r="D231" s="31" t="inlineStr">
        <is>
          <t>miscellaneous</t>
        </is>
      </c>
      <c r="E231" s="31" t="inlineStr">
        <is>
          <t>smallcap</t>
        </is>
      </c>
      <c r="F231" s="31" t="n">
        <v>3938.16</v>
      </c>
      <c r="G231" s="31" t="n">
        <v>310.75</v>
      </c>
      <c r="H231" s="31" t="n">
        <v>-1.44</v>
      </c>
      <c r="I231" s="31" t="n">
        <v>53514</v>
      </c>
      <c r="J231" s="31" t="inlineStr">
        <is>
          <t>526797</t>
        </is>
      </c>
    </row>
    <row r="232">
      <c r="A232" s="31" t="inlineStr">
        <is>
          <t>BOSCH-HCIL</t>
        </is>
      </c>
      <c r="B232" s="31" t="inlineStr">
        <is>
          <t>Bosch Home Comfort India Ltd</t>
        </is>
      </c>
      <c r="C232" s="31" t="inlineStr">
        <is>
          <t>consumer discretionary</t>
        </is>
      </c>
      <c r="D232" s="31" t="inlineStr">
        <is>
          <t>air-conditioners</t>
        </is>
      </c>
      <c r="E232" s="31" t="inlineStr">
        <is>
          <t>midcap</t>
        </is>
      </c>
      <c r="F232" s="31" t="n">
        <v>5375.37</v>
      </c>
      <c r="G232" s="31" t="n">
        <v>1948.1</v>
      </c>
      <c r="H232" s="31" t="n">
        <v>-1.46</v>
      </c>
      <c r="I232" s="31" t="n">
        <v>34819</v>
      </c>
      <c r="J232" s="31" t="inlineStr">
        <is>
          <t>523398</t>
        </is>
      </c>
    </row>
    <row r="233">
      <c r="A233" s="31" t="inlineStr">
        <is>
          <t>JASH</t>
        </is>
      </c>
      <c r="B233" s="31" t="inlineStr">
        <is>
          <t>Jash Engineering Ltd</t>
        </is>
      </c>
      <c r="C233" s="31" t="inlineStr">
        <is>
          <t>industrials</t>
        </is>
      </c>
      <c r="D233" s="31" t="inlineStr">
        <is>
          <t>engineering</t>
        </is>
      </c>
      <c r="E233" s="31" t="inlineStr">
        <is>
          <t>smallcap</t>
        </is>
      </c>
      <c r="F233" s="31" t="n">
        <v>3759.71</v>
      </c>
      <c r="G233" s="31" t="n">
        <v>586.15</v>
      </c>
      <c r="H233" s="31" t="n">
        <v>-1.48</v>
      </c>
      <c r="I233" s="31" t="n">
        <v>192190</v>
      </c>
      <c r="J233" s="31" t="inlineStr">
        <is>
          <t>535019</t>
        </is>
      </c>
    </row>
    <row r="234">
      <c r="A234" s="31" t="inlineStr">
        <is>
          <t>CASTROLIND</t>
        </is>
      </c>
      <c r="B234" s="31" t="inlineStr">
        <is>
          <t>Castrol India Limited</t>
        </is>
      </c>
      <c r="C234" s="31" t="inlineStr">
        <is>
          <t>chemicals</t>
        </is>
      </c>
      <c r="D234" s="31" t="inlineStr">
        <is>
          <t>chemicals</t>
        </is>
      </c>
      <c r="E234" s="31" t="inlineStr">
        <is>
          <t>midcap</t>
        </is>
      </c>
      <c r="F234" s="31" t="n">
        <v>19802.23</v>
      </c>
      <c r="G234" s="31" t="n">
        <v>197.15</v>
      </c>
      <c r="H234" s="31" t="n">
        <v>-1.52</v>
      </c>
      <c r="I234" s="31" t="n">
        <v>1731839</v>
      </c>
      <c r="J234" s="31" t="inlineStr">
        <is>
          <t>500870</t>
        </is>
      </c>
    </row>
    <row r="235">
      <c r="A235" s="31" t="inlineStr">
        <is>
          <t>JGCHEM</t>
        </is>
      </c>
      <c r="B235" s="31" t="inlineStr">
        <is>
          <t>J.G.Chemicals Ltd</t>
        </is>
      </c>
      <c r="C235" s="31" t="inlineStr">
        <is>
          <t>chemicals</t>
        </is>
      </c>
      <c r="D235" s="31" t="inlineStr">
        <is>
          <t>chemicals</t>
        </is>
      </c>
      <c r="E235" s="31" t="inlineStr">
        <is>
          <t>smallcap</t>
        </is>
      </c>
      <c r="F235" s="31" t="n">
        <v>2607.64</v>
      </c>
      <c r="G235" s="31" t="n">
        <v>654.95</v>
      </c>
      <c r="H235" s="31" t="n">
        <v>-1.58</v>
      </c>
      <c r="I235" s="31" t="n">
        <v>393554</v>
      </c>
      <c r="J235" s="31" t="n"/>
    </row>
    <row r="236">
      <c r="A236" s="31" t="inlineStr">
        <is>
          <t>ENGINERSIN</t>
        </is>
      </c>
      <c r="B236" s="31" t="inlineStr">
        <is>
          <t>Engineers India Limited</t>
        </is>
      </c>
      <c r="C236" s="31" t="inlineStr">
        <is>
          <t>realty</t>
        </is>
      </c>
      <c r="D236" s="31" t="inlineStr">
        <is>
          <t>engineering - turnkey services</t>
        </is>
      </c>
      <c r="E236" s="31" t="inlineStr">
        <is>
          <t>midcap</t>
        </is>
      </c>
      <c r="F236" s="31" t="n">
        <v>17608.79</v>
      </c>
      <c r="G236" s="31" t="n">
        <v>308.3</v>
      </c>
      <c r="H236" s="31" t="n">
        <v>-1.6</v>
      </c>
      <c r="I236" s="31" t="n">
        <v>4102945</v>
      </c>
      <c r="J236" s="31" t="inlineStr">
        <is>
          <t>532178</t>
        </is>
      </c>
    </row>
    <row r="237">
      <c r="A237" s="31" t="inlineStr">
        <is>
          <t>VINCOFE</t>
        </is>
      </c>
      <c r="B237" s="31" t="inlineStr">
        <is>
          <t>Vintage Coffee &amp; Beverages Ltd</t>
        </is>
      </c>
      <c r="C237" s="31" t="inlineStr">
        <is>
          <t>consumer discretionary</t>
        </is>
      </c>
      <c r="D237" s="31" t="inlineStr">
        <is>
          <t>trading</t>
        </is>
      </c>
      <c r="E237" s="31" t="inlineStr">
        <is>
          <t>smallcap</t>
        </is>
      </c>
      <c r="F237" s="31" t="n">
        <v>2727.43</v>
      </c>
      <c r="G237" s="31" t="n">
        <v>184.19</v>
      </c>
      <c r="H237" s="31" t="n">
        <v>-1.61</v>
      </c>
      <c r="I237" s="31" t="n">
        <v>740150</v>
      </c>
      <c r="J237" s="31" t="inlineStr">
        <is>
          <t>538920</t>
        </is>
      </c>
    </row>
    <row r="238">
      <c r="A238" s="31" t="inlineStr">
        <is>
          <t>WELINV</t>
        </is>
      </c>
      <c r="B238" s="31" t="inlineStr">
        <is>
          <t>Welspun Investments And Commercials Limited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891.6900000000001</v>
      </c>
      <c r="G238" s="31" t="n">
        <v>2400</v>
      </c>
      <c r="H238" s="31" t="n">
        <v>-1.64</v>
      </c>
      <c r="I238" s="31" t="n">
        <v>4</v>
      </c>
      <c r="J238" s="31" t="inlineStr">
        <is>
          <t>533252</t>
        </is>
      </c>
    </row>
    <row r="239">
      <c r="A239" s="31" t="inlineStr">
        <is>
          <t>KILITCH</t>
        </is>
      </c>
      <c r="B239" s="31" t="inlineStr">
        <is>
          <t>Kilitch Drugs (india) Limited</t>
        </is>
      </c>
      <c r="C239" s="31" t="inlineStr">
        <is>
          <t>healthcare</t>
        </is>
      </c>
      <c r="D239" s="31" t="inlineStr">
        <is>
          <t>pharmaceuticals - indian - formulations</t>
        </is>
      </c>
      <c r="E239" s="31" t="inlineStr">
        <is>
          <t>smallcap</t>
        </is>
      </c>
      <c r="F239" s="31" t="n">
        <v>911.45</v>
      </c>
      <c r="G239" s="31" t="n">
        <v>256.25</v>
      </c>
      <c r="H239" s="31" t="n">
        <v>-1.71</v>
      </c>
      <c r="I239" s="31" t="n">
        <v>180989</v>
      </c>
      <c r="J239" s="31" t="inlineStr">
        <is>
          <t>524500</t>
        </is>
      </c>
    </row>
    <row r="240">
      <c r="A240" s="31" t="inlineStr">
        <is>
          <t>MANINDS</t>
        </is>
      </c>
      <c r="B240" s="31" t="inlineStr">
        <is>
          <t>Man Industries (india) Limited</t>
        </is>
      </c>
      <c r="C240" s="31" t="inlineStr">
        <is>
          <t>metals &amp; mining</t>
        </is>
      </c>
      <c r="D240" s="31" t="inlineStr">
        <is>
          <t>steel - medium / small</t>
        </is>
      </c>
      <c r="E240" s="31" t="inlineStr">
        <is>
          <t>midcap</t>
        </is>
      </c>
      <c r="F240" s="31" t="n">
        <v>6916.26</v>
      </c>
      <c r="G240" s="31" t="n">
        <v>905.75</v>
      </c>
      <c r="H240" s="31" t="n">
        <v>-1.77</v>
      </c>
      <c r="I240" s="31" t="n">
        <v>333776</v>
      </c>
      <c r="J240" s="31" t="inlineStr">
        <is>
          <t>513269</t>
        </is>
      </c>
    </row>
    <row r="241">
      <c r="A241" s="31" t="inlineStr">
        <is>
          <t>YUKEN</t>
        </is>
      </c>
      <c r="B241" s="31" t="inlineStr">
        <is>
          <t>Yuken India Ltd</t>
        </is>
      </c>
      <c r="C241" s="31" t="inlineStr">
        <is>
          <t>industrials</t>
        </is>
      </c>
      <c r="D241" s="31" t="inlineStr">
        <is>
          <t>engineering</t>
        </is>
      </c>
      <c r="E241" s="31" t="inlineStr">
        <is>
          <t>smallcap</t>
        </is>
      </c>
      <c r="F241" s="31" t="n">
        <v>1682.51</v>
      </c>
      <c r="G241" s="31" t="n">
        <v>1216.5</v>
      </c>
      <c r="H241" s="31" t="n">
        <v>-1.78</v>
      </c>
      <c r="I241" s="31" t="n">
        <v>14333</v>
      </c>
      <c r="J241" s="31" t="inlineStr">
        <is>
          <t>522108</t>
        </is>
      </c>
    </row>
    <row r="242">
      <c r="A242" s="31" t="inlineStr">
        <is>
          <t>GNFC</t>
        </is>
      </c>
      <c r="B242" s="31" t="inlineStr">
        <is>
          <t>Gujarat Narmada Valley Fertilizers And Chemicals Limited</t>
        </is>
      </c>
      <c r="C242" s="31" t="inlineStr">
        <is>
          <t>chemicals</t>
        </is>
      </c>
      <c r="D242" s="31" t="inlineStr">
        <is>
          <t>chemicals</t>
        </is>
      </c>
      <c r="E242" s="31" t="inlineStr">
        <is>
          <t>midcap</t>
        </is>
      </c>
      <c r="F242" s="31" t="n">
        <v>9249.92</v>
      </c>
      <c r="G242" s="31" t="n">
        <v>618.2</v>
      </c>
      <c r="H242" s="31" t="n">
        <v>-1.8</v>
      </c>
      <c r="I242" s="31" t="n">
        <v>457948</v>
      </c>
      <c r="J242" s="31" t="inlineStr">
        <is>
          <t>500670</t>
        </is>
      </c>
    </row>
    <row r="243">
      <c r="A243" s="31" t="inlineStr">
        <is>
          <t>BIL</t>
        </is>
      </c>
      <c r="B243" s="31" t="inlineStr">
        <is>
          <t>Bhartiya International Limited</t>
        </is>
      </c>
      <c r="C243" s="31" t="inlineStr">
        <is>
          <t>consumer discretionary</t>
        </is>
      </c>
      <c r="D243" s="31" t="inlineStr">
        <is>
          <t>leather / leather products</t>
        </is>
      </c>
      <c r="E243" s="31" t="inlineStr">
        <is>
          <t>smallcap</t>
        </is>
      </c>
      <c r="F243" s="31" t="n">
        <v>1465.56</v>
      </c>
      <c r="G243" s="31" t="n">
        <v>1072.9</v>
      </c>
      <c r="H243" s="31" t="n">
        <v>-1.83</v>
      </c>
      <c r="I243" s="31" t="n">
        <v>5985</v>
      </c>
      <c r="J243" s="31" t="inlineStr">
        <is>
          <t>526666</t>
        </is>
      </c>
    </row>
    <row r="244">
      <c r="A244" s="31" t="inlineStr">
        <is>
          <t>AXISCADES</t>
        </is>
      </c>
      <c r="B244" s="31" t="inlineStr">
        <is>
          <t>AXISCADES Technologies Ltd</t>
        </is>
      </c>
      <c r="C244" s="31" t="inlineStr">
        <is>
          <t>aerospace &amp; defence</t>
        </is>
      </c>
      <c r="D244" s="31" t="inlineStr">
        <is>
          <t>computers - software - medium / small</t>
        </is>
      </c>
      <c r="E244" s="31" t="inlineStr">
        <is>
          <t>midcap</t>
        </is>
      </c>
      <c r="F244" s="31" t="n">
        <v>9733.219999999999</v>
      </c>
      <c r="G244" s="31" t="n">
        <v>2245.6</v>
      </c>
      <c r="H244" s="31" t="n">
        <v>-1.87</v>
      </c>
      <c r="I244" s="31" t="n">
        <v>122674</v>
      </c>
      <c r="J244" s="31" t="inlineStr">
        <is>
          <t>532395</t>
        </is>
      </c>
    </row>
    <row r="245">
      <c r="A245" s="31" t="inlineStr">
        <is>
          <t>RPTECH</t>
        </is>
      </c>
      <c r="B245" s="31" t="inlineStr">
        <is>
          <t>Rashi Peripherals Ltd</t>
        </is>
      </c>
      <c r="C245" s="31" t="inlineStr">
        <is>
          <t>i.t</t>
        </is>
      </c>
      <c r="D245" s="31" t="inlineStr">
        <is>
          <t>trading</t>
        </is>
      </c>
      <c r="E245" s="31" t="inlineStr">
        <is>
          <t>midcap</t>
        </is>
      </c>
      <c r="F245" s="31" t="n">
        <v>6314.84</v>
      </c>
      <c r="G245" s="31" t="n">
        <v>939.7</v>
      </c>
      <c r="H245" s="31" t="n">
        <v>-1.94</v>
      </c>
      <c r="I245" s="31" t="n">
        <v>216975</v>
      </c>
      <c r="J245" s="31" t="n"/>
    </row>
    <row r="246">
      <c r="A246" s="31" t="inlineStr">
        <is>
          <t>SHAREINDIA</t>
        </is>
      </c>
      <c r="B246" s="31" t="inlineStr">
        <is>
          <t>Share India Securities Ltd</t>
        </is>
      </c>
      <c r="C246" s="31" t="inlineStr">
        <is>
          <t>financials</t>
        </is>
      </c>
      <c r="D246" s="31" t="inlineStr">
        <is>
          <t>finance &amp; investments</t>
        </is>
      </c>
      <c r="E246" s="31" t="inlineStr">
        <is>
          <t>smallcap</t>
        </is>
      </c>
      <c r="F246" s="31" t="n">
        <v>4625.97</v>
      </c>
      <c r="G246" s="31" t="n">
        <v>207.27</v>
      </c>
      <c r="H246" s="31" t="n">
        <v>-1.95</v>
      </c>
      <c r="I246" s="31" t="n">
        <v>791105</v>
      </c>
      <c r="J246" s="31" t="inlineStr">
        <is>
          <t>540725</t>
        </is>
      </c>
    </row>
    <row r="247">
      <c r="A247" s="31" t="inlineStr">
        <is>
          <t>INDOAMIN</t>
        </is>
      </c>
      <c r="B247" s="31" t="inlineStr">
        <is>
          <t>Indo Amines Ltd</t>
        </is>
      </c>
      <c r="C247" s="31" t="inlineStr">
        <is>
          <t>chemicals</t>
        </is>
      </c>
      <c r="D247" s="31" t="inlineStr">
        <is>
          <t>chemicals</t>
        </is>
      </c>
      <c r="E247" s="31" t="inlineStr">
        <is>
          <t>smallcap</t>
        </is>
      </c>
      <c r="F247" s="31" t="n">
        <v>1169.82</v>
      </c>
      <c r="G247" s="31" t="n">
        <v>157.97</v>
      </c>
      <c r="H247" s="31" t="n">
        <v>-1.98</v>
      </c>
      <c r="I247" s="31" t="n">
        <v>978954</v>
      </c>
      <c r="J247" s="31" t="inlineStr">
        <is>
          <t>524648</t>
        </is>
      </c>
    </row>
    <row r="248">
      <c r="A248" s="31" t="inlineStr">
        <is>
          <t>MBECL</t>
        </is>
      </c>
      <c r="B248" s="31" t="inlineStr">
        <is>
          <t>Mcnally Bharat Engineering Company Limited</t>
        </is>
      </c>
      <c r="C248" s="31" t="inlineStr">
        <is>
          <t>realty</t>
        </is>
      </c>
      <c r="D248" s="31" t="inlineStr">
        <is>
          <t>engineering - turnkey services</t>
        </is>
      </c>
      <c r="E248" s="31" t="inlineStr">
        <is>
          <t>smallcap</t>
        </is>
      </c>
      <c r="F248" s="31" t="n">
        <v>1646</v>
      </c>
      <c r="G248" s="31" t="n">
        <v>483.95</v>
      </c>
      <c r="H248" s="31" t="n">
        <v>-1.99</v>
      </c>
      <c r="I248" s="31" t="n">
        <v>1537</v>
      </c>
      <c r="J248" s="31" t="inlineStr">
        <is>
          <t>532629</t>
        </is>
      </c>
    </row>
    <row r="249">
      <c r="A249" s="31" t="inlineStr">
        <is>
          <t>GRAPHITE</t>
        </is>
      </c>
      <c r="B249" s="31" t="inlineStr">
        <is>
          <t>Graphite India Limited</t>
        </is>
      </c>
      <c r="C249" s="31" t="inlineStr">
        <is>
          <t>industrials</t>
        </is>
      </c>
      <c r="D249" s="31" t="inlineStr">
        <is>
          <t>electrodes - graphites</t>
        </is>
      </c>
      <c r="E249" s="31" t="inlineStr">
        <is>
          <t>midcap</t>
        </is>
      </c>
      <c r="F249" s="31" t="n">
        <v>16630.37</v>
      </c>
      <c r="G249" s="31" t="n">
        <v>834.05</v>
      </c>
      <c r="H249" s="31" t="n">
        <v>-2.01</v>
      </c>
      <c r="I249" s="31" t="n">
        <v>656284</v>
      </c>
      <c r="J249" s="31" t="inlineStr">
        <is>
          <t>509488</t>
        </is>
      </c>
    </row>
    <row r="250">
      <c r="A250" s="31" t="inlineStr">
        <is>
          <t>MANALIPETC</t>
        </is>
      </c>
      <c r="B250" s="31" t="inlineStr">
        <is>
          <t>Manali Petrochemicals Limited</t>
        </is>
      </c>
      <c r="C250" s="31" t="inlineStr">
        <is>
          <t>energy</t>
        </is>
      </c>
      <c r="D250" s="31" t="inlineStr">
        <is>
          <t>petrochemicals</t>
        </is>
      </c>
      <c r="E250" s="31" t="inlineStr">
        <is>
          <t>smallcap</t>
        </is>
      </c>
      <c r="F250" s="31" t="n">
        <v>1588.58</v>
      </c>
      <c r="G250" s="31" t="n">
        <v>90.48</v>
      </c>
      <c r="H250" s="31" t="n">
        <v>-2.04</v>
      </c>
      <c r="I250" s="31" t="n">
        <v>3975432</v>
      </c>
      <c r="J250" s="31" t="inlineStr">
        <is>
          <t>500268</t>
        </is>
      </c>
    </row>
    <row r="251">
      <c r="A251" s="31" t="inlineStr">
        <is>
          <t>QPOWER</t>
        </is>
      </c>
      <c r="B251" s="31" t="inlineStr">
        <is>
          <t>Quality Power Electrical Equipments Ltd</t>
        </is>
      </c>
      <c r="C251" s="31" t="inlineStr">
        <is>
          <t>industrials</t>
        </is>
      </c>
      <c r="D251" s="31" t="inlineStr">
        <is>
          <t>electric equipment</t>
        </is>
      </c>
      <c r="E251" s="31" t="inlineStr">
        <is>
          <t>midcap</t>
        </is>
      </c>
      <c r="F251" s="31" t="n">
        <v>12768.98</v>
      </c>
      <c r="G251" s="31" t="n">
        <v>1615</v>
      </c>
      <c r="H251" s="31" t="n">
        <v>-2.05</v>
      </c>
      <c r="I251" s="31" t="n">
        <v>318497</v>
      </c>
      <c r="J251" s="31" t="inlineStr">
        <is>
          <t>544367</t>
        </is>
      </c>
    </row>
    <row r="252">
      <c r="A252" s="31" t="inlineStr">
        <is>
          <t>AARTIPHARM</t>
        </is>
      </c>
      <c r="B252" s="31" t="inlineStr">
        <is>
          <t>Aarti Pharmalabs Ltd</t>
        </is>
      </c>
      <c r="C252" s="31" t="inlineStr">
        <is>
          <t>healthcare</t>
        </is>
      </c>
      <c r="D252" s="31" t="inlineStr">
        <is>
          <t>pharmaceuticals - indian - bulk drugs &amp; formln</t>
        </is>
      </c>
      <c r="E252" s="31" t="inlineStr">
        <is>
          <t>midcap</t>
        </is>
      </c>
      <c r="F252" s="31" t="n">
        <v>8841.280000000001</v>
      </c>
      <c r="G252" s="31" t="n">
        <v>953.35</v>
      </c>
      <c r="H252" s="31" t="n">
        <v>-2.22</v>
      </c>
      <c r="I252" s="31" t="n">
        <v>522298</v>
      </c>
      <c r="J252" s="31" t="inlineStr">
        <is>
          <t>543748</t>
        </is>
      </c>
    </row>
    <row r="253">
      <c r="A253" s="31" t="inlineStr">
        <is>
          <t>INDSWFTLAB</t>
        </is>
      </c>
      <c r="B253" s="31" t="inlineStr">
        <is>
          <t>Ind-swift Laboratories Limited</t>
        </is>
      </c>
      <c r="C253" s="31" t="inlineStr">
        <is>
          <t>healthcare</t>
        </is>
      </c>
      <c r="D253" s="31" t="inlineStr">
        <is>
          <t>pharmaceuticals - indian - bulk drugs &amp; formln</t>
        </is>
      </c>
      <c r="E253" s="31" t="inlineStr">
        <is>
          <t>smallcap</t>
        </is>
      </c>
      <c r="F253" s="31" t="n">
        <v>3482.38</v>
      </c>
      <c r="G253" s="31" t="n">
        <v>391.1</v>
      </c>
      <c r="H253" s="31" t="n">
        <v>-2.33</v>
      </c>
      <c r="I253" s="31" t="n">
        <v>262328</v>
      </c>
      <c r="J253" s="31" t="inlineStr">
        <is>
          <t>532305</t>
        </is>
      </c>
    </row>
    <row r="254">
      <c r="A254" s="31" t="inlineStr">
        <is>
          <t>DELTACORP</t>
        </is>
      </c>
      <c r="B254" s="31" t="inlineStr">
        <is>
          <t>Delta Corp Limited</t>
        </is>
      </c>
      <c r="C254" s="31" t="inlineStr">
        <is>
          <t>miscellaneous</t>
        </is>
      </c>
      <c r="D254" s="31" t="inlineStr">
        <is>
          <t>recreation / amusement parks</t>
        </is>
      </c>
      <c r="E254" s="31" t="inlineStr">
        <is>
          <t>smallcap</t>
        </is>
      </c>
      <c r="F254" s="31" t="n">
        <v>2258.38</v>
      </c>
      <c r="G254" s="31" t="n">
        <v>82.37</v>
      </c>
      <c r="H254" s="31" t="n">
        <v>-2.34</v>
      </c>
      <c r="I254" s="31" t="n">
        <v>13502678</v>
      </c>
      <c r="J254" s="31" t="inlineStr">
        <is>
          <t>532848</t>
        </is>
      </c>
    </row>
    <row r="255">
      <c r="A255" s="31" t="inlineStr">
        <is>
          <t>FCL</t>
        </is>
      </c>
      <c r="B255" s="31" t="inlineStr">
        <is>
          <t>Fineotex Chemical Limited</t>
        </is>
      </c>
      <c r="C255" s="31" t="inlineStr">
        <is>
          <t>chemicals</t>
        </is>
      </c>
      <c r="D255" s="31" t="inlineStr">
        <is>
          <t>chemicals</t>
        </is>
      </c>
      <c r="E255" s="31" t="inlineStr">
        <is>
          <t>midcap</t>
        </is>
      </c>
      <c r="F255" s="31" t="n">
        <v>6893.85</v>
      </c>
      <c r="G255" s="31" t="n">
        <v>57.8</v>
      </c>
      <c r="H255" s="31" t="n">
        <v>-2.36</v>
      </c>
      <c r="I255" s="31" t="n">
        <v>29767531</v>
      </c>
      <c r="J255" s="31" t="inlineStr">
        <is>
          <t>533333</t>
        </is>
      </c>
    </row>
    <row r="256">
      <c r="A256" s="31" t="inlineStr">
        <is>
          <t>QUADFUTURE</t>
        </is>
      </c>
      <c r="B256" s="31" t="inlineStr">
        <is>
          <t>Quadrant Future Tek Ltd</t>
        </is>
      </c>
      <c r="C256" s="31" t="inlineStr">
        <is>
          <t>industrials</t>
        </is>
      </c>
      <c r="D256" s="31" t="inlineStr">
        <is>
          <t>cables - power</t>
        </is>
      </c>
      <c r="E256" s="31" t="inlineStr">
        <is>
          <t>smallcap</t>
        </is>
      </c>
      <c r="F256" s="31" t="n">
        <v>2189.6</v>
      </c>
      <c r="G256" s="31" t="n">
        <v>534.4</v>
      </c>
      <c r="H256" s="31" t="n">
        <v>-2.37</v>
      </c>
      <c r="I256" s="31" t="n">
        <v>209072</v>
      </c>
      <c r="J256" s="31" t="inlineStr">
        <is>
          <t>544336</t>
        </is>
      </c>
    </row>
    <row r="257">
      <c r="A257" s="31" t="inlineStr">
        <is>
          <t>SAMBHV</t>
        </is>
      </c>
      <c r="B257" s="31" t="inlineStr">
        <is>
          <t>Sambhv Steel Tubes Ltd</t>
        </is>
      </c>
      <c r="C257" s="31" t="inlineStr">
        <is>
          <t>metals &amp; mining</t>
        </is>
      </c>
      <c r="D257" s="31" t="inlineStr">
        <is>
          <t>steel - medium / small</t>
        </is>
      </c>
      <c r="E257" s="31" t="inlineStr">
        <is>
          <t>smallcap</t>
        </is>
      </c>
      <c r="F257" s="31" t="n">
        <v>4779.28</v>
      </c>
      <c r="G257" s="31" t="n">
        <v>158.32</v>
      </c>
      <c r="H257" s="31" t="n">
        <v>-2.39</v>
      </c>
      <c r="I257" s="31" t="n">
        <v>1552880</v>
      </c>
      <c r="J257" s="31" t="inlineStr">
        <is>
          <t>544430</t>
        </is>
      </c>
    </row>
    <row r="258">
      <c r="A258" s="31" t="inlineStr">
        <is>
          <t>TBZ</t>
        </is>
      </c>
      <c r="B258" s="31" t="inlineStr">
        <is>
          <t>Tribhovandas Bhimji Zaveri Limited</t>
        </is>
      </c>
      <c r="C258" s="31" t="inlineStr">
        <is>
          <t>consumer discretionary</t>
        </is>
      </c>
      <c r="D258" s="31" t="inlineStr">
        <is>
          <t>diamond cutting / jewellery</t>
        </is>
      </c>
      <c r="E258" s="31" t="inlineStr">
        <is>
          <t>smallcap</t>
        </is>
      </c>
      <c r="F258" s="31" t="n">
        <v>4062.89</v>
      </c>
      <c r="G258" s="31" t="n">
        <v>594.25</v>
      </c>
      <c r="H258" s="31" t="n">
        <v>-2.4</v>
      </c>
      <c r="I258" s="31" t="n">
        <v>130826</v>
      </c>
      <c r="J258" s="31" t="inlineStr">
        <is>
          <t>534369</t>
        </is>
      </c>
    </row>
    <row r="259">
      <c r="A259" s="31" t="inlineStr">
        <is>
          <t>RRKABEL</t>
        </is>
      </c>
      <c r="B259" s="31" t="inlineStr">
        <is>
          <t>R R Kabel Ltd</t>
        </is>
      </c>
      <c r="C259" s="31" t="inlineStr">
        <is>
          <t>industrials</t>
        </is>
      </c>
      <c r="D259" s="31" t="inlineStr">
        <is>
          <t>cables - power</t>
        </is>
      </c>
      <c r="E259" s="31" t="inlineStr">
        <is>
          <t>largecap</t>
        </is>
      </c>
      <c r="F259" s="31" t="n">
        <v>31553.04</v>
      </c>
      <c r="G259" s="31" t="n">
        <v>2722.5</v>
      </c>
      <c r="H259" s="31" t="n">
        <v>-2.41</v>
      </c>
      <c r="I259" s="31" t="n">
        <v>502681</v>
      </c>
      <c r="J259" s="31" t="inlineStr">
        <is>
          <t>543981</t>
        </is>
      </c>
    </row>
    <row r="260">
      <c r="A260" s="31" t="inlineStr">
        <is>
          <t>SIGMAADV</t>
        </is>
      </c>
      <c r="B260" s="31" t="inlineStr">
        <is>
          <t>Sigma Advanced System Ltd</t>
        </is>
      </c>
      <c r="C260" s="31" t="inlineStr">
        <is>
          <t>aerospace &amp; defence</t>
        </is>
      </c>
      <c r="D260" s="31" t="inlineStr">
        <is>
          <t>electronics - components</t>
        </is>
      </c>
      <c r="E260" s="31" t="inlineStr">
        <is>
          <t>largecap</t>
        </is>
      </c>
      <c r="F260" s="31" t="n">
        <v>21212.2</v>
      </c>
      <c r="G260" s="31" t="n">
        <v>1091.6</v>
      </c>
      <c r="H260" s="31" t="n">
        <v>-2.48</v>
      </c>
      <c r="I260" s="31" t="n">
        <v>236310</v>
      </c>
      <c r="J260" s="31" t="inlineStr">
        <is>
          <t>532408</t>
        </is>
      </c>
    </row>
    <row r="261">
      <c r="A261" s="31" t="inlineStr">
        <is>
          <t>SPECIALITY</t>
        </is>
      </c>
      <c r="B261" s="31" t="inlineStr">
        <is>
          <t>Speciality Restaurants Limited</t>
        </is>
      </c>
      <c r="C261" s="31" t="inlineStr">
        <is>
          <t>services</t>
        </is>
      </c>
      <c r="D261" s="31" t="inlineStr">
        <is>
          <t>hotels</t>
        </is>
      </c>
      <c r="E261" s="31" t="inlineStr">
        <is>
          <t>smallcap</t>
        </is>
      </c>
      <c r="F261" s="31" t="n">
        <v>754.02</v>
      </c>
      <c r="G261" s="31" t="n">
        <v>152.4</v>
      </c>
      <c r="H261" s="31" t="n">
        <v>-2.51</v>
      </c>
      <c r="I261" s="31" t="n">
        <v>16233</v>
      </c>
      <c r="J261" s="31" t="inlineStr">
        <is>
          <t>534425</t>
        </is>
      </c>
    </row>
    <row r="262">
      <c r="A262" s="31" t="inlineStr">
        <is>
          <t>BIRLACABLE</t>
        </is>
      </c>
      <c r="B262" s="31" t="inlineStr">
        <is>
          <t>Birla Cable Limited</t>
        </is>
      </c>
      <c r="C262" s="31" t="inlineStr">
        <is>
          <t>industrials</t>
        </is>
      </c>
      <c r="D262" s="31" t="inlineStr">
        <is>
          <t>cables - telephone</t>
        </is>
      </c>
      <c r="E262" s="31" t="inlineStr">
        <is>
          <t>smallcap</t>
        </is>
      </c>
      <c r="F262" s="31" t="n">
        <v>1186.35</v>
      </c>
      <c r="G262" s="31" t="n">
        <v>385.05</v>
      </c>
      <c r="H262" s="31" t="n">
        <v>-2.63</v>
      </c>
      <c r="I262" s="31" t="n">
        <v>529869</v>
      </c>
      <c r="J262" s="31" t="inlineStr">
        <is>
          <t>500060</t>
        </is>
      </c>
    </row>
    <row r="263">
      <c r="A263" s="31" t="inlineStr">
        <is>
          <t>ACMESOLAR</t>
        </is>
      </c>
      <c r="B263" s="31" t="inlineStr">
        <is>
          <t>ACME Solar Holdings Ltd</t>
        </is>
      </c>
      <c r="C263" s="31" t="inlineStr">
        <is>
          <t>realty</t>
        </is>
      </c>
      <c r="D263" s="31" t="inlineStr">
        <is>
          <t>engineering - turnkey services</t>
        </is>
      </c>
      <c r="E263" s="31" t="inlineStr">
        <is>
          <t>largecap</t>
        </is>
      </c>
      <c r="F263" s="31" t="n">
        <v>31682.11</v>
      </c>
      <c r="G263" s="31" t="n">
        <v>436.15</v>
      </c>
      <c r="H263" s="31" t="n">
        <v>-2.69</v>
      </c>
      <c r="I263" s="31" t="n">
        <v>813273</v>
      </c>
      <c r="J263" s="31" t="inlineStr">
        <is>
          <t>544283</t>
        </is>
      </c>
    </row>
    <row r="264">
      <c r="A264" s="31" t="inlineStr">
        <is>
          <t>WSTCSTPAPR</t>
        </is>
      </c>
      <c r="B264" s="31" t="inlineStr">
        <is>
          <t>West Coast Paper Mills Limited</t>
        </is>
      </c>
      <c r="C264" s="31" t="inlineStr">
        <is>
          <t>building materials</t>
        </is>
      </c>
      <c r="D264" s="31" t="inlineStr">
        <is>
          <t>paper</t>
        </is>
      </c>
      <c r="E264" s="31" t="inlineStr">
        <is>
          <t>smallcap</t>
        </is>
      </c>
      <c r="F264" s="31" t="n">
        <v>4973.81</v>
      </c>
      <c r="G264" s="31" t="n">
        <v>732.3</v>
      </c>
      <c r="H264" s="31" t="n">
        <v>-2.76</v>
      </c>
      <c r="I264" s="31" t="n">
        <v>210582</v>
      </c>
      <c r="J264" s="31" t="inlineStr">
        <is>
          <t>500444</t>
        </is>
      </c>
    </row>
    <row r="265">
      <c r="A265" s="31" t="inlineStr">
        <is>
          <t>ABDL</t>
        </is>
      </c>
      <c r="B265" s="31" t="inlineStr">
        <is>
          <t>Allied Blenders &amp; Distillers Ltd</t>
        </is>
      </c>
      <c r="C265" s="31" t="inlineStr">
        <is>
          <t>fmcg</t>
        </is>
      </c>
      <c r="D265" s="31" t="inlineStr">
        <is>
          <t>breweries &amp; distilleries</t>
        </is>
      </c>
      <c r="E265" s="31" t="inlineStr">
        <is>
          <t>midcap</t>
        </is>
      </c>
      <c r="F265" s="31" t="n">
        <v>19989.49</v>
      </c>
      <c r="G265" s="31" t="n">
        <v>694.25</v>
      </c>
      <c r="H265" s="31" t="n">
        <v>-2.85</v>
      </c>
      <c r="I265" s="31" t="n">
        <v>398467</v>
      </c>
      <c r="J265" s="31" t="inlineStr">
        <is>
          <t>544203</t>
        </is>
      </c>
    </row>
    <row r="266">
      <c r="A266" s="31" t="inlineStr">
        <is>
          <t>SANGAMIND</t>
        </is>
      </c>
      <c r="B266" s="31" t="inlineStr">
        <is>
          <t>Sangam (india) Limited</t>
        </is>
      </c>
      <c r="C266" s="31" t="inlineStr">
        <is>
          <t>textiles</t>
        </is>
      </c>
      <c r="D266" s="31" t="inlineStr">
        <is>
          <t>textiles - spinning - synthetic / blended</t>
        </is>
      </c>
      <c r="E266" s="31" t="inlineStr">
        <is>
          <t>smallcap</t>
        </is>
      </c>
      <c r="F266" s="31" t="n">
        <v>3227.84</v>
      </c>
      <c r="G266" s="31" t="n">
        <v>624.05</v>
      </c>
      <c r="H266" s="31" t="n">
        <v>-2.86</v>
      </c>
      <c r="I266" s="31" t="n">
        <v>27370</v>
      </c>
      <c r="J266" s="31" t="inlineStr">
        <is>
          <t>514234</t>
        </is>
      </c>
    </row>
    <row r="267">
      <c r="A267" s="31" t="inlineStr">
        <is>
          <t>OPTIEMUS</t>
        </is>
      </c>
      <c r="B267" s="31" t="inlineStr">
        <is>
          <t>Optiemus Infracom Ltd</t>
        </is>
      </c>
      <c r="C267" s="31" t="inlineStr">
        <is>
          <t>telecom</t>
        </is>
      </c>
      <c r="D267" s="31" t="inlineStr">
        <is>
          <t>trading</t>
        </is>
      </c>
      <c r="E267" s="31" t="inlineStr">
        <is>
          <t>midcap</t>
        </is>
      </c>
      <c r="F267" s="31" t="n">
        <v>8023.91</v>
      </c>
      <c r="G267" s="31" t="n">
        <v>861.9</v>
      </c>
      <c r="H267" s="31" t="n">
        <v>-3.15</v>
      </c>
      <c r="I267" s="31" t="n">
        <v>1054981</v>
      </c>
      <c r="J267" s="31" t="inlineStr">
        <is>
          <t>530135</t>
        </is>
      </c>
    </row>
    <row r="268">
      <c r="A268" s="31" t="inlineStr">
        <is>
          <t>TEXINFRA</t>
        </is>
      </c>
      <c r="B268" s="31" t="inlineStr">
        <is>
          <t>Texmaco Infrastructure &amp; Holdings Limited</t>
        </is>
      </c>
      <c r="C268" s="31" t="inlineStr">
        <is>
          <t>realty</t>
        </is>
      </c>
      <c r="D268" s="31" t="inlineStr">
        <is>
          <t>construction</t>
        </is>
      </c>
      <c r="E268" s="31" t="inlineStr">
        <is>
          <t>smallcap</t>
        </is>
      </c>
      <c r="F268" s="31" t="n">
        <v>1598.18</v>
      </c>
      <c r="G268" s="31" t="n">
        <v>121.24</v>
      </c>
      <c r="H268" s="31" t="n">
        <v>-3.33</v>
      </c>
      <c r="I268" s="31" t="n">
        <v>149902</v>
      </c>
      <c r="J268" s="31" t="inlineStr">
        <is>
          <t>505400</t>
        </is>
      </c>
    </row>
    <row r="269">
      <c r="A269" s="31" t="inlineStr">
        <is>
          <t>VALIANTORG</t>
        </is>
      </c>
      <c r="B269" s="31" t="inlineStr">
        <is>
          <t>Valiant Organics Ltd</t>
        </is>
      </c>
      <c r="C269" s="31" t="inlineStr">
        <is>
          <t>chemicals</t>
        </is>
      </c>
      <c r="D269" s="31" t="inlineStr">
        <is>
          <t>chemicals</t>
        </is>
      </c>
      <c r="E269" s="31" t="inlineStr">
        <is>
          <t>smallcap</t>
        </is>
      </c>
      <c r="F269" s="31" t="n">
        <v>1392.76</v>
      </c>
      <c r="G269" s="31" t="n">
        <v>479.85</v>
      </c>
      <c r="H269" s="31" t="n">
        <v>-3.41</v>
      </c>
      <c r="I269" s="31" t="n">
        <v>109561</v>
      </c>
      <c r="J269" s="31" t="inlineStr">
        <is>
          <t>540145</t>
        </is>
      </c>
    </row>
    <row r="270">
      <c r="A270" s="31" t="inlineStr">
        <is>
          <t>DYNAMATECH</t>
        </is>
      </c>
      <c r="B270" s="31" t="inlineStr">
        <is>
          <t>Dynamatic Technologies Limited</t>
        </is>
      </c>
      <c r="C270" s="31" t="inlineStr">
        <is>
          <t>aerospace &amp; defence</t>
        </is>
      </c>
      <c r="D270" s="31" t="inlineStr">
        <is>
          <t>engineering</t>
        </is>
      </c>
      <c r="E270" s="31" t="inlineStr">
        <is>
          <t>midcap</t>
        </is>
      </c>
      <c r="F270" s="31" t="n">
        <v>9697.5</v>
      </c>
      <c r="G270" s="31" t="n">
        <v>13723</v>
      </c>
      <c r="H270" s="31" t="n">
        <v>-3.89</v>
      </c>
      <c r="I270" s="31" t="n">
        <v>29509</v>
      </c>
      <c r="J270" s="31" t="inlineStr">
        <is>
          <t>505242</t>
        </is>
      </c>
    </row>
    <row r="271">
      <c r="A271" s="31" t="inlineStr">
        <is>
          <t>BHAGERIA</t>
        </is>
      </c>
      <c r="B271" s="31" t="inlineStr">
        <is>
          <t>Bhageria Industries Limited</t>
        </is>
      </c>
      <c r="C271" s="31" t="inlineStr">
        <is>
          <t>chemicals</t>
        </is>
      </c>
      <c r="D271" s="31" t="inlineStr">
        <is>
          <t>dyes and pigments</t>
        </is>
      </c>
      <c r="E271" s="31" t="inlineStr">
        <is>
          <t>smallcap</t>
        </is>
      </c>
      <c r="F271" s="31" t="n">
        <v>1717.62</v>
      </c>
      <c r="G271" s="31" t="n">
        <v>377.55</v>
      </c>
      <c r="H271" s="31" t="n">
        <v>-4.07</v>
      </c>
      <c r="I271" s="31" t="n">
        <v>173072</v>
      </c>
      <c r="J271" s="31" t="inlineStr">
        <is>
          <t>530803</t>
        </is>
      </c>
    </row>
    <row r="272">
      <c r="A272" s="31" t="inlineStr">
        <is>
          <t>PRIMO</t>
        </is>
      </c>
      <c r="B272" s="31" t="inlineStr">
        <is>
          <t>Primo Chemicals Ltd</t>
        </is>
      </c>
      <c r="C272" s="31" t="inlineStr">
        <is>
          <t>chemicals</t>
        </is>
      </c>
      <c r="D272" s="31" t="inlineStr">
        <is>
          <t>chlor alkali / soda ash</t>
        </is>
      </c>
      <c r="E272" s="31" t="inlineStr">
        <is>
          <t>smallcap</t>
        </is>
      </c>
      <c r="F272" s="31" t="n">
        <v>653.6</v>
      </c>
      <c r="G272" s="31" t="n">
        <v>25.62</v>
      </c>
      <c r="H272" s="31" t="n">
        <v>-5.01</v>
      </c>
      <c r="I272" s="31" t="n">
        <v>277273</v>
      </c>
      <c r="J272" s="31" t="inlineStr">
        <is>
          <t>506852</t>
        </is>
      </c>
    </row>
    <row r="273">
      <c r="A273" s="31" t="inlineStr">
        <is>
          <t>RAYMOND</t>
        </is>
      </c>
      <c r="B273" s="31" t="inlineStr">
        <is>
          <t>Raymond Limited</t>
        </is>
      </c>
      <c r="C273" s="31" t="inlineStr">
        <is>
          <t>transportation</t>
        </is>
      </c>
      <c r="D273" s="31" t="inlineStr">
        <is>
          <t>transport - airlines</t>
        </is>
      </c>
      <c r="E273" s="31" t="inlineStr">
        <is>
          <t>midcap</t>
        </is>
      </c>
      <c r="F273" s="31" t="n">
        <v>8616.639999999999</v>
      </c>
      <c r="G273" s="31" t="n">
        <v>1206.7</v>
      </c>
      <c r="H273" s="31" t="n">
        <v>-6.77</v>
      </c>
      <c r="I273" s="31" t="n">
        <v>1774220</v>
      </c>
      <c r="J273" s="31" t="inlineStr">
        <is>
          <t>500330</t>
        </is>
      </c>
    </row>
  </sheetData>
  <autoFilter ref="A1:J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OCCLLTD</t>
        </is>
      </c>
      <c r="E2" s="31" t="inlineStr">
        <is>
          <t>OCCL Ltd</t>
        </is>
      </c>
      <c r="F2" s="31" t="inlineStr">
        <is>
          <t>Chemicals Organic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18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FINCABLES</t>
        </is>
      </c>
      <c r="E3" s="31" t="inlineStr">
        <is>
          <t>Finolex Cables Limited</t>
        </is>
      </c>
      <c r="F3" s="31" t="inlineStr">
        <is>
          <t>Cables Telecom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18</v>
      </c>
      <c r="K3" s="31" t="n">
        <v>27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IBULLSLTD</t>
        </is>
      </c>
      <c r="E4" s="31" t="inlineStr">
        <is>
          <t>Indiabulls Limited</t>
        </is>
      </c>
      <c r="F4" s="31" t="inlineStr">
        <is>
          <t>Diversified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16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THELEELA</t>
        </is>
      </c>
      <c r="E5" s="31" t="inlineStr">
        <is>
          <t>Leela Palaces Hotels &amp; Resorts Ltd</t>
        </is>
      </c>
      <c r="F5" s="31" t="inlineStr">
        <is>
          <t>Hotels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14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TATVA</t>
        </is>
      </c>
      <c r="E6" s="31" t="inlineStr">
        <is>
          <t>Tatva Chintan Pharma Chem Ltd</t>
        </is>
      </c>
      <c r="F6" s="31" t="inlineStr">
        <is>
          <t>Specialty Chemicals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19</v>
      </c>
      <c r="K6" s="31" t="n">
        <v>17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KINGFA</t>
        </is>
      </c>
      <c r="E7" s="31" t="inlineStr">
        <is>
          <t>Kingfa Science &amp; Technology (india) Limited</t>
        </is>
      </c>
      <c r="F7" s="31" t="inlineStr">
        <is>
          <t>Plastics Plastic and Plastic Products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26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TFCILTD</t>
        </is>
      </c>
      <c r="E8" s="31" t="inlineStr">
        <is>
          <t>Tourism Finance Corporation Of India Limited</t>
        </is>
      </c>
      <c r="F8" s="31" t="inlineStr">
        <is>
          <t>Finance PSU Lending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28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GLAND</t>
        </is>
      </c>
      <c r="E9" s="31" t="inlineStr">
        <is>
          <t>Gland Pharma Ltd</t>
        </is>
      </c>
      <c r="F9" s="31" t="inlineStr">
        <is>
          <t>Pharma Formulations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17</v>
      </c>
      <c r="K9" s="31" t="n">
        <v>20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CUPID</t>
        </is>
      </c>
      <c r="E10" s="31" t="inlineStr">
        <is>
          <t>Cupid Limited</t>
        </is>
      </c>
      <c r="F10" s="31" t="inlineStr">
        <is>
          <t>Contraceptives and Protectives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23</v>
      </c>
      <c r="K10" s="31" t="n">
        <v>22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HFCL</t>
        </is>
      </c>
      <c r="E11" s="31" t="inlineStr">
        <is>
          <t>HFCL Ltd</t>
        </is>
      </c>
      <c r="F11" s="31" t="inlineStr">
        <is>
          <t>Telecommunications Equipment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17</v>
      </c>
      <c r="K11" s="31" t="n">
        <v>12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EBGNG</t>
        </is>
      </c>
      <c r="E12" s="31" t="inlineStr">
        <is>
          <t>GNG Electronics Ltd</t>
        </is>
      </c>
      <c r="F12" s="31" t="inlineStr">
        <is>
          <t>New age Platform E Retail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19</v>
      </c>
      <c r="K12" s="31" t="n">
        <v>27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KMEW</t>
        </is>
      </c>
      <c r="E13" s="31" t="inlineStr">
        <is>
          <t>Knowledge Marine &amp; Engineering Works Ltd</t>
        </is>
      </c>
      <c r="F13" s="31" t="inlineStr">
        <is>
          <t>Shipping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20</v>
      </c>
      <c r="K13" s="31" t="n">
        <v>18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LAURUSLABS</t>
        </is>
      </c>
      <c r="E14" s="31" t="inlineStr">
        <is>
          <t>Laurus Labs Limited</t>
        </is>
      </c>
      <c r="F14" s="31" t="inlineStr">
        <is>
          <t>Pharma API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18</v>
      </c>
      <c r="K14" s="31" t="n">
        <v>29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JAMNAAUTO</t>
        </is>
      </c>
      <c r="E15" s="31" t="inlineStr">
        <is>
          <t>Jamna Auto Industries Limited</t>
        </is>
      </c>
      <c r="F15" s="31" t="inlineStr">
        <is>
          <t>Auto Springs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18</v>
      </c>
      <c r="K15" s="31" t="n">
        <v>13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GANDHAR</t>
        </is>
      </c>
      <c r="E16" s="31" t="inlineStr">
        <is>
          <t>Gandhar Oil Refinery (India) Ltd</t>
        </is>
      </c>
      <c r="F16" s="31" t="inlineStr">
        <is>
          <t>Refineries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23</v>
      </c>
      <c r="K16" s="31" t="n">
        <v>25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AVADHSUGAR</t>
        </is>
      </c>
      <c r="E17" s="31" t="inlineStr">
        <is>
          <t>Avadh Sugar &amp; Energy</t>
        </is>
      </c>
      <c r="F17" s="31" t="inlineStr">
        <is>
          <t>unknown</t>
        </is>
      </c>
      <c r="G17" s="31" t="n">
        <v>3</v>
      </c>
      <c r="H17" s="31" t="inlineStr">
        <is>
          <t>52W Breakout</t>
        </is>
      </c>
      <c r="I17" s="31" t="inlineStr">
        <is>
          <t>Yes</t>
        </is>
      </c>
      <c r="J17" s="31" t="n">
        <v>0</v>
      </c>
      <c r="K17" s="31" t="n">
        <v>18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PRECWIRE</t>
        </is>
      </c>
      <c r="E18" s="31" t="inlineStr">
        <is>
          <t>Precision Wires India Limited</t>
        </is>
      </c>
      <c r="F18" s="31" t="inlineStr">
        <is>
          <t>Copper Wires</t>
        </is>
      </c>
      <c r="G18" s="31" t="n">
        <v>3</v>
      </c>
      <c r="H18" s="31" t="inlineStr">
        <is>
          <t>52W Breakout</t>
        </is>
      </c>
      <c r="I18" s="31" t="inlineStr">
        <is>
          <t>Yes</t>
        </is>
      </c>
      <c r="J18" s="31" t="n">
        <v>18</v>
      </c>
      <c r="K18" s="31" t="n">
        <v>21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SUNFLAG</t>
        </is>
      </c>
      <c r="E19" s="31" t="inlineStr">
        <is>
          <t>Sunflag Iron And Steel Company Limited</t>
        </is>
      </c>
      <c r="F19" s="31" t="inlineStr">
        <is>
          <t>Steel Products</t>
        </is>
      </c>
      <c r="G19" s="31" t="n">
        <v>3</v>
      </c>
      <c r="H19" s="31" t="inlineStr">
        <is>
          <t>52W Breakout</t>
        </is>
      </c>
      <c r="I19" s="31" t="inlineStr">
        <is>
          <t>Yes</t>
        </is>
      </c>
      <c r="J19" s="31" t="n">
        <v>21</v>
      </c>
      <c r="K19" s="31" t="n">
        <v>12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PREMIERPOL</t>
        </is>
      </c>
      <c r="E20" s="31" t="inlineStr">
        <is>
          <t>Premier Polyfilm Limited</t>
        </is>
      </c>
      <c r="F20" s="31" t="inlineStr">
        <is>
          <t>Plastics Sheets and Films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22</v>
      </c>
      <c r="K20" s="31" t="n">
        <v>19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SHANTIGOLD</t>
        </is>
      </c>
      <c r="E21" s="31" t="inlineStr">
        <is>
          <t>Shanti Gold International Ltd</t>
        </is>
      </c>
      <c r="F21" s="31" t="inlineStr">
        <is>
          <t>Diamond Gems and Jewellery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20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PGIL</t>
        </is>
      </c>
      <c r="E22" s="31" t="inlineStr">
        <is>
          <t>Pearl Global Industries Limited</t>
        </is>
      </c>
      <c r="F22" s="31" t="inlineStr">
        <is>
          <t>Textiles Readymade Apparel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18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FCL</t>
        </is>
      </c>
      <c r="E23" s="31" t="inlineStr">
        <is>
          <t>Fineotex Chemical Limited</t>
        </is>
      </c>
      <c r="F23" s="31" t="inlineStr">
        <is>
          <t>Specialty Chemicals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27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RPTECH</t>
        </is>
      </c>
      <c r="E24" s="31" t="inlineStr">
        <is>
          <t>Rashi Peripherals Ltd</t>
        </is>
      </c>
      <c r="F24" s="31" t="inlineStr">
        <is>
          <t>Trading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23</v>
      </c>
      <c r="K24" s="31" t="n">
        <v>13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VINCOFE</t>
        </is>
      </c>
      <c r="E25" s="31" t="inlineStr">
        <is>
          <t>Vintage Coffee &amp; Beverages Ltd</t>
        </is>
      </c>
      <c r="F25" s="31" t="inlineStr">
        <is>
          <t>FMCG Coffee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18</v>
      </c>
      <c r="K25" s="31" t="n">
        <v>28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MENONBE</t>
        </is>
      </c>
      <c r="E26" s="31" t="inlineStr">
        <is>
          <t>Menon Bearings Limited</t>
        </is>
      </c>
      <c r="F26" s="31" t="inlineStr">
        <is>
          <t>Bearings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18</v>
      </c>
      <c r="K26" s="31" t="n">
        <v>22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CASTROLIND</t>
        </is>
      </c>
      <c r="E27" s="31" t="inlineStr">
        <is>
          <t>Castrol India Limited</t>
        </is>
      </c>
      <c r="F27" s="31" t="inlineStr">
        <is>
          <t>Lubricants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17</v>
      </c>
      <c r="K27" s="31" t="n">
        <v>20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LLOYDSENGG</t>
        </is>
      </c>
      <c r="E28" s="31" t="inlineStr">
        <is>
          <t>Lloyds Engineering Works Ltd</t>
        </is>
      </c>
      <c r="F28" s="31" t="inlineStr">
        <is>
          <t>Capital Goods Electrical Equipment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11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BHAGYANGR</t>
        </is>
      </c>
      <c r="E29" s="31" t="inlineStr">
        <is>
          <t>Bhagyanagar India</t>
        </is>
      </c>
      <c r="F29" s="31" t="inlineStr">
        <is>
          <t>Recycling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23</v>
      </c>
      <c r="K29" s="31" t="n">
        <v>15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SGFIN</t>
        </is>
      </c>
      <c r="E30" s="31" t="inlineStr">
        <is>
          <t>SG Finserve Ltd</t>
        </is>
      </c>
      <c r="F30" s="31" t="inlineStr">
        <is>
          <t>Finance and Investments MSME Lending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SMCGLOBAL</t>
        </is>
      </c>
      <c r="E31" s="31" t="inlineStr">
        <is>
          <t>SMC Global Securities Ltd</t>
        </is>
      </c>
      <c r="F31" s="31" t="inlineStr">
        <is>
          <t>Finance Capital Markets Brokers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18</v>
      </c>
      <c r="K31" s="31" t="n">
        <v>19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DPABHUSHAN</t>
        </is>
      </c>
      <c r="E32" s="31" t="inlineStr">
        <is>
          <t>D.P. Abhushan Ltd</t>
        </is>
      </c>
      <c r="F32" s="31" t="inlineStr">
        <is>
          <t>Diamond Gems and Jewellery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29</v>
      </c>
      <c r="K32" s="31" t="n">
        <v>13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ARROWGREEN</t>
        </is>
      </c>
      <c r="E33" s="31" t="inlineStr">
        <is>
          <t>Arrow Greentech Limited</t>
        </is>
      </c>
      <c r="F33" s="31" t="inlineStr">
        <is>
          <t>Plastics Plastic and Plastic Products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18</v>
      </c>
      <c r="K33" s="31" t="n">
        <v>26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BHAGERIA</t>
        </is>
      </c>
      <c r="E34" s="31" t="inlineStr">
        <is>
          <t>Bhageria Industries Limited</t>
        </is>
      </c>
      <c r="F34" s="31" t="inlineStr">
        <is>
          <t>Dyes and Pigments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20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E2E</t>
        </is>
      </c>
      <c r="E35" s="31" t="inlineStr">
        <is>
          <t>E2E Networks Ltd</t>
        </is>
      </c>
      <c r="F35" s="31" t="inlineStr">
        <is>
          <t>Data Centre</t>
        </is>
      </c>
      <c r="G35" s="31" t="n">
        <v>2</v>
      </c>
      <c r="H35" s="31" t="inlineStr">
        <is>
          <t>52W Breakout</t>
        </is>
      </c>
      <c r="I35" s="31" t="inlineStr">
        <is>
          <t>Yes</t>
        </is>
      </c>
      <c r="J35" s="31" t="n">
        <v>16</v>
      </c>
      <c r="K35" s="31" t="n">
        <v>17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AETHER</t>
        </is>
      </c>
      <c r="E36" s="31" t="inlineStr">
        <is>
          <t>Aether Industries Ltd</t>
        </is>
      </c>
      <c r="F36" s="31" t="inlineStr">
        <is>
          <t>Specialty Chemicals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15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CYIENTDLM</t>
        </is>
      </c>
      <c r="E37" s="31" t="inlineStr">
        <is>
          <t>Cyient DLM Ltd</t>
        </is>
      </c>
      <c r="F37" s="31" t="inlineStr">
        <is>
          <t>EMS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28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AVALON</t>
        </is>
      </c>
      <c r="E38" s="31" t="inlineStr">
        <is>
          <t>Avalon Technologies Ltd</t>
        </is>
      </c>
      <c r="F38" s="31" t="inlineStr">
        <is>
          <t>EMS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19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WELSPUNLIV</t>
        </is>
      </c>
      <c r="E39" s="31" t="inlineStr">
        <is>
          <t>Welspun Living Ltd</t>
        </is>
      </c>
      <c r="F39" s="31" t="inlineStr">
        <is>
          <t>Textiles Home Textile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17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LOTUSDEV</t>
        </is>
      </c>
      <c r="E40" s="31" t="inlineStr">
        <is>
          <t>Sri Lotus Developers &amp; Realty Ltd</t>
        </is>
      </c>
      <c r="F40" s="31" t="inlineStr">
        <is>
          <t>Construction Factories and Offices and Commercial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AEGISLOG</t>
        </is>
      </c>
      <c r="E41" s="31" t="inlineStr">
        <is>
          <t>Aegis Logistics Ltd</t>
        </is>
      </c>
      <c r="F41" s="31" t="inlineStr">
        <is>
          <t>Logistics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25</v>
      </c>
      <c r="K41" s="31" t="n">
        <v>11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SYRMA</t>
        </is>
      </c>
      <c r="E42" s="31" t="inlineStr">
        <is>
          <t>Syrma SGS Technology Ltd</t>
        </is>
      </c>
      <c r="F42" s="31" t="inlineStr">
        <is>
          <t>EMS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23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AZAD</t>
        </is>
      </c>
      <c r="E43" s="31" t="inlineStr">
        <is>
          <t>Azad Engineering Ltd</t>
        </is>
      </c>
      <c r="F43" s="31" t="inlineStr">
        <is>
          <t>Aerospace and Defence Equipment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20</v>
      </c>
      <c r="K43" s="31" t="n">
        <v>20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ACE</t>
        </is>
      </c>
      <c r="E44" s="31" t="inlineStr">
        <is>
          <t>Action Construction Equipment Limited</t>
        </is>
      </c>
      <c r="F44" s="31" t="inlineStr">
        <is>
          <t>unknown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0</v>
      </c>
      <c r="K44" s="31" t="n">
        <v>19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HITECHCORP</t>
        </is>
      </c>
      <c r="E45" s="31" t="inlineStr">
        <is>
          <t>Hitech Corporation</t>
        </is>
      </c>
      <c r="F45" s="31" t="inlineStr">
        <is>
          <t>unknown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0</v>
      </c>
      <c r="K45" s="31" t="n">
        <v>21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PTCIL</t>
        </is>
      </c>
      <c r="E46" s="31" t="inlineStr">
        <is>
          <t>PTC Industries Ltd</t>
        </is>
      </c>
      <c r="F46" s="31" t="inlineStr">
        <is>
          <t>unknown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0</v>
      </c>
      <c r="K46" s="31" t="n">
        <v>21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DIVISLAB</t>
        </is>
      </c>
      <c r="E47" s="31" t="inlineStr">
        <is>
          <t>Divi's Laboratories Limited</t>
        </is>
      </c>
      <c r="F47" s="31" t="inlineStr">
        <is>
          <t>Pharma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17</v>
      </c>
      <c r="K47" s="31" t="n">
        <v>26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WHEELS</t>
        </is>
      </c>
      <c r="E48" s="31" t="inlineStr">
        <is>
          <t>Wheels India Limited</t>
        </is>
      </c>
      <c r="F48" s="31" t="inlineStr">
        <is>
          <t>Auto Wheels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17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ENGINERSIN</t>
        </is>
      </c>
      <c r="E49" s="31" t="inlineStr">
        <is>
          <t>Engineers India Limited</t>
        </is>
      </c>
      <c r="F49" s="31" t="inlineStr">
        <is>
          <t>Infra Engineering General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27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NRBBEARING</t>
        </is>
      </c>
      <c r="E50" s="31" t="inlineStr">
        <is>
          <t>Nrb Bearing Limited</t>
        </is>
      </c>
      <c r="F50" s="31" t="inlineStr">
        <is>
          <t>Bearings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16</v>
      </c>
      <c r="K50" s="31" t="n">
        <v>22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MARINE</t>
        </is>
      </c>
      <c r="E51" s="31" t="inlineStr">
        <is>
          <t>Marine Electricals (India) Ltd</t>
        </is>
      </c>
      <c r="F51" s="31" t="inlineStr">
        <is>
          <t>Shipping Proxy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23</v>
      </c>
      <c r="K51" s="31" t="n">
        <v>25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SYNCOMF</t>
        </is>
      </c>
      <c r="E52" s="31" t="inlineStr">
        <is>
          <t>Syncom Formulations (India) Ltd</t>
        </is>
      </c>
      <c r="F52" s="31" t="inlineStr">
        <is>
          <t>Pharma Others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28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AARTIPHARM</t>
        </is>
      </c>
      <c r="E53" s="31" t="inlineStr">
        <is>
          <t>Aarti Pharmalabs Ltd</t>
        </is>
      </c>
      <c r="F53" s="31" t="inlineStr">
        <is>
          <t>Pharma API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22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AKUMS</t>
        </is>
      </c>
      <c r="E54" s="31" t="inlineStr">
        <is>
          <t>Akums Drugs &amp; Pharmaceuticals Ltd</t>
        </is>
      </c>
      <c r="F54" s="31" t="inlineStr">
        <is>
          <t>Pharma Formulations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17</v>
      </c>
      <c r="K54" s="31" t="n">
        <v>26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BHEL</t>
        </is>
      </c>
      <c r="E55" s="31" t="inlineStr">
        <is>
          <t>Bharat Heavy Electricals Limited</t>
        </is>
      </c>
      <c r="F55" s="31" t="inlineStr">
        <is>
          <t>Capital Goods Engineering Heavy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11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ALICON</t>
        </is>
      </c>
      <c r="E56" s="31" t="inlineStr">
        <is>
          <t>Alicon Castalloy Limited</t>
        </is>
      </c>
      <c r="F56" s="31" t="inlineStr">
        <is>
          <t>Castings Forgings and Fasteners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17</v>
      </c>
      <c r="K56" s="31" t="n">
        <v>6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QPOWER</t>
        </is>
      </c>
      <c r="E57" s="31" t="inlineStr">
        <is>
          <t>Quality Power Electrical Equipments Ltd</t>
        </is>
      </c>
      <c r="F57" s="31" t="inlineStr">
        <is>
          <t>Electrical Equipment and HVDC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TDPOWERSYS</t>
        </is>
      </c>
      <c r="E58" s="31" t="inlineStr">
        <is>
          <t>Td Power Systems Limited</t>
        </is>
      </c>
      <c r="F58" s="31" t="inlineStr">
        <is>
          <t>Capital Goods Gensets and Turbines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10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BODALCHEM</t>
        </is>
      </c>
      <c r="E59" s="31" t="inlineStr">
        <is>
          <t>Bodal Chemicals Limited</t>
        </is>
      </c>
      <c r="F59" s="31" t="inlineStr">
        <is>
          <t>Dyes and Pigments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SUNTV</t>
        </is>
      </c>
      <c r="E60" s="31" t="inlineStr">
        <is>
          <t>Sun Tv Network Limited</t>
        </is>
      </c>
      <c r="F60" s="31" t="inlineStr">
        <is>
          <t>Entertainment and Media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17</v>
      </c>
      <c r="K60" s="31" t="n">
        <v>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MODISONLTD</t>
        </is>
      </c>
      <c r="E61" s="31" t="inlineStr">
        <is>
          <t>Modison Ltd</t>
        </is>
      </c>
      <c r="F61" s="31" t="inlineStr">
        <is>
          <t>Capital Goods Electric General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17</v>
      </c>
      <c r="K61" s="31" t="n">
        <v>25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CHENNPETRO</t>
        </is>
      </c>
      <c r="E62" s="31" t="inlineStr">
        <is>
          <t>Chennai Petroleum Corporation Limited</t>
        </is>
      </c>
      <c r="F62" s="31" t="inlineStr">
        <is>
          <t>Refineries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26</v>
      </c>
      <c r="K62" s="31" t="n">
        <v>12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OPTIEMUS</t>
        </is>
      </c>
      <c r="E63" s="31" t="inlineStr">
        <is>
          <t>Optiemus Infracom Ltd</t>
        </is>
      </c>
      <c r="F63" s="31" t="inlineStr">
        <is>
          <t>EMS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17</v>
      </c>
      <c r="K63" s="31" t="n">
        <v>15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PANAMAPET</t>
        </is>
      </c>
      <c r="E64" s="31" t="inlineStr">
        <is>
          <t>Panama Petrochem Limited</t>
        </is>
      </c>
      <c r="F64" s="31" t="inlineStr">
        <is>
          <t>Specialty Chemicals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17</v>
      </c>
      <c r="K64" s="31" t="n">
        <v>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MMP</t>
        </is>
      </c>
      <c r="E65" s="31" t="inlineStr">
        <is>
          <t>MMP Industries Ltd</t>
        </is>
      </c>
      <c r="F65" s="31" t="inlineStr">
        <is>
          <t>Aluminium Products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17</v>
      </c>
      <c r="K65" s="31" t="n">
        <v>28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SAMBHV</t>
        </is>
      </c>
      <c r="E66" s="31" t="inlineStr">
        <is>
          <t>Sambhv Steel Tubes Ltd</t>
        </is>
      </c>
      <c r="F66" s="31" t="inlineStr">
        <is>
          <t>Steel Tubes and Pipes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24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SKYGOLD</t>
        </is>
      </c>
      <c r="E67" s="31" t="inlineStr">
        <is>
          <t>Sky Gold Ltd</t>
        </is>
      </c>
      <c r="F67" s="31" t="inlineStr">
        <is>
          <t>Diamond Gems and Jewellery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26</v>
      </c>
      <c r="K67" s="31" t="n">
        <v>17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EMIL</t>
        </is>
      </c>
      <c r="E68" s="31" t="inlineStr">
        <is>
          <t>Electronics Mart India Ltd</t>
        </is>
      </c>
      <c r="F68" s="31" t="inlineStr">
        <is>
          <t>Retail Electronics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18</v>
      </c>
      <c r="K68" s="31" t="n">
        <v>28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PANACHE</t>
        </is>
      </c>
      <c r="E69" s="31" t="inlineStr">
        <is>
          <t>Panache Digilife Ltd</t>
        </is>
      </c>
      <c r="F69" s="31" t="inlineStr">
        <is>
          <t>unknown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0</v>
      </c>
      <c r="K69" s="31" t="n">
        <v>18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SOTL</t>
        </is>
      </c>
      <c r="E70" s="31" t="inlineStr">
        <is>
          <t>Savita Oil Technologies Limited</t>
        </is>
      </c>
      <c r="F70" s="31" t="inlineStr">
        <is>
          <t>Petrochemicals Others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13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DEEPINDS</t>
        </is>
      </c>
      <c r="E71" s="31" t="inlineStr">
        <is>
          <t>Deep Industries Ltd</t>
        </is>
      </c>
      <c r="F71" s="31" t="inlineStr">
        <is>
          <t>Oil Drilling and Exploration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18</v>
      </c>
      <c r="K71" s="31" t="n">
        <v>24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ONEPOINT</t>
        </is>
      </c>
      <c r="E72" s="31" t="inlineStr">
        <is>
          <t>One Point One Solutions Ltd</t>
        </is>
      </c>
      <c r="F72" s="31" t="inlineStr">
        <is>
          <t>IT Enabled Services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24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MANINDS</t>
        </is>
      </c>
      <c r="E73" s="31" t="inlineStr">
        <is>
          <t>Man Industries (india) Limited</t>
        </is>
      </c>
      <c r="F73" s="31" t="inlineStr">
        <is>
          <t>Steel Tubes and Pipes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17</v>
      </c>
      <c r="K73" s="31" t="n">
        <v>30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MUKANDLTD</t>
        </is>
      </c>
      <c r="E74" s="31" t="inlineStr">
        <is>
          <t>Mukand Limited</t>
        </is>
      </c>
      <c r="F74" s="31" t="inlineStr">
        <is>
          <t>Steel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14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STLTECH</t>
        </is>
      </c>
      <c r="E75" s="31" t="inlineStr">
        <is>
          <t>Sterlite Technologies Limited</t>
        </is>
      </c>
      <c r="F75" s="31" t="inlineStr">
        <is>
          <t>Cables Telecom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SBC</t>
        </is>
      </c>
      <c r="E76" s="31" t="inlineStr">
        <is>
          <t>SBC Exports Ltd</t>
        </is>
      </c>
      <c r="F76" s="31" t="inlineStr">
        <is>
          <t>Textiles Readymade Apparel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22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AMANTA</t>
        </is>
      </c>
      <c r="E77" s="31" t="inlineStr">
        <is>
          <t>Amanta Healthcare Ltd</t>
        </is>
      </c>
      <c r="F77" s="31" t="inlineStr">
        <is>
          <t>unknown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0</v>
      </c>
      <c r="K77" s="31" t="n">
        <v>4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BIRLACABLE</t>
        </is>
      </c>
      <c r="E78" s="31" t="inlineStr">
        <is>
          <t>Birla Cable Limited</t>
        </is>
      </c>
      <c r="F78" s="31" t="inlineStr">
        <is>
          <t>Cables Telecom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20</v>
      </c>
      <c r="K78" s="31" t="n">
        <v>28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RAMRAT</t>
        </is>
      </c>
      <c r="E79" s="31" t="inlineStr">
        <is>
          <t>Ram Ratna Wires Ltd</t>
        </is>
      </c>
      <c r="F79" s="31" t="inlineStr">
        <is>
          <t>Copper Wires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18</v>
      </c>
      <c r="K79" s="31" t="n">
        <v>28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AEROFLEX</t>
        </is>
      </c>
      <c r="E80" s="31" t="inlineStr">
        <is>
          <t>Aeroflex Industries Ltd</t>
        </is>
      </c>
      <c r="F80" s="31" t="inlineStr">
        <is>
          <t>Stainless Steel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18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ANTELOPUS</t>
        </is>
      </c>
      <c r="E81" s="31" t="inlineStr">
        <is>
          <t>Antelopus Selan Energy Ltd</t>
        </is>
      </c>
      <c r="F81" s="31" t="inlineStr">
        <is>
          <t>Oil Drilling and Exploration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21</v>
      </c>
      <c r="K81" s="31" t="n">
        <v>22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GNFC</t>
        </is>
      </c>
      <c r="E82" s="31" t="inlineStr">
        <is>
          <t>Gujarat Narmada Valley Fertilizers And Chemicals Limited</t>
        </is>
      </c>
      <c r="F82" s="31" t="inlineStr">
        <is>
          <t>Fertilisers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18</v>
      </c>
      <c r="K82" s="31" t="n">
        <v>21</v>
      </c>
    </row>
  </sheetData>
  <autoFilter ref="A1:K82"/>
  <conditionalFormatting sqref="G2:G8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2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5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IF(B2=0,"",RANK(B2,$B$2:$B$252,0))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1018.41</v>
      </c>
      <c r="I2" s="32" t="n">
        <v>101.23</v>
      </c>
      <c r="J2" s="32" t="n">
        <v>4.11</v>
      </c>
      <c r="K2" s="32" t="n">
        <v>809457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67.63</v>
      </c>
      <c r="P2" s="32" t="n">
        <v>58.95</v>
      </c>
      <c r="Q2" s="32" t="n">
        <v>67.77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-10.61</v>
      </c>
      <c r="U2" s="32" t="n">
        <v>126.67</v>
      </c>
      <c r="V2" s="32" t="n">
        <v>153.57</v>
      </c>
      <c r="W2" s="32" t="n">
        <v>32.36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IF(B3=0,"",RANK(B3,$B$2:$B$252,0))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ORIENTBELL</t>
        </is>
      </c>
      <c r="D3" s="31" t="inlineStr">
        <is>
          <t>Orient Bell Limited</t>
        </is>
      </c>
      <c r="E3" s="31" t="inlineStr">
        <is>
          <t>building materials</t>
        </is>
      </c>
      <c r="F3" s="31" t="inlineStr">
        <is>
          <t>ceramics - tiles / sanitaryware</t>
        </is>
      </c>
      <c r="G3" s="31" t="inlineStr">
        <is>
          <t>smallcap</t>
        </is>
      </c>
      <c r="H3" s="32" t="n">
        <v>608.35</v>
      </c>
      <c r="I3" s="32" t="n">
        <v>432.55</v>
      </c>
      <c r="J3" s="32" t="n">
        <v>4.59</v>
      </c>
      <c r="K3" s="32" t="n">
        <v>57426</v>
      </c>
      <c r="L3" s="31" t="inlineStr"/>
      <c r="M3" s="31" t="inlineStr"/>
      <c r="N3" s="32">
        <f>IF(M3="Underperforming",-5,IF(L3&gt;=95,15,IF(L3&gt;=90,10,IF(L3&gt;=80,5,0))))</f>
        <v/>
      </c>
      <c r="O3" s="32" t="n">
        <v>69.95999999999999</v>
      </c>
      <c r="P3" s="32" t="n">
        <v>46.8</v>
      </c>
      <c r="Q3" s="32" t="n">
        <v>334.25</v>
      </c>
      <c r="R3" s="31" t="inlineStr">
        <is>
          <t>Near 52W High Breakout</t>
        </is>
      </c>
      <c r="S3" s="31" t="inlineStr">
        <is>
          <t>Nifty Infra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IF(B4=0,"",RANK(B4,$B$2:$B$252,0))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SHANTIGOLD</t>
        </is>
      </c>
      <c r="D4" s="31" t="inlineStr">
        <is>
          <t>Shanti Gold International Ltd</t>
        </is>
      </c>
      <c r="E4" s="31" t="inlineStr">
        <is>
          <t>consumer discretionary</t>
        </is>
      </c>
      <c r="F4" s="31" t="inlineStr">
        <is>
          <t>diamond cutting / jewellery</t>
        </is>
      </c>
      <c r="G4" s="31" t="inlineStr">
        <is>
          <t>smallcap</t>
        </is>
      </c>
      <c r="H4" s="32" t="n">
        <v>2583.43</v>
      </c>
      <c r="I4" s="32" t="n">
        <v>341.05</v>
      </c>
      <c r="J4" s="32" t="n">
        <v>1.31</v>
      </c>
      <c r="K4" s="32" t="n">
        <v>3025042</v>
      </c>
      <c r="L4" s="31" t="n">
        <v>69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71.88</v>
      </c>
      <c r="P4" s="32" t="n">
        <v>43.84</v>
      </c>
      <c r="Q4" s="32" t="n">
        <v>251.44</v>
      </c>
      <c r="R4" s="31" t="inlineStr">
        <is>
          <t>Near 52W High Breakout</t>
        </is>
      </c>
      <c r="S4" s="31" t="inlineStr">
        <is>
          <t>Nifty 50</t>
        </is>
      </c>
      <c r="T4" s="32" t="n">
        <v>-10.61</v>
      </c>
      <c r="U4" s="32" t="n">
        <v>59.27</v>
      </c>
      <c r="V4" s="32" t="n">
        <v>78.17</v>
      </c>
      <c r="W4" s="32" t="n">
        <v>24.53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IF(B5=0,"",RANK(B5,$B$2:$B$252,0))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PGIL</t>
        </is>
      </c>
      <c r="D5" s="31" t="inlineStr">
        <is>
          <t>Pearl Global Industries Limited</t>
        </is>
      </c>
      <c r="E5" s="31" t="inlineStr">
        <is>
          <t>readymade garments/apparels</t>
        </is>
      </c>
      <c r="F5" s="31" t="inlineStr">
        <is>
          <t>textiles - products</t>
        </is>
      </c>
      <c r="G5" s="31" t="inlineStr">
        <is>
          <t>midcap</t>
        </is>
      </c>
      <c r="H5" s="32" t="n">
        <v>11701.91</v>
      </c>
      <c r="I5" s="32" t="n">
        <v>1273.1</v>
      </c>
      <c r="J5" s="32" t="n">
        <v>0.51</v>
      </c>
      <c r="K5" s="32" t="n">
        <v>177377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66.34999999999999</v>
      </c>
      <c r="P5" s="32" t="n">
        <v>59.01</v>
      </c>
      <c r="Q5" s="32" t="n">
        <v>1018.69</v>
      </c>
      <c r="R5" s="31" t="inlineStr">
        <is>
          <t>Near 52W High Breakout</t>
        </is>
      </c>
      <c r="S5" s="31" t="inlineStr">
        <is>
          <t>Nifty 50</t>
        </is>
      </c>
      <c r="T5" s="32" t="n">
        <v>-10.61</v>
      </c>
      <c r="U5" s="32" t="n">
        <v>97.31</v>
      </c>
      <c r="V5" s="32" t="n">
        <v>120.73</v>
      </c>
      <c r="W5" s="32" t="n">
        <v>20.75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IF(B6=0,"",RANK(B6,$B$2:$B$252,0))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REDINGTON</t>
        </is>
      </c>
      <c r="D6" s="31" t="inlineStr">
        <is>
          <t>Redington (india) Limited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largecap</t>
        </is>
      </c>
      <c r="H6" s="32" t="n">
        <v>31716.59</v>
      </c>
      <c r="I6" s="32" t="n">
        <v>406.5</v>
      </c>
      <c r="J6" s="32" t="n">
        <v>0.2</v>
      </c>
      <c r="K6" s="32" t="n">
        <v>2508651</v>
      </c>
      <c r="L6" s="31" t="n">
        <v>55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73.61</v>
      </c>
      <c r="P6" s="32" t="n">
        <v>51.47</v>
      </c>
      <c r="Q6" s="32" t="n">
        <v>322.1</v>
      </c>
      <c r="R6" s="31" t="inlineStr">
        <is>
          <t>Near 52W High Breakout</t>
        </is>
      </c>
      <c r="S6" s="31" t="inlineStr">
        <is>
          <t>Nifty 50</t>
        </is>
      </c>
      <c r="T6" s="32" t="n">
        <v>-10.61</v>
      </c>
      <c r="U6" s="32" t="n">
        <v>43.2</v>
      </c>
      <c r="V6" s="32" t="n">
        <v>60.2</v>
      </c>
      <c r="W6" s="32" t="n">
        <v>18.93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IF(B7=0,"",RANK(B7,$B$2:$B$252,0))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ARIES</t>
        </is>
      </c>
      <c r="D7" s="31" t="inlineStr">
        <is>
          <t>Aries Agro Limited</t>
        </is>
      </c>
      <c r="E7" s="31" t="inlineStr">
        <is>
          <t>chemicals</t>
        </is>
      </c>
      <c r="F7" s="31" t="inlineStr">
        <is>
          <t>fertilizers</t>
        </is>
      </c>
      <c r="G7" s="31" t="inlineStr">
        <is>
          <t>smallcap</t>
        </is>
      </c>
      <c r="H7" s="32" t="n">
        <v>648.92</v>
      </c>
      <c r="I7" s="32" t="n">
        <v>494.55</v>
      </c>
      <c r="J7" s="32" t="n">
        <v>-0.89</v>
      </c>
      <c r="K7" s="32" t="n">
        <v>8114</v>
      </c>
      <c r="L7" s="31" t="n">
        <v>45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73.98</v>
      </c>
      <c r="P7" s="32" t="n">
        <v>44.49</v>
      </c>
      <c r="Q7" s="32" t="n">
        <v>380.86</v>
      </c>
      <c r="R7" s="31" t="inlineStr">
        <is>
          <t>Near 52W High Breakout</t>
        </is>
      </c>
      <c r="S7" s="31" t="inlineStr">
        <is>
          <t>Nifty 50</t>
        </is>
      </c>
      <c r="T7" s="32" t="n">
        <v>-10.61</v>
      </c>
      <c r="U7" s="32" t="n">
        <v>24.43</v>
      </c>
      <c r="V7" s="32" t="n">
        <v>39.2</v>
      </c>
      <c r="W7" s="32" t="n">
        <v>15.92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IF(B8=0,"",RANK(B8,$B$2:$B$252,0))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JGCHEM</t>
        </is>
      </c>
      <c r="D8" s="31" t="inlineStr">
        <is>
          <t>J.G.Chemicals Ltd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2607.64</v>
      </c>
      <c r="I8" s="32" t="n">
        <v>654.95</v>
      </c>
      <c r="J8" s="32" t="n">
        <v>-1.58</v>
      </c>
      <c r="K8" s="32" t="n">
        <v>393554</v>
      </c>
      <c r="L8" s="31" t="n">
        <v>59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72.31</v>
      </c>
      <c r="P8" s="32" t="n">
        <v>48.51</v>
      </c>
      <c r="Q8" s="32" t="n">
        <v>481.34</v>
      </c>
      <c r="R8" s="31" t="inlineStr">
        <is>
          <t>Near 52W High Breakout</t>
        </is>
      </c>
      <c r="S8" s="31" t="inlineStr">
        <is>
          <t>Nifty 50</t>
        </is>
      </c>
      <c r="T8" s="32" t="n">
        <v>-10.61</v>
      </c>
      <c r="U8" s="32" t="n">
        <v>54.49</v>
      </c>
      <c r="V8" s="32" t="n">
        <v>72.83</v>
      </c>
      <c r="W8" s="32" t="n">
        <v>20.39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IF(B9=0,"",RANK(B9,$B$2:$B$252,0))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RPTECH</t>
        </is>
      </c>
      <c r="D9" s="31" t="inlineStr">
        <is>
          <t>Rashi Peripherals Ltd</t>
        </is>
      </c>
      <c r="E9" s="31" t="inlineStr">
        <is>
          <t>i.t</t>
        </is>
      </c>
      <c r="F9" s="31" t="inlineStr">
        <is>
          <t>trading</t>
        </is>
      </c>
      <c r="G9" s="31" t="inlineStr">
        <is>
          <t>midcap</t>
        </is>
      </c>
      <c r="H9" s="32" t="n">
        <v>6314.84</v>
      </c>
      <c r="I9" s="32" t="n">
        <v>939.7</v>
      </c>
      <c r="J9" s="32" t="n">
        <v>-1.94</v>
      </c>
      <c r="K9" s="32" t="n">
        <v>216975</v>
      </c>
      <c r="L9" s="31" t="n">
        <v>77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72.17</v>
      </c>
      <c r="P9" s="32" t="n">
        <v>68.18000000000001</v>
      </c>
      <c r="Q9" s="32" t="n">
        <v>713.05</v>
      </c>
      <c r="R9" s="31" t="inlineStr">
        <is>
          <t>Near 52W High Breakout</t>
        </is>
      </c>
      <c r="S9" s="31" t="inlineStr">
        <is>
          <t>Nifty IT</t>
        </is>
      </c>
      <c r="T9" s="32" t="n">
        <v>-22.05</v>
      </c>
      <c r="U9" s="32" t="n">
        <v>169.84</v>
      </c>
      <c r="V9" s="32" t="n">
        <v>246.16</v>
      </c>
      <c r="W9" s="32" t="n">
        <v>29.89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IF(B10=0,"",RANK(B10,$B$2:$B$252,0))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FCL</t>
        </is>
      </c>
      <c r="D10" s="31" t="inlineStr">
        <is>
          <t>Fineotex Chemical Limited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midcap</t>
        </is>
      </c>
      <c r="H10" s="32" t="n">
        <v>6893.85</v>
      </c>
      <c r="I10" s="32" t="n">
        <v>57.8</v>
      </c>
      <c r="J10" s="32" t="n">
        <v>-2.36</v>
      </c>
      <c r="K10" s="32" t="n">
        <v>29767531</v>
      </c>
      <c r="L10" s="31" t="n">
        <v>82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72.34999999999999</v>
      </c>
      <c r="P10" s="32" t="n">
        <v>49.04</v>
      </c>
      <c r="Q10" s="32" t="n">
        <v>44.19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-10.61</v>
      </c>
      <c r="U10" s="32" t="n">
        <v>136.48</v>
      </c>
      <c r="V10" s="32" t="n">
        <v>164.54</v>
      </c>
      <c r="W10" s="32" t="n">
        <v>33.32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IF(B11=0,"",RANK(B11,$B$2:$B$252,0))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AURUM</t>
        </is>
      </c>
      <c r="D11" s="31" t="inlineStr">
        <is>
          <t>Aurum Proptech Ltd</t>
        </is>
      </c>
      <c r="E11" s="31" t="inlineStr">
        <is>
          <t>i.t</t>
        </is>
      </c>
      <c r="F11" s="31" t="inlineStr">
        <is>
          <t>computers - software - medium / small</t>
        </is>
      </c>
      <c r="G11" s="31" t="inlineStr">
        <is>
          <t>smallcap</t>
        </is>
      </c>
      <c r="H11" s="32" t="n">
        <v>2231.85</v>
      </c>
      <c r="I11" s="32" t="n">
        <v>231.2</v>
      </c>
      <c r="J11" s="32" t="n">
        <v>0.03</v>
      </c>
      <c r="K11" s="32" t="n">
        <v>124143</v>
      </c>
      <c r="L11" s="31" t="n">
        <v>24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62.05</v>
      </c>
      <c r="P11" s="32" t="n">
        <v>48.08</v>
      </c>
      <c r="Q11" s="32" t="n">
        <v>187.55</v>
      </c>
      <c r="R11" s="31" t="inlineStr">
        <is>
          <t>Near 52W High Breakout</t>
        </is>
      </c>
      <c r="S11" s="31" t="inlineStr">
        <is>
          <t>Nifty IT</t>
        </is>
      </c>
      <c r="T11" s="32" t="n">
        <v>-22.05</v>
      </c>
      <c r="U11" s="32" t="n">
        <v>38.38</v>
      </c>
      <c r="V11" s="32" t="n">
        <v>77.52</v>
      </c>
      <c r="W11" s="32" t="n">
        <v>7.88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IF(B12=0,"",RANK(B12,$B$2:$B$252,0))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OCCLLTD</t>
        </is>
      </c>
      <c r="D12" s="31" t="inlineStr">
        <is>
          <t>OCCL Ltd</t>
        </is>
      </c>
      <c r="E12" s="31" t="inlineStr">
        <is>
          <t>chemicals</t>
        </is>
      </c>
      <c r="F12" s="31" t="inlineStr">
        <is>
          <t>chemicals</t>
        </is>
      </c>
      <c r="G12" s="31" t="inlineStr">
        <is>
          <t>smallcap</t>
        </is>
      </c>
      <c r="H12" s="32" t="n">
        <v>1036.92</v>
      </c>
      <c r="I12" s="32" t="n">
        <v>217.3</v>
      </c>
      <c r="J12" s="32" t="n">
        <v>4.68</v>
      </c>
      <c r="K12" s="32" t="n">
        <v>195497</v>
      </c>
      <c r="L12" s="31" t="n">
        <v>80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81.28</v>
      </c>
      <c r="P12" s="32" t="n">
        <v>50</v>
      </c>
      <c r="Q12" s="32" t="n">
        <v>166.17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-10.61</v>
      </c>
      <c r="U12" s="32" t="n">
        <v>73.55</v>
      </c>
      <c r="V12" s="32" t="n">
        <v>94.14</v>
      </c>
      <c r="W12" s="32" t="n">
        <v>32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IF(B13=0,"",RANK(B13,$B$2:$B$252,0))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FINCABLES</t>
        </is>
      </c>
      <c r="D13" s="31" t="inlineStr">
        <is>
          <t>Finolex Cables Limited</t>
        </is>
      </c>
      <c r="E13" s="31" t="inlineStr">
        <is>
          <t>industrials</t>
        </is>
      </c>
      <c r="F13" s="31" t="inlineStr">
        <is>
          <t>cables - power</t>
        </is>
      </c>
      <c r="G13" s="31" t="inlineStr">
        <is>
          <t>largecap</t>
        </is>
      </c>
      <c r="H13" s="32" t="n">
        <v>22543.26</v>
      </c>
      <c r="I13" s="32" t="n">
        <v>1483.5</v>
      </c>
      <c r="J13" s="32" t="n">
        <v>0.64</v>
      </c>
      <c r="K13" s="32" t="n">
        <v>409024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72.02</v>
      </c>
      <c r="P13" s="32" t="n">
        <v>40.12</v>
      </c>
      <c r="Q13" s="32" t="n">
        <v>1153.15</v>
      </c>
      <c r="R13" s="31" t="inlineStr">
        <is>
          <t>Near 52W High Breakout</t>
        </is>
      </c>
      <c r="S13" s="31" t="inlineStr">
        <is>
          <t>Nifty Energy</t>
        </is>
      </c>
      <c r="T13" s="32" t="inlineStr"/>
      <c r="U13" s="32" t="inlineStr"/>
      <c r="V13" s="32" t="inlineStr"/>
      <c r="W13" s="32" t="inlineStr"/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IF(B14=0,"",RANK(B14,$B$2:$B$252,0))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SWANDEF</t>
        </is>
      </c>
      <c r="D14" s="31" t="inlineStr">
        <is>
          <t>Swan Defence and Heavy Industries Ltd</t>
        </is>
      </c>
      <c r="E14" s="31" t="inlineStr">
        <is>
          <t>transportation</t>
        </is>
      </c>
      <c r="F14" s="31" t="inlineStr">
        <is>
          <t>miscellaneous</t>
        </is>
      </c>
      <c r="G14" s="31" t="inlineStr">
        <is>
          <t>midcap</t>
        </is>
      </c>
      <c r="H14" s="32" t="n">
        <v>14541.33</v>
      </c>
      <c r="I14" s="32" t="n">
        <v>2759.4</v>
      </c>
      <c r="J14" s="32" t="n">
        <v>-0.03</v>
      </c>
      <c r="K14" s="32" t="n">
        <v>15248</v>
      </c>
      <c r="L14" s="31" t="n">
        <v>96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67.7</v>
      </c>
      <c r="P14" s="32" t="n">
        <v>56.44</v>
      </c>
      <c r="Q14" s="32" t="n">
        <v>2109.13</v>
      </c>
      <c r="R14" s="31" t="inlineStr">
        <is>
          <t>Near 52W High Breakout</t>
        </is>
      </c>
      <c r="S14" s="31" t="inlineStr">
        <is>
          <t>Nifty 50</t>
        </is>
      </c>
      <c r="T14" s="32" t="n">
        <v>-10.61</v>
      </c>
      <c r="U14" s="32" t="n">
        <v>333.73</v>
      </c>
      <c r="V14" s="32" t="n">
        <v>385.2</v>
      </c>
      <c r="W14" s="32" t="n">
        <v>51.93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More than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IF(B15=0,"",RANK(B15,$B$2:$B$252,0))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DIFFNKG</t>
        </is>
      </c>
      <c r="D15" s="31" t="inlineStr">
        <is>
          <t>Diffusion Engineers Ltd</t>
        </is>
      </c>
      <c r="E15" s="31" t="inlineStr">
        <is>
          <t>industrials</t>
        </is>
      </c>
      <c r="F15" s="31" t="inlineStr">
        <is>
          <t>electrodes - welding equipment</t>
        </is>
      </c>
      <c r="G15" s="31" t="inlineStr">
        <is>
          <t>smallcap</t>
        </is>
      </c>
      <c r="H15" s="32" t="n">
        <v>1699.53</v>
      </c>
      <c r="I15" s="32" t="n">
        <v>452.85</v>
      </c>
      <c r="J15" s="32" t="n">
        <v>-0.28</v>
      </c>
      <c r="K15" s="32" t="n">
        <v>89977</v>
      </c>
      <c r="L15" s="31" t="n">
        <v>26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61.33</v>
      </c>
      <c r="P15" s="32" t="n">
        <v>49.22</v>
      </c>
      <c r="Q15" s="32" t="n">
        <v>343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-10.61</v>
      </c>
      <c r="U15" s="32" t="n">
        <v>21.42</v>
      </c>
      <c r="V15" s="32" t="n">
        <v>35.83</v>
      </c>
      <c r="W15" s="32" t="n">
        <v>8.52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IF(B16=0,"",RANK(B16,$B$2:$B$252,0))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ICIL</t>
        </is>
      </c>
      <c r="D16" s="31" t="inlineStr">
        <is>
          <t>Indo Count Industries Limited</t>
        </is>
      </c>
      <c r="E16" s="31" t="inlineStr">
        <is>
          <t>textiles</t>
        </is>
      </c>
      <c r="F16" s="31" t="inlineStr">
        <is>
          <t>textiles - cotton/blended</t>
        </is>
      </c>
      <c r="G16" s="31" t="inlineStr">
        <is>
          <t>midcap</t>
        </is>
      </c>
      <c r="H16" s="32" t="n">
        <v>9370.940000000001</v>
      </c>
      <c r="I16" s="32" t="n">
        <v>471.1</v>
      </c>
      <c r="J16" s="32" t="n">
        <v>-0.43</v>
      </c>
      <c r="K16" s="32" t="n">
        <v>317864</v>
      </c>
      <c r="L16" s="31" t="n">
        <v>49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68.08</v>
      </c>
      <c r="P16" s="32" t="n">
        <v>51.68</v>
      </c>
      <c r="Q16" s="32" t="n">
        <v>346.16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-10.61</v>
      </c>
      <c r="U16" s="32" t="n">
        <v>71.95999999999999</v>
      </c>
      <c r="V16" s="32" t="n">
        <v>92.36</v>
      </c>
      <c r="W16" s="32" t="n">
        <v>17.08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IF(B17=0,"",RANK(B17,$B$2:$B$252,0))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MENONBE</t>
        </is>
      </c>
      <c r="D17" s="31" t="inlineStr">
        <is>
          <t>Menon Bearings Limited</t>
        </is>
      </c>
      <c r="E17" s="31" t="inlineStr">
        <is>
          <t>auto</t>
        </is>
      </c>
      <c r="F17" s="31" t="inlineStr">
        <is>
          <t>auto ancillaries</t>
        </is>
      </c>
      <c r="G17" s="31" t="inlineStr">
        <is>
          <t>smallcap</t>
        </is>
      </c>
      <c r="H17" s="32" t="n">
        <v>1708.94</v>
      </c>
      <c r="I17" s="32" t="n">
        <v>301.45</v>
      </c>
      <c r="J17" s="32" t="n">
        <v>-1.15</v>
      </c>
      <c r="K17" s="32" t="n">
        <v>224158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70.13</v>
      </c>
      <c r="P17" s="32" t="n">
        <v>70.31999999999999</v>
      </c>
      <c r="Q17" s="32" t="n">
        <v>229.48</v>
      </c>
      <c r="R17" s="31" t="inlineStr">
        <is>
          <t>Volume Spike / Accumulation</t>
        </is>
      </c>
      <c r="S17" s="31" t="inlineStr">
        <is>
          <t>Nifty Auto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IF(B18=0,"",RANK(B18,$B$2:$B$252,0))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SPECIALITY</t>
        </is>
      </c>
      <c r="D18" s="31" t="inlineStr">
        <is>
          <t>Speciality Restaurants Limited</t>
        </is>
      </c>
      <c r="E18" s="31" t="inlineStr">
        <is>
          <t>services</t>
        </is>
      </c>
      <c r="F18" s="31" t="inlineStr">
        <is>
          <t>hotels</t>
        </is>
      </c>
      <c r="G18" s="31" t="inlineStr">
        <is>
          <t>smallcap</t>
        </is>
      </c>
      <c r="H18" s="32" t="n">
        <v>754.02</v>
      </c>
      <c r="I18" s="32" t="n">
        <v>152.4</v>
      </c>
      <c r="J18" s="32" t="n">
        <v>-2.51</v>
      </c>
      <c r="K18" s="32" t="n">
        <v>16233</v>
      </c>
      <c r="L18" s="31" t="n">
        <v>25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68.23999999999999</v>
      </c>
      <c r="P18" s="32" t="n">
        <v>45.02</v>
      </c>
      <c r="Q18" s="32" t="n">
        <v>114.6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-10.61</v>
      </c>
      <c r="U18" s="32" t="n">
        <v>10.61</v>
      </c>
      <c r="V18" s="32" t="n">
        <v>23.73</v>
      </c>
      <c r="W18" s="32" t="n">
        <v>8.460000000000001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IF(B19=0,"",RANK(B19,$B$2:$B$252,0))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CONFIPET</t>
        </is>
      </c>
      <c r="D19" s="31" t="inlineStr">
        <is>
          <t>Confidence Petroleum India Ltd</t>
        </is>
      </c>
      <c r="E19" s="31" t="inlineStr">
        <is>
          <t>miscellaneous</t>
        </is>
      </c>
      <c r="F19" s="31" t="inlineStr">
        <is>
          <t>miscellaneous</t>
        </is>
      </c>
      <c r="G19" s="31" t="inlineStr">
        <is>
          <t>smallcap</t>
        </is>
      </c>
      <c r="H19" s="32" t="n">
        <v>2879.53</v>
      </c>
      <c r="I19" s="32" t="n">
        <v>91.75</v>
      </c>
      <c r="J19" s="32" t="n">
        <v>5.86</v>
      </c>
      <c r="K19" s="32" t="n">
        <v>5428764</v>
      </c>
      <c r="L19" s="31" t="n">
        <v>69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68.69</v>
      </c>
      <c r="P19" s="32" t="n">
        <v>56.64</v>
      </c>
      <c r="Q19" s="32" t="n">
        <v>66.12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-10.61</v>
      </c>
      <c r="U19" s="32" t="n">
        <v>114.77</v>
      </c>
      <c r="V19" s="32" t="n">
        <v>140.25</v>
      </c>
      <c r="W19" s="32" t="n">
        <v>24.07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IF(B20=0,"",RANK(B20,$B$2:$B$252,0))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BHAGYANGR</t>
        </is>
      </c>
      <c r="D20" s="31" t="inlineStr">
        <is>
          <t>Bhagyanagar India</t>
        </is>
      </c>
      <c r="E20" s="31" t="inlineStr">
        <is>
          <t>power &amp; utilities</t>
        </is>
      </c>
      <c r="F20" s="31" t="inlineStr">
        <is>
          <t>power generation and supply</t>
        </is>
      </c>
      <c r="G20" s="31" t="inlineStr">
        <is>
          <t>smallcap</t>
        </is>
      </c>
      <c r="H20" s="32" t="n">
        <v>1450.23</v>
      </c>
      <c r="I20" s="32" t="n">
        <v>454.55</v>
      </c>
      <c r="J20" s="32" t="n">
        <v>4.99</v>
      </c>
      <c r="K20" s="32" t="n">
        <v>601005</v>
      </c>
      <c r="L20" s="31" t="n">
        <v>94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67.02</v>
      </c>
      <c r="P20" s="32" t="n">
        <v>61.71</v>
      </c>
      <c r="Q20" s="32" t="n">
        <v>317.05</v>
      </c>
      <c r="R20" s="31" t="inlineStr">
        <is>
          <t>Near 52W High Breakout</t>
        </is>
      </c>
      <c r="S20" s="31" t="inlineStr">
        <is>
          <t>Nifty IT</t>
        </is>
      </c>
      <c r="T20" s="32" t="n">
        <v>-22.05</v>
      </c>
      <c r="U20" s="32" t="n">
        <v>353.05</v>
      </c>
      <c r="V20" s="32" t="n">
        <v>481.2</v>
      </c>
      <c r="W20" s="32" t="n">
        <v>44.4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IF(B21=0,"",RANK(B21,$B$2:$B$252,0))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IBULLSLTD</t>
        </is>
      </c>
      <c r="D21" s="31" t="inlineStr">
        <is>
          <t>Indiabulls Limited</t>
        </is>
      </c>
      <c r="E21" s="31" t="inlineStr">
        <is>
          <t>miscellaneous</t>
        </is>
      </c>
      <c r="F21" s="31" t="inlineStr">
        <is>
          <t>diversified - medium / small</t>
        </is>
      </c>
      <c r="G21" s="31" t="inlineStr">
        <is>
          <t>midcap</t>
        </is>
      </c>
      <c r="H21" s="32" t="n">
        <v>7209.94</v>
      </c>
      <c r="I21" s="32" t="n">
        <v>32.49</v>
      </c>
      <c r="J21" s="32" t="n">
        <v>4.98</v>
      </c>
      <c r="K21" s="32" t="n">
        <v>22176156</v>
      </c>
      <c r="L21" s="31" t="n">
        <v>72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68.34999999999999</v>
      </c>
      <c r="P21" s="32" t="n">
        <v>38.89</v>
      </c>
      <c r="Q21" s="32" t="n">
        <v>23.07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-10.61</v>
      </c>
      <c r="U21" s="32" t="n">
        <v>88.34999999999999</v>
      </c>
      <c r="V21" s="32" t="n">
        <v>110.7</v>
      </c>
      <c r="W21" s="32" t="n">
        <v>26.47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IF(B22=0,"",RANK(B22,$B$2:$B$252,0))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KROSS</t>
        </is>
      </c>
      <c r="D22" s="31" t="inlineStr">
        <is>
          <t>Kross Ltd</t>
        </is>
      </c>
      <c r="E22" s="31" t="inlineStr">
        <is>
          <t>auto</t>
        </is>
      </c>
      <c r="F22" s="31" t="inlineStr">
        <is>
          <t>auto ancillaries</t>
        </is>
      </c>
      <c r="G22" s="31" t="inlineStr">
        <is>
          <t>smallcap</t>
        </is>
      </c>
      <c r="H22" s="32" t="n">
        <v>1633.38</v>
      </c>
      <c r="I22" s="32" t="n">
        <v>263.9</v>
      </c>
      <c r="J22" s="32" t="n">
        <v>4.23</v>
      </c>
      <c r="K22" s="32" t="n">
        <v>1500938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69.37</v>
      </c>
      <c r="P22" s="32" t="n">
        <v>38.75</v>
      </c>
      <c r="Q22" s="32" t="n">
        <v>203.26</v>
      </c>
      <c r="R22" s="31" t="inlineStr">
        <is>
          <t>Near 52W High Breakout</t>
        </is>
      </c>
      <c r="S22" s="31" t="inlineStr">
        <is>
          <t>Nifty Auto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IF(B23=0,"",RANK(B23,$B$2:$B$252,0))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THELEELA</t>
        </is>
      </c>
      <c r="D23" s="31" t="inlineStr">
        <is>
          <t>Leela Palaces Hotels &amp; Resorts Ltd</t>
        </is>
      </c>
      <c r="E23" s="31" t="inlineStr">
        <is>
          <t>services</t>
        </is>
      </c>
      <c r="F23" s="31" t="inlineStr">
        <is>
          <t>hotels</t>
        </is>
      </c>
      <c r="G23" s="31" t="inlineStr">
        <is>
          <t>midcap</t>
        </is>
      </c>
      <c r="H23" s="32" t="n">
        <v>19459.73</v>
      </c>
      <c r="I23" s="32" t="n">
        <v>602.45</v>
      </c>
      <c r="J23" s="32" t="n">
        <v>3.39</v>
      </c>
      <c r="K23" s="32" t="n">
        <v>627331</v>
      </c>
      <c r="L23" s="31" t="n">
        <v>32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73.93000000000001</v>
      </c>
      <c r="P23" s="32" t="n">
        <v>42.29</v>
      </c>
      <c r="Q23" s="32" t="n">
        <v>492.24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-10.61</v>
      </c>
      <c r="U23" s="32" t="n">
        <v>33.04</v>
      </c>
      <c r="V23" s="32" t="n">
        <v>48.82</v>
      </c>
      <c r="W23" s="32" t="n">
        <v>10.4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IF(B24=0,"",RANK(B24,$B$2:$B$252,0))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IL&amp;FSENGG</t>
        </is>
      </c>
      <c r="D24" s="31" t="inlineStr">
        <is>
          <t>Il&amp;fs Engineering And Construction Company Limited</t>
        </is>
      </c>
      <c r="E24" s="31" t="inlineStr">
        <is>
          <t>realty</t>
        </is>
      </c>
      <c r="F24" s="31" t="inlineStr">
        <is>
          <t>construction</t>
        </is>
      </c>
      <c r="G24" s="31" t="inlineStr">
        <is>
          <t>smallcap</t>
        </is>
      </c>
      <c r="H24" s="32" t="n">
        <v>518.45</v>
      </c>
      <c r="I24" s="32" t="n">
        <v>40.6</v>
      </c>
      <c r="J24" s="32" t="n">
        <v>2.68</v>
      </c>
      <c r="K24" s="32" t="n">
        <v>13115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66.47</v>
      </c>
      <c r="P24" s="32" t="n">
        <v>40.5</v>
      </c>
      <c r="Q24" s="32" t="n">
        <v>29.55</v>
      </c>
      <c r="R24" s="31" t="inlineStr">
        <is>
          <t>Near 52W High Breakout</t>
        </is>
      </c>
      <c r="S24" s="31" t="inlineStr">
        <is>
          <t>Nifty Realty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IF(B25=0,"",RANK(B25,$B$2:$B$252,0))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NRL</t>
        </is>
      </c>
      <c r="D25" s="31" t="inlineStr">
        <is>
          <t>Nupur Recyclers Ltd</t>
        </is>
      </c>
      <c r="E25" s="31" t="inlineStr">
        <is>
          <t>services</t>
        </is>
      </c>
      <c r="F25" s="31" t="inlineStr">
        <is>
          <t>trading</t>
        </is>
      </c>
      <c r="G25" s="31" t="inlineStr">
        <is>
          <t>smallcap</t>
        </is>
      </c>
      <c r="H25" s="32" t="n">
        <v>1084.38</v>
      </c>
      <c r="I25" s="32" t="n">
        <v>160.14</v>
      </c>
      <c r="J25" s="32" t="n">
        <v>2</v>
      </c>
      <c r="K25" s="32" t="n">
        <v>78987</v>
      </c>
      <c r="L25" s="31" t="n">
        <v>87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87.33</v>
      </c>
      <c r="P25" s="32" t="n">
        <v>77.98999999999999</v>
      </c>
      <c r="Q25" s="32" t="n">
        <v>134.48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-10.61</v>
      </c>
      <c r="U25" s="32" t="n">
        <v>125.99</v>
      </c>
      <c r="V25" s="32" t="n">
        <v>152.81</v>
      </c>
      <c r="W25" s="32" t="n">
        <v>37.07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IF(B26=0,"",RANK(B26,$B$2:$B$252,0))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MOLDTECH</t>
        </is>
      </c>
      <c r="D26" s="31" t="inlineStr">
        <is>
          <t>Mold-tek Technologies Limited</t>
        </is>
      </c>
      <c r="E26" s="31" t="inlineStr">
        <is>
          <t>realty</t>
        </is>
      </c>
      <c r="F26" s="31" t="inlineStr">
        <is>
          <t>engineering - turnkey services</t>
        </is>
      </c>
      <c r="G26" s="31" t="inlineStr">
        <is>
          <t>smallcap</t>
        </is>
      </c>
      <c r="H26" s="32" t="n">
        <v>624.26</v>
      </c>
      <c r="I26" s="32" t="n">
        <v>220.99</v>
      </c>
      <c r="J26" s="32" t="n">
        <v>1.97</v>
      </c>
      <c r="K26" s="32" t="n">
        <v>64307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73.13</v>
      </c>
      <c r="P26" s="32" t="n">
        <v>47.14</v>
      </c>
      <c r="Q26" s="32" t="n">
        <v>161.88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IF(B27=0,"",RANK(B27,$B$2:$B$252,0))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KRONOX</t>
        </is>
      </c>
      <c r="D27" s="31" t="inlineStr">
        <is>
          <t>Kronox Lab Sciences Ltd</t>
        </is>
      </c>
      <c r="E27" s="31" t="inlineStr">
        <is>
          <t>chemicals</t>
        </is>
      </c>
      <c r="F27" s="31" t="inlineStr">
        <is>
          <t>chemicals</t>
        </is>
      </c>
      <c r="G27" s="31" t="inlineStr">
        <is>
          <t>smallcap</t>
        </is>
      </c>
      <c r="H27" s="32" t="n">
        <v>766.75</v>
      </c>
      <c r="I27" s="32" t="n">
        <v>210.6</v>
      </c>
      <c r="J27" s="32" t="n">
        <v>1.91</v>
      </c>
      <c r="K27" s="32" t="n">
        <v>38705</v>
      </c>
      <c r="L27" s="31" t="n">
        <v>46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65.41</v>
      </c>
      <c r="P27" s="32" t="n">
        <v>51.03</v>
      </c>
      <c r="Q27" s="32" t="n">
        <v>146.24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-10.61</v>
      </c>
      <c r="U27" s="32" t="n">
        <v>39.08</v>
      </c>
      <c r="V27" s="32" t="n">
        <v>55.58</v>
      </c>
      <c r="W27" s="32" t="n">
        <v>16.21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IF(B28=0,"",RANK(B28,$B$2:$B$252,0))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APARINDS</t>
        </is>
      </c>
      <c r="D28" s="31" t="inlineStr">
        <is>
          <t>Apar Industries Limited</t>
        </is>
      </c>
      <c r="E28" s="31" t="inlineStr">
        <is>
          <t>industrials</t>
        </is>
      </c>
      <c r="F28" s="31" t="inlineStr">
        <is>
          <t>electric equipment</t>
        </is>
      </c>
      <c r="G28" s="31" t="inlineStr">
        <is>
          <t>largecap</t>
        </is>
      </c>
      <c r="H28" s="32" t="n">
        <v>75437.2</v>
      </c>
      <c r="I28" s="32" t="n">
        <v>18160</v>
      </c>
      <c r="J28" s="32" t="n">
        <v>0.8</v>
      </c>
      <c r="K28" s="32" t="n">
        <v>106708</v>
      </c>
      <c r="L28" s="31" t="n">
        <v>68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68.56</v>
      </c>
      <c r="P28" s="32" t="n">
        <v>43.73</v>
      </c>
      <c r="Q28" s="32" t="n">
        <v>14550.9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-10.61</v>
      </c>
      <c r="U28" s="32" t="n">
        <v>117.33</v>
      </c>
      <c r="V28" s="32" t="n">
        <v>143.12</v>
      </c>
      <c r="W28" s="32" t="n">
        <v>23.87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IF(B29=0,"",RANK(B29,$B$2:$B$252,0))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KPIL</t>
        </is>
      </c>
      <c r="D29" s="31" t="inlineStr">
        <is>
          <t>Kalpataru Projects International Ltd</t>
        </is>
      </c>
      <c r="E29" s="31" t="inlineStr">
        <is>
          <t>realty</t>
        </is>
      </c>
      <c r="F29" s="31" t="inlineStr">
        <is>
          <t>transmisson line towers / equipment</t>
        </is>
      </c>
      <c r="G29" s="31" t="inlineStr">
        <is>
          <t>largecap</t>
        </is>
      </c>
      <c r="H29" s="32" t="n">
        <v>24787.64</v>
      </c>
      <c r="I29" s="32" t="n">
        <v>1458.4</v>
      </c>
      <c r="J29" s="32" t="n">
        <v>0.48</v>
      </c>
      <c r="K29" s="32" t="n">
        <v>171837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63.6</v>
      </c>
      <c r="P29" s="32" t="n">
        <v>31.95</v>
      </c>
      <c r="Q29" s="32" t="n">
        <v>1202.73</v>
      </c>
      <c r="R29" s="31" t="inlineStr">
        <is>
          <t>Near 52W High Breakout</t>
        </is>
      </c>
      <c r="S29" s="31" t="inlineStr">
        <is>
          <t>Nifty Realty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IF(B30=0,"",RANK(B30,$B$2:$B$252,0))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FILATEX</t>
        </is>
      </c>
      <c r="D30" s="31" t="inlineStr">
        <is>
          <t>Filatex India Limited</t>
        </is>
      </c>
      <c r="E30" s="31" t="inlineStr">
        <is>
          <t>textiles</t>
        </is>
      </c>
      <c r="F30" s="31" t="inlineStr">
        <is>
          <t>textiles - manmade</t>
        </is>
      </c>
      <c r="G30" s="31" t="inlineStr">
        <is>
          <t>smallcap</t>
        </is>
      </c>
      <c r="H30" s="32" t="n">
        <v>4945.03</v>
      </c>
      <c r="I30" s="32" t="n">
        <v>111.63</v>
      </c>
      <c r="J30" s="32" t="n">
        <v>0.24</v>
      </c>
      <c r="K30" s="32" t="n">
        <v>2534868</v>
      </c>
      <c r="L30" s="31" t="n">
        <v>87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83.56</v>
      </c>
      <c r="P30" s="32" t="n">
        <v>53.94</v>
      </c>
      <c r="Q30" s="32" t="n">
        <v>83.5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-10.61</v>
      </c>
      <c r="U30" s="32" t="n">
        <v>107.13</v>
      </c>
      <c r="V30" s="32" t="n">
        <v>131.71</v>
      </c>
      <c r="W30" s="32" t="n">
        <v>36.17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IF(B31=0,"",RANK(B31,$B$2:$B$252,0))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LLOYDSENGG</t>
        </is>
      </c>
      <c r="D31" s="31" t="inlineStr">
        <is>
          <t>Lloyds Engineering Works Ltd</t>
        </is>
      </c>
      <c r="E31" s="31" t="inlineStr">
        <is>
          <t>industrials</t>
        </is>
      </c>
      <c r="F31" s="31" t="inlineStr">
        <is>
          <t>engineering</t>
        </is>
      </c>
      <c r="G31" s="31" t="inlineStr">
        <is>
          <t>midcap</t>
        </is>
      </c>
      <c r="H31" s="32" t="n">
        <v>15688.76</v>
      </c>
      <c r="I31" s="32" t="n">
        <v>101.1</v>
      </c>
      <c r="J31" s="32" t="n">
        <v>-0.05</v>
      </c>
      <c r="K31" s="32" t="n">
        <v>10569722</v>
      </c>
      <c r="L31" s="31" t="n">
        <v>48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70.48999999999999</v>
      </c>
      <c r="P31" s="32" t="n">
        <v>44.85</v>
      </c>
      <c r="Q31" s="32" t="n">
        <v>77.04000000000001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-10.61</v>
      </c>
      <c r="U31" s="32" t="n">
        <v>61.35</v>
      </c>
      <c r="V31" s="32" t="n">
        <v>80.5</v>
      </c>
      <c r="W31" s="32" t="n">
        <v>16.88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IF(B32=0,"",RANK(B32,$B$2:$B$252,0))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SSWL</t>
        </is>
      </c>
      <c r="D32" s="31" t="inlineStr">
        <is>
          <t>Steel Strips Wheels Limited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midcap</t>
        </is>
      </c>
      <c r="H32" s="32" t="n">
        <v>6675.45</v>
      </c>
      <c r="I32" s="32" t="n">
        <v>424.2</v>
      </c>
      <c r="J32" s="32" t="n">
        <v>-0.12</v>
      </c>
      <c r="K32" s="32" t="n">
        <v>845591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84.88</v>
      </c>
      <c r="P32" s="32" t="n">
        <v>49.86</v>
      </c>
      <c r="Q32" s="32" t="n">
        <v>333.82</v>
      </c>
      <c r="R32" s="31" t="inlineStr">
        <is>
          <t>Near 52W High Breakout</t>
        </is>
      </c>
      <c r="S32" s="31" t="inlineStr">
        <is>
          <t>Nifty Auto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IF(B33=0,"",RANK(B33,$B$2:$B$252,0))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IGPL</t>
        </is>
      </c>
      <c r="D33" s="31" t="inlineStr">
        <is>
          <t>Ig Petrochemicals Limited</t>
        </is>
      </c>
      <c r="E33" s="31" t="inlineStr">
        <is>
          <t>chemicals</t>
        </is>
      </c>
      <c r="F33" s="31" t="inlineStr">
        <is>
          <t>chemicals</t>
        </is>
      </c>
      <c r="G33" s="31" t="inlineStr">
        <is>
          <t>smallcap</t>
        </is>
      </c>
      <c r="H33" s="32" t="n">
        <v>1815.36</v>
      </c>
      <c r="I33" s="32" t="n">
        <v>586.25</v>
      </c>
      <c r="J33" s="32" t="n">
        <v>-0.55</v>
      </c>
      <c r="K33" s="32" t="n">
        <v>46121</v>
      </c>
      <c r="L33" s="31" t="n">
        <v>44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67.98999999999999</v>
      </c>
      <c r="P33" s="32" t="n">
        <v>36.54</v>
      </c>
      <c r="Q33" s="32" t="n">
        <v>460.88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-10.61</v>
      </c>
      <c r="U33" s="32" t="n">
        <v>38.16</v>
      </c>
      <c r="V33" s="32" t="n">
        <v>54.56</v>
      </c>
      <c r="W33" s="32" t="n">
        <v>15.29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IF(B34=0,"",RANK(B34,$B$2:$B$252,0))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CASTROLIND</t>
        </is>
      </c>
      <c r="D34" s="31" t="inlineStr">
        <is>
          <t>Castrol India Limited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midcap</t>
        </is>
      </c>
      <c r="H34" s="32" t="n">
        <v>19802.23</v>
      </c>
      <c r="I34" s="32" t="n">
        <v>197.15</v>
      </c>
      <c r="J34" s="32" t="n">
        <v>-1.52</v>
      </c>
      <c r="K34" s="32" t="n">
        <v>1731839</v>
      </c>
      <c r="L34" s="31" t="n">
        <v>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66.55</v>
      </c>
      <c r="P34" s="32" t="n">
        <v>45.25</v>
      </c>
      <c r="Q34" s="32" t="n">
        <v>183.82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-10.61</v>
      </c>
      <c r="U34" s="32" t="n">
        <v>4.54</v>
      </c>
      <c r="V34" s="32" t="n">
        <v>16.94</v>
      </c>
      <c r="W34" s="32" t="n">
        <v>3.21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IF(B35=0,"",RANK(B35,$B$2:$B$252,0))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VINCOFE</t>
        </is>
      </c>
      <c r="D35" s="31" t="inlineStr">
        <is>
          <t>Vintage Coffee &amp; Beverages Ltd</t>
        </is>
      </c>
      <c r="E35" s="31" t="inlineStr">
        <is>
          <t>consumer discretionary</t>
        </is>
      </c>
      <c r="F35" s="31" t="inlineStr">
        <is>
          <t>trading</t>
        </is>
      </c>
      <c r="G35" s="31" t="inlineStr">
        <is>
          <t>smallcap</t>
        </is>
      </c>
      <c r="H35" s="32" t="n">
        <v>2727.43</v>
      </c>
      <c r="I35" s="32" t="n">
        <v>184.19</v>
      </c>
      <c r="J35" s="32" t="n">
        <v>-1.61</v>
      </c>
      <c r="K35" s="32" t="n">
        <v>740150</v>
      </c>
      <c r="L35" s="31" t="n">
        <v>28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65.54000000000001</v>
      </c>
      <c r="P35" s="32" t="n">
        <v>30.24</v>
      </c>
      <c r="Q35" s="32" t="n">
        <v>138.32</v>
      </c>
      <c r="R35" s="31" t="inlineStr">
        <is>
          <t>Near 52W High Breakout</t>
        </is>
      </c>
      <c r="S35" s="31" t="inlineStr">
        <is>
          <t>Nifty 50</t>
        </is>
      </c>
      <c r="T35" s="32" t="n">
        <v>-10.61</v>
      </c>
      <c r="U35" s="32" t="n">
        <v>31.65</v>
      </c>
      <c r="V35" s="32" t="n">
        <v>47.27</v>
      </c>
      <c r="W35" s="32" t="n">
        <v>9.359999999999999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IF(B36=0,"",RANK(B36,$B$2:$B$252,0))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MBECL</t>
        </is>
      </c>
      <c r="D36" s="31" t="inlineStr">
        <is>
          <t>Mcnally Bharat Engineering Company Limited</t>
        </is>
      </c>
      <c r="E36" s="31" t="inlineStr">
        <is>
          <t>realty</t>
        </is>
      </c>
      <c r="F36" s="31" t="inlineStr">
        <is>
          <t>engineering - turnkey services</t>
        </is>
      </c>
      <c r="G36" s="31" t="inlineStr">
        <is>
          <t>smallcap</t>
        </is>
      </c>
      <c r="H36" s="32" t="n">
        <v>1646</v>
      </c>
      <c r="I36" s="32" t="n">
        <v>483.95</v>
      </c>
      <c r="J36" s="32" t="n">
        <v>-1.99</v>
      </c>
      <c r="K36" s="32" t="n">
        <v>1537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96.98</v>
      </c>
      <c r="P36" s="32" t="n">
        <v>74.89</v>
      </c>
      <c r="Q36" s="32" t="n">
        <v>417.56</v>
      </c>
      <c r="R36" s="31" t="inlineStr">
        <is>
          <t>Volume Spike &amp; Near 52W High Breakout</t>
        </is>
      </c>
      <c r="S36" s="31" t="inlineStr">
        <is>
          <t>Nifty Realty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IF(B37=0,"",RANK(B37,$B$2:$B$252,0))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QUADFUTURE</t>
        </is>
      </c>
      <c r="D37" s="31" t="inlineStr">
        <is>
          <t>Quadrant Future Tek Ltd</t>
        </is>
      </c>
      <c r="E37" s="31" t="inlineStr">
        <is>
          <t>industrials</t>
        </is>
      </c>
      <c r="F37" s="31" t="inlineStr">
        <is>
          <t>cables - power</t>
        </is>
      </c>
      <c r="G37" s="31" t="inlineStr">
        <is>
          <t>smallcap</t>
        </is>
      </c>
      <c r="H37" s="32" t="n">
        <v>2189.6</v>
      </c>
      <c r="I37" s="32" t="n">
        <v>534.4</v>
      </c>
      <c r="J37" s="32" t="n">
        <v>-2.37</v>
      </c>
      <c r="K37" s="32" t="n">
        <v>209072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69</v>
      </c>
      <c r="P37" s="32" t="n">
        <v>40.99</v>
      </c>
      <c r="Q37" s="32" t="n">
        <v>392.73</v>
      </c>
      <c r="R37" s="31" t="inlineStr">
        <is>
          <t>Near 52W High Breakout</t>
        </is>
      </c>
      <c r="S37" s="31" t="inlineStr">
        <is>
          <t>Nifty Energy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IF(B38=0,"",RANK(B38,$B$2:$B$252,0))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WSTCSTPAPR</t>
        </is>
      </c>
      <c r="D38" s="31" t="inlineStr">
        <is>
          <t>West Coast Paper Mills Limited</t>
        </is>
      </c>
      <c r="E38" s="31" t="inlineStr">
        <is>
          <t>building materials</t>
        </is>
      </c>
      <c r="F38" s="31" t="inlineStr">
        <is>
          <t>paper</t>
        </is>
      </c>
      <c r="G38" s="31" t="inlineStr">
        <is>
          <t>smallcap</t>
        </is>
      </c>
      <c r="H38" s="32" t="n">
        <v>4973.81</v>
      </c>
      <c r="I38" s="32" t="n">
        <v>732.3</v>
      </c>
      <c r="J38" s="32" t="n">
        <v>-2.76</v>
      </c>
      <c r="K38" s="32" t="n">
        <v>210582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71.65000000000001</v>
      </c>
      <c r="P38" s="32" t="n">
        <v>64.06999999999999</v>
      </c>
      <c r="Q38" s="32" t="n">
        <v>610.49</v>
      </c>
      <c r="R38" s="31" t="inlineStr">
        <is>
          <t>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IF(B39=0,"",RANK(B39,$B$2:$B$252,0))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SANGAMIND</t>
        </is>
      </c>
      <c r="D39" s="31" t="inlineStr">
        <is>
          <t>Sangam (india) Limited</t>
        </is>
      </c>
      <c r="E39" s="31" t="inlineStr">
        <is>
          <t>textiles</t>
        </is>
      </c>
      <c r="F39" s="31" t="inlineStr">
        <is>
          <t>textiles - spinning - synthetic / blended</t>
        </is>
      </c>
      <c r="G39" s="31" t="inlineStr">
        <is>
          <t>smallcap</t>
        </is>
      </c>
      <c r="H39" s="32" t="n">
        <v>3227.84</v>
      </c>
      <c r="I39" s="32" t="n">
        <v>624.05</v>
      </c>
      <c r="J39" s="32" t="n">
        <v>-2.86</v>
      </c>
      <c r="K39" s="32" t="n">
        <v>27370</v>
      </c>
      <c r="L39" s="31" t="n">
        <v>32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64.17</v>
      </c>
      <c r="P39" s="32" t="n">
        <v>45.87</v>
      </c>
      <c r="Q39" s="32" t="n">
        <v>500.62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-10.61</v>
      </c>
      <c r="U39" s="32" t="n">
        <v>45.51</v>
      </c>
      <c r="V39" s="32" t="n">
        <v>62.78</v>
      </c>
      <c r="W39" s="32" t="n">
        <v>10.53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IF(B40=0,"",RANK(B40,$B$2:$B$252,0))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E2E</t>
        </is>
      </c>
      <c r="D40" s="31" t="inlineStr">
        <is>
          <t>E2E Networks Ltd</t>
        </is>
      </c>
      <c r="E40" s="31" t="inlineStr">
        <is>
          <t>i.t</t>
        </is>
      </c>
      <c r="F40" s="31" t="inlineStr">
        <is>
          <t>computers - software - medium / small</t>
        </is>
      </c>
      <c r="G40" s="31" t="inlineStr">
        <is>
          <t>midcap</t>
        </is>
      </c>
      <c r="H40" s="32" t="n">
        <v>14161.37</v>
      </c>
      <c r="I40" s="32" t="n">
        <v>723.3</v>
      </c>
      <c r="J40" s="32" t="n">
        <v>4.99</v>
      </c>
      <c r="K40" s="32" t="n">
        <v>482956</v>
      </c>
      <c r="L40" s="31" t="n">
        <v>91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76.78</v>
      </c>
      <c r="P40" s="32" t="n">
        <v>54.91</v>
      </c>
      <c r="Q40" s="32" t="n">
        <v>525.6900000000001</v>
      </c>
      <c r="R40" s="31" t="inlineStr">
        <is>
          <t>Near 52W High Breakout</t>
        </is>
      </c>
      <c r="S40" s="31" t="inlineStr">
        <is>
          <t>Nifty IT</t>
        </is>
      </c>
      <c r="T40" s="32" t="n">
        <v>-22.05</v>
      </c>
      <c r="U40" s="32" t="n">
        <v>112.25</v>
      </c>
      <c r="V40" s="32" t="n">
        <v>172.28</v>
      </c>
      <c r="W40" s="32" t="n">
        <v>41.2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IF(B41=0,"",RANK(B41,$B$2:$B$252,0))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MAWANASUG</t>
        </is>
      </c>
      <c r="D41" s="31" t="inlineStr">
        <is>
          <t>Mawana Sugars Limited</t>
        </is>
      </c>
      <c r="E41" s="31" t="inlineStr">
        <is>
          <t>fmcg</t>
        </is>
      </c>
      <c r="F41" s="31" t="inlineStr">
        <is>
          <t>sugar</t>
        </is>
      </c>
      <c r="G41" s="31" t="inlineStr">
        <is>
          <t>smallcap</t>
        </is>
      </c>
      <c r="H41" s="32" t="n">
        <v>578.5</v>
      </c>
      <c r="I41" s="32" t="n">
        <v>151.66</v>
      </c>
      <c r="J41" s="32" t="n">
        <v>2.55</v>
      </c>
      <c r="K41" s="32" t="n">
        <v>526482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65.73</v>
      </c>
      <c r="P41" s="32" t="n">
        <v>44.14</v>
      </c>
      <c r="Q41" s="32" t="n">
        <v>107.73</v>
      </c>
      <c r="R41" s="31" t="inlineStr">
        <is>
          <t>Near 52W High Breakout</t>
        </is>
      </c>
      <c r="S41" s="31" t="inlineStr">
        <is>
          <t>Nifty FMCG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Between 0.7 to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IF(B42=0,"",RANK(B42,$B$2:$B$252,0))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IOLCP</t>
        </is>
      </c>
      <c r="D42" s="31" t="inlineStr">
        <is>
          <t>Iol Chemicals And Pharmaceuticals Limited</t>
        </is>
      </c>
      <c r="E42" s="31" t="inlineStr">
        <is>
          <t>healthcare</t>
        </is>
      </c>
      <c r="F42" s="31" t="inlineStr">
        <is>
          <t>pharmaceuticals - indian - bulk drugs &amp; formln</t>
        </is>
      </c>
      <c r="G42" s="31" t="inlineStr">
        <is>
          <t>midcap</t>
        </is>
      </c>
      <c r="H42" s="32" t="n">
        <v>6307.91</v>
      </c>
      <c r="I42" s="32" t="n">
        <v>220.22</v>
      </c>
      <c r="J42" s="32" t="n">
        <v>2.48</v>
      </c>
      <c r="K42" s="32" t="n">
        <v>6360102</v>
      </c>
      <c r="L42" s="31" t="n">
        <v>76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80.7</v>
      </c>
      <c r="P42" s="32" t="n">
        <v>78.5</v>
      </c>
      <c r="Q42" s="32" t="n">
        <v>162.91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18.99</v>
      </c>
      <c r="U42" s="32" t="n">
        <v>118.96</v>
      </c>
      <c r="V42" s="32" t="n">
        <v>84.02</v>
      </c>
      <c r="W42" s="32" t="n">
        <v>29.77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IF(B43=0,"",RANK(B43,$B$2:$B$252,0))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MOREPENLAB</t>
        </is>
      </c>
      <c r="D43" s="31" t="inlineStr">
        <is>
          <t>Morepen Laboratories Limited</t>
        </is>
      </c>
      <c r="E43" s="31" t="inlineStr">
        <is>
          <t>healthcare</t>
        </is>
      </c>
      <c r="F43" s="31" t="inlineStr">
        <is>
          <t>pharmaceuticals - indian - bulk drugs &amp; formln</t>
        </is>
      </c>
      <c r="G43" s="31" t="inlineStr">
        <is>
          <t>midcap</t>
        </is>
      </c>
      <c r="H43" s="32" t="n">
        <v>7888.34</v>
      </c>
      <c r="I43" s="32" t="n">
        <v>146.97</v>
      </c>
      <c r="J43" s="32" t="n">
        <v>2.09</v>
      </c>
      <c r="K43" s="32" t="n">
        <v>19889954</v>
      </c>
      <c r="L43" s="31" t="n">
        <v>97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91.70999999999999</v>
      </c>
      <c r="P43" s="32" t="n">
        <v>57.57</v>
      </c>
      <c r="Q43" s="32" t="n">
        <v>111.99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18.99</v>
      </c>
      <c r="U43" s="32" t="n">
        <v>195.31</v>
      </c>
      <c r="V43" s="32" t="n">
        <v>148.19</v>
      </c>
      <c r="W43" s="32" t="n">
        <v>62.91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IF(B44=0,"",RANK(B44,$B$2:$B$252,0))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INDSWFTLAB</t>
        </is>
      </c>
      <c r="D44" s="31" t="inlineStr">
        <is>
          <t>Ind-swift Laboratories Limited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smallcap</t>
        </is>
      </c>
      <c r="H44" s="32" t="n">
        <v>3482.38</v>
      </c>
      <c r="I44" s="32" t="n">
        <v>391.1</v>
      </c>
      <c r="J44" s="32" t="n">
        <v>-2.33</v>
      </c>
      <c r="K44" s="32" t="n">
        <v>262328</v>
      </c>
      <c r="L44" s="31" t="n">
        <v>95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80.45999999999999</v>
      </c>
      <c r="P44" s="32" t="n">
        <v>76.05</v>
      </c>
      <c r="Q44" s="32" t="n">
        <v>298.01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18.99</v>
      </c>
      <c r="U44" s="32" t="n">
        <v>273.44</v>
      </c>
      <c r="V44" s="32" t="n">
        <v>213.85</v>
      </c>
      <c r="W44" s="32" t="n">
        <v>46.91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IF(B45=0,"",RANK(B45,$B$2:$B$252,0))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PTCIL</t>
        </is>
      </c>
      <c r="D45" s="31" t="inlineStr">
        <is>
          <t>PTC Industries Ltd</t>
        </is>
      </c>
      <c r="E45" s="31" t="inlineStr">
        <is>
          <t>castings, forgings &amp; fasteners</t>
        </is>
      </c>
      <c r="F45" s="31" t="inlineStr">
        <is>
          <t>castings &amp; forgings</t>
        </is>
      </c>
      <c r="G45" s="31" t="inlineStr">
        <is>
          <t>largecap</t>
        </is>
      </c>
      <c r="H45" s="32" t="n">
        <v>34670.27</v>
      </c>
      <c r="I45" s="32" t="n">
        <v>24685</v>
      </c>
      <c r="J45" s="32" t="n">
        <v>6.75</v>
      </c>
      <c r="K45" s="32" t="n">
        <v>117090</v>
      </c>
      <c r="L45" s="31" t="n">
        <v>53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72.41</v>
      </c>
      <c r="P45" s="32" t="n">
        <v>43.33</v>
      </c>
      <c r="Q45" s="32" t="n">
        <v>19888.11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-10.61</v>
      </c>
      <c r="U45" s="32" t="n">
        <v>51.94</v>
      </c>
      <c r="V45" s="32" t="n">
        <v>69.97</v>
      </c>
      <c r="W45" s="32" t="n">
        <v>18.15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IF(B46=0,"",RANK(B46,$B$2:$B$252,0))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TATVA</t>
        </is>
      </c>
      <c r="D46" s="31" t="inlineStr">
        <is>
          <t>Tatva Chintan Pharma Chem Ltd</t>
        </is>
      </c>
      <c r="E46" s="31" t="inlineStr">
        <is>
          <t>chemicals</t>
        </is>
      </c>
      <c r="F46" s="31" t="inlineStr">
        <is>
          <t>chemicals</t>
        </is>
      </c>
      <c r="G46" s="31" t="inlineStr">
        <is>
          <t>smallcap</t>
        </is>
      </c>
      <c r="H46" s="32" t="n">
        <v>4391.62</v>
      </c>
      <c r="I46" s="32" t="n">
        <v>1991.2</v>
      </c>
      <c r="J46" s="32" t="n">
        <v>6.06</v>
      </c>
      <c r="K46" s="32" t="n">
        <v>278517</v>
      </c>
      <c r="L46" s="31" t="n">
        <v>70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72.13</v>
      </c>
      <c r="P46" s="32" t="n">
        <v>42.27</v>
      </c>
      <c r="Q46" s="32" t="n">
        <v>1510.79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-10.61</v>
      </c>
      <c r="U46" s="32" t="n">
        <v>86.45999999999999</v>
      </c>
      <c r="V46" s="32" t="n">
        <v>108.58</v>
      </c>
      <c r="W46" s="32" t="n">
        <v>24.87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IF(B47=0,"",RANK(B47,$B$2:$B$252,0))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CYIENTDLM</t>
        </is>
      </c>
      <c r="D47" s="31" t="inlineStr">
        <is>
          <t>Cyient DLM Ltd</t>
        </is>
      </c>
      <c r="E47" s="31" t="inlineStr">
        <is>
          <t>aerospace &amp; defence</t>
        </is>
      </c>
      <c r="F47" s="31" t="inlineStr">
        <is>
          <t>electronics - components</t>
        </is>
      </c>
      <c r="G47" s="31" t="inlineStr">
        <is>
          <t>midcap</t>
        </is>
      </c>
      <c r="H47" s="32" t="n">
        <v>7454.1</v>
      </c>
      <c r="I47" s="32" t="n">
        <v>988.3</v>
      </c>
      <c r="J47" s="32" t="n">
        <v>5.25</v>
      </c>
      <c r="K47" s="32" t="n">
        <v>1350010</v>
      </c>
      <c r="L47" s="31" t="n">
        <v>90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85.34</v>
      </c>
      <c r="P47" s="32" t="n">
        <v>78.94</v>
      </c>
      <c r="Q47" s="32" t="n">
        <v>762.28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-10.61</v>
      </c>
      <c r="U47" s="32" t="n">
        <v>109.67</v>
      </c>
      <c r="V47" s="32" t="n">
        <v>134.56</v>
      </c>
      <c r="W47" s="32" t="n">
        <v>39.87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IF(B48=0,"",RANK(B48,$B$2:$B$252,0))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AEGISLOG</t>
        </is>
      </c>
      <c r="D48" s="31" t="inlineStr">
        <is>
          <t>Aegis Logistics Ltd</t>
        </is>
      </c>
      <c r="E48" s="31" t="inlineStr">
        <is>
          <t>services</t>
        </is>
      </c>
      <c r="F48" s="31" t="inlineStr">
        <is>
          <t>trading</t>
        </is>
      </c>
      <c r="G48" s="31" t="inlineStr">
        <is>
          <t>largecap</t>
        </is>
      </c>
      <c r="H48" s="32" t="n">
        <v>48996.09</v>
      </c>
      <c r="I48" s="32" t="n">
        <v>1460.2</v>
      </c>
      <c r="J48" s="32" t="n">
        <v>4.61</v>
      </c>
      <c r="K48" s="32" t="n">
        <v>1713087</v>
      </c>
      <c r="L48" s="31" t="n">
        <v>62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67.48</v>
      </c>
      <c r="P48" s="32" t="n">
        <v>56.78</v>
      </c>
      <c r="Q48" s="32" t="n">
        <v>1058.18</v>
      </c>
      <c r="R48" s="31" t="inlineStr">
        <is>
          <t>Near 52W High Breakout</t>
        </is>
      </c>
      <c r="S48" s="31" t="inlineStr">
        <is>
          <t>Nifty 50</t>
        </is>
      </c>
      <c r="T48" s="32" t="n">
        <v>-10.61</v>
      </c>
      <c r="U48" s="32" t="n">
        <v>80.67</v>
      </c>
      <c r="V48" s="32" t="n">
        <v>102.12</v>
      </c>
      <c r="W48" s="32" t="n">
        <v>21.8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IF(B49=0,"",RANK(B49,$B$2:$B$252,0))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DPABHUSHAN</t>
        </is>
      </c>
      <c r="D49" s="31" t="inlineStr">
        <is>
          <t>D.P. Abhushan Ltd</t>
        </is>
      </c>
      <c r="E49" s="31" t="inlineStr">
        <is>
          <t>consumer discretionary</t>
        </is>
      </c>
      <c r="F49" s="31" t="inlineStr">
        <is>
          <t>trading</t>
        </is>
      </c>
      <c r="G49" s="31" t="inlineStr">
        <is>
          <t>smallcap</t>
        </is>
      </c>
      <c r="H49" s="32" t="n">
        <v>4962.79</v>
      </c>
      <c r="I49" s="32" t="n">
        <v>2262.7</v>
      </c>
      <c r="J49" s="32" t="n">
        <v>4.08</v>
      </c>
      <c r="K49" s="32" t="n">
        <v>263103</v>
      </c>
      <c r="L49" s="31" t="n">
        <v>82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80.91</v>
      </c>
      <c r="P49" s="32" t="n">
        <v>39.09</v>
      </c>
      <c r="Q49" s="32" t="n">
        <v>1693.41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-10.61</v>
      </c>
      <c r="U49" s="32" t="n">
        <v>58.56</v>
      </c>
      <c r="V49" s="32" t="n">
        <v>77.38</v>
      </c>
      <c r="W49" s="32" t="n">
        <v>32.74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IF(B50=0,"",RANK(B50,$B$2:$B$252,0))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BELRISE</t>
        </is>
      </c>
      <c r="D50" s="31" t="inlineStr">
        <is>
          <t>Belrise Industries Ltd</t>
        </is>
      </c>
      <c r="E50" s="31" t="inlineStr">
        <is>
          <t>auto</t>
        </is>
      </c>
      <c r="F50" s="31" t="inlineStr">
        <is>
          <t>auto ancillaries</t>
        </is>
      </c>
      <c r="G50" s="31" t="inlineStr">
        <is>
          <t>largecap</t>
        </is>
      </c>
      <c r="H50" s="32" t="n">
        <v>22903.12</v>
      </c>
      <c r="I50" s="32" t="n">
        <v>246.31</v>
      </c>
      <c r="J50" s="32" t="n">
        <v>4.01</v>
      </c>
      <c r="K50" s="32" t="n">
        <v>3749664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59.76</v>
      </c>
      <c r="P50" s="32" t="n">
        <v>29.15</v>
      </c>
      <c r="Q50" s="32" t="n">
        <v>205.37</v>
      </c>
      <c r="R50" s="31" t="inlineStr">
        <is>
          <t>Near 52W High Breakout</t>
        </is>
      </c>
      <c r="S50" s="31" t="inlineStr">
        <is>
          <t>Nifty Auto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IF(B51=0,"",RANK(B51,$B$2:$B$252,0))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SYRMA</t>
        </is>
      </c>
      <c r="D51" s="31" t="inlineStr">
        <is>
          <t>Syrma SGS Technology Ltd</t>
        </is>
      </c>
      <c r="E51" s="31" t="inlineStr">
        <is>
          <t>consumer discretionary</t>
        </is>
      </c>
      <c r="F51" s="31" t="inlineStr">
        <is>
          <t>electronics - components</t>
        </is>
      </c>
      <c r="G51" s="31" t="inlineStr">
        <is>
          <t>largecap</t>
        </is>
      </c>
      <c r="H51" s="32" t="n">
        <v>32493.87</v>
      </c>
      <c r="I51" s="32" t="n">
        <v>1746.7</v>
      </c>
      <c r="J51" s="32" t="n">
        <v>3.66</v>
      </c>
      <c r="K51" s="32" t="n">
        <v>1814188</v>
      </c>
      <c r="L51" s="31" t="n">
        <v>66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76.19</v>
      </c>
      <c r="P51" s="32" t="n">
        <v>59.66</v>
      </c>
      <c r="Q51" s="32" t="n">
        <v>1358.05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-10.61</v>
      </c>
      <c r="U51" s="32" t="n">
        <v>107.25</v>
      </c>
      <c r="V51" s="32" t="n">
        <v>131.85</v>
      </c>
      <c r="W51" s="32" t="n">
        <v>22.85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IF(B52=0,"",RANK(B52,$B$2:$B$252,0))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CPPLUS</t>
        </is>
      </c>
      <c r="D52" s="31" t="inlineStr">
        <is>
          <t>Aditya Infotech Ltd</t>
        </is>
      </c>
      <c r="E52" s="31" t="inlineStr">
        <is>
          <t>consumer discretionary</t>
        </is>
      </c>
      <c r="F52" s="31" t="inlineStr">
        <is>
          <t>trading</t>
        </is>
      </c>
      <c r="G52" s="31" t="inlineStr">
        <is>
          <t>largecap</t>
        </is>
      </c>
      <c r="H52" s="32" t="n">
        <v>46857.35</v>
      </c>
      <c r="I52" s="32" t="n">
        <v>4064.9</v>
      </c>
      <c r="J52" s="32" t="n">
        <v>2.24</v>
      </c>
      <c r="K52" s="32" t="n">
        <v>208910</v>
      </c>
      <c r="L52" s="31" t="n">
        <v>79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68.61</v>
      </c>
      <c r="P52" s="32" t="n">
        <v>43.87</v>
      </c>
      <c r="Q52" s="32" t="n">
        <v>3033.61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-10.61</v>
      </c>
      <c r="U52" s="32" t="n">
        <v>192.32</v>
      </c>
      <c r="V52" s="32" t="n">
        <v>227.01</v>
      </c>
      <c r="W52" s="32" t="n">
        <v>30.25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IF(B53=0,"",RANK(B53,$B$2:$B$252,0))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HITECHCORP</t>
        </is>
      </c>
      <c r="D53" s="31" t="inlineStr">
        <is>
          <t>Hitech Corporation</t>
        </is>
      </c>
      <c r="E53" s="31" t="inlineStr">
        <is>
          <t>industrials</t>
        </is>
      </c>
      <c r="F53" s="31" t="inlineStr">
        <is>
          <t>packaging</t>
        </is>
      </c>
      <c r="G53" s="31" t="inlineStr">
        <is>
          <t>smallcap</t>
        </is>
      </c>
      <c r="H53" s="32" t="n">
        <v>588.1</v>
      </c>
      <c r="I53" s="32" t="n">
        <v>349.1</v>
      </c>
      <c r="J53" s="32" t="n">
        <v>1.96</v>
      </c>
      <c r="K53" s="32" t="n">
        <v>143436</v>
      </c>
      <c r="L53" s="31" t="n">
        <v>65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80.34999999999999</v>
      </c>
      <c r="P53" s="32" t="n">
        <v>65.56999999999999</v>
      </c>
      <c r="Q53" s="32" t="n">
        <v>295.36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-10.61</v>
      </c>
      <c r="U53" s="32" t="n">
        <v>78.12</v>
      </c>
      <c r="V53" s="32" t="n">
        <v>99.26000000000001</v>
      </c>
      <c r="W53" s="32" t="n">
        <v>22.47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IF(B54=0,"",RANK(B54,$B$2:$B$252,0))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RBZJEWEL</t>
        </is>
      </c>
      <c r="D54" s="31" t="inlineStr">
        <is>
          <t>RBZ Jewellers Ltd</t>
        </is>
      </c>
      <c r="E54" s="31" t="inlineStr">
        <is>
          <t>consumer discretionary</t>
        </is>
      </c>
      <c r="F54" s="31" t="inlineStr">
        <is>
          <t>diamond cutting / jewellery</t>
        </is>
      </c>
      <c r="G54" s="31" t="inlineStr">
        <is>
          <t>smallcap</t>
        </is>
      </c>
      <c r="H54" s="32" t="n">
        <v>784.6</v>
      </c>
      <c r="I54" s="32" t="n">
        <v>199.38</v>
      </c>
      <c r="J54" s="32" t="n">
        <v>1.65</v>
      </c>
      <c r="K54" s="32" t="n">
        <v>101810</v>
      </c>
      <c r="L54" s="31" t="n">
        <v>40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65.54000000000001</v>
      </c>
      <c r="P54" s="32" t="n">
        <v>36.61</v>
      </c>
      <c r="Q54" s="32" t="n">
        <v>141.5</v>
      </c>
      <c r="R54" s="31" t="inlineStr">
        <is>
          <t>Near 52W High Breakout</t>
        </is>
      </c>
      <c r="S54" s="31" t="inlineStr">
        <is>
          <t>Nifty 50</t>
        </is>
      </c>
      <c r="T54" s="32" t="n">
        <v>-10.61</v>
      </c>
      <c r="U54" s="32" t="n">
        <v>36.85</v>
      </c>
      <c r="V54" s="32" t="n">
        <v>53.09</v>
      </c>
      <c r="W54" s="32" t="n">
        <v>13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IF(B55=0,"",RANK(B55,$B$2:$B$252,0))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PLASTIBLEN</t>
        </is>
      </c>
      <c r="D55" s="31" t="inlineStr">
        <is>
          <t>Plastiblends India Limited</t>
        </is>
      </c>
      <c r="E55" s="31" t="inlineStr">
        <is>
          <t>chemicals</t>
        </is>
      </c>
      <c r="F55" s="31" t="inlineStr">
        <is>
          <t>chemicals</t>
        </is>
      </c>
      <c r="G55" s="31" t="inlineStr">
        <is>
          <t>smallcap</t>
        </is>
      </c>
      <c r="H55" s="32" t="n">
        <v>526.02</v>
      </c>
      <c r="I55" s="32" t="n">
        <v>205.09</v>
      </c>
      <c r="J55" s="32" t="n">
        <v>1.33</v>
      </c>
      <c r="K55" s="32" t="n">
        <v>47821</v>
      </c>
      <c r="L55" s="31" t="n">
        <v>21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63.4</v>
      </c>
      <c r="P55" s="32" t="n">
        <v>35.52</v>
      </c>
      <c r="Q55" s="32" t="n">
        <v>159.72</v>
      </c>
      <c r="R55" s="31" t="inlineStr">
        <is>
          <t>Near 52W High Breakout</t>
        </is>
      </c>
      <c r="S55" s="31" t="inlineStr">
        <is>
          <t>Nifty 50</t>
        </is>
      </c>
      <c r="T55" s="32" t="n">
        <v>-10.61</v>
      </c>
      <c r="U55" s="32" t="n">
        <v>13.4</v>
      </c>
      <c r="V55" s="32" t="n">
        <v>26.86</v>
      </c>
      <c r="W55" s="32" t="n">
        <v>6.53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IF(B56=0,"",RANK(B56,$B$2:$B$252,0))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AVALON</t>
        </is>
      </c>
      <c r="D56" s="31" t="inlineStr">
        <is>
          <t>Avalon Technologies Ltd</t>
        </is>
      </c>
      <c r="E56" s="31" t="inlineStr">
        <is>
          <t>consumer discretionary</t>
        </is>
      </c>
      <c r="F56" s="31" t="inlineStr">
        <is>
          <t>electronics - components</t>
        </is>
      </c>
      <c r="G56" s="31" t="inlineStr">
        <is>
          <t>midcap</t>
        </is>
      </c>
      <c r="H56" s="32" t="n">
        <v>16037.49</v>
      </c>
      <c r="I56" s="32" t="n">
        <v>2429.7</v>
      </c>
      <c r="J56" s="32" t="n">
        <v>1.22</v>
      </c>
      <c r="K56" s="32" t="n">
        <v>364773</v>
      </c>
      <c r="L56" s="31" t="n">
        <v>72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73.05</v>
      </c>
      <c r="P56" s="32" t="n">
        <v>49.69</v>
      </c>
      <c r="Q56" s="32" t="n">
        <v>1874.25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-10.61</v>
      </c>
      <c r="U56" s="32" t="n">
        <v>97.47</v>
      </c>
      <c r="V56" s="32" t="n">
        <v>120.91</v>
      </c>
      <c r="W56" s="32" t="n">
        <v>26.51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IF(B57=0,"",RANK(B57,$B$2:$B$252,0))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MOTISONS</t>
        </is>
      </c>
      <c r="D57" s="31" t="inlineStr">
        <is>
          <t>Motisons Jewellers Ltd</t>
        </is>
      </c>
      <c r="E57" s="31" t="inlineStr">
        <is>
          <t>consumer discretionary</t>
        </is>
      </c>
      <c r="F57" s="31" t="inlineStr">
        <is>
          <t>diamond cutting / jewellery</t>
        </is>
      </c>
      <c r="G57" s="31" t="inlineStr">
        <is>
          <t>smallcap</t>
        </is>
      </c>
      <c r="H57" s="32" t="n">
        <v>2003.15</v>
      </c>
      <c r="I57" s="32" t="n">
        <v>17.68</v>
      </c>
      <c r="J57" s="32" t="n">
        <v>0.4</v>
      </c>
      <c r="K57" s="32" t="n">
        <v>12310506</v>
      </c>
      <c r="L57" s="31" t="n">
        <v>19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62.31</v>
      </c>
      <c r="P57" s="32" t="n">
        <v>28.66</v>
      </c>
      <c r="Q57" s="32" t="n">
        <v>12.84</v>
      </c>
      <c r="R57" s="31" t="inlineStr">
        <is>
          <t>Near 52W High Breakout</t>
        </is>
      </c>
      <c r="S57" s="31" t="inlineStr">
        <is>
          <t>Nifty 50</t>
        </is>
      </c>
      <c r="T57" s="32" t="n">
        <v>-10.61</v>
      </c>
      <c r="U57" s="32" t="n">
        <v>-0.73</v>
      </c>
      <c r="V57" s="32" t="n">
        <v>11.05</v>
      </c>
      <c r="W57" s="32" t="n">
        <v>5.98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IF(B58=0,"",RANK(B58,$B$2:$B$252,0))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ARROWGREEN</t>
        </is>
      </c>
      <c r="D58" s="31" t="inlineStr">
        <is>
          <t>Arrow Greentech Limited</t>
        </is>
      </c>
      <c r="E58" s="31" t="inlineStr">
        <is>
          <t>plastic products</t>
        </is>
      </c>
      <c r="F58" s="31" t="inlineStr">
        <is>
          <t>plastics products</t>
        </is>
      </c>
      <c r="G58" s="31" t="inlineStr">
        <is>
          <t>smallcap</t>
        </is>
      </c>
      <c r="H58" s="32" t="n">
        <v>1345.47</v>
      </c>
      <c r="I58" s="32" t="n">
        <v>893.35</v>
      </c>
      <c r="J58" s="32" t="n">
        <v>0.18</v>
      </c>
      <c r="K58" s="32" t="n">
        <v>19826</v>
      </c>
      <c r="L58" s="31" t="n">
        <v>52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68.43000000000001</v>
      </c>
      <c r="P58" s="32" t="n">
        <v>49.96</v>
      </c>
      <c r="Q58" s="32" t="n">
        <v>671.24</v>
      </c>
      <c r="R58" s="31" t="inlineStr">
        <is>
          <t>Near 52W High Breakout</t>
        </is>
      </c>
      <c r="S58" s="31" t="inlineStr">
        <is>
          <t>Nifty 50</t>
        </is>
      </c>
      <c r="T58" s="32" t="n">
        <v>-10.61</v>
      </c>
      <c r="U58" s="32" t="n">
        <v>70</v>
      </c>
      <c r="V58" s="32" t="n">
        <v>90.17</v>
      </c>
      <c r="W58" s="32" t="n">
        <v>17.98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IF(B59=0,"",RANK(B59,$B$2:$B$252,0))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GALAPREC</t>
        </is>
      </c>
      <c r="D59" s="31" t="inlineStr">
        <is>
          <t>Gala Precision Engineering Ltd</t>
        </is>
      </c>
      <c r="E59" s="31" t="inlineStr">
        <is>
          <t>castings, forgings &amp; fasteners</t>
        </is>
      </c>
      <c r="F59" s="31" t="inlineStr">
        <is>
          <t>fasteners</t>
        </is>
      </c>
      <c r="G59" s="31" t="inlineStr">
        <is>
          <t>smallcap</t>
        </is>
      </c>
      <c r="H59" s="32" t="n">
        <v>1487.96</v>
      </c>
      <c r="I59" s="32" t="n">
        <v>1161.4</v>
      </c>
      <c r="J59" s="32" t="n">
        <v>0.03</v>
      </c>
      <c r="K59" s="32" t="n">
        <v>35302</v>
      </c>
      <c r="L59" s="31" t="n">
        <v>31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64.75</v>
      </c>
      <c r="P59" s="32" t="n">
        <v>44.11</v>
      </c>
      <c r="Q59" s="32" t="n">
        <v>891.35</v>
      </c>
      <c r="R59" s="31" t="inlineStr">
        <is>
          <t>Near 52W High Breakout</t>
        </is>
      </c>
      <c r="S59" s="31" t="inlineStr">
        <is>
          <t>Nifty 50</t>
        </is>
      </c>
      <c r="T59" s="32" t="n">
        <v>-10.61</v>
      </c>
      <c r="U59" s="32" t="n">
        <v>49.23</v>
      </c>
      <c r="V59" s="32" t="n">
        <v>66.94</v>
      </c>
      <c r="W59" s="32" t="n">
        <v>10.25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IF(B60=0,"",RANK(B60,$B$2:$B$252,0))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KINGFA</t>
        </is>
      </c>
      <c r="D60" s="31" t="inlineStr">
        <is>
          <t>Kingfa Science &amp; Technology (india) Limited</t>
        </is>
      </c>
      <c r="E60" s="31" t="inlineStr">
        <is>
          <t>plastic products</t>
        </is>
      </c>
      <c r="F60" s="31" t="inlineStr">
        <is>
          <t>plastics products</t>
        </is>
      </c>
      <c r="G60" s="31" t="inlineStr">
        <is>
          <t>midcap</t>
        </is>
      </c>
      <c r="H60" s="32" t="n">
        <v>9393.82</v>
      </c>
      <c r="I60" s="32" t="n">
        <v>6932.5</v>
      </c>
      <c r="J60" s="32" t="n">
        <v>0.01</v>
      </c>
      <c r="K60" s="32" t="n">
        <v>9197</v>
      </c>
      <c r="L60" s="31" t="n">
        <v>47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75.05</v>
      </c>
      <c r="P60" s="32" t="n">
        <v>45.04</v>
      </c>
      <c r="Q60" s="32" t="n">
        <v>5621.27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-10.61</v>
      </c>
      <c r="U60" s="32" t="n">
        <v>49.07</v>
      </c>
      <c r="V60" s="32" t="n">
        <v>66.76000000000001</v>
      </c>
      <c r="W60" s="32" t="n">
        <v>16.35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IF(B61=0,"",RANK(B61,$B$2:$B$252,0))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ACE</t>
        </is>
      </c>
      <c r="D61" s="31" t="inlineStr">
        <is>
          <t>Action Construction Equipment Limited</t>
        </is>
      </c>
      <c r="E61" s="31" t="inlineStr">
        <is>
          <t>industrials</t>
        </is>
      </c>
      <c r="F61" s="31" t="inlineStr">
        <is>
          <t>engineering</t>
        </is>
      </c>
      <c r="G61" s="31" t="inlineStr">
        <is>
          <t>midcap</t>
        </is>
      </c>
      <c r="H61" s="32" t="n">
        <v>14911.6</v>
      </c>
      <c r="I61" s="32" t="n">
        <v>1249.9</v>
      </c>
      <c r="J61" s="32" t="n">
        <v>-0.18</v>
      </c>
      <c r="K61" s="32" t="n">
        <v>245926</v>
      </c>
      <c r="L61" s="31" t="n">
        <v>29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72.59999999999999</v>
      </c>
      <c r="P61" s="32" t="n">
        <v>40.26</v>
      </c>
      <c r="Q61" s="32" t="n">
        <v>1021.71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-10.61</v>
      </c>
      <c r="U61" s="32" t="n">
        <v>17.14</v>
      </c>
      <c r="V61" s="32" t="n">
        <v>31.04</v>
      </c>
      <c r="W61" s="32" t="n">
        <v>9.4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IF(B62=0,"",RANK(B62,$B$2:$B$252,0))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AZAD</t>
        </is>
      </c>
      <c r="D62" s="31" t="inlineStr">
        <is>
          <t>Azad Engineering Ltd</t>
        </is>
      </c>
      <c r="E62" s="31" t="inlineStr">
        <is>
          <t>aerospace &amp; defence</t>
        </is>
      </c>
      <c r="F62" s="31" t="inlineStr">
        <is>
          <t>engineering</t>
        </is>
      </c>
      <c r="G62" s="31" t="inlineStr">
        <is>
          <t>midcap</t>
        </is>
      </c>
      <c r="H62" s="32" t="n">
        <v>19778.8</v>
      </c>
      <c r="I62" s="32" t="n">
        <v>3048.2</v>
      </c>
      <c r="J62" s="32" t="n">
        <v>-0.47</v>
      </c>
      <c r="K62" s="32" t="n">
        <v>585882</v>
      </c>
      <c r="L62" s="31" t="n">
        <v>56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70.81999999999999</v>
      </c>
      <c r="P62" s="32" t="n">
        <v>44.67</v>
      </c>
      <c r="Q62" s="32" t="n">
        <v>2334.73</v>
      </c>
      <c r="R62" s="31" t="inlineStr">
        <is>
          <t>Near 52W High Breakout</t>
        </is>
      </c>
      <c r="S62" s="31" t="inlineStr">
        <is>
          <t>Nifty 50</t>
        </is>
      </c>
      <c r="T62" s="32" t="n">
        <v>-10.61</v>
      </c>
      <c r="U62" s="32" t="n">
        <v>84.05</v>
      </c>
      <c r="V62" s="32" t="n">
        <v>105.89</v>
      </c>
      <c r="W62" s="32" t="n">
        <v>18.95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IF(B63=0,"",RANK(B63,$B$2:$B$252,0))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AETHER</t>
        </is>
      </c>
      <c r="D63" s="31" t="inlineStr">
        <is>
          <t>Aether Industries Ltd</t>
        </is>
      </c>
      <c r="E63" s="31" t="inlineStr">
        <is>
          <t>chemicals</t>
        </is>
      </c>
      <c r="F63" s="31" t="inlineStr">
        <is>
          <t>chemicals</t>
        </is>
      </c>
      <c r="G63" s="31" t="inlineStr">
        <is>
          <t>largecap</t>
        </is>
      </c>
      <c r="H63" s="32" t="n">
        <v>23885.61</v>
      </c>
      <c r="I63" s="32" t="n">
        <v>1787.6</v>
      </c>
      <c r="J63" s="32" t="n">
        <v>-0.68</v>
      </c>
      <c r="K63" s="32" t="n">
        <v>273746</v>
      </c>
      <c r="L63" s="31" t="n">
        <v>67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69.79000000000001</v>
      </c>
      <c r="P63" s="32" t="n">
        <v>61.31</v>
      </c>
      <c r="Q63" s="32" t="n">
        <v>1423.54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-10.61</v>
      </c>
      <c r="U63" s="32" t="n">
        <v>138.28</v>
      </c>
      <c r="V63" s="32" t="n">
        <v>166.56</v>
      </c>
      <c r="W63" s="32" t="n">
        <v>23.28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IF(B64=0,"",RANK(B64,$B$2:$B$252,0))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LOTUSDEV</t>
        </is>
      </c>
      <c r="D64" s="31" t="inlineStr">
        <is>
          <t>Sri Lotus Developers &amp; Realty Ltd</t>
        </is>
      </c>
      <c r="E64" s="31" t="inlineStr">
        <is>
          <t>realty</t>
        </is>
      </c>
      <c r="F64" s="31" t="inlineStr">
        <is>
          <t>construction</t>
        </is>
      </c>
      <c r="G64" s="31" t="inlineStr">
        <is>
          <t>midcap</t>
        </is>
      </c>
      <c r="H64" s="32" t="n">
        <v>11960.54</v>
      </c>
      <c r="I64" s="32" t="n">
        <v>242.92</v>
      </c>
      <c r="J64" s="32" t="n">
        <v>-0.74</v>
      </c>
      <c r="K64" s="32" t="n">
        <v>918484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73.3</v>
      </c>
      <c r="P64" s="32" t="n">
        <v>33.1</v>
      </c>
      <c r="Q64" s="32" t="n">
        <v>187.16</v>
      </c>
      <c r="R64" s="31" t="inlineStr">
        <is>
          <t>Near 52W High Breakout</t>
        </is>
      </c>
      <c r="S64" s="31" t="inlineStr">
        <is>
          <t>Nifty Realty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IF(B65=0,"",RANK(B65,$B$2:$B$252,0))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WELSPUNLIV</t>
        </is>
      </c>
      <c r="D65" s="31" t="inlineStr">
        <is>
          <t>Welspun Living Ltd</t>
        </is>
      </c>
      <c r="E65" s="31" t="inlineStr">
        <is>
          <t>textiles</t>
        </is>
      </c>
      <c r="F65" s="31" t="inlineStr">
        <is>
          <t>textiles - products</t>
        </is>
      </c>
      <c r="G65" s="31" t="inlineStr">
        <is>
          <t>largecap</t>
        </is>
      </c>
      <c r="H65" s="32" t="n">
        <v>22471.88</v>
      </c>
      <c r="I65" s="32" t="n">
        <v>235.86</v>
      </c>
      <c r="J65" s="32" t="n">
        <v>-0.84</v>
      </c>
      <c r="K65" s="32" t="n">
        <v>5454238</v>
      </c>
      <c r="L65" s="31" t="n">
        <v>68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81.66</v>
      </c>
      <c r="P65" s="32" t="n">
        <v>46.64</v>
      </c>
      <c r="Q65" s="32" t="n">
        <v>192.79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-10.61</v>
      </c>
      <c r="U65" s="32" t="n">
        <v>92.23</v>
      </c>
      <c r="V65" s="32" t="n">
        <v>115.04</v>
      </c>
      <c r="W65" s="32" t="n">
        <v>23.85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IF(B66=0,"",RANK(B66,$B$2:$B$252,0))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UNIVCABLES</t>
        </is>
      </c>
      <c r="D66" s="31" t="inlineStr">
        <is>
          <t>Universal Cables Limited</t>
        </is>
      </c>
      <c r="E66" s="31" t="inlineStr">
        <is>
          <t>industrials</t>
        </is>
      </c>
      <c r="F66" s="31" t="inlineStr">
        <is>
          <t>cables - power</t>
        </is>
      </c>
      <c r="G66" s="31" t="inlineStr">
        <is>
          <t>midcap</t>
        </is>
      </c>
      <c r="H66" s="32" t="n">
        <v>5721.96</v>
      </c>
      <c r="I66" s="32" t="n">
        <v>1633.1</v>
      </c>
      <c r="J66" s="32" t="n">
        <v>-0.98</v>
      </c>
      <c r="K66" s="32" t="n">
        <v>99488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66.56</v>
      </c>
      <c r="P66" s="32" t="n">
        <v>53.01</v>
      </c>
      <c r="Q66" s="32" t="n">
        <v>1223.7</v>
      </c>
      <c r="R66" s="31" t="inlineStr">
        <is>
          <t>Near 52W High Breakout</t>
        </is>
      </c>
      <c r="S66" s="31" t="inlineStr">
        <is>
          <t>Nifty Energy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IF(B67=0,"",RANK(B67,$B$2:$B$252,0))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KABRAEXTRU</t>
        </is>
      </c>
      <c r="D67" s="31" t="inlineStr">
        <is>
          <t>Kabra Extrusion Technik Limited</t>
        </is>
      </c>
      <c r="E67" s="31" t="inlineStr">
        <is>
          <t>industrials</t>
        </is>
      </c>
      <c r="F67" s="31" t="inlineStr">
        <is>
          <t>engineering</t>
        </is>
      </c>
      <c r="G67" s="31" t="inlineStr">
        <is>
          <t>smallcap</t>
        </is>
      </c>
      <c r="H67" s="32" t="n">
        <v>2852.73</v>
      </c>
      <c r="I67" s="32" t="n">
        <v>805.9</v>
      </c>
      <c r="J67" s="32" t="n">
        <v>-1.2</v>
      </c>
      <c r="K67" s="32" t="n">
        <v>49892</v>
      </c>
      <c r="L67" s="31" t="n">
        <v>98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76.97</v>
      </c>
      <c r="P67" s="32" t="n">
        <v>74.59</v>
      </c>
      <c r="Q67" s="32" t="n">
        <v>620.35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-10.61</v>
      </c>
      <c r="U67" s="32" t="n">
        <v>218.35</v>
      </c>
      <c r="V67" s="32" t="n">
        <v>256.13</v>
      </c>
      <c r="W67" s="32" t="n">
        <v>73.72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IF(B68=0,"",RANK(B68,$B$2:$B$252,0))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BLUSPRING</t>
        </is>
      </c>
      <c r="D68" s="31" t="inlineStr">
        <is>
          <t>Bluspring Enterprises Ltd</t>
        </is>
      </c>
      <c r="E68" s="31" t="inlineStr">
        <is>
          <t>miscellaneous</t>
        </is>
      </c>
      <c r="F68" s="31" t="inlineStr">
        <is>
          <t>diversified - large</t>
        </is>
      </c>
      <c r="G68" s="31" t="inlineStr">
        <is>
          <t>smallcap</t>
        </is>
      </c>
      <c r="H68" s="32" t="n">
        <v>2159.87</v>
      </c>
      <c r="I68" s="32" t="n">
        <v>142.71</v>
      </c>
      <c r="J68" s="32" t="n">
        <v>-1.26</v>
      </c>
      <c r="K68" s="32" t="n">
        <v>134332</v>
      </c>
      <c r="L68" s="31" t="n">
        <v>62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66.93000000000001</v>
      </c>
      <c r="P68" s="32" t="n">
        <v>59.84</v>
      </c>
      <c r="Q68" s="32" t="n">
        <v>102.72</v>
      </c>
      <c r="R68" s="31" t="inlineStr">
        <is>
          <t>Near 52W High Breakout</t>
        </is>
      </c>
      <c r="S68" s="31" t="inlineStr">
        <is>
          <t>Nifty 50</t>
        </is>
      </c>
      <c r="T68" s="32" t="n">
        <v>-10.61</v>
      </c>
      <c r="U68" s="32" t="n">
        <v>75.17</v>
      </c>
      <c r="V68" s="32" t="n">
        <v>95.95999999999999</v>
      </c>
      <c r="W68" s="32" t="n">
        <v>21.49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IF(B69=0,"",RANK(B69,$B$2:$B$252,0))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DELTACORP</t>
        </is>
      </c>
      <c r="D69" s="31" t="inlineStr">
        <is>
          <t>Delta Corp Limited</t>
        </is>
      </c>
      <c r="E69" s="31" t="inlineStr">
        <is>
          <t>miscellaneous</t>
        </is>
      </c>
      <c r="F69" s="31" t="inlineStr">
        <is>
          <t>recreation / amusement parks</t>
        </is>
      </c>
      <c r="G69" s="31" t="inlineStr">
        <is>
          <t>smallcap</t>
        </is>
      </c>
      <c r="H69" s="32" t="n">
        <v>2258.38</v>
      </c>
      <c r="I69" s="32" t="n">
        <v>82.37</v>
      </c>
      <c r="J69" s="32" t="n">
        <v>-2.34</v>
      </c>
      <c r="K69" s="32" t="n">
        <v>13502678</v>
      </c>
      <c r="L69" s="31" t="n">
        <v>24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66.08</v>
      </c>
      <c r="P69" s="32" t="n">
        <v>24.89</v>
      </c>
      <c r="Q69" s="32" t="n">
        <v>58.16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-10.61</v>
      </c>
      <c r="U69" s="32" t="n">
        <v>4.7</v>
      </c>
      <c r="V69" s="32" t="n">
        <v>17.12</v>
      </c>
      <c r="W69" s="32" t="n">
        <v>7.7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IF(B70=0,"",RANK(B70,$B$2:$B$252,0))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BHAGERIA</t>
        </is>
      </c>
      <c r="D70" s="31" t="inlineStr">
        <is>
          <t>Bhageria Industries Limited</t>
        </is>
      </c>
      <c r="E70" s="31" t="inlineStr">
        <is>
          <t>chemicals</t>
        </is>
      </c>
      <c r="F70" s="31" t="inlineStr">
        <is>
          <t>dyes and pigments</t>
        </is>
      </c>
      <c r="G70" s="31" t="inlineStr">
        <is>
          <t>smallcap</t>
        </is>
      </c>
      <c r="H70" s="32" t="n">
        <v>1717.62</v>
      </c>
      <c r="I70" s="32" t="n">
        <v>377.55</v>
      </c>
      <c r="J70" s="32" t="n">
        <v>-4.07</v>
      </c>
      <c r="K70" s="32" t="n">
        <v>173072</v>
      </c>
      <c r="L70" s="31" t="n">
        <v>86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77.86</v>
      </c>
      <c r="P70" s="32" t="n">
        <v>46.3</v>
      </c>
      <c r="Q70" s="32" t="n">
        <v>298.25</v>
      </c>
      <c r="R70" s="31" t="inlineStr">
        <is>
          <t>Near 52W High Breakout</t>
        </is>
      </c>
      <c r="S70" s="31" t="inlineStr">
        <is>
          <t>Nifty 50</t>
        </is>
      </c>
      <c r="T70" s="32" t="n">
        <v>-10.61</v>
      </c>
      <c r="U70" s="32" t="n">
        <v>105.74</v>
      </c>
      <c r="V70" s="32" t="n">
        <v>130.16</v>
      </c>
      <c r="W70" s="32" t="n">
        <v>35.57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IF(B71=0,"",RANK(B71,$B$2:$B$252,0))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CUPID</t>
        </is>
      </c>
      <c r="D71" s="31" t="inlineStr">
        <is>
          <t>Cupid Limited</t>
        </is>
      </c>
      <c r="E71" s="31" t="inlineStr">
        <is>
          <t>fmcg</t>
        </is>
      </c>
      <c r="F71" s="31" t="inlineStr">
        <is>
          <t>personal care - indian</t>
        </is>
      </c>
      <c r="G71" s="31" t="inlineStr">
        <is>
          <t>largecap</t>
        </is>
      </c>
      <c r="H71" s="32" t="n">
        <v>43593.9</v>
      </c>
      <c r="I71" s="32" t="n">
        <v>343.95</v>
      </c>
      <c r="J71" s="32" t="n">
        <v>6.09</v>
      </c>
      <c r="K71" s="32" t="n">
        <v>41373811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85.45999999999999</v>
      </c>
      <c r="P71" s="32" t="n">
        <v>66.11</v>
      </c>
      <c r="Q71" s="32" t="n">
        <v>263.43</v>
      </c>
      <c r="R71" s="31" t="inlineStr">
        <is>
          <t>Near 52W High Breakout</t>
        </is>
      </c>
      <c r="S71" s="31" t="inlineStr">
        <is>
          <t>Nifty FMCG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IF(B72=0,"",RANK(B72,$B$2:$B$252,0))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ZIMLAB</t>
        </is>
      </c>
      <c r="D72" s="31" t="inlineStr">
        <is>
          <t>Zim Laboratories Ltd</t>
        </is>
      </c>
      <c r="E72" s="31" t="inlineStr">
        <is>
          <t>healthcare</t>
        </is>
      </c>
      <c r="F72" s="31" t="inlineStr">
        <is>
          <t>pharmaceuticals - indian - bulk drugs &amp; formln</t>
        </is>
      </c>
      <c r="G72" s="31" t="inlineStr">
        <is>
          <t>smallcap</t>
        </is>
      </c>
      <c r="H72" s="32" t="n">
        <v>742.03</v>
      </c>
      <c r="I72" s="32" t="n">
        <v>146.61</v>
      </c>
      <c r="J72" s="32" t="n">
        <v>5.8</v>
      </c>
      <c r="K72" s="32" t="n">
        <v>846341</v>
      </c>
      <c r="L72" s="31" t="n">
        <v>66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73.03</v>
      </c>
      <c r="P72" s="32" t="n">
        <v>57.73</v>
      </c>
      <c r="Q72" s="32" t="n">
        <v>107.05</v>
      </c>
      <c r="R72" s="31" t="inlineStr">
        <is>
          <t>Volume Spike &amp; Near 52W High Breakout</t>
        </is>
      </c>
      <c r="S72" s="31" t="inlineStr">
        <is>
          <t>Nifty Pharma</t>
        </is>
      </c>
      <c r="T72" s="32" t="n">
        <v>18.99</v>
      </c>
      <c r="U72" s="32" t="n">
        <v>105.88</v>
      </c>
      <c r="V72" s="32" t="n">
        <v>73.03</v>
      </c>
      <c r="W72" s="32" t="n">
        <v>23.27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IF(B73=0,"",RANK(B73,$B$2:$B$252,0))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GLAND</t>
        </is>
      </c>
      <c r="D73" s="31" t="inlineStr">
        <is>
          <t>Gland Pharma Ltd</t>
        </is>
      </c>
      <c r="E73" s="31" t="inlineStr">
        <is>
          <t>healthcare</t>
        </is>
      </c>
      <c r="F73" s="31" t="inlineStr">
        <is>
          <t>pharmaceuticals - indian - formulations</t>
        </is>
      </c>
      <c r="G73" s="31" t="inlineStr">
        <is>
          <t>largecap</t>
        </is>
      </c>
      <c r="H73" s="32" t="n">
        <v>49588.53</v>
      </c>
      <c r="I73" s="32" t="n">
        <v>3150.6</v>
      </c>
      <c r="J73" s="32" t="n">
        <v>4.81</v>
      </c>
      <c r="K73" s="32" t="n">
        <v>1341221</v>
      </c>
      <c r="L73" s="31" t="n">
        <v>51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75.16</v>
      </c>
      <c r="P73" s="32" t="n">
        <v>62.96</v>
      </c>
      <c r="Q73" s="32" t="n">
        <v>2596.73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18.99</v>
      </c>
      <c r="U73" s="32" t="n">
        <v>65.04000000000001</v>
      </c>
      <c r="V73" s="32" t="n">
        <v>38.71</v>
      </c>
      <c r="W73" s="32" t="n">
        <v>17.89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IF(B74=0,"",RANK(B74,$B$2:$B$252,0))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DIVISLAB</t>
        </is>
      </c>
      <c r="D74" s="31" t="inlineStr">
        <is>
          <t>Divi's Laboratories Limited</t>
        </is>
      </c>
      <c r="E74" s="31" t="inlineStr">
        <is>
          <t>healthcare</t>
        </is>
      </c>
      <c r="F74" s="31" t="inlineStr">
        <is>
          <t>pharmaceuticals - indian - bulk drugs</t>
        </is>
      </c>
      <c r="G74" s="31" t="inlineStr">
        <is>
          <t>largecap</t>
        </is>
      </c>
      <c r="H74" s="32" t="n">
        <v>253522.49</v>
      </c>
      <c r="I74" s="32" t="n">
        <v>9588</v>
      </c>
      <c r="J74" s="32" t="n">
        <v>0.4</v>
      </c>
      <c r="K74" s="32" t="n">
        <v>422217</v>
      </c>
      <c r="L74" s="31" t="n">
        <v>50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78.22</v>
      </c>
      <c r="P74" s="32" t="n">
        <v>57.36</v>
      </c>
      <c r="Q74" s="32" t="n">
        <v>8330.91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18.99</v>
      </c>
      <c r="U74" s="32" t="n">
        <v>48.7</v>
      </c>
      <c r="V74" s="32" t="n">
        <v>24.97</v>
      </c>
      <c r="W74" s="32" t="n">
        <v>17.61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IF(B75=0,"",RANK(B75,$B$2:$B$252,0))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SHILPAMED</t>
        </is>
      </c>
      <c r="D75" s="31" t="inlineStr">
        <is>
          <t>Shilpa Medicare Limited</t>
        </is>
      </c>
      <c r="E75" s="31" t="inlineStr">
        <is>
          <t>healthcare</t>
        </is>
      </c>
      <c r="F75" s="31" t="inlineStr">
        <is>
          <t>pharmaceuticals - indian - formulations</t>
        </is>
      </c>
      <c r="G75" s="31" t="inlineStr">
        <is>
          <t>largecap</t>
        </is>
      </c>
      <c r="H75" s="32" t="n">
        <v>20999.62</v>
      </c>
      <c r="I75" s="32" t="n">
        <v>1071.2</v>
      </c>
      <c r="J75" s="32" t="n">
        <v>-0.23</v>
      </c>
      <c r="K75" s="32" t="n">
        <v>433185</v>
      </c>
      <c r="L75" s="31" t="n">
        <v>93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91.62</v>
      </c>
      <c r="P75" s="32" t="n">
        <v>83.67</v>
      </c>
      <c r="Q75" s="32" t="n">
        <v>862.22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18.99</v>
      </c>
      <c r="U75" s="32" t="n">
        <v>192.22</v>
      </c>
      <c r="V75" s="32" t="n">
        <v>145.59</v>
      </c>
      <c r="W75" s="32" t="n">
        <v>42.52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IF(B76=0,"",RANK(B76,$B$2:$B$252,0))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NAHARINDUS</t>
        </is>
      </c>
      <c r="D76" s="31" t="inlineStr">
        <is>
          <t>Nahar Industrial Enterprises Limited</t>
        </is>
      </c>
      <c r="E76" s="31" t="inlineStr">
        <is>
          <t>textiles</t>
        </is>
      </c>
      <c r="F76" s="31" t="inlineStr">
        <is>
          <t>textiles - cotton/blended</t>
        </is>
      </c>
      <c r="G76" s="31" t="inlineStr">
        <is>
          <t>smallcap</t>
        </is>
      </c>
      <c r="H76" s="32" t="n">
        <v>551.5599999999999</v>
      </c>
      <c r="I76" s="32" t="n">
        <v>133.93</v>
      </c>
      <c r="J76" s="32" t="n">
        <v>4.91</v>
      </c>
      <c r="K76" s="32" t="n">
        <v>43058</v>
      </c>
      <c r="L76" s="31" t="n">
        <v>19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60.95</v>
      </c>
      <c r="P76" s="32" t="n">
        <v>34.67</v>
      </c>
      <c r="Q76" s="32" t="n">
        <v>104.34</v>
      </c>
      <c r="R76" s="31" t="inlineStr">
        <is>
          <t>Near 52W High Breakout</t>
        </is>
      </c>
      <c r="S76" s="31" t="inlineStr">
        <is>
          <t>Nifty 50</t>
        </is>
      </c>
      <c r="T76" s="32" t="n">
        <v>-10.61</v>
      </c>
      <c r="U76" s="32" t="n">
        <v>13.99</v>
      </c>
      <c r="V76" s="32" t="n">
        <v>27.52</v>
      </c>
      <c r="W76" s="32" t="n">
        <v>5.73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IF(B77=0,"",RANK(B77,$B$2:$B$252,0))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HFCL</t>
        </is>
      </c>
      <c r="D77" s="31" t="inlineStr">
        <is>
          <t>HFCL Ltd</t>
        </is>
      </c>
      <c r="E77" s="31" t="inlineStr">
        <is>
          <t>telecom</t>
        </is>
      </c>
      <c r="F77" s="31" t="inlineStr">
        <is>
          <t>cables - telephone</t>
        </is>
      </c>
      <c r="G77" s="31" t="inlineStr">
        <is>
          <t>largecap</t>
        </is>
      </c>
      <c r="H77" s="32" t="n">
        <v>40221.17</v>
      </c>
      <c r="I77" s="32" t="n">
        <v>271.9</v>
      </c>
      <c r="J77" s="32" t="n">
        <v>3.47</v>
      </c>
      <c r="K77" s="32" t="n">
        <v>12439455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73.2</v>
      </c>
      <c r="P77" s="32" t="n">
        <v>49.87</v>
      </c>
      <c r="Q77" s="32" t="n">
        <v>197.51</v>
      </c>
      <c r="R77" s="31" t="inlineStr">
        <is>
          <t>Near 52W High Breakout</t>
        </is>
      </c>
      <c r="S77" s="31" t="inlineStr">
        <is>
          <t>Nifty Infra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IF(B78=0,"",RANK(B78,$B$2:$B$252,0))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GESHIP</t>
        </is>
      </c>
      <c r="D78" s="31" t="inlineStr">
        <is>
          <t>The Great Eastern Shipping Company Limited</t>
        </is>
      </c>
      <c r="E78" s="31" t="inlineStr">
        <is>
          <t>transportation</t>
        </is>
      </c>
      <c r="F78" s="31" t="inlineStr">
        <is>
          <t>shipping</t>
        </is>
      </c>
      <c r="G78" s="31" t="inlineStr">
        <is>
          <t>largecap</t>
        </is>
      </c>
      <c r="H78" s="32" t="n">
        <v>21880.5</v>
      </c>
      <c r="I78" s="32" t="n">
        <v>1567.9</v>
      </c>
      <c r="J78" s="32" t="n">
        <v>2.3</v>
      </c>
      <c r="K78" s="32" t="n">
        <v>464716</v>
      </c>
      <c r="L78" s="31" t="n">
        <v>36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63.4</v>
      </c>
      <c r="P78" s="32" t="n">
        <v>25.84</v>
      </c>
      <c r="Q78" s="32" t="n">
        <v>1256.53</v>
      </c>
      <c r="R78" s="31" t="inlineStr">
        <is>
          <t>Near 52W High Breakout</t>
        </is>
      </c>
      <c r="S78" s="31" t="inlineStr">
        <is>
          <t>Nifty 50</t>
        </is>
      </c>
      <c r="T78" s="32" t="n">
        <v>-10.61</v>
      </c>
      <c r="U78" s="32" t="n">
        <v>54.08</v>
      </c>
      <c r="V78" s="32" t="n">
        <v>72.37</v>
      </c>
      <c r="W78" s="32" t="n">
        <v>11.74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IF(B79=0,"",RANK(B79,$B$2:$B$252,0))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SHREEPUSHK</t>
        </is>
      </c>
      <c r="D79" s="31" t="inlineStr">
        <is>
          <t>Shree Pushkar Chemicals &amp; Fertilisers Limited</t>
        </is>
      </c>
      <c r="E79" s="31" t="inlineStr">
        <is>
          <t>chemicals</t>
        </is>
      </c>
      <c r="F79" s="31" t="inlineStr">
        <is>
          <t>dyes and pigments</t>
        </is>
      </c>
      <c r="G79" s="31" t="inlineStr">
        <is>
          <t>smallcap</t>
        </is>
      </c>
      <c r="H79" s="32" t="n">
        <v>1649.55</v>
      </c>
      <c r="I79" s="32" t="n">
        <v>517.5</v>
      </c>
      <c r="J79" s="32" t="n">
        <v>1.45</v>
      </c>
      <c r="K79" s="32" t="n">
        <v>50642</v>
      </c>
      <c r="L79" s="31" t="n">
        <v>31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68.93000000000001</v>
      </c>
      <c r="P79" s="32" t="n">
        <v>44.94</v>
      </c>
      <c r="Q79" s="32" t="n">
        <v>388.05</v>
      </c>
      <c r="R79" s="31" t="inlineStr">
        <is>
          <t>Near 52W High Breakout</t>
        </is>
      </c>
      <c r="S79" s="31" t="inlineStr">
        <is>
          <t>Nifty 50</t>
        </is>
      </c>
      <c r="T79" s="32" t="n">
        <v>-10.61</v>
      </c>
      <c r="U79" s="32" t="n">
        <v>24.97</v>
      </c>
      <c r="V79" s="32" t="n">
        <v>39.8</v>
      </c>
      <c r="W79" s="32" t="n">
        <v>10.2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IF(B80=0,"",RANK(B80,$B$2:$B$252,0))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STEELCAS</t>
        </is>
      </c>
      <c r="D80" s="31" t="inlineStr">
        <is>
          <t>Steelcast Ltd</t>
        </is>
      </c>
      <c r="E80" s="31" t="inlineStr">
        <is>
          <t>castings, forgings &amp; fasteners</t>
        </is>
      </c>
      <c r="F80" s="31" t="inlineStr">
        <is>
          <t>castings &amp; forgings</t>
        </is>
      </c>
      <c r="G80" s="31" t="inlineStr">
        <is>
          <t>smallcap</t>
        </is>
      </c>
      <c r="H80" s="32" t="n">
        <v>3740.35</v>
      </c>
      <c r="I80" s="32" t="n">
        <v>373.3</v>
      </c>
      <c r="J80" s="32" t="n">
        <v>1</v>
      </c>
      <c r="K80" s="32" t="n">
        <v>147905</v>
      </c>
      <c r="L80" s="31" t="n">
        <v>44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68.01000000000001</v>
      </c>
      <c r="P80" s="32" t="n">
        <v>41.96</v>
      </c>
      <c r="Q80" s="32" t="n">
        <v>279.03</v>
      </c>
      <c r="R80" s="31" t="inlineStr">
        <is>
          <t>Near 52W High Breakout</t>
        </is>
      </c>
      <c r="S80" s="31" t="inlineStr">
        <is>
          <t>Nifty 50</t>
        </is>
      </c>
      <c r="T80" s="32" t="n">
        <v>-10.61</v>
      </c>
      <c r="U80" s="32" t="n">
        <v>68.90000000000001</v>
      </c>
      <c r="V80" s="32" t="n">
        <v>88.95</v>
      </c>
      <c r="W80" s="32" t="n">
        <v>15.84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IF(B81=0,"",RANK(B81,$B$2:$B$252,0))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TCPLPACK</t>
        </is>
      </c>
      <c r="D81" s="31" t="inlineStr">
        <is>
          <t>TCPL Packaging Ltd</t>
        </is>
      </c>
      <c r="E81" s="31" t="inlineStr">
        <is>
          <t>industrials</t>
        </is>
      </c>
      <c r="F81" s="31" t="inlineStr">
        <is>
          <t>packaging</t>
        </is>
      </c>
      <c r="G81" s="31" t="inlineStr">
        <is>
          <t>smallcap</t>
        </is>
      </c>
      <c r="H81" s="32" t="n">
        <v>3647.19</v>
      </c>
      <c r="I81" s="32" t="n">
        <v>4031.5</v>
      </c>
      <c r="J81" s="32" t="n">
        <v>0.59</v>
      </c>
      <c r="K81" s="32" t="n">
        <v>3112</v>
      </c>
      <c r="L81" s="31" t="n">
        <v>38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64.42</v>
      </c>
      <c r="P81" s="32" t="n">
        <v>49.78</v>
      </c>
      <c r="Q81" s="32" t="n">
        <v>3135.21</v>
      </c>
      <c r="R81" s="31" t="inlineStr">
        <is>
          <t>Near 52W High Breakout</t>
        </is>
      </c>
      <c r="S81" s="31" t="inlineStr">
        <is>
          <t>Nifty 50</t>
        </is>
      </c>
      <c r="T81" s="32" t="n">
        <v>-10.61</v>
      </c>
      <c r="U81" s="32" t="n">
        <v>19.42</v>
      </c>
      <c r="V81" s="32" t="n">
        <v>33.59</v>
      </c>
      <c r="W81" s="32" t="n">
        <v>12.22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IF(B82=0,"",RANK(B82,$B$2:$B$252,0))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NRAIL</t>
        </is>
      </c>
      <c r="D82" s="31" t="inlineStr">
        <is>
          <t>N R Agarwal Industries Ltd</t>
        </is>
      </c>
      <c r="E82" s="31" t="inlineStr">
        <is>
          <t>building materials</t>
        </is>
      </c>
      <c r="F82" s="31" t="inlineStr">
        <is>
          <t>paper</t>
        </is>
      </c>
      <c r="G82" s="31" t="inlineStr">
        <is>
          <t>smallcap</t>
        </is>
      </c>
      <c r="H82" s="32" t="n">
        <v>1120.28</v>
      </c>
      <c r="I82" s="32" t="n">
        <v>660.9</v>
      </c>
      <c r="J82" s="32" t="n">
        <v>0.4</v>
      </c>
      <c r="K82" s="32" t="n">
        <v>10667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69.56</v>
      </c>
      <c r="P82" s="32" t="n">
        <v>46.21</v>
      </c>
      <c r="Q82" s="32" t="n">
        <v>502.98</v>
      </c>
      <c r="R82" s="31" t="inlineStr">
        <is>
          <t>Near 52W High Breakout</t>
        </is>
      </c>
      <c r="S82" s="31" t="inlineStr">
        <is>
          <t>Nifty Infra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IF(B83=0,"",RANK(B83,$B$2:$B$252,0))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DIACABS</t>
        </is>
      </c>
      <c r="D83" s="31" t="inlineStr">
        <is>
          <t>Diamond Power Infrastructure Ltd</t>
        </is>
      </c>
      <c r="E83" s="31" t="inlineStr">
        <is>
          <t>industrials</t>
        </is>
      </c>
      <c r="F83" s="31" t="inlineStr">
        <is>
          <t>cables - power</t>
        </is>
      </c>
      <c r="G83" s="31" t="inlineStr">
        <is>
          <t>largecap</t>
        </is>
      </c>
      <c r="H83" s="32" t="n">
        <v>22026.96</v>
      </c>
      <c r="I83" s="32" t="n">
        <v>369.15</v>
      </c>
      <c r="J83" s="32" t="n">
        <v>0.23</v>
      </c>
      <c r="K83" s="32" t="n">
        <v>847344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72.73999999999999</v>
      </c>
      <c r="P83" s="32" t="n">
        <v>67.23999999999999</v>
      </c>
      <c r="Q83" s="32" t="n">
        <v>275</v>
      </c>
      <c r="R83" s="31" t="inlineStr">
        <is>
          <t>Near 52W High Breakout</t>
        </is>
      </c>
      <c r="S83" s="31" t="inlineStr">
        <is>
          <t>Nifty Energy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IF(B84=0,"",RANK(B84,$B$2:$B$252,0))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MAZDA</t>
        </is>
      </c>
      <c r="D84" s="31" t="inlineStr">
        <is>
          <t>Mazda Limited</t>
        </is>
      </c>
      <c r="E84" s="31" t="inlineStr">
        <is>
          <t>industrials</t>
        </is>
      </c>
      <c r="F84" s="31" t="inlineStr">
        <is>
          <t>engineering</t>
        </is>
      </c>
      <c r="G84" s="31" t="inlineStr">
        <is>
          <t>smallcap</t>
        </is>
      </c>
      <c r="H84" s="32" t="n">
        <v>567.51</v>
      </c>
      <c r="I84" s="32" t="n">
        <v>283.65</v>
      </c>
      <c r="J84" s="32" t="n">
        <v>0.09</v>
      </c>
      <c r="K84" s="32" t="n">
        <v>26709</v>
      </c>
      <c r="L84" s="31" t="n">
        <v>16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67.31</v>
      </c>
      <c r="P84" s="32" t="n">
        <v>36.32</v>
      </c>
      <c r="Q84" s="32" t="n">
        <v>219.59</v>
      </c>
      <c r="R84" s="31" t="inlineStr">
        <is>
          <t>Near 52W High Breakout</t>
        </is>
      </c>
      <c r="S84" s="31" t="inlineStr">
        <is>
          <t>Nifty 50</t>
        </is>
      </c>
      <c r="T84" s="32" t="n">
        <v>-10.61</v>
      </c>
      <c r="U84" s="32" t="n">
        <v>-1.14</v>
      </c>
      <c r="V84" s="32" t="n">
        <v>10.59</v>
      </c>
      <c r="W84" s="32" t="n">
        <v>5.1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IF(B85=0,"",RANK(B85,$B$2:$B$252,0))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WHEELS</t>
        </is>
      </c>
      <c r="D85" s="31" t="inlineStr">
        <is>
          <t>Wheels India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midcap</t>
        </is>
      </c>
      <c r="H85" s="32" t="n">
        <v>5592.72</v>
      </c>
      <c r="I85" s="32" t="n">
        <v>2283.9</v>
      </c>
      <c r="J85" s="32" t="n">
        <v>-0.22</v>
      </c>
      <c r="K85" s="32" t="n">
        <v>62357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75.87</v>
      </c>
      <c r="P85" s="32" t="n">
        <v>60.26</v>
      </c>
      <c r="Q85" s="32" t="n">
        <v>1696.06</v>
      </c>
      <c r="R85" s="31" t="inlineStr">
        <is>
          <t>Near 52W High Breakout</t>
        </is>
      </c>
      <c r="S85" s="31" t="inlineStr">
        <is>
          <t>Nifty Auto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IF(B86=0,"",RANK(B86,$B$2:$B$252,0))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MARINE</t>
        </is>
      </c>
      <c r="D86" s="31" t="inlineStr">
        <is>
          <t>Marine Electricals (India) Ltd</t>
        </is>
      </c>
      <c r="E86" s="31" t="inlineStr">
        <is>
          <t>industrials</t>
        </is>
      </c>
      <c r="F86" s="31" t="inlineStr">
        <is>
          <t>electric equipment</t>
        </is>
      </c>
      <c r="G86" s="31" t="inlineStr">
        <is>
          <t>midcap</t>
        </is>
      </c>
      <c r="H86" s="32" t="n">
        <v>6701.24</v>
      </c>
      <c r="I86" s="32" t="n">
        <v>476.4</v>
      </c>
      <c r="J86" s="32" t="n">
        <v>-0.51</v>
      </c>
      <c r="K86" s="32" t="n">
        <v>1413767</v>
      </c>
      <c r="L86" s="31" t="n">
        <v>90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75.79000000000001</v>
      </c>
      <c r="P86" s="32" t="n">
        <v>49.9</v>
      </c>
      <c r="Q86" s="32" t="n">
        <v>350.04</v>
      </c>
      <c r="R86" s="31" t="inlineStr">
        <is>
          <t>Near 52W High Breakout</t>
        </is>
      </c>
      <c r="S86" s="31" t="inlineStr">
        <is>
          <t>Nifty 50</t>
        </is>
      </c>
      <c r="T86" s="32" t="n">
        <v>-10.61</v>
      </c>
      <c r="U86" s="32" t="n">
        <v>126.19</v>
      </c>
      <c r="V86" s="32" t="n">
        <v>153.04</v>
      </c>
      <c r="W86" s="32" t="n">
        <v>38.86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IF(B87=0,"",RANK(B87,$B$2:$B$252,0))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KRISHANA</t>
        </is>
      </c>
      <c r="D87" s="31" t="inlineStr">
        <is>
          <t>Krishana Phoschem Ltd</t>
        </is>
      </c>
      <c r="E87" s="31" t="inlineStr">
        <is>
          <t>chemicals</t>
        </is>
      </c>
      <c r="F87" s="31" t="inlineStr">
        <is>
          <t>fertilizers</t>
        </is>
      </c>
      <c r="G87" s="31" t="inlineStr">
        <is>
          <t>smallcap</t>
        </is>
      </c>
      <c r="H87" s="32" t="n">
        <v>1197.35</v>
      </c>
      <c r="I87" s="32" t="n">
        <v>191.38</v>
      </c>
      <c r="J87" s="32" t="n">
        <v>-1.18</v>
      </c>
      <c r="K87" s="32" t="n">
        <v>413924</v>
      </c>
      <c r="L87" s="31" t="n">
        <v>57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68.89</v>
      </c>
      <c r="P87" s="32" t="n">
        <v>52.02</v>
      </c>
      <c r="Q87" s="32" t="n">
        <v>153.66</v>
      </c>
      <c r="R87" s="31" t="inlineStr">
        <is>
          <t>Near 52W High Breakout</t>
        </is>
      </c>
      <c r="S87" s="31" t="inlineStr">
        <is>
          <t>Nifty 50</t>
        </is>
      </c>
      <c r="T87" s="32" t="n">
        <v>-10.61</v>
      </c>
      <c r="U87" s="32" t="n">
        <v>67.87</v>
      </c>
      <c r="V87" s="32" t="n">
        <v>87.79000000000001</v>
      </c>
      <c r="W87" s="32" t="n">
        <v>19.52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IF(B88=0,"",RANK(B88,$B$2:$B$252,0))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NRBBEARING</t>
        </is>
      </c>
      <c r="D88" s="31" t="inlineStr">
        <is>
          <t>Nrb Bearing Limited</t>
        </is>
      </c>
      <c r="E88" s="31" t="inlineStr">
        <is>
          <t>industrials</t>
        </is>
      </c>
      <c r="F88" s="31" t="inlineStr">
        <is>
          <t>bearings</t>
        </is>
      </c>
      <c r="G88" s="31" t="inlineStr">
        <is>
          <t>midcap</t>
        </is>
      </c>
      <c r="H88" s="32" t="n">
        <v>5204.26</v>
      </c>
      <c r="I88" s="32" t="n">
        <v>529.95</v>
      </c>
      <c r="J88" s="32" t="n">
        <v>-1.3</v>
      </c>
      <c r="K88" s="32" t="n">
        <v>287108</v>
      </c>
      <c r="L88" s="31" t="n">
        <v>64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71.84</v>
      </c>
      <c r="P88" s="32" t="n">
        <v>50.97</v>
      </c>
      <c r="Q88" s="32" t="n">
        <v>421.72</v>
      </c>
      <c r="R88" s="31" t="inlineStr">
        <is>
          <t>Near 52W High Breakout</t>
        </is>
      </c>
      <c r="S88" s="31" t="inlineStr">
        <is>
          <t>Nifty 50</t>
        </is>
      </c>
      <c r="T88" s="32" t="n">
        <v>-10.61</v>
      </c>
      <c r="U88" s="32" t="n">
        <v>100.05</v>
      </c>
      <c r="V88" s="32" t="n">
        <v>123.79</v>
      </c>
      <c r="W88" s="32" t="n">
        <v>22.27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IF(B89=0,"",RANK(B89,$B$2:$B$252,0))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ENGINERSIN</t>
        </is>
      </c>
      <c r="D89" s="31" t="inlineStr">
        <is>
          <t>Engineers India Limited</t>
        </is>
      </c>
      <c r="E89" s="31" t="inlineStr">
        <is>
          <t>realty</t>
        </is>
      </c>
      <c r="F89" s="31" t="inlineStr">
        <is>
          <t>engineering - turnkey services</t>
        </is>
      </c>
      <c r="G89" s="31" t="inlineStr">
        <is>
          <t>midcap</t>
        </is>
      </c>
      <c r="H89" s="32" t="n">
        <v>17608.79</v>
      </c>
      <c r="I89" s="32" t="n">
        <v>308.3</v>
      </c>
      <c r="J89" s="32" t="n">
        <v>-1.6</v>
      </c>
      <c r="K89" s="32" t="n">
        <v>4102945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69.77</v>
      </c>
      <c r="P89" s="32" t="n">
        <v>22.79</v>
      </c>
      <c r="Q89" s="32" t="n">
        <v>252.8</v>
      </c>
      <c r="R89" s="31" t="inlineStr">
        <is>
          <t>Near 52W High Breakout</t>
        </is>
      </c>
      <c r="S89" s="31" t="inlineStr">
        <is>
          <t>Nifty Realty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IF(B90=0,"",RANK(B90,$B$2:$B$252,0))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TBZ</t>
        </is>
      </c>
      <c r="D90" s="31" t="inlineStr">
        <is>
          <t>Tribhovandas Bhimji Zaveri Limited</t>
        </is>
      </c>
      <c r="E90" s="31" t="inlineStr">
        <is>
          <t>consumer discretionary</t>
        </is>
      </c>
      <c r="F90" s="31" t="inlineStr">
        <is>
          <t>diamond cutting / jewellery</t>
        </is>
      </c>
      <c r="G90" s="31" t="inlineStr">
        <is>
          <t>smallcap</t>
        </is>
      </c>
      <c r="H90" s="32" t="n">
        <v>4062.89</v>
      </c>
      <c r="I90" s="32" t="n">
        <v>594.25</v>
      </c>
      <c r="J90" s="32" t="n">
        <v>-2.4</v>
      </c>
      <c r="K90" s="32" t="n">
        <v>130826</v>
      </c>
      <c r="L90" s="31" t="n">
        <v>97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80.38</v>
      </c>
      <c r="P90" s="32" t="n">
        <v>65.87</v>
      </c>
      <c r="Q90" s="32" t="n">
        <v>494.82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-10.61</v>
      </c>
      <c r="U90" s="32" t="n">
        <v>223.49</v>
      </c>
      <c r="V90" s="32" t="n">
        <v>261.88</v>
      </c>
      <c r="W90" s="32" t="n">
        <v>72.09999999999999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IF(B91=0,"",RANK(B91,$B$2:$B$252,0))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VALIANTORG</t>
        </is>
      </c>
      <c r="D91" s="31" t="inlineStr">
        <is>
          <t>Valiant Organics Ltd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smallcap</t>
        </is>
      </c>
      <c r="H91" s="32" t="n">
        <v>1392.76</v>
      </c>
      <c r="I91" s="32" t="n">
        <v>479.85</v>
      </c>
      <c r="J91" s="32" t="n">
        <v>-3.41</v>
      </c>
      <c r="K91" s="32" t="n">
        <v>109561</v>
      </c>
      <c r="L91" s="31" t="n">
        <v>73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75.54000000000001</v>
      </c>
      <c r="P91" s="32" t="n">
        <v>47.79</v>
      </c>
      <c r="Q91" s="32" t="n">
        <v>355.24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-10.61</v>
      </c>
      <c r="U91" s="32" t="n">
        <v>51.61</v>
      </c>
      <c r="V91" s="32" t="n">
        <v>69.59999999999999</v>
      </c>
      <c r="W91" s="32" t="n">
        <v>26.68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IF(B92=0,"",RANK(B92,$B$2:$B$252,0))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SYNCOMF</t>
        </is>
      </c>
      <c r="D92" s="31" t="inlineStr">
        <is>
          <t>Syncom Formulations (India) Ltd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smallcap</t>
        </is>
      </c>
      <c r="H92" s="32" t="n">
        <v>2182.68</v>
      </c>
      <c r="I92" s="32" t="n">
        <v>24.94</v>
      </c>
      <c r="J92" s="32" t="n">
        <v>7.41</v>
      </c>
      <c r="K92" s="32" t="n">
        <v>40584346</v>
      </c>
      <c r="L92" s="31" t="n">
        <v>74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80.84</v>
      </c>
      <c r="P92" s="32" t="n">
        <v>37.45</v>
      </c>
      <c r="Q92" s="32" t="n">
        <v>18.02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18.99</v>
      </c>
      <c r="U92" s="32" t="n">
        <v>47.52</v>
      </c>
      <c r="V92" s="32" t="n">
        <v>23.98</v>
      </c>
      <c r="W92" s="32" t="n">
        <v>27.72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IF(B93=0,"",RANK(B93,$B$2:$B$252,0))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BALRAMCHIN</t>
        </is>
      </c>
      <c r="D93" s="31" t="inlineStr">
        <is>
          <t>Balrampur Chini Mills Limited</t>
        </is>
      </c>
      <c r="E93" s="31" t="inlineStr">
        <is>
          <t>fmcg</t>
        </is>
      </c>
      <c r="F93" s="31" t="inlineStr">
        <is>
          <t>sugar</t>
        </is>
      </c>
      <c r="G93" s="31" t="inlineStr">
        <is>
          <t>midcap</t>
        </is>
      </c>
      <c r="H93" s="32" t="n">
        <v>14604.9</v>
      </c>
      <c r="I93" s="32" t="n">
        <v>706.6</v>
      </c>
      <c r="J93" s="32" t="n">
        <v>2.21</v>
      </c>
      <c r="K93" s="32" t="n">
        <v>1646549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64.44</v>
      </c>
      <c r="P93" s="32" t="n">
        <v>60.56</v>
      </c>
      <c r="Q93" s="32" t="n">
        <v>558.21</v>
      </c>
      <c r="R93" s="31" t="inlineStr">
        <is>
          <t>Near 52W High Breakout</t>
        </is>
      </c>
      <c r="S93" s="31" t="inlineStr">
        <is>
          <t>Nifty FMCG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IF(B94=0,"",RANK(B94,$B$2:$B$252,0))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DBOL</t>
        </is>
      </c>
      <c r="D94" s="31" t="inlineStr">
        <is>
          <t>Dhampur Bio Organics Ltd</t>
        </is>
      </c>
      <c r="E94" s="31" t="inlineStr">
        <is>
          <t>fmcg</t>
        </is>
      </c>
      <c r="F94" s="31" t="inlineStr">
        <is>
          <t>sugar</t>
        </is>
      </c>
      <c r="G94" s="31" t="inlineStr">
        <is>
          <t>smallcap</t>
        </is>
      </c>
      <c r="H94" s="32" t="n">
        <v>915.48</v>
      </c>
      <c r="I94" s="32" t="n">
        <v>140.25</v>
      </c>
      <c r="J94" s="32" t="n">
        <v>1.7</v>
      </c>
      <c r="K94" s="32" t="n">
        <v>767613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66.83</v>
      </c>
      <c r="P94" s="32" t="n">
        <v>35.16</v>
      </c>
      <c r="Q94" s="32" t="n">
        <v>103.02</v>
      </c>
      <c r="R94" s="31" t="inlineStr">
        <is>
          <t>Near 52W High Breakout</t>
        </is>
      </c>
      <c r="S94" s="31" t="inlineStr">
        <is>
          <t>Nifty FMCG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B2C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IF(B95=0,"",RANK(B95,$B$2:$B$252,0))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VENUSREM</t>
        </is>
      </c>
      <c r="D95" s="31" t="inlineStr">
        <is>
          <t>Venus Remedies Limited</t>
        </is>
      </c>
      <c r="E95" s="31" t="inlineStr">
        <is>
          <t>healthcare</t>
        </is>
      </c>
      <c r="F95" s="31" t="inlineStr">
        <is>
          <t>pharmaceuticals - indian - formulations</t>
        </is>
      </c>
      <c r="G95" s="31" t="inlineStr">
        <is>
          <t>smallcap</t>
        </is>
      </c>
      <c r="H95" s="32" t="n">
        <v>2334.81</v>
      </c>
      <c r="I95" s="32" t="n">
        <v>1769.4</v>
      </c>
      <c r="J95" s="32" t="n">
        <v>1.3</v>
      </c>
      <c r="K95" s="32" t="n">
        <v>24817</v>
      </c>
      <c r="L95" s="31" t="n">
        <v>85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62.08</v>
      </c>
      <c r="P95" s="32" t="n">
        <v>42.68</v>
      </c>
      <c r="Q95" s="32" t="n">
        <v>1236.21</v>
      </c>
      <c r="R95" s="31" t="inlineStr">
        <is>
          <t>Earnings / Momentum Support</t>
        </is>
      </c>
      <c r="S95" s="31" t="inlineStr">
        <is>
          <t>Nifty Pharma</t>
        </is>
      </c>
      <c r="T95" s="32" t="n">
        <v>18.99</v>
      </c>
      <c r="U95" s="32" t="n">
        <v>286.79</v>
      </c>
      <c r="V95" s="32" t="n">
        <v>225.08</v>
      </c>
      <c r="W95" s="32" t="n">
        <v>34.92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IF(B96=0,"",RANK(B96,$B$2:$B$252,0))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AKUMS</t>
        </is>
      </c>
      <c r="D96" s="31" t="inlineStr">
        <is>
          <t>Akums Drugs &amp; Pharmaceuticals Ltd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midcap</t>
        </is>
      </c>
      <c r="H96" s="32" t="n">
        <v>12822.1</v>
      </c>
      <c r="I96" s="32" t="n">
        <v>822.55</v>
      </c>
      <c r="J96" s="32" t="n">
        <v>0.97</v>
      </c>
      <c r="K96" s="32" t="n">
        <v>153950</v>
      </c>
      <c r="L96" s="31" t="n">
        <v>50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76.65000000000001</v>
      </c>
      <c r="P96" s="32" t="n">
        <v>66.28</v>
      </c>
      <c r="Q96" s="32" t="n">
        <v>680.48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18.99</v>
      </c>
      <c r="U96" s="32" t="n">
        <v>85.23999999999999</v>
      </c>
      <c r="V96" s="32" t="n">
        <v>55.68</v>
      </c>
      <c r="W96" s="32" t="n">
        <v>17.35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IF(B97=0,"",RANK(B97,$B$2:$B$252,0))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SUNDROP</t>
        </is>
      </c>
      <c r="D97" s="31" t="inlineStr">
        <is>
          <t>Sundrop Brands Ltd</t>
        </is>
      </c>
      <c r="E97" s="31" t="inlineStr">
        <is>
          <t>fmcg</t>
        </is>
      </c>
      <c r="F97" s="31" t="inlineStr">
        <is>
          <t>food - processing - indian</t>
        </is>
      </c>
      <c r="G97" s="31" t="inlineStr">
        <is>
          <t>smallcap</t>
        </is>
      </c>
      <c r="H97" s="32" t="n">
        <v>2815.2</v>
      </c>
      <c r="I97" s="32" t="n">
        <v>745.9</v>
      </c>
      <c r="J97" s="32" t="n">
        <v>-0.12</v>
      </c>
      <c r="K97" s="32" t="n">
        <v>6576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63.39</v>
      </c>
      <c r="P97" s="32" t="n">
        <v>23.85</v>
      </c>
      <c r="Q97" s="32" t="n">
        <v>623.3099999999999</v>
      </c>
      <c r="R97" s="31" t="inlineStr">
        <is>
          <t>Near 52W High Breakout</t>
        </is>
      </c>
      <c r="S97" s="31" t="inlineStr">
        <is>
          <t>Nifty FMCG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B2C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IF(B98=0,"",RANK(B98,$B$2:$B$252,0))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AARTIPHARM</t>
        </is>
      </c>
      <c r="D98" s="33" t="inlineStr">
        <is>
          <t>Aarti Pharmalabs Ltd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midcap</t>
        </is>
      </c>
      <c r="H98" s="32" t="n">
        <v>8841.280000000001</v>
      </c>
      <c r="I98" s="32" t="n">
        <v>953.35</v>
      </c>
      <c r="J98" s="32" t="n">
        <v>-2.22</v>
      </c>
      <c r="K98" s="32" t="n">
        <v>522298</v>
      </c>
      <c r="L98" s="31" t="n">
        <v>34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68.68000000000001</v>
      </c>
      <c r="P98" s="32" t="n">
        <v>28.39</v>
      </c>
      <c r="Q98" s="32" t="n">
        <v>743.88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18.99</v>
      </c>
      <c r="U98" s="32" t="n">
        <v>15.19</v>
      </c>
      <c r="V98" s="32" t="n">
        <v>-3.19</v>
      </c>
      <c r="W98" s="32" t="n">
        <v>10.93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IF(B99=0,"",RANK(B99,$B$2:$B$252,0))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EBGNG</t>
        </is>
      </c>
      <c r="D99" s="31" t="inlineStr">
        <is>
          <t>GNG Electronics Ltd</t>
        </is>
      </c>
      <c r="E99" s="31" t="inlineStr">
        <is>
          <t>services</t>
        </is>
      </c>
      <c r="F99" s="31" t="inlineStr">
        <is>
          <t>trading</t>
        </is>
      </c>
      <c r="G99" s="31" t="inlineStr">
        <is>
          <t>midcap</t>
        </is>
      </c>
      <c r="H99" s="32" t="n">
        <v>7811.5</v>
      </c>
      <c r="I99" s="32" t="n">
        <v>731.35</v>
      </c>
      <c r="J99" s="32" t="n">
        <v>6.74</v>
      </c>
      <c r="K99" s="32" t="n">
        <v>1130382</v>
      </c>
      <c r="L99" s="31" t="n">
        <v>65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69.5</v>
      </c>
      <c r="P99" s="32" t="n">
        <v>38.08</v>
      </c>
      <c r="Q99" s="32" t="n">
        <v>523.47</v>
      </c>
      <c r="R99" s="31" t="inlineStr">
        <is>
          <t>Near 52W High Breakout</t>
        </is>
      </c>
      <c r="S99" s="31" t="inlineStr">
        <is>
          <t>Nifty 50</t>
        </is>
      </c>
      <c r="T99" s="32" t="n">
        <v>-10.61</v>
      </c>
      <c r="U99" s="32" t="n">
        <v>118.18</v>
      </c>
      <c r="V99" s="32" t="n">
        <v>144.07</v>
      </c>
      <c r="W99" s="32" t="n">
        <v>22.76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IF(B100=0,"",RANK(B100,$B$2:$B$252,0))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MVGJL</t>
        </is>
      </c>
      <c r="D100" s="31" t="inlineStr">
        <is>
          <t>Manoj Vaibhav Gems N Jewellers Ltd</t>
        </is>
      </c>
      <c r="E100" s="31" t="inlineStr">
        <is>
          <t>consumer discretionary</t>
        </is>
      </c>
      <c r="F100" s="31" t="inlineStr">
        <is>
          <t>diamond cutting / jewellery</t>
        </is>
      </c>
      <c r="G100" s="31" t="inlineStr">
        <is>
          <t>smallcap</t>
        </is>
      </c>
      <c r="H100" s="32" t="n">
        <v>992.38</v>
      </c>
      <c r="I100" s="32" t="n">
        <v>212.39</v>
      </c>
      <c r="J100" s="32" t="n">
        <v>4.54</v>
      </c>
      <c r="K100" s="32" t="n">
        <v>454478</v>
      </c>
      <c r="L100" s="31" t="n">
        <v>33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64.11</v>
      </c>
      <c r="P100" s="32" t="n">
        <v>22.62</v>
      </c>
      <c r="Q100" s="32" t="n">
        <v>160.41</v>
      </c>
      <c r="R100" s="31" t="inlineStr">
        <is>
          <t>Earnings / Momentum Support</t>
        </is>
      </c>
      <c r="S100" s="31" t="inlineStr">
        <is>
          <t>Nifty 50</t>
        </is>
      </c>
      <c r="T100" s="32" t="n">
        <v>-10.61</v>
      </c>
      <c r="U100" s="32" t="n">
        <v>13.29</v>
      </c>
      <c r="V100" s="32" t="n">
        <v>26.74</v>
      </c>
      <c r="W100" s="32" t="n">
        <v>10.87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IF(B101=0,"",RANK(B101,$B$2:$B$252,0))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ALICON</t>
        </is>
      </c>
      <c r="D101" s="31" t="inlineStr">
        <is>
          <t>Alicon Castalloy Limited</t>
        </is>
      </c>
      <c r="E101" s="31" t="inlineStr">
        <is>
          <t>castings, forgings &amp; fasteners</t>
        </is>
      </c>
      <c r="F101" s="31" t="inlineStr">
        <is>
          <t>castings &amp; forgings</t>
        </is>
      </c>
      <c r="G101" s="31" t="inlineStr">
        <is>
          <t>smallcap</t>
        </is>
      </c>
      <c r="H101" s="32" t="n">
        <v>1422.74</v>
      </c>
      <c r="I101" s="32" t="n">
        <v>901.4</v>
      </c>
      <c r="J101" s="32" t="n">
        <v>3.98</v>
      </c>
      <c r="K101" s="32" t="n">
        <v>131461</v>
      </c>
      <c r="L101" s="31" t="n">
        <v>36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71.25</v>
      </c>
      <c r="P101" s="32" t="n">
        <v>22.47</v>
      </c>
      <c r="Q101" s="32" t="n">
        <v>691.38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-10.61</v>
      </c>
      <c r="U101" s="32" t="n">
        <v>6.42</v>
      </c>
      <c r="V101" s="32" t="n">
        <v>19.04</v>
      </c>
      <c r="W101" s="32" t="n">
        <v>11.75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Between 1.5 to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IF(B102=0,"",RANK(B102,$B$2:$B$252,0))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RGL</t>
        </is>
      </c>
      <c r="D102" s="31" t="inlineStr">
        <is>
          <t>Renaissance Global Ltd</t>
        </is>
      </c>
      <c r="E102" s="31" t="inlineStr">
        <is>
          <t>consumer discretionary</t>
        </is>
      </c>
      <c r="F102" s="31" t="inlineStr">
        <is>
          <t>diamond cutting / jewellery</t>
        </is>
      </c>
      <c r="G102" s="31" t="inlineStr">
        <is>
          <t>smallcap</t>
        </is>
      </c>
      <c r="H102" s="32" t="n">
        <v>1756.76</v>
      </c>
      <c r="I102" s="32" t="n">
        <v>168.47</v>
      </c>
      <c r="J102" s="32" t="n">
        <v>2.96</v>
      </c>
      <c r="K102" s="32" t="n">
        <v>600665</v>
      </c>
      <c r="L102" s="31" t="n">
        <v>42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74.54000000000001</v>
      </c>
      <c r="P102" s="32" t="n">
        <v>38.03</v>
      </c>
      <c r="Q102" s="32" t="n">
        <v>128.19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-10.61</v>
      </c>
      <c r="U102" s="32" t="n">
        <v>24.37</v>
      </c>
      <c r="V102" s="32" t="n">
        <v>39.13</v>
      </c>
      <c r="W102" s="32" t="n">
        <v>14.32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IF(B103=0,"",RANK(B103,$B$2:$B$252,0))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WELCORP</t>
        </is>
      </c>
      <c r="D103" s="31" t="inlineStr">
        <is>
          <t>Welspun Corp Limited</t>
        </is>
      </c>
      <c r="E103" s="31" t="inlineStr">
        <is>
          <t>industrials</t>
        </is>
      </c>
      <c r="F103" s="31" t="inlineStr">
        <is>
          <t>steel - large</t>
        </is>
      </c>
      <c r="G103" s="31" t="inlineStr">
        <is>
          <t>largecap</t>
        </is>
      </c>
      <c r="H103" s="32" t="n">
        <v>70192.05</v>
      </c>
      <c r="I103" s="32" t="n">
        <v>2704.6</v>
      </c>
      <c r="J103" s="32" t="n">
        <v>1.64</v>
      </c>
      <c r="K103" s="32" t="n">
        <v>1200738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80.7</v>
      </c>
      <c r="P103" s="32" t="n">
        <v>72.68000000000001</v>
      </c>
      <c r="Q103" s="32" t="n">
        <v>2226.25</v>
      </c>
      <c r="R103" s="31" t="inlineStr">
        <is>
          <t>Near 52W High Breakout</t>
        </is>
      </c>
      <c r="S103" s="31" t="inlineStr">
        <is>
          <t>Nifty Metal</t>
        </is>
      </c>
      <c r="T103" s="32" t="inlineStr"/>
      <c r="U103" s="32" t="inlineStr"/>
      <c r="V103" s="32" t="inlineStr"/>
      <c r="W103" s="32" t="inlineStr"/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IF(B104=0,"",RANK(B104,$B$2:$B$252,0))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INDORAMA</t>
        </is>
      </c>
      <c r="D104" s="31" t="inlineStr">
        <is>
          <t>Indo Rama Synthetics (india) Limited</t>
        </is>
      </c>
      <c r="E104" s="31" t="inlineStr">
        <is>
          <t>textiles</t>
        </is>
      </c>
      <c r="F104" s="31" t="inlineStr">
        <is>
          <t>textiles - manmade</t>
        </is>
      </c>
      <c r="G104" s="31" t="inlineStr">
        <is>
          <t>smallcap</t>
        </is>
      </c>
      <c r="H104" s="32" t="n">
        <v>2483.19</v>
      </c>
      <c r="I104" s="32" t="n">
        <v>95.98999999999999</v>
      </c>
      <c r="J104" s="32" t="n">
        <v>0.9399999999999999</v>
      </c>
      <c r="K104" s="32" t="n">
        <v>554572</v>
      </c>
      <c r="L104" s="31" t="n">
        <v>88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81.08</v>
      </c>
      <c r="P104" s="32" t="n">
        <v>67.43000000000001</v>
      </c>
      <c r="Q104" s="32" t="n">
        <v>71.33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-10.61</v>
      </c>
      <c r="U104" s="32" t="n">
        <v>61.14</v>
      </c>
      <c r="V104" s="32" t="n">
        <v>80.26000000000001</v>
      </c>
      <c r="W104" s="32" t="n">
        <v>37.83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More than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IF(B105=0,"",RANK(B105,$B$2:$B$252,0))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USHAMART</t>
        </is>
      </c>
      <c r="D105" s="31" t="inlineStr">
        <is>
          <t>Usha Martin Limited</t>
        </is>
      </c>
      <c r="E105" s="31" t="inlineStr">
        <is>
          <t>metals &amp; mining</t>
        </is>
      </c>
      <c r="F105" s="31" t="inlineStr">
        <is>
          <t>steel - medium / small</t>
        </is>
      </c>
      <c r="G105" s="31" t="inlineStr">
        <is>
          <t>midcap</t>
        </is>
      </c>
      <c r="H105" s="32" t="n">
        <v>15746.02</v>
      </c>
      <c r="I105" s="32" t="n">
        <v>520.25</v>
      </c>
      <c r="J105" s="32" t="n">
        <v>0.6899999999999999</v>
      </c>
      <c r="K105" s="32" t="n">
        <v>962383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59.16</v>
      </c>
      <c r="P105" s="32" t="n">
        <v>41.17</v>
      </c>
      <c r="Q105" s="32" t="n">
        <v>419.21</v>
      </c>
      <c r="R105" s="31" t="inlineStr">
        <is>
          <t>Near 52W High Breakout</t>
        </is>
      </c>
      <c r="S105" s="31" t="inlineStr">
        <is>
          <t>Nifty Metal</t>
        </is>
      </c>
      <c r="T105" s="32" t="inlineStr"/>
      <c r="U105" s="32" t="inlineStr"/>
      <c r="V105" s="32" t="inlineStr"/>
      <c r="W105" s="32" t="inlineStr"/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Cyclical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Volatile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IF(B106=0,"",RANK(B106,$B$2:$B$252,0))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KMEW</t>
        </is>
      </c>
      <c r="D106" s="31" t="inlineStr">
        <is>
          <t>Knowledge Marine &amp; Engineering Works Ltd</t>
        </is>
      </c>
      <c r="E106" s="31" t="inlineStr">
        <is>
          <t>transportation</t>
        </is>
      </c>
      <c r="F106" s="31" t="inlineStr">
        <is>
          <t>miscellaneous</t>
        </is>
      </c>
      <c r="G106" s="31" t="inlineStr">
        <is>
          <t>midcap</t>
        </is>
      </c>
      <c r="H106" s="32" t="n">
        <v>7827.74</v>
      </c>
      <c r="I106" s="32" t="n">
        <v>3214</v>
      </c>
      <c r="J106" s="32" t="n">
        <v>0.37</v>
      </c>
      <c r="K106" s="32" t="n">
        <v>92519</v>
      </c>
      <c r="L106" s="31" t="n">
        <v>77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77.83</v>
      </c>
      <c r="P106" s="32" t="n">
        <v>58.49</v>
      </c>
      <c r="Q106" s="32" t="n">
        <v>2357.33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-10.61</v>
      </c>
      <c r="U106" s="32" t="n">
        <v>170.72</v>
      </c>
      <c r="V106" s="32" t="n">
        <v>202.85</v>
      </c>
      <c r="W106" s="32" t="n">
        <v>29.88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IF(B107=0,"",RANK(B107,$B$2:$B$252,0))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MAYURUNIQ</t>
        </is>
      </c>
      <c r="D107" s="31" t="inlineStr">
        <is>
          <t>Mayur Uniquoters Ltd</t>
        </is>
      </c>
      <c r="E107" s="31" t="inlineStr">
        <is>
          <t>consumer discretionary</t>
        </is>
      </c>
      <c r="F107" s="31" t="inlineStr">
        <is>
          <t>leather / leather products</t>
        </is>
      </c>
      <c r="G107" s="31" t="inlineStr">
        <is>
          <t>smallcap</t>
        </is>
      </c>
      <c r="H107" s="32" t="n">
        <v>3307.39</v>
      </c>
      <c r="I107" s="32" t="n">
        <v>762.85</v>
      </c>
      <c r="J107" s="32" t="n">
        <v>0.22</v>
      </c>
      <c r="K107" s="32" t="n">
        <v>78870</v>
      </c>
      <c r="L107" s="31" t="n">
        <v>29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57.45</v>
      </c>
      <c r="P107" s="32" t="n">
        <v>38.62</v>
      </c>
      <c r="Q107" s="32" t="n">
        <v>634.45</v>
      </c>
      <c r="R107" s="31" t="inlineStr">
        <is>
          <t>Earnings / Momentum Support</t>
        </is>
      </c>
      <c r="S107" s="31" t="inlineStr">
        <is>
          <t>Nifty 50</t>
        </is>
      </c>
      <c r="T107" s="32" t="n">
        <v>-10.61</v>
      </c>
      <c r="U107" s="32" t="n">
        <v>56.42</v>
      </c>
      <c r="V107" s="32" t="n">
        <v>74.98</v>
      </c>
      <c r="W107" s="32" t="n">
        <v>9.51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IF(B108=0,"",RANK(B108,$B$2:$B$252,0))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DMCC</t>
        </is>
      </c>
      <c r="D108" s="31" t="inlineStr">
        <is>
          <t>DMCC Speciality Chemicals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smallcap</t>
        </is>
      </c>
      <c r="H108" s="32" t="n">
        <v>887.36</v>
      </c>
      <c r="I108" s="32" t="n">
        <v>356.05</v>
      </c>
      <c r="J108" s="32" t="n">
        <v>0.07000000000000001</v>
      </c>
      <c r="K108" s="32" t="n">
        <v>373447</v>
      </c>
      <c r="L108" s="31" t="n">
        <v>39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70.73</v>
      </c>
      <c r="P108" s="32" t="n">
        <v>37.87</v>
      </c>
      <c r="Q108" s="32" t="n">
        <v>265.61</v>
      </c>
      <c r="R108" s="31" t="inlineStr">
        <is>
          <t>Volume Spike &amp; Near 52W High Breakout</t>
        </is>
      </c>
      <c r="S108" s="31" t="inlineStr">
        <is>
          <t>Nifty 50</t>
        </is>
      </c>
      <c r="T108" s="32" t="n">
        <v>-10.61</v>
      </c>
      <c r="U108" s="32" t="n">
        <v>16.79</v>
      </c>
      <c r="V108" s="32" t="n">
        <v>30.65</v>
      </c>
      <c r="W108" s="32" t="n">
        <v>12.31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IF(B109=0,"",RANK(B109,$B$2:$B$252,0))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NAZARA</t>
        </is>
      </c>
      <c r="D109" s="31" t="inlineStr">
        <is>
          <t>Nazara Technologies Ltd</t>
        </is>
      </c>
      <c r="E109" s="31" t="inlineStr">
        <is>
          <t>i.t</t>
        </is>
      </c>
      <c r="F109" s="31" t="inlineStr">
        <is>
          <t>telecommunications - service provider</t>
        </is>
      </c>
      <c r="G109" s="31" t="inlineStr">
        <is>
          <t>midcap</t>
        </is>
      </c>
      <c r="H109" s="32" t="n">
        <v>14601.14</v>
      </c>
      <c r="I109" s="32" t="n">
        <v>378.45</v>
      </c>
      <c r="J109" s="32" t="n">
        <v>-0.29</v>
      </c>
      <c r="K109" s="32" t="n">
        <v>421680</v>
      </c>
      <c r="L109" s="31" t="n">
        <v>39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71.81999999999999</v>
      </c>
      <c r="P109" s="32" t="n">
        <v>34.73</v>
      </c>
      <c r="Q109" s="32" t="n">
        <v>316.2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-22.05</v>
      </c>
      <c r="U109" s="32" t="n">
        <v>42.84</v>
      </c>
      <c r="V109" s="32" t="n">
        <v>83.23999999999999</v>
      </c>
      <c r="W109" s="32" t="n">
        <v>12.96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Oligopoly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IF(B110=0,"",RANK(B110,$B$2:$B$252,0))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SPECTRUM</t>
        </is>
      </c>
      <c r="D110" s="31" t="inlineStr">
        <is>
          <t>Spectrum Electrical Industries Ltd</t>
        </is>
      </c>
      <c r="E110" s="31" t="inlineStr">
        <is>
          <t>industrials</t>
        </is>
      </c>
      <c r="F110" s="31" t="inlineStr">
        <is>
          <t>electric equipment</t>
        </is>
      </c>
      <c r="G110" s="31" t="inlineStr">
        <is>
          <t>midcap</t>
        </is>
      </c>
      <c r="H110" s="32" t="n">
        <v>6691.28</v>
      </c>
      <c r="I110" s="32" t="n">
        <v>3903.7</v>
      </c>
      <c r="J110" s="32" t="n">
        <v>-0.31</v>
      </c>
      <c r="K110" s="32" t="n">
        <v>5497</v>
      </c>
      <c r="L110" s="31" t="n">
        <v>96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85.2</v>
      </c>
      <c r="P110" s="32" t="n">
        <v>66.03</v>
      </c>
      <c r="Q110" s="32" t="n">
        <v>2962.52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-10.61</v>
      </c>
      <c r="U110" s="32" t="n">
        <v>191.54</v>
      </c>
      <c r="V110" s="32" t="n">
        <v>226.14</v>
      </c>
      <c r="W110" s="32" t="n">
        <v>51.49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Between 0.7 to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IF(B111=0,"",RANK(B111,$B$2:$B$252,0))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GALAXYSURF</t>
        </is>
      </c>
      <c r="D111" s="31" t="inlineStr">
        <is>
          <t>Galaxy Surfactants Ltd</t>
        </is>
      </c>
      <c r="E111" s="31" t="inlineStr">
        <is>
          <t>chemicals</t>
        </is>
      </c>
      <c r="F111" s="31" t="inlineStr">
        <is>
          <t>chemicals</t>
        </is>
      </c>
      <c r="G111" s="31" t="inlineStr">
        <is>
          <t>midcap</t>
        </is>
      </c>
      <c r="H111" s="32" t="n">
        <v>8659.469999999999</v>
      </c>
      <c r="I111" s="32" t="n">
        <v>2434</v>
      </c>
      <c r="J111" s="32" t="n">
        <v>-0.34</v>
      </c>
      <c r="K111" s="32" t="n">
        <v>78369</v>
      </c>
      <c r="L111" s="31" t="n">
        <v>22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65.34999999999999</v>
      </c>
      <c r="P111" s="32" t="n">
        <v>31.71</v>
      </c>
      <c r="Q111" s="32" t="n">
        <v>1973.74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-10.61</v>
      </c>
      <c r="U111" s="32" t="n">
        <v>9.130000000000001</v>
      </c>
      <c r="V111" s="32" t="n">
        <v>22.08</v>
      </c>
      <c r="W111" s="32" t="n">
        <v>7.16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IF(B112=0,"",RANK(B112,$B$2:$B$252,0))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SOMANYCERA</t>
        </is>
      </c>
      <c r="D112" s="31" t="inlineStr">
        <is>
          <t>Somany Ceramics Limited</t>
        </is>
      </c>
      <c r="E112" s="31" t="inlineStr">
        <is>
          <t>building materials</t>
        </is>
      </c>
      <c r="F112" s="31" t="inlineStr">
        <is>
          <t>ceramics - tiles / sanitaryware</t>
        </is>
      </c>
      <c r="G112" s="31" t="inlineStr">
        <is>
          <t>smallcap</t>
        </is>
      </c>
      <c r="H112" s="32" t="n">
        <v>2563.3</v>
      </c>
      <c r="I112" s="32" t="n">
        <v>621.15</v>
      </c>
      <c r="J112" s="32" t="n">
        <v>-0.62</v>
      </c>
      <c r="K112" s="32" t="n">
        <v>53562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72.62</v>
      </c>
      <c r="P112" s="32" t="n">
        <v>34.08</v>
      </c>
      <c r="Q112" s="32" t="n">
        <v>505.15</v>
      </c>
      <c r="R112" s="31" t="inlineStr">
        <is>
          <t>Near 52W High Breakout</t>
        </is>
      </c>
      <c r="S112" s="31" t="inlineStr">
        <is>
          <t>Nifty Infra</t>
        </is>
      </c>
      <c r="T112" s="32" t="inlineStr"/>
      <c r="U112" s="32" t="inlineStr"/>
      <c r="V112" s="32" t="inlineStr"/>
      <c r="W112" s="32" t="inlineStr"/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IF(B113=0,"",RANK(B113,$B$2:$B$252,0))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BHEL</t>
        </is>
      </c>
      <c r="D113" s="31" t="inlineStr">
        <is>
          <t>Bharat Heavy Electricals Limited</t>
        </is>
      </c>
      <c r="E113" s="31" t="inlineStr">
        <is>
          <t>industrials</t>
        </is>
      </c>
      <c r="F113" s="31" t="inlineStr">
        <is>
          <t>electric equipment</t>
        </is>
      </c>
      <c r="G113" s="31" t="inlineStr">
        <is>
          <t>largecap</t>
        </is>
      </c>
      <c r="H113" s="32" t="n">
        <v>157389.26</v>
      </c>
      <c r="I113" s="32" t="n">
        <v>448.5</v>
      </c>
      <c r="J113" s="32" t="n">
        <v>-0.77</v>
      </c>
      <c r="K113" s="32" t="n">
        <v>14450998</v>
      </c>
      <c r="L113" s="31" t="n">
        <v>49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66.29000000000001</v>
      </c>
      <c r="P113" s="32" t="n">
        <v>35.85</v>
      </c>
      <c r="Q113" s="32" t="n">
        <v>363.88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-10.61</v>
      </c>
      <c r="U113" s="32" t="n">
        <v>87.76000000000001</v>
      </c>
      <c r="V113" s="32" t="n">
        <v>110.04</v>
      </c>
      <c r="W113" s="32" t="n">
        <v>16.95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Between 1.5 to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IF(B114=0,"",RANK(B114,$B$2:$B$252,0))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MIDHANI</t>
        </is>
      </c>
      <c r="D114" s="31" t="inlineStr">
        <is>
          <t>Mishra Dhatu Nigam Ltd</t>
        </is>
      </c>
      <c r="E114" s="31" t="inlineStr">
        <is>
          <t>aerospace &amp; defence</t>
        </is>
      </c>
      <c r="F114" s="31" t="inlineStr">
        <is>
          <t>steel - medium / small</t>
        </is>
      </c>
      <c r="G114" s="31" t="inlineStr">
        <is>
          <t>midcap</t>
        </is>
      </c>
      <c r="H114" s="32" t="n">
        <v>8661.66</v>
      </c>
      <c r="I114" s="32" t="n">
        <v>458.7</v>
      </c>
      <c r="J114" s="32" t="n">
        <v>-0.79</v>
      </c>
      <c r="K114" s="32" t="n">
        <v>942710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61.51</v>
      </c>
      <c r="P114" s="32" t="n">
        <v>29.01</v>
      </c>
      <c r="Q114" s="32" t="n">
        <v>347.12</v>
      </c>
      <c r="R114" s="31" t="inlineStr">
        <is>
          <t>Near 52W High Breakout</t>
        </is>
      </c>
      <c r="S114" s="31" t="inlineStr">
        <is>
          <t>Nifty Metal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IF(B115=0,"",RANK(B115,$B$2:$B$252,0))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UNIMECH</t>
        </is>
      </c>
      <c r="D115" s="31" t="inlineStr">
        <is>
          <t>Unimech Aerospace and Manufacturing Ltd</t>
        </is>
      </c>
      <c r="E115" s="31" t="inlineStr">
        <is>
          <t>aerospace &amp; defence</t>
        </is>
      </c>
      <c r="F115" s="31" t="inlineStr">
        <is>
          <t>engineering</t>
        </is>
      </c>
      <c r="G115" s="31" t="inlineStr">
        <is>
          <t>midcap</t>
        </is>
      </c>
      <c r="H115" s="32" t="n">
        <v>9526</v>
      </c>
      <c r="I115" s="32" t="n">
        <v>1854.5</v>
      </c>
      <c r="J115" s="32" t="n">
        <v>-0.99</v>
      </c>
      <c r="K115" s="32" t="n">
        <v>143988</v>
      </c>
      <c r="L115" s="31" t="n">
        <v>74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82.40000000000001</v>
      </c>
      <c r="P115" s="32" t="n">
        <v>50.18</v>
      </c>
      <c r="Q115" s="32" t="n">
        <v>1427.08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-10.61</v>
      </c>
      <c r="U115" s="32" t="n">
        <v>93.44</v>
      </c>
      <c r="V115" s="32" t="n">
        <v>116.39</v>
      </c>
      <c r="W115" s="32" t="n">
        <v>28.09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IF(B116=0,"",RANK(B116,$B$2:$B$252,0))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CARBORUNIV</t>
        </is>
      </c>
      <c r="D116" s="31" t="inlineStr">
        <is>
          <t>Carborundum Universal Limited</t>
        </is>
      </c>
      <c r="E116" s="31" t="inlineStr">
        <is>
          <t>industrials</t>
        </is>
      </c>
      <c r="F116" s="31" t="inlineStr">
        <is>
          <t>abrasives and grinding wheels</t>
        </is>
      </c>
      <c r="G116" s="31" t="inlineStr">
        <is>
          <t>largecap</t>
        </is>
      </c>
      <c r="H116" s="32" t="n">
        <v>24185.06</v>
      </c>
      <c r="I116" s="32" t="n">
        <v>1256.7</v>
      </c>
      <c r="J116" s="32" t="n">
        <v>-1.02</v>
      </c>
      <c r="K116" s="32" t="n">
        <v>124207</v>
      </c>
      <c r="L116" s="31" t="n">
        <v>30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64.37</v>
      </c>
      <c r="P116" s="32" t="n">
        <v>45.91</v>
      </c>
      <c r="Q116" s="32" t="n">
        <v>985.95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-10.61</v>
      </c>
      <c r="U116" s="32" t="n">
        <v>34.61</v>
      </c>
      <c r="V116" s="32" t="n">
        <v>50.59</v>
      </c>
      <c r="W116" s="32" t="n">
        <v>10.01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IF(B117=0,"",RANK(B117,$B$2:$B$252,0))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QPOWER</t>
        </is>
      </c>
      <c r="D117" s="31" t="inlineStr">
        <is>
          <t>Quality Power Electrical Equipments Ltd</t>
        </is>
      </c>
      <c r="E117" s="31" t="inlineStr">
        <is>
          <t>industrials</t>
        </is>
      </c>
      <c r="F117" s="31" t="inlineStr">
        <is>
          <t>electric equipment</t>
        </is>
      </c>
      <c r="G117" s="31" t="inlineStr">
        <is>
          <t>midcap</t>
        </is>
      </c>
      <c r="H117" s="32" t="n">
        <v>12768.98</v>
      </c>
      <c r="I117" s="32" t="n">
        <v>1615</v>
      </c>
      <c r="J117" s="32" t="n">
        <v>-2.05</v>
      </c>
      <c r="K117" s="32" t="n">
        <v>318497</v>
      </c>
      <c r="L117" s="31" t="n">
        <v>56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69.2</v>
      </c>
      <c r="P117" s="32" t="n">
        <v>21.16</v>
      </c>
      <c r="Q117" s="32" t="n">
        <v>1193.89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-10.61</v>
      </c>
      <c r="U117" s="32" t="n">
        <v>62.06</v>
      </c>
      <c r="V117" s="32" t="n">
        <v>81.29000000000001</v>
      </c>
      <c r="W117" s="32" t="n">
        <v>19.44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Between 1.5 to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IF(B118=0,"",RANK(B118,$B$2:$B$252,0))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ACMESOLAR</t>
        </is>
      </c>
      <c r="D118" s="31" t="inlineStr">
        <is>
          <t>ACME Solar Holdings Ltd</t>
        </is>
      </c>
      <c r="E118" s="31" t="inlineStr">
        <is>
          <t>realty</t>
        </is>
      </c>
      <c r="F118" s="31" t="inlineStr">
        <is>
          <t>engineering - turnkey services</t>
        </is>
      </c>
      <c r="G118" s="31" t="inlineStr">
        <is>
          <t>largecap</t>
        </is>
      </c>
      <c r="H118" s="32" t="n">
        <v>31682.11</v>
      </c>
      <c r="I118" s="32" t="n">
        <v>436.15</v>
      </c>
      <c r="J118" s="32" t="n">
        <v>-2.69</v>
      </c>
      <c r="K118" s="32" t="n">
        <v>813273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69.16</v>
      </c>
      <c r="P118" s="32" t="n">
        <v>54.52</v>
      </c>
      <c r="Q118" s="32" t="n">
        <v>346.7</v>
      </c>
      <c r="R118" s="31" t="inlineStr">
        <is>
          <t>Near 52W High Breakout</t>
        </is>
      </c>
      <c r="S118" s="31" t="inlineStr">
        <is>
          <t>Nifty Realty</t>
        </is>
      </c>
      <c r="T118" s="32" t="inlineStr"/>
      <c r="U118" s="32" t="inlineStr"/>
      <c r="V118" s="32" t="inlineStr"/>
      <c r="W118" s="32" t="inlineStr"/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More than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IF(B119=0,"",RANK(B119,$B$2:$B$252,0))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BAFNAPH</t>
        </is>
      </c>
      <c r="D119" s="31" t="inlineStr">
        <is>
          <t>Bafna Pharmaceuticals Ltd</t>
        </is>
      </c>
      <c r="E119" s="31" t="inlineStr">
        <is>
          <t>healthcare</t>
        </is>
      </c>
      <c r="F119" s="31" t="inlineStr">
        <is>
          <t>pharmaceuticals - indian - formulations</t>
        </is>
      </c>
      <c r="G119" s="31" t="inlineStr">
        <is>
          <t>smallcap</t>
        </is>
      </c>
      <c r="H119" s="32" t="n">
        <v>932.0599999999999</v>
      </c>
      <c r="I119" s="32" t="n">
        <v>401.85</v>
      </c>
      <c r="J119" s="32" t="n">
        <v>1.99</v>
      </c>
      <c r="K119" s="32" t="n">
        <v>956</v>
      </c>
      <c r="L119" s="31" t="n">
        <v>94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82.08</v>
      </c>
      <c r="P119" s="32" t="n">
        <v>63.34</v>
      </c>
      <c r="Q119" s="32" t="n">
        <v>328.47</v>
      </c>
      <c r="R119" s="31" t="inlineStr">
        <is>
          <t>Near 52W High Breakout</t>
        </is>
      </c>
      <c r="S119" s="31" t="inlineStr">
        <is>
          <t>Nifty Pharma</t>
        </is>
      </c>
      <c r="T119" s="32" t="n">
        <v>18.99</v>
      </c>
      <c r="U119" s="32" t="n">
        <v>152.39</v>
      </c>
      <c r="V119" s="32" t="n">
        <v>112.12</v>
      </c>
      <c r="W119" s="32" t="n">
        <v>45.36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IF(B120=0,"",RANK(B120,$B$2:$B$252,0))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NPST</t>
        </is>
      </c>
      <c r="D120" s="31" t="inlineStr">
        <is>
          <t>Network People Services Technologies Ltd</t>
        </is>
      </c>
      <c r="E120" s="31" t="inlineStr">
        <is>
          <t>i.t</t>
        </is>
      </c>
      <c r="F120" s="31" t="inlineStr">
        <is>
          <t>computers - software - medium / small</t>
        </is>
      </c>
      <c r="G120" s="31" t="inlineStr">
        <is>
          <t>smallcap</t>
        </is>
      </c>
      <c r="H120" s="32" t="n">
        <v>3829.5</v>
      </c>
      <c r="I120" s="32" t="n">
        <v>1854.9</v>
      </c>
      <c r="J120" s="32" t="n">
        <v>1.06</v>
      </c>
      <c r="K120" s="32" t="n">
        <v>107305</v>
      </c>
      <c r="L120" s="31" t="n">
        <v>12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64.27</v>
      </c>
      <c r="P120" s="32" t="n">
        <v>33.27</v>
      </c>
      <c r="Q120" s="32" t="n">
        <v>1296.54</v>
      </c>
      <c r="R120" s="31" t="inlineStr">
        <is>
          <t>Near 52W High Breakout</t>
        </is>
      </c>
      <c r="S120" s="31" t="inlineStr">
        <is>
          <t>Nifty IT</t>
        </is>
      </c>
      <c r="T120" s="32" t="n">
        <v>-22.05</v>
      </c>
      <c r="U120" s="32" t="n">
        <v>-2.19</v>
      </c>
      <c r="V120" s="32" t="n">
        <v>25.48</v>
      </c>
      <c r="W120" s="32" t="n">
        <v>4.41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IF(B121=0,"",RANK(B121,$B$2:$B$252,0))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SUNTV</t>
        </is>
      </c>
      <c r="D121" s="31" t="inlineStr">
        <is>
          <t>Sun Tv Network Limited</t>
        </is>
      </c>
      <c r="E121" s="31" t="inlineStr">
        <is>
          <t>media</t>
        </is>
      </c>
      <c r="F121" s="31" t="inlineStr">
        <is>
          <t>entertainment / electronic media software</t>
        </is>
      </c>
      <c r="G121" s="31" t="inlineStr">
        <is>
          <t>largecap</t>
        </is>
      </c>
      <c r="H121" s="32" t="n">
        <v>24910.09</v>
      </c>
      <c r="I121" s="32" t="n">
        <v>636.5</v>
      </c>
      <c r="J121" s="32" t="n">
        <v>0.7</v>
      </c>
      <c r="K121" s="32" t="n">
        <v>1153473</v>
      </c>
      <c r="L121" s="31" t="n">
        <v>28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68.48</v>
      </c>
      <c r="P121" s="32" t="n">
        <v>20.71</v>
      </c>
      <c r="Q121" s="32" t="n">
        <v>500.41</v>
      </c>
      <c r="R121" s="31" t="inlineStr">
        <is>
          <t>Near 52W High Breakout</t>
        </is>
      </c>
      <c r="S121" s="31" t="inlineStr">
        <is>
          <t>Nifty IT</t>
        </is>
      </c>
      <c r="T121" s="32" t="n">
        <v>-22.05</v>
      </c>
      <c r="U121" s="32" t="n">
        <v>12.79</v>
      </c>
      <c r="V121" s="32" t="n">
        <v>44.69</v>
      </c>
      <c r="W121" s="32" t="n">
        <v>9.210000000000001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Between 12 to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IF(B122=0,"",RANK(B122,$B$2:$B$252,0))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NGLFINE</t>
        </is>
      </c>
      <c r="D122" s="31" t="inlineStr">
        <is>
          <t>NGL Fine Chem Ltd</t>
        </is>
      </c>
      <c r="E122" s="31" t="inlineStr">
        <is>
          <t>healthcare</t>
        </is>
      </c>
      <c r="F122" s="31" t="inlineStr">
        <is>
          <t>pharmaceuticals - indian - bulk drugs</t>
        </is>
      </c>
      <c r="G122" s="31" t="inlineStr">
        <is>
          <t>smallcap</t>
        </is>
      </c>
      <c r="H122" s="32" t="n">
        <v>1928.84</v>
      </c>
      <c r="I122" s="32" t="n">
        <v>3134.2</v>
      </c>
      <c r="J122" s="32" t="n">
        <v>0.39</v>
      </c>
      <c r="K122" s="32" t="n">
        <v>10470</v>
      </c>
      <c r="L122" s="31" t="n">
        <v>51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60.36</v>
      </c>
      <c r="P122" s="32" t="n">
        <v>34.25</v>
      </c>
      <c r="Q122" s="32" t="n">
        <v>2453.11</v>
      </c>
      <c r="R122" s="31" t="inlineStr">
        <is>
          <t>Earnings / Momentum Support</t>
        </is>
      </c>
      <c r="S122" s="31" t="inlineStr">
        <is>
          <t>Nifty Pharma</t>
        </is>
      </c>
      <c r="T122" s="32" t="n">
        <v>18.99</v>
      </c>
      <c r="U122" s="32" t="n">
        <v>103.62</v>
      </c>
      <c r="V122" s="32" t="n">
        <v>71.13</v>
      </c>
      <c r="W122" s="32" t="n">
        <v>17.95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IF(B123=0,"",RANK(B123,$B$2:$B$252,0))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LAURUSLABS</t>
        </is>
      </c>
      <c r="D123" s="31" t="inlineStr">
        <is>
          <t>Laurus Labs Limited</t>
        </is>
      </c>
      <c r="E123" s="31" t="inlineStr">
        <is>
          <t>healthcare</t>
        </is>
      </c>
      <c r="F123" s="31" t="inlineStr">
        <is>
          <t>pharmaceuticals - indian - bulk drugs &amp; formln</t>
        </is>
      </c>
      <c r="G123" s="31" t="inlineStr">
        <is>
          <t>largecap</t>
        </is>
      </c>
      <c r="H123" s="32" t="n">
        <v>110751.16</v>
      </c>
      <c r="I123" s="32" t="n">
        <v>2052.8</v>
      </c>
      <c r="J123" s="32" t="n">
        <v>0.14</v>
      </c>
      <c r="K123" s="32" t="n">
        <v>1499990</v>
      </c>
      <c r="L123" s="31" t="n">
        <v>71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77.40000000000001</v>
      </c>
      <c r="P123" s="32" t="n">
        <v>77.5</v>
      </c>
      <c r="Q123" s="32" t="n">
        <v>1756.97</v>
      </c>
      <c r="R123" s="31" t="inlineStr">
        <is>
          <t>Near 52W High Breakout</t>
        </is>
      </c>
      <c r="S123" s="31" t="inlineStr">
        <is>
          <t>Nifty Pharma</t>
        </is>
      </c>
      <c r="T123" s="32" t="n">
        <v>18.99</v>
      </c>
      <c r="U123" s="32" t="n">
        <v>134.56</v>
      </c>
      <c r="V123" s="32" t="n">
        <v>97.14</v>
      </c>
      <c r="W123" s="32" t="n">
        <v>26.43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IF(B124=0,"",RANK(B124,$B$2:$B$252,0))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DALMIASUG</t>
        </is>
      </c>
      <c r="D124" s="31" t="inlineStr">
        <is>
          <t>Dalmia Bharat Sugar And Industries Limited</t>
        </is>
      </c>
      <c r="E124" s="31" t="inlineStr">
        <is>
          <t>fmcg</t>
        </is>
      </c>
      <c r="F124" s="31" t="inlineStr">
        <is>
          <t>sugar</t>
        </is>
      </c>
      <c r="G124" s="31" t="inlineStr">
        <is>
          <t>smallcap</t>
        </is>
      </c>
      <c r="H124" s="32" t="n">
        <v>3666.55</v>
      </c>
      <c r="I124" s="32" t="n">
        <v>447.65</v>
      </c>
      <c r="J124" s="32" t="n">
        <v>-1.18</v>
      </c>
      <c r="K124" s="32" t="n">
        <v>310835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58.95</v>
      </c>
      <c r="P124" s="32" t="n">
        <v>41.14</v>
      </c>
      <c r="Q124" s="32" t="n">
        <v>356.37</v>
      </c>
      <c r="R124" s="31" t="inlineStr">
        <is>
          <t>Earnings / Momentum Support</t>
        </is>
      </c>
      <c r="S124" s="31" t="inlineStr">
        <is>
          <t>Nifty FMCG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B2C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IF(B125=0,"",RANK(B125,$B$2:$B$252,0))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ABDL</t>
        </is>
      </c>
      <c r="D125" s="31" t="inlineStr">
        <is>
          <t>Allied Blenders &amp; Distillers Ltd</t>
        </is>
      </c>
      <c r="E125" s="31" t="inlineStr">
        <is>
          <t>fmcg</t>
        </is>
      </c>
      <c r="F125" s="31" t="inlineStr">
        <is>
          <t>breweries &amp; distilleries</t>
        </is>
      </c>
      <c r="G125" s="31" t="inlineStr">
        <is>
          <t>midcap</t>
        </is>
      </c>
      <c r="H125" s="32" t="n">
        <v>19989.49</v>
      </c>
      <c r="I125" s="32" t="n">
        <v>694.25</v>
      </c>
      <c r="J125" s="32" t="n">
        <v>-2.85</v>
      </c>
      <c r="K125" s="32" t="n">
        <v>398467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64.25</v>
      </c>
      <c r="P125" s="32" t="n">
        <v>26.4</v>
      </c>
      <c r="Q125" s="32" t="n">
        <v>556.87</v>
      </c>
      <c r="R125" s="31" t="inlineStr">
        <is>
          <t>Near 52W High Breakout</t>
        </is>
      </c>
      <c r="S125" s="31" t="inlineStr">
        <is>
          <t>Nifty FMCG</t>
        </is>
      </c>
      <c r="T125" s="32" t="inlineStr"/>
      <c r="U125" s="32" t="inlineStr"/>
      <c r="V125" s="32" t="inlineStr"/>
      <c r="W125" s="32" t="inlineStr"/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B2C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IF(B126=0,"",RANK(B126,$B$2:$B$252,0))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CHENNPETRO</t>
        </is>
      </c>
      <c r="D126" s="31" t="inlineStr">
        <is>
          <t>Chennai Petroleum Corporation Limited</t>
        </is>
      </c>
      <c r="E126" s="31" t="inlineStr">
        <is>
          <t>energy</t>
        </is>
      </c>
      <c r="F126" s="31" t="inlineStr">
        <is>
          <t>refineries</t>
        </is>
      </c>
      <c r="G126" s="31" t="inlineStr">
        <is>
          <t>largecap</t>
        </is>
      </c>
      <c r="H126" s="32" t="n">
        <v>20932.48</v>
      </c>
      <c r="I126" s="32" t="n">
        <v>1612.3</v>
      </c>
      <c r="J126" s="32" t="n">
        <v>14.7</v>
      </c>
      <c r="K126" s="32" t="n">
        <v>20027812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69.65000000000001</v>
      </c>
      <c r="P126" s="32" t="n">
        <v>63.76</v>
      </c>
      <c r="Q126" s="32" t="n">
        <v>1168.27</v>
      </c>
      <c r="R126" s="31" t="inlineStr">
        <is>
          <t>Volume Spike &amp; Near 52W High Breakout</t>
        </is>
      </c>
      <c r="S126" s="31" t="inlineStr">
        <is>
          <t>Nifty Energy</t>
        </is>
      </c>
      <c r="T126" s="32" t="inlineStr"/>
      <c r="U126" s="32" t="inlineStr"/>
      <c r="V126" s="32" t="inlineStr"/>
      <c r="W126" s="32" t="inlineStr"/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Oligopoly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Cyclical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Volatile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IF(B127=0,"",RANK(B127,$B$2:$B$252,0))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PANAMAPET</t>
        </is>
      </c>
      <c r="D127" s="31" t="inlineStr">
        <is>
          <t>Panama Petrochem Limited</t>
        </is>
      </c>
      <c r="E127" s="31" t="inlineStr">
        <is>
          <t>energy</t>
        </is>
      </c>
      <c r="F127" s="31" t="inlineStr">
        <is>
          <t>petrochemicals</t>
        </is>
      </c>
      <c r="G127" s="31" t="inlineStr">
        <is>
          <t>smallcap</t>
        </is>
      </c>
      <c r="H127" s="32" t="n">
        <v>3049.48</v>
      </c>
      <c r="I127" s="32" t="n">
        <v>537</v>
      </c>
      <c r="J127" s="32" t="n">
        <v>6.53</v>
      </c>
      <c r="K127" s="32" t="n">
        <v>1895756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67.34999999999999</v>
      </c>
      <c r="P127" s="32" t="n">
        <v>64.13</v>
      </c>
      <c r="Q127" s="32" t="n">
        <v>390.17</v>
      </c>
      <c r="R127" s="31" t="inlineStr">
        <is>
          <t>Near 52W High Breakout</t>
        </is>
      </c>
      <c r="S127" s="31" t="inlineStr">
        <is>
          <t>Nifty Energy</t>
        </is>
      </c>
      <c r="T127" s="32" t="inlineStr"/>
      <c r="U127" s="32" t="inlineStr"/>
      <c r="V127" s="32" t="inlineStr"/>
      <c r="W127" s="32" t="inlineStr"/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Oligopoly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IF(B128=0,"",RANK(B128,$B$2:$B$252,0))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JAMNAAUTO</t>
        </is>
      </c>
      <c r="D128" s="31" t="inlineStr">
        <is>
          <t>Jamna Auto Industries Limited</t>
        </is>
      </c>
      <c r="E128" s="31" t="inlineStr">
        <is>
          <t>auto</t>
        </is>
      </c>
      <c r="F128" s="31" t="inlineStr">
        <is>
          <t>auto ancillaries</t>
        </is>
      </c>
      <c r="G128" s="31" t="inlineStr">
        <is>
          <t>midcap</t>
        </is>
      </c>
      <c r="H128" s="32" t="n">
        <v>5765.32</v>
      </c>
      <c r="I128" s="32" t="n">
        <v>151.77</v>
      </c>
      <c r="J128" s="32" t="n">
        <v>5.24</v>
      </c>
      <c r="K128" s="32" t="n">
        <v>12310484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61.44</v>
      </c>
      <c r="P128" s="32" t="n">
        <v>34.31</v>
      </c>
      <c r="Q128" s="32" t="n">
        <v>113.83</v>
      </c>
      <c r="R128" s="31" t="inlineStr">
        <is>
          <t>Near 52W High Breakout</t>
        </is>
      </c>
      <c r="S128" s="31" t="inlineStr">
        <is>
          <t>Nifty Auto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IF(B129=0,"",RANK(B129,$B$2:$B$252,0))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YASHO</t>
        </is>
      </c>
      <c r="D129" s="31" t="inlineStr">
        <is>
          <t>Yasho Industries Ltd</t>
        </is>
      </c>
      <c r="E129" s="31" t="inlineStr">
        <is>
          <t>chemicals</t>
        </is>
      </c>
      <c r="F129" s="31" t="inlineStr">
        <is>
          <t>chemicals</t>
        </is>
      </c>
      <c r="G129" s="31" t="inlineStr">
        <is>
          <t>midcap</t>
        </is>
      </c>
      <c r="H129" s="32" t="n">
        <v>5163.81</v>
      </c>
      <c r="I129" s="32" t="n">
        <v>4337.6</v>
      </c>
      <c r="J129" s="32" t="n">
        <v>1.28</v>
      </c>
      <c r="K129" s="32" t="n">
        <v>60414</v>
      </c>
      <c r="L129" s="31" t="n">
        <v>87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73.92</v>
      </c>
      <c r="P129" s="32" t="n">
        <v>69.91</v>
      </c>
      <c r="Q129" s="32" t="n">
        <v>3238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-10.61</v>
      </c>
      <c r="U129" s="32" t="n">
        <v>164.95</v>
      </c>
      <c r="V129" s="32" t="n">
        <v>196.39</v>
      </c>
      <c r="W129" s="32" t="n">
        <v>36.65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More than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IF(B130=0,"",RANK(B130,$B$2:$B$252,0))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LXCHEM</t>
        </is>
      </c>
      <c r="D130" s="31" t="inlineStr">
        <is>
          <t>Laxmi Organic Industries Ltd</t>
        </is>
      </c>
      <c r="E130" s="31" t="inlineStr">
        <is>
          <t>chemicals</t>
        </is>
      </c>
      <c r="F130" s="31" t="inlineStr">
        <is>
          <t>chemicals</t>
        </is>
      </c>
      <c r="G130" s="31" t="inlineStr">
        <is>
          <t>midcap</t>
        </is>
      </c>
      <c r="H130" s="32" t="n">
        <v>5235.42</v>
      </c>
      <c r="I130" s="32" t="n">
        <v>190.35</v>
      </c>
      <c r="J130" s="32" t="n">
        <v>0.79</v>
      </c>
      <c r="K130" s="32" t="n">
        <v>2013189</v>
      </c>
      <c r="L130" s="31" t="n">
        <v>17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67.2</v>
      </c>
      <c r="P130" s="32" t="n">
        <v>40.11</v>
      </c>
      <c r="Q130" s="32" t="n">
        <v>145.01</v>
      </c>
      <c r="R130" s="31" t="inlineStr">
        <is>
          <t>Earnings / Momentum Support</t>
        </is>
      </c>
      <c r="S130" s="31" t="inlineStr">
        <is>
          <t>Nifty 50</t>
        </is>
      </c>
      <c r="T130" s="32" t="n">
        <v>-10.61</v>
      </c>
      <c r="U130" s="32" t="n">
        <v>-6.63</v>
      </c>
      <c r="V130" s="32" t="n">
        <v>4.45</v>
      </c>
      <c r="W130" s="32" t="n">
        <v>5.19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IF(B131=0,"",RANK(B131,$B$2:$B$252,0))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SHREEJISPG</t>
        </is>
      </c>
      <c r="D131" s="31" t="inlineStr">
        <is>
          <t>Shreeji Shipping Global Ltd</t>
        </is>
      </c>
      <c r="E131" s="31" t="inlineStr">
        <is>
          <t>transportation</t>
        </is>
      </c>
      <c r="F131" s="31" t="inlineStr">
        <is>
          <t>shipping</t>
        </is>
      </c>
      <c r="G131" s="31" t="inlineStr">
        <is>
          <t>midcap</t>
        </is>
      </c>
      <c r="H131" s="32" t="n">
        <v>12976.44</v>
      </c>
      <c r="I131" s="32" t="n">
        <v>802.1</v>
      </c>
      <c r="J131" s="32" t="n">
        <v>0.7</v>
      </c>
      <c r="K131" s="32" t="n">
        <v>1943741</v>
      </c>
      <c r="L131" s="31" t="n">
        <v>89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84.8</v>
      </c>
      <c r="P131" s="32" t="n">
        <v>56.84</v>
      </c>
      <c r="Q131" s="32" t="n">
        <v>672.84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-10.61</v>
      </c>
      <c r="U131" s="32" t="n">
        <v>218.76</v>
      </c>
      <c r="V131" s="32" t="n">
        <v>256.59</v>
      </c>
      <c r="W131" s="32" t="n">
        <v>38.26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IF(B132=0,"",RANK(B132,$B$2:$B$252,0))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TDPOWERSYS</t>
        </is>
      </c>
      <c r="D132" s="31" t="inlineStr">
        <is>
          <t>Td Power Systems Limited</t>
        </is>
      </c>
      <c r="E132" s="31" t="inlineStr">
        <is>
          <t>industrials</t>
        </is>
      </c>
      <c r="F132" s="31" t="inlineStr">
        <is>
          <t>electric equipment</t>
        </is>
      </c>
      <c r="G132" s="31" t="inlineStr">
        <is>
          <t>midcap</t>
        </is>
      </c>
      <c r="H132" s="32" t="n">
        <v>12748.24</v>
      </c>
      <c r="I132" s="32" t="n">
        <v>821.1</v>
      </c>
      <c r="J132" s="32" t="n">
        <v>0.63</v>
      </c>
      <c r="K132" s="32" t="n">
        <v>2690340</v>
      </c>
      <c r="L132" s="31" t="n">
        <v>80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70.2</v>
      </c>
      <c r="P132" s="32" t="n">
        <v>19.23</v>
      </c>
      <c r="Q132" s="32" t="n">
        <v>596.6900000000001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-10.61</v>
      </c>
      <c r="U132" s="32" t="n">
        <v>174.12</v>
      </c>
      <c r="V132" s="32" t="n">
        <v>206.65</v>
      </c>
      <c r="W132" s="32" t="n">
        <v>31.98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0 to 20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IF(B133=0,"",RANK(B133,$B$2:$B$252,0))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ATLANTAELE</t>
        </is>
      </c>
      <c r="D133" s="31" t="inlineStr">
        <is>
          <t>Atlanta Electricals Ltd</t>
        </is>
      </c>
      <c r="E133" s="31" t="inlineStr">
        <is>
          <t>industrials</t>
        </is>
      </c>
      <c r="F133" s="31" t="inlineStr">
        <is>
          <t>electric equipment</t>
        </is>
      </c>
      <c r="G133" s="31" t="inlineStr">
        <is>
          <t>midcap</t>
        </is>
      </c>
      <c r="H133" s="32" t="n">
        <v>14374.29</v>
      </c>
      <c r="I133" s="32" t="n">
        <v>1875.8</v>
      </c>
      <c r="J133" s="32" t="n">
        <v>0.35</v>
      </c>
      <c r="K133" s="32" t="n">
        <v>281587</v>
      </c>
      <c r="L133" s="31" t="n">
        <v>59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59.68</v>
      </c>
      <c r="P133" s="32" t="n">
        <v>22.82</v>
      </c>
      <c r="Q133" s="32" t="n">
        <v>1313.27</v>
      </c>
      <c r="R133" s="31" t="inlineStr">
        <is>
          <t>Earnings / Momentum Support</t>
        </is>
      </c>
      <c r="S133" s="31" t="inlineStr">
        <is>
          <t>Nifty 50</t>
        </is>
      </c>
      <c r="T133" s="32" t="n">
        <v>-10.61</v>
      </c>
      <c r="U133" s="32" t="n">
        <v>108.16</v>
      </c>
      <c r="V133" s="32" t="n">
        <v>132.86</v>
      </c>
      <c r="W133" s="32" t="n">
        <v>20.25</v>
      </c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IF(B134=0,"",RANK(B134,$B$2:$B$252,0))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MODISONLTD</t>
        </is>
      </c>
      <c r="D134" s="31" t="inlineStr">
        <is>
          <t>Modison Ltd</t>
        </is>
      </c>
      <c r="E134" s="31" t="inlineStr">
        <is>
          <t>industrials</t>
        </is>
      </c>
      <c r="F134" s="31" t="inlineStr">
        <is>
          <t>electric equipment</t>
        </is>
      </c>
      <c r="G134" s="31" t="inlineStr">
        <is>
          <t>smallcap</t>
        </is>
      </c>
      <c r="H134" s="32" t="n">
        <v>1594.27</v>
      </c>
      <c r="I134" s="32" t="n">
        <v>488.8</v>
      </c>
      <c r="J134" s="32" t="n">
        <v>-0.51</v>
      </c>
      <c r="K134" s="32" t="n">
        <v>44662</v>
      </c>
      <c r="L134" s="31" t="n">
        <v>95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73.23999999999999</v>
      </c>
      <c r="P134" s="32" t="n">
        <v>56.72</v>
      </c>
      <c r="Q134" s="32" t="n">
        <v>358.14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-10.61</v>
      </c>
      <c r="U134" s="32" t="n">
        <v>208.49</v>
      </c>
      <c r="V134" s="32" t="n">
        <v>245.09</v>
      </c>
      <c r="W134" s="32" t="n">
        <v>46.3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IF(B135=0,"",RANK(B135,$B$2:$B$252,0))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RUBYMILLS</t>
        </is>
      </c>
      <c r="D135" s="31" t="inlineStr">
        <is>
          <t>The Ruby Mills Limited</t>
        </is>
      </c>
      <c r="E135" s="31" t="inlineStr">
        <is>
          <t>textiles</t>
        </is>
      </c>
      <c r="F135" s="31" t="inlineStr">
        <is>
          <t>textiles - composite</t>
        </is>
      </c>
      <c r="G135" s="31" t="inlineStr">
        <is>
          <t>smallcap</t>
        </is>
      </c>
      <c r="H135" s="32" t="n">
        <v>1714.8</v>
      </c>
      <c r="I135" s="32" t="n">
        <v>509.8</v>
      </c>
      <c r="J135" s="32" t="n">
        <v>-0.59</v>
      </c>
      <c r="K135" s="32" t="n">
        <v>12360</v>
      </c>
      <c r="L135" s="31" t="n">
        <v>73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79.34</v>
      </c>
      <c r="P135" s="32" t="n">
        <v>53.9</v>
      </c>
      <c r="Q135" s="32" t="n">
        <v>371.88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-10.61</v>
      </c>
      <c r="U135" s="32" t="n">
        <v>130.39</v>
      </c>
      <c r="V135" s="32" t="n">
        <v>157.73</v>
      </c>
      <c r="W135" s="32" t="n">
        <v>27.37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IF(B136=0,"",RANK(B136,$B$2:$B$252,0))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VINDHYATEL</t>
        </is>
      </c>
      <c r="D136" s="31" t="inlineStr">
        <is>
          <t>Vindhya Telelinks Limited</t>
        </is>
      </c>
      <c r="E136" s="31" t="inlineStr">
        <is>
          <t>realty</t>
        </is>
      </c>
      <c r="F136" s="31" t="inlineStr">
        <is>
          <t>construction</t>
        </is>
      </c>
      <c r="G136" s="31" t="inlineStr">
        <is>
          <t>smallcap</t>
        </is>
      </c>
      <c r="H136" s="32" t="n">
        <v>3353.44</v>
      </c>
      <c r="I136" s="32" t="n">
        <v>2810.1</v>
      </c>
      <c r="J136" s="32" t="n">
        <v>-0.6899999999999999</v>
      </c>
      <c r="K136" s="32" t="n">
        <v>74369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67.73999999999999</v>
      </c>
      <c r="P136" s="32" t="n">
        <v>46.74</v>
      </c>
      <c r="Q136" s="32" t="n">
        <v>1997.08</v>
      </c>
      <c r="R136" s="31" t="inlineStr">
        <is>
          <t>Near 52W High Breakout</t>
        </is>
      </c>
      <c r="S136" s="31" t="inlineStr">
        <is>
          <t>Nifty Realty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IF(B137=0,"",RANK(B137,$B$2:$B$252,0))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BODALCHEM</t>
        </is>
      </c>
      <c r="D137" s="31" t="inlineStr">
        <is>
          <t>Bodal Chemicals Limited</t>
        </is>
      </c>
      <c r="E137" s="31" t="inlineStr">
        <is>
          <t>chemicals</t>
        </is>
      </c>
      <c r="F137" s="31" t="inlineStr">
        <is>
          <t>dyes and pigments</t>
        </is>
      </c>
      <c r="G137" s="31" t="inlineStr">
        <is>
          <t>smallcap</t>
        </is>
      </c>
      <c r="H137" s="32" t="n">
        <v>2349.74</v>
      </c>
      <c r="I137" s="32" t="n">
        <v>184.14</v>
      </c>
      <c r="J137" s="32" t="n">
        <v>-1.3</v>
      </c>
      <c r="K137" s="32" t="n">
        <v>263642</v>
      </c>
      <c r="L137" s="31" t="n">
        <v>99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79.7</v>
      </c>
      <c r="P137" s="32" t="n">
        <v>51.6</v>
      </c>
      <c r="Q137" s="32" t="n">
        <v>155.48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-10.61</v>
      </c>
      <c r="U137" s="32" t="n">
        <v>203.91</v>
      </c>
      <c r="V137" s="32" t="n">
        <v>239.98</v>
      </c>
      <c r="W137" s="32" t="n">
        <v>87.16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IF(B138=0,"",RANK(B138,$B$2:$B$252,0))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GREENPLY</t>
        </is>
      </c>
      <c r="D138" s="31" t="inlineStr">
        <is>
          <t>Greenply Industries Limited</t>
        </is>
      </c>
      <c r="E138" s="31" t="inlineStr">
        <is>
          <t>building materials</t>
        </is>
      </c>
      <c r="F138" s="31" t="inlineStr">
        <is>
          <t>miscellaneous</t>
        </is>
      </c>
      <c r="G138" s="31" t="inlineStr">
        <is>
          <t>smallcap</t>
        </is>
      </c>
      <c r="H138" s="32" t="n">
        <v>3938.16</v>
      </c>
      <c r="I138" s="32" t="n">
        <v>310.75</v>
      </c>
      <c r="J138" s="32" t="n">
        <v>-1.44</v>
      </c>
      <c r="K138" s="32" t="n">
        <v>53514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60.19</v>
      </c>
      <c r="P138" s="32" t="n">
        <v>19.76</v>
      </c>
      <c r="Q138" s="32" t="n">
        <v>247.27</v>
      </c>
      <c r="R138" s="31" t="inlineStr">
        <is>
          <t>Near 52W High Breakout</t>
        </is>
      </c>
      <c r="S138" s="31" t="inlineStr">
        <is>
          <t>Nifty Infra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IF(B139=0,"",RANK(B139,$B$2:$B$252,0))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BOSCH-HCIL</t>
        </is>
      </c>
      <c r="D139" s="31" t="inlineStr">
        <is>
          <t>Bosch Home Comfort India Ltd</t>
        </is>
      </c>
      <c r="E139" s="31" t="inlineStr">
        <is>
          <t>consumer discretionary</t>
        </is>
      </c>
      <c r="F139" s="31" t="inlineStr">
        <is>
          <t>air-conditioners</t>
        </is>
      </c>
      <c r="G139" s="31" t="inlineStr">
        <is>
          <t>midcap</t>
        </is>
      </c>
      <c r="H139" s="32" t="n">
        <v>5375.37</v>
      </c>
      <c r="I139" s="32" t="n">
        <v>1948.1</v>
      </c>
      <c r="J139" s="32" t="n">
        <v>-1.46</v>
      </c>
      <c r="K139" s="32" t="n">
        <v>34819</v>
      </c>
      <c r="L139" s="31" t="n">
        <v>40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70.45999999999999</v>
      </c>
      <c r="P139" s="32" t="n">
        <v>39.88</v>
      </c>
      <c r="Q139" s="32" t="n">
        <v>1576.08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-10.61</v>
      </c>
      <c r="U139" s="32" t="n">
        <v>12.72</v>
      </c>
      <c r="V139" s="32" t="n">
        <v>26.1</v>
      </c>
      <c r="W139" s="32" t="n">
        <v>13.16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IF(B140=0,"",RANK(B140,$B$2:$B$252,0))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YUKEN</t>
        </is>
      </c>
      <c r="D140" s="31" t="inlineStr">
        <is>
          <t>Yuken India Ltd</t>
        </is>
      </c>
      <c r="E140" s="31" t="inlineStr">
        <is>
          <t>industrials</t>
        </is>
      </c>
      <c r="F140" s="31" t="inlineStr">
        <is>
          <t>engineering</t>
        </is>
      </c>
      <c r="G140" s="31" t="inlineStr">
        <is>
          <t>smallcap</t>
        </is>
      </c>
      <c r="H140" s="32" t="n">
        <v>1682.51</v>
      </c>
      <c r="I140" s="32" t="n">
        <v>1216.5</v>
      </c>
      <c r="J140" s="32" t="n">
        <v>-1.78</v>
      </c>
      <c r="K140" s="32" t="n">
        <v>14333</v>
      </c>
      <c r="L140" s="31" t="n">
        <v>57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79.98</v>
      </c>
      <c r="P140" s="32" t="n">
        <v>40.03</v>
      </c>
      <c r="Q140" s="32" t="n">
        <v>939.28</v>
      </c>
      <c r="R140" s="31" t="inlineStr">
        <is>
          <t>Volume Spike &amp; Near 52W High Breakout</t>
        </is>
      </c>
      <c r="S140" s="31" t="inlineStr">
        <is>
          <t>Nifty 50</t>
        </is>
      </c>
      <c r="T140" s="32" t="n">
        <v>-10.61</v>
      </c>
      <c r="U140" s="32" t="n">
        <v>29.94</v>
      </c>
      <c r="V140" s="32" t="n">
        <v>45.36</v>
      </c>
      <c r="W140" s="32" t="n">
        <v>19.53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IF(B141=0,"",RANK(B141,$B$2:$B$252,0))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GRAPHITE</t>
        </is>
      </c>
      <c r="D141" s="31" t="inlineStr">
        <is>
          <t>Graphite India Limited</t>
        </is>
      </c>
      <c r="E141" s="31" t="inlineStr">
        <is>
          <t>industrials</t>
        </is>
      </c>
      <c r="F141" s="31" t="inlineStr">
        <is>
          <t>electrodes - graphites</t>
        </is>
      </c>
      <c r="G141" s="31" t="inlineStr">
        <is>
          <t>midcap</t>
        </is>
      </c>
      <c r="H141" s="32" t="n">
        <v>16630.37</v>
      </c>
      <c r="I141" s="32" t="n">
        <v>834.05</v>
      </c>
      <c r="J141" s="32" t="n">
        <v>-2.01</v>
      </c>
      <c r="K141" s="32" t="n">
        <v>656284</v>
      </c>
      <c r="L141" s="31" t="n">
        <v>48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65.68000000000001</v>
      </c>
      <c r="P141" s="32" t="n">
        <v>21.14</v>
      </c>
      <c r="Q141" s="32" t="n">
        <v>640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-10.61</v>
      </c>
      <c r="U141" s="32" t="n">
        <v>49.7</v>
      </c>
      <c r="V141" s="32" t="n">
        <v>67.47</v>
      </c>
      <c r="W141" s="32" t="n">
        <v>16.88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IF(B142=0,"",RANK(B142,$B$2:$B$252,0))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SIGMAADV</t>
        </is>
      </c>
      <c r="D142" s="31" t="inlineStr">
        <is>
          <t>Sigma Advanced System Ltd</t>
        </is>
      </c>
      <c r="E142" s="31" t="inlineStr">
        <is>
          <t>aerospace &amp; defence</t>
        </is>
      </c>
      <c r="F142" s="31" t="inlineStr">
        <is>
          <t>electronics - components</t>
        </is>
      </c>
      <c r="G142" s="31" t="inlineStr">
        <is>
          <t>largecap</t>
        </is>
      </c>
      <c r="H142" s="32" t="n">
        <v>21212.2</v>
      </c>
      <c r="I142" s="32" t="n">
        <v>1091.6</v>
      </c>
      <c r="J142" s="32" t="n">
        <v>-2.48</v>
      </c>
      <c r="K142" s="32" t="n">
        <v>236310</v>
      </c>
      <c r="L142" s="31" t="n">
        <v>98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85.98999999999999</v>
      </c>
      <c r="P142" s="32" t="n">
        <v>63.12</v>
      </c>
      <c r="Q142" s="32" t="n">
        <v>823.53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-10.61</v>
      </c>
      <c r="U142" s="32" t="n">
        <v>590.54</v>
      </c>
      <c r="V142" s="32" t="n">
        <v>672.48</v>
      </c>
      <c r="W142" s="32" t="n">
        <v>82.92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IF(B143=0,"",RANK(B143,$B$2:$B$252,0))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OPTIEMUS</t>
        </is>
      </c>
      <c r="D143" s="31" t="inlineStr">
        <is>
          <t>Optiemus Infracom Ltd</t>
        </is>
      </c>
      <c r="E143" s="31" t="inlineStr">
        <is>
          <t>telecom</t>
        </is>
      </c>
      <c r="F143" s="31" t="inlineStr">
        <is>
          <t>trading</t>
        </is>
      </c>
      <c r="G143" s="31" t="inlineStr">
        <is>
          <t>midcap</t>
        </is>
      </c>
      <c r="H143" s="32" t="n">
        <v>8023.91</v>
      </c>
      <c r="I143" s="32" t="n">
        <v>861.9</v>
      </c>
      <c r="J143" s="32" t="n">
        <v>-3.15</v>
      </c>
      <c r="K143" s="32" t="n">
        <v>1054981</v>
      </c>
      <c r="L143" s="31" t="n">
        <v>63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78.78</v>
      </c>
      <c r="P143" s="32" t="n">
        <v>45.72</v>
      </c>
      <c r="Q143" s="32" t="n">
        <v>643.78</v>
      </c>
      <c r="R143" s="31" t="inlineStr">
        <is>
          <t>Volume Spike &amp; Near 52W High Breakout</t>
        </is>
      </c>
      <c r="S143" s="31" t="inlineStr">
        <is>
          <t>Nifty 50</t>
        </is>
      </c>
      <c r="T143" s="32" t="n">
        <v>-10.61</v>
      </c>
      <c r="U143" s="32" t="n">
        <v>26.45</v>
      </c>
      <c r="V143" s="32" t="n">
        <v>41.46</v>
      </c>
      <c r="W143" s="32" t="n">
        <v>22.26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Oligopoly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IF(B144=0,"",RANK(B144,$B$2:$B$252,0))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TEXINFRA</t>
        </is>
      </c>
      <c r="D144" s="31" t="inlineStr">
        <is>
          <t>Texmaco Infrastructure &amp; Holdings Limited</t>
        </is>
      </c>
      <c r="E144" s="31" t="inlineStr">
        <is>
          <t>realty</t>
        </is>
      </c>
      <c r="F144" s="31" t="inlineStr">
        <is>
          <t>construction</t>
        </is>
      </c>
      <c r="G144" s="31" t="inlineStr">
        <is>
          <t>smallcap</t>
        </is>
      </c>
      <c r="H144" s="32" t="n">
        <v>1598.18</v>
      </c>
      <c r="I144" s="32" t="n">
        <v>121.24</v>
      </c>
      <c r="J144" s="32" t="n">
        <v>-3.33</v>
      </c>
      <c r="K144" s="32" t="n">
        <v>149902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68.56999999999999</v>
      </c>
      <c r="P144" s="32" t="n">
        <v>41.89</v>
      </c>
      <c r="Q144" s="32" t="n">
        <v>97.56</v>
      </c>
      <c r="R144" s="31" t="inlineStr">
        <is>
          <t>Near 52W High Breakout</t>
        </is>
      </c>
      <c r="S144" s="31" t="inlineStr">
        <is>
          <t>Nifty Realty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IF(B145=0,"",RANK(B145,$B$2:$B$252,0))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RAYMOND</t>
        </is>
      </c>
      <c r="D145" s="31" t="inlineStr">
        <is>
          <t>Raymond Limited</t>
        </is>
      </c>
      <c r="E145" s="31" t="inlineStr">
        <is>
          <t>transportation</t>
        </is>
      </c>
      <c r="F145" s="31" t="inlineStr">
        <is>
          <t>transport - airlines</t>
        </is>
      </c>
      <c r="G145" s="31" t="inlineStr">
        <is>
          <t>midcap</t>
        </is>
      </c>
      <c r="H145" s="32" t="n">
        <v>8616.639999999999</v>
      </c>
      <c r="I145" s="32" t="n">
        <v>1206.7</v>
      </c>
      <c r="J145" s="32" t="n">
        <v>-6.77</v>
      </c>
      <c r="K145" s="32" t="n">
        <v>1774220</v>
      </c>
      <c r="L145" s="31" t="n">
        <v>92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85.39</v>
      </c>
      <c r="P145" s="32" t="n">
        <v>59.06</v>
      </c>
      <c r="Q145" s="32" t="n">
        <v>917.49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-10.61</v>
      </c>
      <c r="U145" s="32" t="n">
        <v>108.21</v>
      </c>
      <c r="V145" s="32" t="n">
        <v>132.92</v>
      </c>
      <c r="W145" s="32" t="n">
        <v>42.14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IF(B146=0,"",RANK(B146,$B$2:$B$252,0))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AVADHSUGAR</t>
        </is>
      </c>
      <c r="D146" s="31" t="inlineStr">
        <is>
          <t>Avadh Sugar &amp; Energy</t>
        </is>
      </c>
      <c r="E146" s="31" t="inlineStr">
        <is>
          <t>fmcg</t>
        </is>
      </c>
      <c r="F146" s="31" t="inlineStr">
        <is>
          <t>sugar</t>
        </is>
      </c>
      <c r="G146" s="31" t="inlineStr">
        <is>
          <t>smallcap</t>
        </is>
      </c>
      <c r="H146" s="32" t="n">
        <v>1748.21</v>
      </c>
      <c r="I146" s="32" t="n">
        <v>937.55</v>
      </c>
      <c r="J146" s="32" t="n">
        <v>7.36</v>
      </c>
      <c r="K146" s="32" t="n">
        <v>570096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76.23999999999999</v>
      </c>
      <c r="P146" s="32" t="n">
        <v>58.12</v>
      </c>
      <c r="Q146" s="32" t="n">
        <v>705.4</v>
      </c>
      <c r="R146" s="31" t="inlineStr">
        <is>
          <t>Near 52W High Breakout</t>
        </is>
      </c>
      <c r="S146" s="31" t="inlineStr">
        <is>
          <t>Nifty FMCG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B2C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More than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IF(B147=0,"",RANK(B147,$B$2:$B$252,0))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MANKIND</t>
        </is>
      </c>
      <c r="D147" s="33" t="inlineStr">
        <is>
          <t>Mankind Pharma Ltd</t>
        </is>
      </c>
      <c r="E147" s="31" t="inlineStr">
        <is>
          <t>healthcare</t>
        </is>
      </c>
      <c r="F147" s="31" t="inlineStr">
        <is>
          <t>pharmaceuticals - indian - bulk drugs &amp; formln</t>
        </is>
      </c>
      <c r="G147" s="31" t="inlineStr">
        <is>
          <t>largecap</t>
        </is>
      </c>
      <c r="H147" s="32" t="n">
        <v>103248.99</v>
      </c>
      <c r="I147" s="32" t="n">
        <v>2500</v>
      </c>
      <c r="J147" s="32" t="n">
        <v>0</v>
      </c>
      <c r="K147" s="32" t="n">
        <v>242210</v>
      </c>
      <c r="L147" s="31" t="n">
        <v>3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58.23</v>
      </c>
      <c r="P147" s="32" t="n">
        <v>21.67</v>
      </c>
      <c r="Q147" s="32" t="n">
        <v>2162.18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18.99</v>
      </c>
      <c r="U147" s="32" t="n">
        <v>1.63</v>
      </c>
      <c r="V147" s="32" t="n">
        <v>-14.59</v>
      </c>
      <c r="W147" s="32" t="n">
        <v>0.68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IF(B148=0,"",RANK(B148,$B$2:$B$252,0))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ADFFOODS</t>
        </is>
      </c>
      <c r="D148" s="31" t="inlineStr">
        <is>
          <t>Adf Foods Limited</t>
        </is>
      </c>
      <c r="E148" s="31" t="inlineStr">
        <is>
          <t>fmcg</t>
        </is>
      </c>
      <c r="F148" s="31" t="inlineStr">
        <is>
          <t>food - processing - indian</t>
        </is>
      </c>
      <c r="G148" s="31" t="inlineStr">
        <is>
          <t>smallcap</t>
        </is>
      </c>
      <c r="H148" s="32" t="n">
        <v>3220.1</v>
      </c>
      <c r="I148" s="32" t="n">
        <v>291.7</v>
      </c>
      <c r="J148" s="32" t="n">
        <v>-0.48</v>
      </c>
      <c r="K148" s="32" t="n">
        <v>217579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58.51</v>
      </c>
      <c r="P148" s="32" t="n">
        <v>27.28</v>
      </c>
      <c r="Q148" s="32" t="n">
        <v>243.4</v>
      </c>
      <c r="R148" s="31" t="inlineStr">
        <is>
          <t>Earnings / Momentum Support</t>
        </is>
      </c>
      <c r="S148" s="31" t="inlineStr">
        <is>
          <t>Nifty FMCG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B2C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Between 12 to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IF(B149=0,"",RANK(B149,$B$2:$B$252,0))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KILITCH</t>
        </is>
      </c>
      <c r="D149" s="31" t="inlineStr">
        <is>
          <t>Kilitch Drugs (india) Limited</t>
        </is>
      </c>
      <c r="E149" s="31" t="inlineStr">
        <is>
          <t>healthcare</t>
        </is>
      </c>
      <c r="F149" s="31" t="inlineStr">
        <is>
          <t>pharmaceuticals - indian - formulations</t>
        </is>
      </c>
      <c r="G149" s="31" t="inlineStr">
        <is>
          <t>smallcap</t>
        </is>
      </c>
      <c r="H149" s="32" t="n">
        <v>911.45</v>
      </c>
      <c r="I149" s="32" t="n">
        <v>256.25</v>
      </c>
      <c r="J149" s="32" t="n">
        <v>-1.71</v>
      </c>
      <c r="K149" s="32" t="n">
        <v>180989</v>
      </c>
      <c r="L149" s="31" t="n">
        <v>54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73.31999999999999</v>
      </c>
      <c r="P149" s="32" t="n">
        <v>28.84</v>
      </c>
      <c r="Q149" s="32" t="n">
        <v>192.65</v>
      </c>
      <c r="R149" s="31" t="inlineStr">
        <is>
          <t>Volume Spike &amp; Near 52W High Breakout</t>
        </is>
      </c>
      <c r="S149" s="31" t="inlineStr">
        <is>
          <t>Nifty Pharma</t>
        </is>
      </c>
      <c r="T149" s="32" t="n">
        <v>18.99</v>
      </c>
      <c r="U149" s="32" t="n">
        <v>41.87</v>
      </c>
      <c r="V149" s="32" t="n">
        <v>19.23</v>
      </c>
      <c r="W149" s="32" t="n">
        <v>18.42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Yes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IF(B150=0,"",RANK(B150,$B$2:$B$252,0))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GANDHAR</t>
        </is>
      </c>
      <c r="D150" s="31" t="inlineStr">
        <is>
          <t>Gandhar Oil Refinery (India) Ltd</t>
        </is>
      </c>
      <c r="E150" s="31" t="inlineStr">
        <is>
          <t>energy</t>
        </is>
      </c>
      <c r="F150" s="31" t="inlineStr">
        <is>
          <t>refineries</t>
        </is>
      </c>
      <c r="G150" s="31" t="inlineStr">
        <is>
          <t>smallcap</t>
        </is>
      </c>
      <c r="H150" s="32" t="n">
        <v>2765.1</v>
      </c>
      <c r="I150" s="32" t="n">
        <v>299.2</v>
      </c>
      <c r="J150" s="32" t="n">
        <v>5.91</v>
      </c>
      <c r="K150" s="32" t="n">
        <v>1975725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72.15000000000001</v>
      </c>
      <c r="P150" s="32" t="n">
        <v>78.22</v>
      </c>
      <c r="Q150" s="32" t="n">
        <v>231.39</v>
      </c>
      <c r="R150" s="31" t="inlineStr">
        <is>
          <t>Near 52W High Breakout</t>
        </is>
      </c>
      <c r="S150" s="31" t="inlineStr">
        <is>
          <t>Nifty Energy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Oligopoly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IF(B151=0,"",RANK(B151,$B$2:$B$252,0))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PANACHE</t>
        </is>
      </c>
      <c r="D151" s="31" t="inlineStr">
        <is>
          <t>Panache Digilife Ltd</t>
        </is>
      </c>
      <c r="E151" s="31" t="inlineStr">
        <is>
          <t>i.t</t>
        </is>
      </c>
      <c r="F151" s="31" t="inlineStr">
        <is>
          <t>computers - hardware</t>
        </is>
      </c>
      <c r="G151" s="31" t="inlineStr">
        <is>
          <t>smallcap</t>
        </is>
      </c>
      <c r="H151" s="32" t="n">
        <v>911.2</v>
      </c>
      <c r="I151" s="32" t="n">
        <v>597.45</v>
      </c>
      <c r="J151" s="32" t="n">
        <v>5</v>
      </c>
      <c r="K151" s="32" t="n">
        <v>65399</v>
      </c>
      <c r="L151" s="31" t="n">
        <v>47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76.45999999999999</v>
      </c>
      <c r="P151" s="32" t="n">
        <v>39.49</v>
      </c>
      <c r="Q151" s="32" t="n">
        <v>480.03</v>
      </c>
      <c r="R151" s="31" t="inlineStr">
        <is>
          <t>Volume Spike &amp; Near 52W High Breakout</t>
        </is>
      </c>
      <c r="S151" s="31" t="inlineStr">
        <is>
          <t>Nifty IT</t>
        </is>
      </c>
      <c r="T151" s="32" t="n">
        <v>-22.05</v>
      </c>
      <c r="U151" s="32" t="n">
        <v>33.96</v>
      </c>
      <c r="V151" s="32" t="n">
        <v>71.84999999999999</v>
      </c>
      <c r="W151" s="32" t="n">
        <v>16.65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IF(B152=0,"",RANK(B152,$B$2:$B$252,0))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STLNETWORK</t>
        </is>
      </c>
      <c r="D152" s="31" t="inlineStr">
        <is>
          <t>STL Networks Ltd</t>
        </is>
      </c>
      <c r="E152" s="31" t="inlineStr">
        <is>
          <t>telecom-service</t>
        </is>
      </c>
      <c r="F152" s="31" t="inlineStr">
        <is>
          <t>telecommunications - service provider</t>
        </is>
      </c>
      <c r="G152" s="31" t="inlineStr">
        <is>
          <t>smallcap</t>
        </is>
      </c>
      <c r="H152" s="32" t="n">
        <v>2297.86</v>
      </c>
      <c r="I152" s="32" t="n">
        <v>49.43</v>
      </c>
      <c r="J152" s="32" t="n">
        <v>4.99</v>
      </c>
      <c r="K152" s="32" t="n">
        <v>2388042</v>
      </c>
      <c r="L152" s="31" t="n">
        <v>86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72.55</v>
      </c>
      <c r="P152" s="32" t="n">
        <v>37.67</v>
      </c>
      <c r="Q152" s="32" t="n">
        <v>41.59</v>
      </c>
      <c r="R152" s="31" t="inlineStr">
        <is>
          <t>Earnings / Momentum Support</t>
        </is>
      </c>
      <c r="S152" s="31" t="inlineStr">
        <is>
          <t>Nifty 50</t>
        </is>
      </c>
      <c r="T152" s="32" t="n">
        <v>-10.61</v>
      </c>
      <c r="U152" s="32" t="n">
        <v>72.29000000000001</v>
      </c>
      <c r="V152" s="32" t="n">
        <v>92.73999999999999</v>
      </c>
      <c r="W152" s="32" t="n">
        <v>36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IF(B153=0,"",RANK(B153,$B$2:$B$252,0))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MMP</t>
        </is>
      </c>
      <c r="D153" s="31" t="inlineStr">
        <is>
          <t>MMP Industries Ltd</t>
        </is>
      </c>
      <c r="E153" s="31" t="inlineStr">
        <is>
          <t>metals &amp; mining</t>
        </is>
      </c>
      <c r="F153" s="31" t="inlineStr">
        <is>
          <t>aluminium and aluminium products</t>
        </is>
      </c>
      <c r="G153" s="31" t="inlineStr">
        <is>
          <t>smallcap</t>
        </is>
      </c>
      <c r="H153" s="32" t="n">
        <v>1220.72</v>
      </c>
      <c r="I153" s="32" t="n">
        <v>498.8</v>
      </c>
      <c r="J153" s="32" t="n">
        <v>3.8</v>
      </c>
      <c r="K153" s="32" t="n">
        <v>191291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81.81999999999999</v>
      </c>
      <c r="P153" s="32" t="n">
        <v>61.95</v>
      </c>
      <c r="Q153" s="32" t="n">
        <v>374.06</v>
      </c>
      <c r="R153" s="31" t="inlineStr">
        <is>
          <t>Near 52W High Breakout</t>
        </is>
      </c>
      <c r="S153" s="31" t="inlineStr">
        <is>
          <t>Nifty Metal</t>
        </is>
      </c>
      <c r="T153" s="32" t="inlineStr"/>
      <c r="U153" s="32" t="inlineStr"/>
      <c r="V153" s="32" t="inlineStr"/>
      <c r="W153" s="32" t="inlineStr"/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Cyclical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Volatile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IF(B154=0,"",RANK(B154,$B$2:$B$252,0))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RAIN</t>
        </is>
      </c>
      <c r="D154" s="31" t="inlineStr">
        <is>
          <t>Rain Industries Limited</t>
        </is>
      </c>
      <c r="E154" s="31" t="inlineStr">
        <is>
          <t>miscellaneous</t>
        </is>
      </c>
      <c r="F154" s="31" t="inlineStr">
        <is>
          <t>miscellaneous</t>
        </is>
      </c>
      <c r="G154" s="31" t="inlineStr">
        <is>
          <t>midcap</t>
        </is>
      </c>
      <c r="H154" s="32" t="n">
        <v>7151.72</v>
      </c>
      <c r="I154" s="32" t="n">
        <v>218.95</v>
      </c>
      <c r="J154" s="32" t="n">
        <v>2.97</v>
      </c>
      <c r="K154" s="32" t="n">
        <v>4431420</v>
      </c>
      <c r="L154" s="31" t="n">
        <v>43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62.16</v>
      </c>
      <c r="P154" s="32" t="n">
        <v>42.33</v>
      </c>
      <c r="Q154" s="32" t="n">
        <v>168.02</v>
      </c>
      <c r="R154" s="31" t="inlineStr">
        <is>
          <t>Near 52W High Breakout</t>
        </is>
      </c>
      <c r="S154" s="31" t="inlineStr">
        <is>
          <t>Nifty 50</t>
        </is>
      </c>
      <c r="T154" s="32" t="n">
        <v>-10.61</v>
      </c>
      <c r="U154" s="32" t="n">
        <v>68.05</v>
      </c>
      <c r="V154" s="32" t="n">
        <v>87.98999999999999</v>
      </c>
      <c r="W154" s="32" t="n">
        <v>15.22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Between 50% to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IF(B155=0,"",RANK(B155,$B$2:$B$252,0))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SKYGOLD</t>
        </is>
      </c>
      <c r="D155" s="31" t="inlineStr">
        <is>
          <t>Sky Gold Ltd</t>
        </is>
      </c>
      <c r="E155" s="31" t="inlineStr">
        <is>
          <t>consumer discretionary</t>
        </is>
      </c>
      <c r="F155" s="31" t="inlineStr">
        <is>
          <t>diamond cutting / jewellery</t>
        </is>
      </c>
      <c r="G155" s="31" t="inlineStr">
        <is>
          <t>midcap</t>
        </is>
      </c>
      <c r="H155" s="32" t="n">
        <v>13282.76</v>
      </c>
      <c r="I155" s="32" t="n">
        <v>876.95</v>
      </c>
      <c r="J155" s="32" t="n">
        <v>2.25</v>
      </c>
      <c r="K155" s="32" t="n">
        <v>1648118</v>
      </c>
      <c r="L155" s="31" t="n">
        <v>79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76.78</v>
      </c>
      <c r="P155" s="32" t="n">
        <v>68.45999999999999</v>
      </c>
      <c r="Q155" s="32" t="n">
        <v>672.01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-10.61</v>
      </c>
      <c r="U155" s="32" t="n">
        <v>155.93</v>
      </c>
      <c r="V155" s="32" t="n">
        <v>186.3</v>
      </c>
      <c r="W155" s="32" t="n">
        <v>31.04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IF(B156=0,"",RANK(B156,$B$2:$B$252,0))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NEOGEN</t>
        </is>
      </c>
      <c r="D156" s="31" t="inlineStr">
        <is>
          <t>Neogen Chemicals Ltd</t>
        </is>
      </c>
      <c r="E156" s="31" t="inlineStr">
        <is>
          <t>chemicals</t>
        </is>
      </c>
      <c r="F156" s="31" t="inlineStr">
        <is>
          <t>chemicals</t>
        </is>
      </c>
      <c r="G156" s="31" t="inlineStr">
        <is>
          <t>midcap</t>
        </is>
      </c>
      <c r="H156" s="32" t="n">
        <v>7297.91</v>
      </c>
      <c r="I156" s="32" t="n">
        <v>2431.3</v>
      </c>
      <c r="J156" s="32" t="n">
        <v>0.09</v>
      </c>
      <c r="K156" s="32" t="n">
        <v>79815</v>
      </c>
      <c r="L156" s="31" t="n">
        <v>46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68.14</v>
      </c>
      <c r="P156" s="32" t="n">
        <v>59.45</v>
      </c>
      <c r="Q156" s="32" t="n">
        <v>1895.87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-10.61</v>
      </c>
      <c r="U156" s="32" t="n">
        <v>61.05</v>
      </c>
      <c r="V156" s="32" t="n">
        <v>80.16</v>
      </c>
      <c r="W156" s="32" t="n">
        <v>16.33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IF(B157=0,"",RANK(B157,$B$2:$B$252,0))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ORIENTHOT</t>
        </is>
      </c>
      <c r="D157" s="31" t="inlineStr">
        <is>
          <t>Oriental Hotels Limited</t>
        </is>
      </c>
      <c r="E157" s="31" t="inlineStr">
        <is>
          <t>services</t>
        </is>
      </c>
      <c r="F157" s="31" t="inlineStr">
        <is>
          <t>hotels</t>
        </is>
      </c>
      <c r="G157" s="31" t="inlineStr">
        <is>
          <t>smallcap</t>
        </is>
      </c>
      <c r="H157" s="32" t="n">
        <v>2564.86</v>
      </c>
      <c r="I157" s="32" t="n">
        <v>143.06</v>
      </c>
      <c r="J157" s="32" t="n">
        <v>-0.38</v>
      </c>
      <c r="K157" s="32" t="n">
        <v>343678</v>
      </c>
      <c r="L157" s="31" t="n">
        <v>17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63.23</v>
      </c>
      <c r="P157" s="32" t="n">
        <v>39.41</v>
      </c>
      <c r="Q157" s="32" t="n">
        <v>111.17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-10.61</v>
      </c>
      <c r="U157" s="32" t="n">
        <v>11.56</v>
      </c>
      <c r="V157" s="32" t="n">
        <v>24.8</v>
      </c>
      <c r="W157" s="32" t="n">
        <v>5.19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IF(B158=0,"",RANK(B158,$B$2:$B$252,0))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GRINDWELL</t>
        </is>
      </c>
      <c r="D158" s="31" t="inlineStr">
        <is>
          <t>Grindwell Norton Limited</t>
        </is>
      </c>
      <c r="E158" s="31" t="inlineStr">
        <is>
          <t>industrials</t>
        </is>
      </c>
      <c r="F158" s="31" t="inlineStr">
        <is>
          <t>abrasives and grinding wheels</t>
        </is>
      </c>
      <c r="G158" s="31" t="inlineStr">
        <is>
          <t>largecap</t>
        </is>
      </c>
      <c r="H158" s="32" t="n">
        <v>22510.48</v>
      </c>
      <c r="I158" s="32" t="n">
        <v>2018.2</v>
      </c>
      <c r="J158" s="32" t="n">
        <v>-0.73</v>
      </c>
      <c r="K158" s="32" t="n">
        <v>20013</v>
      </c>
      <c r="L158" s="31" t="n">
        <v>13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56.16</v>
      </c>
      <c r="P158" s="32" t="n">
        <v>43.61</v>
      </c>
      <c r="Q158" s="32" t="n">
        <v>1754.36</v>
      </c>
      <c r="R158" s="31" t="inlineStr">
        <is>
          <t>Earnings / Momentum Support</t>
        </is>
      </c>
      <c r="S158" s="31" t="inlineStr">
        <is>
          <t>Nifty 50</t>
        </is>
      </c>
      <c r="T158" s="32" t="n">
        <v>-10.61</v>
      </c>
      <c r="U158" s="32" t="n">
        <v>20.93</v>
      </c>
      <c r="V158" s="32" t="n">
        <v>35.28</v>
      </c>
      <c r="W158" s="32" t="n">
        <v>4.47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IF(B159=0,"",RANK(B159,$B$2:$B$252,0))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GANDHITUBE</t>
        </is>
      </c>
      <c r="D159" s="31" t="inlineStr">
        <is>
          <t>Gandhi Special Tubes Limited</t>
        </is>
      </c>
      <c r="E159" s="31" t="inlineStr">
        <is>
          <t>metals &amp; mining</t>
        </is>
      </c>
      <c r="F159" s="31" t="inlineStr">
        <is>
          <t>steel - medium / small</t>
        </is>
      </c>
      <c r="G159" s="31" t="inlineStr">
        <is>
          <t>smallcap</t>
        </is>
      </c>
      <c r="H159" s="32" t="n">
        <v>1107.51</v>
      </c>
      <c r="I159" s="32" t="n">
        <v>974.15</v>
      </c>
      <c r="J159" s="32" t="n">
        <v>-0.75</v>
      </c>
      <c r="K159" s="32" t="n">
        <v>3166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69.43000000000001</v>
      </c>
      <c r="P159" s="32" t="n">
        <v>38.31</v>
      </c>
      <c r="Q159" s="32" t="n">
        <v>808.74</v>
      </c>
      <c r="R159" s="31" t="inlineStr">
        <is>
          <t>Near 52W High Breakout</t>
        </is>
      </c>
      <c r="S159" s="31" t="inlineStr">
        <is>
          <t>Nifty Metal</t>
        </is>
      </c>
      <c r="T159" s="32" t="inlineStr"/>
      <c r="U159" s="32" t="inlineStr"/>
      <c r="V159" s="32" t="inlineStr"/>
      <c r="W159" s="32" t="inlineStr"/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Cyclical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Volatile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IF(B160=0,"",RANK(B160,$B$2:$B$252,0))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RAYMONDREL</t>
        </is>
      </c>
      <c r="D160" s="31" t="inlineStr">
        <is>
          <t>Raymond Realty Ltd</t>
        </is>
      </c>
      <c r="E160" s="31" t="inlineStr">
        <is>
          <t>realty</t>
        </is>
      </c>
      <c r="F160" s="31" t="inlineStr">
        <is>
          <t>construction</t>
        </is>
      </c>
      <c r="G160" s="31" t="inlineStr">
        <is>
          <t>smallcap</t>
        </is>
      </c>
      <c r="H160" s="32" t="n">
        <v>4712.09</v>
      </c>
      <c r="I160" s="32" t="n">
        <v>701.8</v>
      </c>
      <c r="J160" s="32" t="n">
        <v>-0.85</v>
      </c>
      <c r="K160" s="32" t="n">
        <v>1304100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58.66</v>
      </c>
      <c r="P160" s="32" t="n">
        <v>29.89</v>
      </c>
      <c r="Q160" s="32" t="n">
        <v>490.87</v>
      </c>
      <c r="R160" s="31" t="inlineStr">
        <is>
          <t>Near 52W High Breakout</t>
        </is>
      </c>
      <c r="S160" s="31" t="inlineStr">
        <is>
          <t>Nifty Realty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IF(B161=0,"",RANK(B161,$B$2:$B$252,0))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JASH</t>
        </is>
      </c>
      <c r="D161" s="31" t="inlineStr">
        <is>
          <t>Jash Engineering Ltd</t>
        </is>
      </c>
      <c r="E161" s="31" t="inlineStr">
        <is>
          <t>industrials</t>
        </is>
      </c>
      <c r="F161" s="31" t="inlineStr">
        <is>
          <t>engineering</t>
        </is>
      </c>
      <c r="G161" s="31" t="inlineStr">
        <is>
          <t>smallcap</t>
        </is>
      </c>
      <c r="H161" s="32" t="n">
        <v>3759.71</v>
      </c>
      <c r="I161" s="32" t="n">
        <v>586.15</v>
      </c>
      <c r="J161" s="32" t="n">
        <v>-1.48</v>
      </c>
      <c r="K161" s="32" t="n">
        <v>192190</v>
      </c>
      <c r="L161" s="31" t="n">
        <v>23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67.11</v>
      </c>
      <c r="P161" s="32" t="n">
        <v>21.74</v>
      </c>
      <c r="Q161" s="32" t="n">
        <v>462.46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-10.61</v>
      </c>
      <c r="U161" s="32" t="n">
        <v>22.25</v>
      </c>
      <c r="V161" s="32" t="n">
        <v>36.76</v>
      </c>
      <c r="W161" s="32" t="n">
        <v>7.27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IF(B162=0,"",RANK(B162,$B$2:$B$252,0))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SAMBHV</t>
        </is>
      </c>
      <c r="D162" s="31" t="inlineStr">
        <is>
          <t>Sambhv Steel Tubes Ltd</t>
        </is>
      </c>
      <c r="E162" s="31" t="inlineStr">
        <is>
          <t>metals &amp; mining</t>
        </is>
      </c>
      <c r="F162" s="31" t="inlineStr">
        <is>
          <t>steel - medium / small</t>
        </is>
      </c>
      <c r="G162" s="31" t="inlineStr">
        <is>
          <t>smallcap</t>
        </is>
      </c>
      <c r="H162" s="32" t="n">
        <v>4779.28</v>
      </c>
      <c r="I162" s="32" t="n">
        <v>158.32</v>
      </c>
      <c r="J162" s="32" t="n">
        <v>-2.39</v>
      </c>
      <c r="K162" s="32" t="n">
        <v>1552880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75.53</v>
      </c>
      <c r="P162" s="32" t="n">
        <v>49.27</v>
      </c>
      <c r="Q162" s="32" t="n">
        <v>125.54</v>
      </c>
      <c r="R162" s="31" t="inlineStr">
        <is>
          <t>Near 52W High Breakout</t>
        </is>
      </c>
      <c r="S162" s="31" t="inlineStr">
        <is>
          <t>Nifty Metal</t>
        </is>
      </c>
      <c r="T162" s="32" t="inlineStr"/>
      <c r="U162" s="32" t="inlineStr"/>
      <c r="V162" s="32" t="inlineStr"/>
      <c r="W162" s="32" t="inlineStr"/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Cyclical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Volatile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Above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IF(B163=0,"",RANK(B163,$B$2:$B$252,0))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RRKABEL</t>
        </is>
      </c>
      <c r="D163" s="31" t="inlineStr">
        <is>
          <t>R R Kabel Ltd</t>
        </is>
      </c>
      <c r="E163" s="31" t="inlineStr">
        <is>
          <t>industrials</t>
        </is>
      </c>
      <c r="F163" s="31" t="inlineStr">
        <is>
          <t>cables - power</t>
        </is>
      </c>
      <c r="G163" s="31" t="inlineStr">
        <is>
          <t>largecap</t>
        </is>
      </c>
      <c r="H163" s="32" t="n">
        <v>31553.04</v>
      </c>
      <c r="I163" s="32" t="n">
        <v>2722.5</v>
      </c>
      <c r="J163" s="32" t="n">
        <v>-2.41</v>
      </c>
      <c r="K163" s="32" t="n">
        <v>502681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64.92</v>
      </c>
      <c r="P163" s="32" t="n">
        <v>49.66</v>
      </c>
      <c r="Q163" s="32" t="n">
        <v>2306.05</v>
      </c>
      <c r="R163" s="31" t="inlineStr">
        <is>
          <t>Earnings / Momentum Support</t>
        </is>
      </c>
      <c r="S163" s="31" t="inlineStr">
        <is>
          <t>Nifty Energy</t>
        </is>
      </c>
      <c r="T163" s="32" t="inlineStr"/>
      <c r="U163" s="32" t="inlineStr"/>
      <c r="V163" s="32" t="inlineStr"/>
      <c r="W163" s="32" t="inlineStr"/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IF(B164=0,"",RANK(B164,$B$2:$B$252,0))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DYNAMATECH</t>
        </is>
      </c>
      <c r="D164" s="31" t="inlineStr">
        <is>
          <t>Dynamatic Technologies Limited</t>
        </is>
      </c>
      <c r="E164" s="31" t="inlineStr">
        <is>
          <t>aerospace &amp; defence</t>
        </is>
      </c>
      <c r="F164" s="31" t="inlineStr">
        <is>
          <t>engineering</t>
        </is>
      </c>
      <c r="G164" s="31" t="inlineStr">
        <is>
          <t>midcap</t>
        </is>
      </c>
      <c r="H164" s="32" t="n">
        <v>9697.5</v>
      </c>
      <c r="I164" s="32" t="n">
        <v>13723</v>
      </c>
      <c r="J164" s="32" t="n">
        <v>-3.89</v>
      </c>
      <c r="K164" s="32" t="n">
        <v>29509</v>
      </c>
      <c r="L164" s="31" t="n">
        <v>54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70.47</v>
      </c>
      <c r="P164" s="32" t="n">
        <v>32.59</v>
      </c>
      <c r="Q164" s="32" t="n">
        <v>10625.44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-10.61</v>
      </c>
      <c r="U164" s="32" t="n">
        <v>76.22</v>
      </c>
      <c r="V164" s="32" t="n">
        <v>97.13</v>
      </c>
      <c r="W164" s="32" t="n">
        <v>18.16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IF(B165=0,"",RANK(B165,$B$2:$B$252,0))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PRIMO</t>
        </is>
      </c>
      <c r="D165" s="31" t="inlineStr">
        <is>
          <t>Primo Chemicals Ltd</t>
        </is>
      </c>
      <c r="E165" s="31" t="inlineStr">
        <is>
          <t>chemicals</t>
        </is>
      </c>
      <c r="F165" s="31" t="inlineStr">
        <is>
          <t>chlor alkali / soda ash</t>
        </is>
      </c>
      <c r="G165" s="31" t="inlineStr">
        <is>
          <t>smallcap</t>
        </is>
      </c>
      <c r="H165" s="32" t="n">
        <v>653.6</v>
      </c>
      <c r="I165" s="32" t="n">
        <v>25.62</v>
      </c>
      <c r="J165" s="32" t="n">
        <v>-5.01</v>
      </c>
      <c r="K165" s="32" t="n">
        <v>277273</v>
      </c>
      <c r="L165" s="31" t="n">
        <v>10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55.5</v>
      </c>
      <c r="P165" s="32" t="n">
        <v>20.69</v>
      </c>
      <c r="Q165" s="32" t="n">
        <v>16.18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-10.61</v>
      </c>
      <c r="U165" s="32" t="n">
        <v>9.35</v>
      </c>
      <c r="V165" s="32" t="n">
        <v>22.32</v>
      </c>
      <c r="W165" s="32" t="n">
        <v>3.22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IF(B166=0,"",RANK(B166,$B$2:$B$252,0))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PVRINOX</t>
        </is>
      </c>
      <c r="D166" s="31" t="inlineStr">
        <is>
          <t>PVR Inox Ltd</t>
        </is>
      </c>
      <c r="E166" s="31" t="inlineStr">
        <is>
          <t>media</t>
        </is>
      </c>
      <c r="F166" s="31" t="inlineStr">
        <is>
          <t>entertainment / electronic media software</t>
        </is>
      </c>
      <c r="G166" s="31" t="inlineStr">
        <is>
          <t>midcap</t>
        </is>
      </c>
      <c r="H166" s="32" t="n">
        <v>12269.1</v>
      </c>
      <c r="I166" s="32" t="n">
        <v>1343.8</v>
      </c>
      <c r="J166" s="32" t="n">
        <v>7.56</v>
      </c>
      <c r="K166" s="32" t="n">
        <v>5065408</v>
      </c>
      <c r="L166" s="31" t="n">
        <v>38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70.03</v>
      </c>
      <c r="P166" s="32" t="n">
        <v>34.51</v>
      </c>
      <c r="Q166" s="32" t="n">
        <v>1091.74</v>
      </c>
      <c r="R166" s="31" t="inlineStr">
        <is>
          <t>Volume Spike &amp; Near 52W High Breakout</t>
        </is>
      </c>
      <c r="S166" s="31" t="inlineStr">
        <is>
          <t>Nifty IT</t>
        </is>
      </c>
      <c r="T166" s="32" t="n">
        <v>-22.05</v>
      </c>
      <c r="U166" s="32" t="n">
        <v>23.28</v>
      </c>
      <c r="V166" s="32" t="n">
        <v>58.16</v>
      </c>
      <c r="W166" s="32" t="n">
        <v>12.09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IF(B167=0,"",RANK(B167,$B$2:$B$252,0))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TARSONS</t>
        </is>
      </c>
      <c r="D167" s="33" t="inlineStr">
        <is>
          <t>Tarsons Products Ltd</t>
        </is>
      </c>
      <c r="E167" s="31" t="inlineStr">
        <is>
          <t>healthcare</t>
        </is>
      </c>
      <c r="F167" s="31" t="inlineStr">
        <is>
          <t>miscellaneous</t>
        </is>
      </c>
      <c r="G167" s="31" t="inlineStr">
        <is>
          <t>smallcap</t>
        </is>
      </c>
      <c r="H167" s="32" t="n">
        <v>1764.59</v>
      </c>
      <c r="I167" s="32" t="n">
        <v>341.7</v>
      </c>
      <c r="J167" s="32" t="n">
        <v>3.03</v>
      </c>
      <c r="K167" s="32" t="n">
        <v>230964</v>
      </c>
      <c r="L167" s="31" t="n">
        <v>26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63.64</v>
      </c>
      <c r="P167" s="32" t="n">
        <v>47.76</v>
      </c>
      <c r="Q167" s="32" t="n">
        <v>260.54</v>
      </c>
      <c r="R167" s="31" t="inlineStr">
        <is>
          <t>Earnings / Momentum Support</t>
        </is>
      </c>
      <c r="S167" s="31" t="inlineStr">
        <is>
          <t>Nifty Pharma</t>
        </is>
      </c>
      <c r="T167" s="32" t="n">
        <v>18.99</v>
      </c>
      <c r="U167" s="32" t="n">
        <v>14.47</v>
      </c>
      <c r="V167" s="32" t="n">
        <v>-3.79</v>
      </c>
      <c r="W167" s="32" t="n">
        <v>8.539999999999999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IF(B168=0,"",RANK(B168,$B$2:$B$252,0))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UTTAMSUGAR</t>
        </is>
      </c>
      <c r="D168" s="31" t="inlineStr">
        <is>
          <t>Uttam Sugar Mills Limited</t>
        </is>
      </c>
      <c r="E168" s="31" t="inlineStr">
        <is>
          <t>fmcg</t>
        </is>
      </c>
      <c r="F168" s="31" t="inlineStr">
        <is>
          <t>sugar</t>
        </is>
      </c>
      <c r="G168" s="31" t="inlineStr">
        <is>
          <t>smallcap</t>
        </is>
      </c>
      <c r="H168" s="32" t="n">
        <v>1154.82</v>
      </c>
      <c r="I168" s="32" t="n">
        <v>308.3</v>
      </c>
      <c r="J168" s="32" t="n">
        <v>1.82</v>
      </c>
      <c r="K168" s="32" t="n">
        <v>345726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61.18</v>
      </c>
      <c r="P168" s="32" t="n">
        <v>29.8</v>
      </c>
      <c r="Q168" s="32" t="n">
        <v>222.59</v>
      </c>
      <c r="R168" s="31" t="inlineStr">
        <is>
          <t>Near 52W High Breakout</t>
        </is>
      </c>
      <c r="S168" s="31" t="inlineStr">
        <is>
          <t>Nifty FMCG</t>
        </is>
      </c>
      <c r="T168" s="32" t="inlineStr"/>
      <c r="U168" s="32" t="inlineStr"/>
      <c r="V168" s="32" t="inlineStr"/>
      <c r="W168" s="32" t="inlineStr"/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IF(B169=0,"",RANK(B169,$B$2:$B$252,0))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MAGADSUGAR</t>
        </is>
      </c>
      <c r="D169" s="31" t="inlineStr">
        <is>
          <t>Magadh Sugar &amp; Energy Ltd</t>
        </is>
      </c>
      <c r="E169" s="31" t="inlineStr">
        <is>
          <t>fmcg</t>
        </is>
      </c>
      <c r="F169" s="31" t="inlineStr">
        <is>
          <t>sugar</t>
        </is>
      </c>
      <c r="G169" s="31" t="inlineStr">
        <is>
          <t>smallcap</t>
        </is>
      </c>
      <c r="H169" s="32" t="n">
        <v>778.49</v>
      </c>
      <c r="I169" s="32" t="n">
        <v>562.3</v>
      </c>
      <c r="J169" s="32" t="n">
        <v>1.78</v>
      </c>
      <c r="K169" s="32" t="n">
        <v>52127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57.67</v>
      </c>
      <c r="P169" s="32" t="n">
        <v>33.89</v>
      </c>
      <c r="Q169" s="32" t="n">
        <v>440.14</v>
      </c>
      <c r="R169" s="31" t="inlineStr">
        <is>
          <t>Earnings / Momentum Support</t>
        </is>
      </c>
      <c r="S169" s="31" t="inlineStr">
        <is>
          <t>Nifty FMCG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B2C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IF(B170=0,"",RANK(B170,$B$2:$B$252,0))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PARAGMILK</t>
        </is>
      </c>
      <c r="D170" s="31" t="inlineStr">
        <is>
          <t>Parag Milk Foods Limited</t>
        </is>
      </c>
      <c r="E170" s="31" t="inlineStr">
        <is>
          <t>fmcg</t>
        </is>
      </c>
      <c r="F170" s="31" t="inlineStr">
        <is>
          <t>food - processing - indian</t>
        </is>
      </c>
      <c r="G170" s="31" t="inlineStr">
        <is>
          <t>smallcap</t>
        </is>
      </c>
      <c r="H170" s="32" t="n">
        <v>3877.57</v>
      </c>
      <c r="I170" s="32" t="n">
        <v>311.8</v>
      </c>
      <c r="J170" s="32" t="n">
        <v>1</v>
      </c>
      <c r="K170" s="32" t="n">
        <v>2455573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73.93000000000001</v>
      </c>
      <c r="P170" s="32" t="n">
        <v>22.69</v>
      </c>
      <c r="Q170" s="32" t="n">
        <v>238.34</v>
      </c>
      <c r="R170" s="31" t="inlineStr">
        <is>
          <t>Earnings / Momentum Support</t>
        </is>
      </c>
      <c r="S170" s="31" t="inlineStr">
        <is>
          <t>Nifty FMCG</t>
        </is>
      </c>
      <c r="T170" s="32" t="inlineStr"/>
      <c r="U170" s="32" t="inlineStr"/>
      <c r="V170" s="32" t="inlineStr"/>
      <c r="W170" s="32" t="inlineStr"/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B2C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IF(B171=0,"",RANK(B171,$B$2:$B$252,0))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NINSYS</t>
        </is>
      </c>
      <c r="D171" s="31" t="inlineStr">
        <is>
          <t>NINtec Systems Ltd</t>
        </is>
      </c>
      <c r="E171" s="31" t="inlineStr">
        <is>
          <t>i.t</t>
        </is>
      </c>
      <c r="F171" s="31" t="inlineStr">
        <is>
          <t>computers - software - medium / small</t>
        </is>
      </c>
      <c r="G171" s="31" t="inlineStr">
        <is>
          <t>smallcap</t>
        </is>
      </c>
      <c r="H171" s="32" t="n">
        <v>1527.97</v>
      </c>
      <c r="I171" s="32" t="n">
        <v>829.75</v>
      </c>
      <c r="J171" s="32" t="n">
        <v>0.88</v>
      </c>
      <c r="K171" s="32" t="n">
        <v>6983</v>
      </c>
      <c r="L171" s="31" t="n">
        <v>56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69.05</v>
      </c>
      <c r="P171" s="32" t="n">
        <v>39.02</v>
      </c>
      <c r="Q171" s="32" t="n">
        <v>702.16</v>
      </c>
      <c r="R171" s="31" t="inlineStr">
        <is>
          <t>Earnings / Momentum Support</t>
        </is>
      </c>
      <c r="S171" s="31" t="inlineStr">
        <is>
          <t>Nifty IT</t>
        </is>
      </c>
      <c r="T171" s="32" t="n">
        <v>-22.05</v>
      </c>
      <c r="U171" s="32" t="n">
        <v>87.28</v>
      </c>
      <c r="V171" s="32" t="n">
        <v>140.25</v>
      </c>
      <c r="W171" s="32" t="n">
        <v>18.95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IF(B172=0,"",RANK(B172,$B$2:$B$252,0))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MANORAMA</t>
        </is>
      </c>
      <c r="D172" s="31" t="inlineStr">
        <is>
          <t>Manorama Industries Ltd</t>
        </is>
      </c>
      <c r="E172" s="31" t="inlineStr">
        <is>
          <t>fmcg</t>
        </is>
      </c>
      <c r="F172" s="31" t="inlineStr">
        <is>
          <t>food - processing - indian</t>
        </is>
      </c>
      <c r="G172" s="31" t="inlineStr">
        <is>
          <t>midcap</t>
        </is>
      </c>
      <c r="H172" s="32" t="n">
        <v>11855.73</v>
      </c>
      <c r="I172" s="32" t="n">
        <v>1996</v>
      </c>
      <c r="J172" s="32" t="n">
        <v>0.52</v>
      </c>
      <c r="K172" s="32" t="n">
        <v>175806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67.23999999999999</v>
      </c>
      <c r="P172" s="32" t="n">
        <v>31.6</v>
      </c>
      <c r="Q172" s="32" t="n">
        <v>1622.1</v>
      </c>
      <c r="R172" s="31" t="inlineStr">
        <is>
          <t>Near 52W High Breakout</t>
        </is>
      </c>
      <c r="S172" s="31" t="inlineStr">
        <is>
          <t>Nifty FMCG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IF(B173=0,"",RANK(B173,$B$2:$B$252,0))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ONEPOINT</t>
        </is>
      </c>
      <c r="D173" s="31" t="inlineStr">
        <is>
          <t>One Point One Solutions Ltd</t>
        </is>
      </c>
      <c r="E173" s="31" t="inlineStr">
        <is>
          <t>i.t</t>
        </is>
      </c>
      <c r="F173" s="31" t="inlineStr">
        <is>
          <t>computers - software - medium / small</t>
        </is>
      </c>
      <c r="G173" s="31" t="inlineStr">
        <is>
          <t>smallcap</t>
        </is>
      </c>
      <c r="H173" s="32" t="n">
        <v>2068</v>
      </c>
      <c r="I173" s="32" t="n">
        <v>78.77</v>
      </c>
      <c r="J173" s="32" t="n">
        <v>0.15</v>
      </c>
      <c r="K173" s="32" t="n">
        <v>2116511</v>
      </c>
      <c r="L173" s="31" t="n">
        <v>58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75.58</v>
      </c>
      <c r="P173" s="32" t="n">
        <v>19.2</v>
      </c>
      <c r="Q173" s="32" t="n">
        <v>62.16</v>
      </c>
      <c r="R173" s="31" t="inlineStr">
        <is>
          <t>Near 52W High Breakout</t>
        </is>
      </c>
      <c r="S173" s="31" t="inlineStr">
        <is>
          <t>Nifty IT</t>
        </is>
      </c>
      <c r="T173" s="32" t="n">
        <v>-22.05</v>
      </c>
      <c r="U173" s="32" t="n">
        <v>58.46</v>
      </c>
      <c r="V173" s="32" t="n">
        <v>103.28</v>
      </c>
      <c r="W173" s="32" t="n">
        <v>20.24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IF(B174=0,"",RANK(B174,$B$2:$B$252,0))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DHAMPURSUG</t>
        </is>
      </c>
      <c r="D174" s="31" t="inlineStr">
        <is>
          <t>Dhampur Sugar Mills Limited</t>
        </is>
      </c>
      <c r="E174" s="31" t="inlineStr">
        <is>
          <t>fmcg</t>
        </is>
      </c>
      <c r="F174" s="31" t="inlineStr">
        <is>
          <t>sugar</t>
        </is>
      </c>
      <c r="G174" s="31" t="inlineStr">
        <is>
          <t>smallcap</t>
        </is>
      </c>
      <c r="H174" s="32" t="n">
        <v>1214.17</v>
      </c>
      <c r="I174" s="32" t="n">
        <v>188.92</v>
      </c>
      <c r="J174" s="32" t="n">
        <v>0.06</v>
      </c>
      <c r="K174" s="32" t="n">
        <v>1200310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66.79000000000001</v>
      </c>
      <c r="P174" s="32" t="n">
        <v>25.76</v>
      </c>
      <c r="Q174" s="32" t="n">
        <v>140.81</v>
      </c>
      <c r="R174" s="31" t="inlineStr">
        <is>
          <t>Near 52W High Breakout</t>
        </is>
      </c>
      <c r="S174" s="31" t="inlineStr">
        <is>
          <t>Nifty FMCG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B2C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IF(B175=0,"",RANK(B175,$B$2:$B$252,0))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SMSPHARMA</t>
        </is>
      </c>
      <c r="D175" s="31" t="inlineStr">
        <is>
          <t>Sms Pharmaceuticals Limited</t>
        </is>
      </c>
      <c r="E175" s="31" t="inlineStr">
        <is>
          <t>healthcare</t>
        </is>
      </c>
      <c r="F175" s="31" t="inlineStr">
        <is>
          <t>pharmaceuticals - indian - bulk drugs</t>
        </is>
      </c>
      <c r="G175" s="31" t="inlineStr">
        <is>
          <t>smallcap</t>
        </is>
      </c>
      <c r="H175" s="32" t="n">
        <v>4422.25</v>
      </c>
      <c r="I175" s="32" t="n">
        <v>468.85</v>
      </c>
      <c r="J175" s="32" t="n">
        <v>-0.71</v>
      </c>
      <c r="K175" s="32" t="n">
        <v>259092</v>
      </c>
      <c r="L175" s="31" t="n">
        <v>43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65.68000000000001</v>
      </c>
      <c r="P175" s="32" t="n">
        <v>36.22</v>
      </c>
      <c r="Q175" s="32" t="n">
        <v>359.82</v>
      </c>
      <c r="R175" s="31" t="inlineStr">
        <is>
          <t>Near 52W High Breakout</t>
        </is>
      </c>
      <c r="S175" s="31" t="inlineStr">
        <is>
          <t>Nifty Pharma</t>
        </is>
      </c>
      <c r="T175" s="32" t="n">
        <v>18.99</v>
      </c>
      <c r="U175" s="32" t="n">
        <v>70.84999999999999</v>
      </c>
      <c r="V175" s="32" t="n">
        <v>43.59</v>
      </c>
      <c r="W175" s="32" t="n">
        <v>15.23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IF(B176=0,"",RANK(B176,$B$2:$B$252,0))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UGARSUGAR</t>
        </is>
      </c>
      <c r="D176" s="31" t="inlineStr">
        <is>
          <t>The Ugar Sugar Works Limited</t>
        </is>
      </c>
      <c r="E176" s="31" t="inlineStr">
        <is>
          <t>fmcg</t>
        </is>
      </c>
      <c r="F176" s="31" t="inlineStr">
        <is>
          <t>sugar</t>
        </is>
      </c>
      <c r="G176" s="31" t="inlineStr">
        <is>
          <t>smallcap</t>
        </is>
      </c>
      <c r="H176" s="32" t="n">
        <v>666.6799999999999</v>
      </c>
      <c r="I176" s="32" t="n">
        <v>58.45</v>
      </c>
      <c r="J176" s="32" t="n">
        <v>-1.37</v>
      </c>
      <c r="K176" s="32" t="n">
        <v>129567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65.28</v>
      </c>
      <c r="P176" s="32" t="n">
        <v>39.67</v>
      </c>
      <c r="Q176" s="32" t="n">
        <v>44.96</v>
      </c>
      <c r="R176" s="31" t="inlineStr">
        <is>
          <t>Earnings / Momentum Support</t>
        </is>
      </c>
      <c r="S176" s="31" t="inlineStr">
        <is>
          <t>Nifty FMCG</t>
        </is>
      </c>
      <c r="T176" s="32" t="inlineStr"/>
      <c r="U176" s="32" t="inlineStr"/>
      <c r="V176" s="32" t="inlineStr"/>
      <c r="W176" s="32" t="inlineStr"/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IF(B177=0,"",RANK(B177,$B$2:$B$252,0))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AXISCADES</t>
        </is>
      </c>
      <c r="D177" s="31" t="inlineStr">
        <is>
          <t>AXISCADES Technologies Ltd</t>
        </is>
      </c>
      <c r="E177" s="31" t="inlineStr">
        <is>
          <t>aerospace &amp; defence</t>
        </is>
      </c>
      <c r="F177" s="31" t="inlineStr">
        <is>
          <t>computers - software - medium / small</t>
        </is>
      </c>
      <c r="G177" s="31" t="inlineStr">
        <is>
          <t>midcap</t>
        </is>
      </c>
      <c r="H177" s="32" t="n">
        <v>9733.219999999999</v>
      </c>
      <c r="I177" s="32" t="n">
        <v>2245.6</v>
      </c>
      <c r="J177" s="32" t="n">
        <v>-1.87</v>
      </c>
      <c r="K177" s="32" t="n">
        <v>122674</v>
      </c>
      <c r="L177" s="31" t="n">
        <v>45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68.27</v>
      </c>
      <c r="P177" s="32" t="n">
        <v>15.25</v>
      </c>
      <c r="Q177" s="32" t="n">
        <v>1716.3</v>
      </c>
      <c r="R177" s="31" t="inlineStr">
        <is>
          <t>Near 52W High Breakout</t>
        </is>
      </c>
      <c r="S177" s="31" t="inlineStr">
        <is>
          <t>Nifty IT</t>
        </is>
      </c>
      <c r="T177" s="32" t="n">
        <v>-22.05</v>
      </c>
      <c r="U177" s="32" t="n">
        <v>34.56</v>
      </c>
      <c r="V177" s="32" t="n">
        <v>72.62</v>
      </c>
      <c r="W177" s="32" t="n">
        <v>15.91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IF(B178=0,"",RANK(B178,$B$2:$B$252,0))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DEEPINDS</t>
        </is>
      </c>
      <c r="D178" s="31" t="inlineStr">
        <is>
          <t>Deep Industries Ltd</t>
        </is>
      </c>
      <c r="E178" s="31" t="inlineStr">
        <is>
          <t>energy</t>
        </is>
      </c>
      <c r="F178" s="31" t="inlineStr">
        <is>
          <t>oil drilling / allied services</t>
        </is>
      </c>
      <c r="G178" s="31" t="inlineStr">
        <is>
          <t>smallcap</t>
        </is>
      </c>
      <c r="H178" s="32" t="n">
        <v>4793.28</v>
      </c>
      <c r="I178" s="32" t="n">
        <v>795.6</v>
      </c>
      <c r="J178" s="32" t="n">
        <v>6.23</v>
      </c>
      <c r="K178" s="32" t="n">
        <v>817946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72.45999999999999</v>
      </c>
      <c r="P178" s="32" t="n">
        <v>39.83</v>
      </c>
      <c r="Q178" s="32" t="n">
        <v>602.98</v>
      </c>
      <c r="R178" s="31" t="inlineStr">
        <is>
          <t>Near 52W High Breakout</t>
        </is>
      </c>
      <c r="S178" s="31" t="inlineStr">
        <is>
          <t>Nifty Energy</t>
        </is>
      </c>
      <c r="T178" s="32" t="inlineStr"/>
      <c r="U178" s="32" t="inlineStr"/>
      <c r="V178" s="32" t="inlineStr"/>
      <c r="W178" s="32" t="inlineStr"/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IF(B179=0,"",RANK(B179,$B$2:$B$252,0))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MOBIKWIK</t>
        </is>
      </c>
      <c r="D179" s="31" t="inlineStr">
        <is>
          <t>One Mobikwik Systems Ltd</t>
        </is>
      </c>
      <c r="E179" s="31" t="inlineStr">
        <is>
          <t>i.t</t>
        </is>
      </c>
      <c r="F179" s="31" t="inlineStr">
        <is>
          <t>miscellaneous</t>
        </is>
      </c>
      <c r="G179" s="31" t="inlineStr">
        <is>
          <t>smallcap</t>
        </is>
      </c>
      <c r="H179" s="32" t="n">
        <v>1906.78</v>
      </c>
      <c r="I179" s="32" t="n">
        <v>256.08</v>
      </c>
      <c r="J179" s="32" t="n">
        <v>5.76</v>
      </c>
      <c r="K179" s="32" t="n">
        <v>74766600</v>
      </c>
      <c r="L179" s="31" t="n">
        <v>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67.13</v>
      </c>
      <c r="P179" s="32" t="n">
        <v>19.12</v>
      </c>
      <c r="Q179" s="32" t="n">
        <v>188.38</v>
      </c>
      <c r="R179" s="31" t="inlineStr">
        <is>
          <t>Volume Spike &amp; Near 52W High Breakout</t>
        </is>
      </c>
      <c r="S179" s="31" t="inlineStr">
        <is>
          <t>Nifty IT</t>
        </is>
      </c>
      <c r="T179" s="32" t="n">
        <v>-22.05</v>
      </c>
      <c r="U179" s="32" t="n">
        <v>-9.27</v>
      </c>
      <c r="V179" s="32" t="n">
        <v>16.39</v>
      </c>
      <c r="W179" s="32" t="n">
        <v>2.55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IF(B180=0,"",RANK(B180,$B$2:$B$252,0))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EMIL</t>
        </is>
      </c>
      <c r="D180" s="31" t="inlineStr">
        <is>
          <t>Electronics Mart India Ltd</t>
        </is>
      </c>
      <c r="E180" s="31" t="inlineStr">
        <is>
          <t>consumer discretionary</t>
        </is>
      </c>
      <c r="F180" s="31" t="inlineStr">
        <is>
          <t>trading</t>
        </is>
      </c>
      <c r="G180" s="31" t="inlineStr">
        <is>
          <t>midcap</t>
        </is>
      </c>
      <c r="H180" s="32" t="n">
        <v>7749.61</v>
      </c>
      <c r="I180" s="32" t="n">
        <v>211.54</v>
      </c>
      <c r="J180" s="32" t="n">
        <v>5.02</v>
      </c>
      <c r="K180" s="32" t="n">
        <v>9094206</v>
      </c>
      <c r="L180" s="31" t="n">
        <v>68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76.81</v>
      </c>
      <c r="P180" s="32" t="n">
        <v>45.86</v>
      </c>
      <c r="Q180" s="32" t="n">
        <v>162.39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-10.61</v>
      </c>
      <c r="U180" s="32" t="n">
        <v>46.83</v>
      </c>
      <c r="V180" s="32" t="n">
        <v>64.26000000000001</v>
      </c>
      <c r="W180" s="32" t="n">
        <v>23.96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More than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IF(B181=0,"",RANK(B181,$B$2:$B$252,0))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SOTL</t>
        </is>
      </c>
      <c r="D181" s="31" t="inlineStr">
        <is>
          <t>Savita Oil Technologies Limited</t>
        </is>
      </c>
      <c r="E181" s="31" t="inlineStr">
        <is>
          <t>energy</t>
        </is>
      </c>
      <c r="F181" s="31" t="inlineStr">
        <is>
          <t>petrochemicals</t>
        </is>
      </c>
      <c r="G181" s="31" t="inlineStr">
        <is>
          <t>midcap</t>
        </is>
      </c>
      <c r="H181" s="32" t="n">
        <v>5316.86</v>
      </c>
      <c r="I181" s="32" t="n">
        <v>803.8</v>
      </c>
      <c r="J181" s="32" t="n">
        <v>3.65</v>
      </c>
      <c r="K181" s="32" t="n">
        <v>583613</v>
      </c>
      <c r="L181" s="31" t="inlineStr"/>
      <c r="M181" s="31" t="inlineStr"/>
      <c r="N181" s="32">
        <f>IF(M181="Underperforming",-5,IF(L181&gt;=95,15,IF(L181&gt;=90,10,IF(L181&gt;=80,5,0))))</f>
        <v/>
      </c>
      <c r="O181" s="32" t="n">
        <v>70.87</v>
      </c>
      <c r="P181" s="32" t="n">
        <v>65.31999999999999</v>
      </c>
      <c r="Q181" s="32" t="n">
        <v>559.47</v>
      </c>
      <c r="R181" s="31" t="inlineStr">
        <is>
          <t>Near 52W High Breakout</t>
        </is>
      </c>
      <c r="S181" s="31" t="inlineStr">
        <is>
          <t>Nifty Energy</t>
        </is>
      </c>
      <c r="T181" s="32" t="inlineStr"/>
      <c r="U181" s="32" t="inlineStr"/>
      <c r="V181" s="32" t="inlineStr"/>
      <c r="W181" s="32" t="inlineStr"/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Oligopoly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Cyclical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Volatile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IF(B182=0,"",RANK(B182,$B$2:$B$252,0))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GULFOILLUB</t>
        </is>
      </c>
      <c r="D182" s="31" t="inlineStr">
        <is>
          <t>Gulf Oil Lubricants India Limited</t>
        </is>
      </c>
      <c r="E182" s="31" t="inlineStr">
        <is>
          <t>chemicals</t>
        </is>
      </c>
      <c r="F182" s="31" t="inlineStr">
        <is>
          <t>chemicals</t>
        </is>
      </c>
      <c r="G182" s="31" t="inlineStr">
        <is>
          <t>midcap</t>
        </is>
      </c>
      <c r="H182" s="32" t="n">
        <v>5386.93</v>
      </c>
      <c r="I182" s="32" t="n">
        <v>1118.6</v>
      </c>
      <c r="J182" s="32" t="n">
        <v>2.82</v>
      </c>
      <c r="K182" s="32" t="n">
        <v>48522</v>
      </c>
      <c r="L182" s="31" t="n">
        <v>7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58.22</v>
      </c>
      <c r="P182" s="32" t="n">
        <v>19.33</v>
      </c>
      <c r="Q182" s="32" t="n">
        <v>957.73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-10.61</v>
      </c>
      <c r="U182" s="32" t="n">
        <v>-2.58</v>
      </c>
      <c r="V182" s="32" t="n">
        <v>8.98</v>
      </c>
      <c r="W182" s="32" t="n">
        <v>2.23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IF(B183=0,"",RANK(B183,$B$2:$B$252,0))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LOKESHMACH</t>
        </is>
      </c>
      <c r="D183" s="31" t="inlineStr">
        <is>
          <t>Lokesh Machines Limited</t>
        </is>
      </c>
      <c r="E183" s="31" t="inlineStr">
        <is>
          <t>industrials</t>
        </is>
      </c>
      <c r="F183" s="31" t="inlineStr">
        <is>
          <t>engineering</t>
        </is>
      </c>
      <c r="G183" s="31" t="inlineStr">
        <is>
          <t>smallcap</t>
        </is>
      </c>
      <c r="H183" s="32" t="n">
        <v>993.28</v>
      </c>
      <c r="I183" s="32" t="n">
        <v>465.45</v>
      </c>
      <c r="J183" s="32" t="n">
        <v>2.14</v>
      </c>
      <c r="K183" s="32" t="n">
        <v>252924</v>
      </c>
      <c r="L183" s="31" t="n">
        <v>75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78.73999999999999</v>
      </c>
      <c r="P183" s="32" t="n">
        <v>40.3</v>
      </c>
      <c r="Q183" s="32" t="n">
        <v>350.77</v>
      </c>
      <c r="R183" s="31" t="inlineStr">
        <is>
          <t>Volume Spike &amp; Near 52W High Breakout</t>
        </is>
      </c>
      <c r="S183" s="31" t="inlineStr">
        <is>
          <t>Nifty 50</t>
        </is>
      </c>
      <c r="T183" s="32" t="n">
        <v>-10.61</v>
      </c>
      <c r="U183" s="32" t="n">
        <v>143.37</v>
      </c>
      <c r="V183" s="32" t="n">
        <v>172.25</v>
      </c>
      <c r="W183" s="32" t="n">
        <v>29.2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IF(B184=0,"",RANK(B184,$B$2:$B$252,0))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FINEORG</t>
        </is>
      </c>
      <c r="D184" s="31" t="inlineStr">
        <is>
          <t>Fine Organic Industries Ltd</t>
        </is>
      </c>
      <c r="E184" s="31" t="inlineStr">
        <is>
          <t>chemicals</t>
        </is>
      </c>
      <c r="F184" s="31" t="inlineStr">
        <is>
          <t>chemicals</t>
        </is>
      </c>
      <c r="G184" s="31" t="inlineStr">
        <is>
          <t>midcap</t>
        </is>
      </c>
      <c r="H184" s="32" t="n">
        <v>16976.43</v>
      </c>
      <c r="I184" s="32" t="n">
        <v>5625.5</v>
      </c>
      <c r="J184" s="32" t="n">
        <v>1.6</v>
      </c>
      <c r="K184" s="32" t="n">
        <v>67944</v>
      </c>
      <c r="L184" s="31" t="n">
        <v>21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67.73999999999999</v>
      </c>
      <c r="P184" s="32" t="n">
        <v>15.15</v>
      </c>
      <c r="Q184" s="32" t="n">
        <v>4674.13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-10.61</v>
      </c>
      <c r="U184" s="32" t="n">
        <v>21.04</v>
      </c>
      <c r="V184" s="32" t="n">
        <v>35.4</v>
      </c>
      <c r="W184" s="32" t="n">
        <v>6.78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IF(B185=0,"",RANK(B185,$B$2:$B$252,0))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GMMPFAUDLR</t>
        </is>
      </c>
      <c r="D185" s="31" t="inlineStr">
        <is>
          <t>GMM Pfaudler Ltd</t>
        </is>
      </c>
      <c r="E185" s="31" t="inlineStr">
        <is>
          <t>industrials</t>
        </is>
      </c>
      <c r="F185" s="31" t="inlineStr">
        <is>
          <t>engineering</t>
        </is>
      </c>
      <c r="G185" s="31" t="inlineStr">
        <is>
          <t>midcap</t>
        </is>
      </c>
      <c r="H185" s="32" t="n">
        <v>6409.55</v>
      </c>
      <c r="I185" s="32" t="n">
        <v>1438</v>
      </c>
      <c r="J185" s="32" t="n">
        <v>0.86</v>
      </c>
      <c r="K185" s="32" t="n">
        <v>171982</v>
      </c>
      <c r="L185" s="31" t="n">
        <v>78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75.45999999999999</v>
      </c>
      <c r="P185" s="32" t="n">
        <v>41.03</v>
      </c>
      <c r="Q185" s="32" t="n">
        <v>1219.17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-10.61</v>
      </c>
      <c r="U185" s="32" t="n">
        <v>36.04</v>
      </c>
      <c r="V185" s="32" t="n">
        <v>52.18</v>
      </c>
      <c r="W185" s="32" t="n">
        <v>30.05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IF(B186=0,"",RANK(B186,$B$2:$B$252,0))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MBAPL</t>
        </is>
      </c>
      <c r="D186" s="31" t="inlineStr">
        <is>
          <t>Madhya Bharat Agro Products Ltd</t>
        </is>
      </c>
      <c r="E186" s="31" t="inlineStr">
        <is>
          <t>chemicals</t>
        </is>
      </c>
      <c r="F186" s="31" t="inlineStr">
        <is>
          <t>fertilizers</t>
        </is>
      </c>
      <c r="G186" s="31" t="inlineStr">
        <is>
          <t>smallcap</t>
        </is>
      </c>
      <c r="H186" s="32" t="n">
        <v>1462.93</v>
      </c>
      <c r="I186" s="32" t="n">
        <v>168.02</v>
      </c>
      <c r="J186" s="32" t="n">
        <v>0.64</v>
      </c>
      <c r="K186" s="32" t="n">
        <v>341290</v>
      </c>
      <c r="L186" s="31" t="n">
        <v>61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73.62</v>
      </c>
      <c r="P186" s="32" t="n">
        <v>71.14</v>
      </c>
      <c r="Q186" s="32" t="n">
        <v>135.27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-10.61</v>
      </c>
      <c r="U186" s="32" t="n">
        <v>91.25</v>
      </c>
      <c r="V186" s="32" t="n">
        <v>113.95</v>
      </c>
      <c r="W186" s="32" t="n">
        <v>20.66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More than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IF(B187=0,"",RANK(B187,$B$2:$B$252,0))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PRECWIRE</t>
        </is>
      </c>
      <c r="D187" s="31" t="inlineStr">
        <is>
          <t>Precision Wires India Limited</t>
        </is>
      </c>
      <c r="E187" s="31" t="inlineStr">
        <is>
          <t>metals &amp; mining</t>
        </is>
      </c>
      <c r="F187" s="31" t="inlineStr">
        <is>
          <t>mining / minerals / metals</t>
        </is>
      </c>
      <c r="G187" s="31" t="inlineStr">
        <is>
          <t>midcap</t>
        </is>
      </c>
      <c r="H187" s="32" t="n">
        <v>9417.35</v>
      </c>
      <c r="I187" s="32" t="n">
        <v>516.6</v>
      </c>
      <c r="J187" s="32" t="n">
        <v>0.28</v>
      </c>
      <c r="K187" s="32" t="n">
        <v>455686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67.78</v>
      </c>
      <c r="P187" s="32" t="n">
        <v>37.33</v>
      </c>
      <c r="Q187" s="32" t="n">
        <v>383.05</v>
      </c>
      <c r="R187" s="31" t="inlineStr">
        <is>
          <t>Near 52W High Breakout</t>
        </is>
      </c>
      <c r="S187" s="31" t="inlineStr">
        <is>
          <t>Nifty Metal</t>
        </is>
      </c>
      <c r="T187" s="32" t="inlineStr"/>
      <c r="U187" s="32" t="inlineStr"/>
      <c r="V187" s="32" t="inlineStr"/>
      <c r="W187" s="32" t="inlineStr"/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IF(B188=0,"",RANK(B188,$B$2:$B$252,0))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STLTECH</t>
        </is>
      </c>
      <c r="D188" s="31" t="inlineStr">
        <is>
          <t>Sterlite Technologies Limited</t>
        </is>
      </c>
      <c r="E188" s="31" t="inlineStr">
        <is>
          <t>industrials</t>
        </is>
      </c>
      <c r="F188" s="31" t="inlineStr">
        <is>
          <t>cables - telephone</t>
        </is>
      </c>
      <c r="G188" s="31" t="inlineStr">
        <is>
          <t>largecap</t>
        </is>
      </c>
      <c r="H188" s="32" t="n">
        <v>52247.82</v>
      </c>
      <c r="I188" s="32" t="n">
        <v>1016.8</v>
      </c>
      <c r="J188" s="32" t="n">
        <v>0.01</v>
      </c>
      <c r="K188" s="32" t="n">
        <v>1206624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80.06</v>
      </c>
      <c r="P188" s="32" t="n">
        <v>71.38</v>
      </c>
      <c r="Q188" s="32" t="n">
        <v>750.51</v>
      </c>
      <c r="R188" s="31" t="inlineStr">
        <is>
          <t>Near 52W High Breakout</t>
        </is>
      </c>
      <c r="S188" s="31" t="inlineStr">
        <is>
          <t>Nifty Infra</t>
        </is>
      </c>
      <c r="T188" s="32" t="inlineStr"/>
      <c r="U188" s="32" t="inlineStr"/>
      <c r="V188" s="32" t="inlineStr"/>
      <c r="W188" s="32" t="inlineStr"/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IF(B189=0,"",RANK(B189,$B$2:$B$252,0))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SATIA</t>
        </is>
      </c>
      <c r="D189" s="31" t="inlineStr">
        <is>
          <t>Satia Industries Ltd</t>
        </is>
      </c>
      <c r="E189" s="31" t="inlineStr">
        <is>
          <t>building materials</t>
        </is>
      </c>
      <c r="F189" s="31" t="inlineStr">
        <is>
          <t>paper</t>
        </is>
      </c>
      <c r="G189" s="31" t="inlineStr">
        <is>
          <t>smallcap</t>
        </is>
      </c>
      <c r="H189" s="32" t="n">
        <v>692.6</v>
      </c>
      <c r="I189" s="32" t="n">
        <v>69</v>
      </c>
      <c r="J189" s="32" t="n">
        <v>-0.38</v>
      </c>
      <c r="K189" s="32" t="n">
        <v>97840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60.27</v>
      </c>
      <c r="P189" s="32" t="n">
        <v>12.56</v>
      </c>
      <c r="Q189" s="32" t="n">
        <v>54.03</v>
      </c>
      <c r="R189" s="31" t="inlineStr">
        <is>
          <t>Earnings / Momentum Support</t>
        </is>
      </c>
      <c r="S189" s="31" t="inlineStr">
        <is>
          <t>Nifty Infra</t>
        </is>
      </c>
      <c r="T189" s="32" t="inlineStr"/>
      <c r="U189" s="32" t="inlineStr"/>
      <c r="V189" s="32" t="inlineStr"/>
      <c r="W189" s="32" t="inlineStr"/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IF(B190=0,"",RANK(B190,$B$2:$B$252,0))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RPEL</t>
        </is>
      </c>
      <c r="D190" s="31" t="inlineStr">
        <is>
          <t>Raghav Productivity Enhancers Ltd</t>
        </is>
      </c>
      <c r="E190" s="31" t="inlineStr">
        <is>
          <t>building materials</t>
        </is>
      </c>
      <c r="F190" s="31" t="inlineStr">
        <is>
          <t>refractories / intermediates</t>
        </is>
      </c>
      <c r="G190" s="31" t="inlineStr">
        <is>
          <t>midcap</t>
        </is>
      </c>
      <c r="H190" s="32" t="n">
        <v>8429.43</v>
      </c>
      <c r="I190" s="32" t="n">
        <v>1820.9</v>
      </c>
      <c r="J190" s="32" t="n">
        <v>-0.8</v>
      </c>
      <c r="K190" s="32" t="n">
        <v>249601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74.40000000000001</v>
      </c>
      <c r="P190" s="32" t="n">
        <v>62.12</v>
      </c>
      <c r="Q190" s="32" t="n">
        <v>1353.59</v>
      </c>
      <c r="R190" s="31" t="inlineStr">
        <is>
          <t>Near 52W High Breakout</t>
        </is>
      </c>
      <c r="S190" s="31" t="inlineStr">
        <is>
          <t>Nifty Infra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Between 1.5 to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IF(B191=0,"",RANK(B191,$B$2:$B$252,0))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MANINDS</t>
        </is>
      </c>
      <c r="D191" s="31" t="inlineStr">
        <is>
          <t>Man Industries (india) Limited</t>
        </is>
      </c>
      <c r="E191" s="31" t="inlineStr">
        <is>
          <t>metals &amp; mining</t>
        </is>
      </c>
      <c r="F191" s="31" t="inlineStr">
        <is>
          <t>steel - medium / small</t>
        </is>
      </c>
      <c r="G191" s="31" t="inlineStr">
        <is>
          <t>midcap</t>
        </is>
      </c>
      <c r="H191" s="32" t="n">
        <v>6916.26</v>
      </c>
      <c r="I191" s="32" t="n">
        <v>905.75</v>
      </c>
      <c r="J191" s="32" t="n">
        <v>-1.77</v>
      </c>
      <c r="K191" s="32" t="n">
        <v>333776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69.62</v>
      </c>
      <c r="P191" s="32" t="n">
        <v>45.59</v>
      </c>
      <c r="Q191" s="32" t="n">
        <v>760.7</v>
      </c>
      <c r="R191" s="31" t="inlineStr">
        <is>
          <t>Earnings / Momentum Support</t>
        </is>
      </c>
      <c r="S191" s="31" t="inlineStr">
        <is>
          <t>Nifty Metal</t>
        </is>
      </c>
      <c r="T191" s="32" t="inlineStr"/>
      <c r="U191" s="32" t="inlineStr"/>
      <c r="V191" s="32" t="inlineStr"/>
      <c r="W191" s="32" t="inlineStr"/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Cyclical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Volatile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IF(B192=0,"",RANK(B192,$B$2:$B$252,0))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MANALIPETC</t>
        </is>
      </c>
      <c r="D192" s="31" t="inlineStr">
        <is>
          <t>Manali Petrochemicals Limited</t>
        </is>
      </c>
      <c r="E192" s="31" t="inlineStr">
        <is>
          <t>energy</t>
        </is>
      </c>
      <c r="F192" s="31" t="inlineStr">
        <is>
          <t>petrochemicals</t>
        </is>
      </c>
      <c r="G192" s="31" t="inlineStr">
        <is>
          <t>smallcap</t>
        </is>
      </c>
      <c r="H192" s="32" t="n">
        <v>1588.58</v>
      </c>
      <c r="I192" s="32" t="n">
        <v>90.48</v>
      </c>
      <c r="J192" s="32" t="n">
        <v>-2.04</v>
      </c>
      <c r="K192" s="32" t="n">
        <v>3975432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69.77</v>
      </c>
      <c r="P192" s="32" t="n">
        <v>44.81</v>
      </c>
      <c r="Q192" s="32" t="n">
        <v>65.77</v>
      </c>
      <c r="R192" s="31" t="inlineStr">
        <is>
          <t>Near 52W High Breakout</t>
        </is>
      </c>
      <c r="S192" s="31" t="inlineStr">
        <is>
          <t>Nifty Energy</t>
        </is>
      </c>
      <c r="T192" s="32" t="inlineStr"/>
      <c r="U192" s="32" t="inlineStr"/>
      <c r="V192" s="32" t="inlineStr"/>
      <c r="W192" s="32" t="inlineStr"/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Oligopoly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Volatile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IF(B193=0,"",RANK(B193,$B$2:$B$252,0))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KOPRAN</t>
        </is>
      </c>
      <c r="D193" s="31" t="inlineStr">
        <is>
          <t>Kopran Limited</t>
        </is>
      </c>
      <c r="E193" s="31" t="inlineStr">
        <is>
          <t>healthcare</t>
        </is>
      </c>
      <c r="F193" s="31" t="inlineStr">
        <is>
          <t>pharmaceuticals - indian - bulk drugs &amp; formln</t>
        </is>
      </c>
      <c r="G193" s="31" t="inlineStr">
        <is>
          <t>smallcap</t>
        </is>
      </c>
      <c r="H193" s="32" t="n">
        <v>1301.78</v>
      </c>
      <c r="I193" s="32" t="n">
        <v>276.5</v>
      </c>
      <c r="J193" s="32" t="n">
        <v>2.56</v>
      </c>
      <c r="K193" s="32" t="n">
        <v>300819</v>
      </c>
      <c r="L193" s="31" t="n">
        <v>60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75.27</v>
      </c>
      <c r="P193" s="32" t="n">
        <v>45.75</v>
      </c>
      <c r="Q193" s="32" t="n">
        <v>214.34</v>
      </c>
      <c r="R193" s="31" t="inlineStr">
        <is>
          <t>Near 52W High Breakout</t>
        </is>
      </c>
      <c r="S193" s="31" t="inlineStr">
        <is>
          <t>Nifty Pharma</t>
        </is>
      </c>
      <c r="T193" s="32" t="n">
        <v>18.99</v>
      </c>
      <c r="U193" s="32" t="n">
        <v>62.1</v>
      </c>
      <c r="V193" s="32" t="n">
        <v>36.24</v>
      </c>
      <c r="W193" s="32" t="n">
        <v>20.47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IF(B194=0,"",RANK(B194,$B$2:$B$252,0))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INDGN</t>
        </is>
      </c>
      <c r="D194" s="33" t="inlineStr">
        <is>
          <t>Indegene Ltd</t>
        </is>
      </c>
      <c r="E194" s="31" t="inlineStr">
        <is>
          <t>healthcare</t>
        </is>
      </c>
      <c r="F194" s="31" t="inlineStr">
        <is>
          <t>miscellaneous</t>
        </is>
      </c>
      <c r="G194" s="31" t="inlineStr">
        <is>
          <t>midcap</t>
        </is>
      </c>
      <c r="H194" s="32" t="n">
        <v>14368.11</v>
      </c>
      <c r="I194" s="32" t="n">
        <v>607.1</v>
      </c>
      <c r="J194" s="32" t="n">
        <v>1.81</v>
      </c>
      <c r="K194" s="32" t="n">
        <v>424853</v>
      </c>
      <c r="L194" s="31" t="n">
        <v>19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65.22</v>
      </c>
      <c r="P194" s="32" t="n">
        <v>24.38</v>
      </c>
      <c r="Q194" s="32" t="n">
        <v>504.88</v>
      </c>
      <c r="R194" s="31" t="inlineStr">
        <is>
          <t>Near 52W High Breakout</t>
        </is>
      </c>
      <c r="S194" s="31" t="inlineStr">
        <is>
          <t>Nifty Pharma</t>
        </is>
      </c>
      <c r="T194" s="32" t="n">
        <v>18.99</v>
      </c>
      <c r="U194" s="32" t="n">
        <v>9.539999999999999</v>
      </c>
      <c r="V194" s="32" t="n">
        <v>-7.94</v>
      </c>
      <c r="W194" s="32" t="n">
        <v>6.22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Yes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IF(B195=0,"",RANK(B195,$B$2:$B$252,0))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CYIENT</t>
        </is>
      </c>
      <c r="D195" s="31" t="inlineStr">
        <is>
          <t>Cyient Limited</t>
        </is>
      </c>
      <c r="E195" s="31" t="inlineStr">
        <is>
          <t>i.t</t>
        </is>
      </c>
      <c r="F195" s="31" t="inlineStr">
        <is>
          <t>computers - software - medium / small</t>
        </is>
      </c>
      <c r="G195" s="31" t="inlineStr">
        <is>
          <t>midcap</t>
        </is>
      </c>
      <c r="H195" s="32" t="n">
        <v>11724.8</v>
      </c>
      <c r="I195" s="32" t="n">
        <v>1115</v>
      </c>
      <c r="J195" s="32" t="n">
        <v>-0.39</v>
      </c>
      <c r="K195" s="32" t="n">
        <v>259473</v>
      </c>
      <c r="L195" s="31" t="n">
        <v>22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65.91</v>
      </c>
      <c r="P195" s="32" t="n">
        <v>26.9</v>
      </c>
      <c r="Q195" s="32" t="n">
        <v>882.84</v>
      </c>
      <c r="R195" s="31" t="inlineStr">
        <is>
          <t>Earnings / Momentum Support</t>
        </is>
      </c>
      <c r="S195" s="31" t="inlineStr">
        <is>
          <t>Nifty IT</t>
        </is>
      </c>
      <c r="T195" s="32" t="n">
        <v>-22.05</v>
      </c>
      <c r="U195" s="32" t="n">
        <v>-3.99</v>
      </c>
      <c r="V195" s="32" t="n">
        <v>23.16</v>
      </c>
      <c r="W195" s="32" t="n">
        <v>7.17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IF(B196=0,"",RANK(B196,$B$2:$B$252,0))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MUKANDLTD</t>
        </is>
      </c>
      <c r="D196" s="31" t="inlineStr">
        <is>
          <t>Mukand Limited</t>
        </is>
      </c>
      <c r="E196" s="31" t="inlineStr">
        <is>
          <t>metals &amp; mining</t>
        </is>
      </c>
      <c r="F196" s="31" t="inlineStr">
        <is>
          <t>steel - medium / small</t>
        </is>
      </c>
      <c r="G196" s="31" t="inlineStr">
        <is>
          <t>smallcap</t>
        </is>
      </c>
      <c r="H196" s="32" t="n">
        <v>2623.32</v>
      </c>
      <c r="I196" s="32" t="n">
        <v>185.92</v>
      </c>
      <c r="J196" s="32" t="n">
        <v>2.41</v>
      </c>
      <c r="K196" s="32" t="n">
        <v>781279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75.63</v>
      </c>
      <c r="P196" s="32" t="n">
        <v>42.96</v>
      </c>
      <c r="Q196" s="32" t="n">
        <v>148.33</v>
      </c>
      <c r="R196" s="31" t="inlineStr">
        <is>
          <t>Volume Spike &amp; Near 52W High Breakout</t>
        </is>
      </c>
      <c r="S196" s="31" t="inlineStr">
        <is>
          <t>Nifty Metal</t>
        </is>
      </c>
      <c r="T196" s="32" t="inlineStr"/>
      <c r="U196" s="32" t="inlineStr"/>
      <c r="V196" s="32" t="inlineStr"/>
      <c r="W196" s="32" t="inlineStr"/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Cyclical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Volatile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IF(B197=0,"",RANK(B197,$B$2:$B$252,0))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TEGA</t>
        </is>
      </c>
      <c r="D197" s="31" t="inlineStr">
        <is>
          <t>Tega Industries Ltd</t>
        </is>
      </c>
      <c r="E197" s="31" t="inlineStr">
        <is>
          <t>industrials</t>
        </is>
      </c>
      <c r="F197" s="31" t="inlineStr">
        <is>
          <t>engineering</t>
        </is>
      </c>
      <c r="G197" s="31" t="inlineStr">
        <is>
          <t>midcap</t>
        </is>
      </c>
      <c r="H197" s="32" t="n">
        <v>15720.47</v>
      </c>
      <c r="I197" s="32" t="n">
        <v>2123.6</v>
      </c>
      <c r="J197" s="32" t="n">
        <v>1.49</v>
      </c>
      <c r="K197" s="32" t="n">
        <v>488724</v>
      </c>
      <c r="L197" s="31" t="n">
        <v>25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66.3</v>
      </c>
      <c r="P197" s="32" t="n">
        <v>17.58</v>
      </c>
      <c r="Q197" s="32" t="n">
        <v>1629.29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-10.61</v>
      </c>
      <c r="U197" s="32" t="n">
        <v>9.32</v>
      </c>
      <c r="V197" s="32" t="n">
        <v>22.29</v>
      </c>
      <c r="W197" s="32" t="n">
        <v>7.99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IF(B198=0,"",RANK(B198,$B$2:$B$252,0))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LLOYDSENT</t>
        </is>
      </c>
      <c r="D198" s="31" t="inlineStr">
        <is>
          <t>Lloyds Enterprises Ltd</t>
        </is>
      </c>
      <c r="E198" s="31" t="inlineStr">
        <is>
          <t>services</t>
        </is>
      </c>
      <c r="F198" s="31" t="inlineStr">
        <is>
          <t>trading</t>
        </is>
      </c>
      <c r="G198" s="31" t="inlineStr">
        <is>
          <t>midcap</t>
        </is>
      </c>
      <c r="H198" s="32" t="n">
        <v>12033.81</v>
      </c>
      <c r="I198" s="32" t="n">
        <v>78.98</v>
      </c>
      <c r="J198" s="32" t="n">
        <v>0.19</v>
      </c>
      <c r="K198" s="32" t="n">
        <v>1865814</v>
      </c>
      <c r="L198" s="31" t="n">
        <v>11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57.64</v>
      </c>
      <c r="P198" s="32" t="n">
        <v>30.99</v>
      </c>
      <c r="Q198" s="32" t="n">
        <v>62.93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-10.61</v>
      </c>
      <c r="U198" s="32" t="n">
        <v>12.04</v>
      </c>
      <c r="V198" s="32" t="n">
        <v>25.34</v>
      </c>
      <c r="W198" s="32" t="n">
        <v>3.5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IF(B199=0,"",RANK(B199,$B$2:$B$252,0))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ASTRAMICRO</t>
        </is>
      </c>
      <c r="D199" s="31" t="inlineStr">
        <is>
          <t>Astra Microwave Products Limited</t>
        </is>
      </c>
      <c r="E199" s="31" t="inlineStr">
        <is>
          <t>aerospace &amp; defence</t>
        </is>
      </c>
      <c r="F199" s="31" t="inlineStr">
        <is>
          <t>telecommunications - equipment</t>
        </is>
      </c>
      <c r="G199" s="31" t="inlineStr">
        <is>
          <t>midcap</t>
        </is>
      </c>
      <c r="H199" s="32" t="n">
        <v>16196.67</v>
      </c>
      <c r="I199" s="32" t="n">
        <v>1701.1</v>
      </c>
      <c r="J199" s="32" t="n">
        <v>-0.28</v>
      </c>
      <c r="K199" s="32" t="n">
        <v>197596</v>
      </c>
      <c r="L199" s="31" t="n">
        <v>37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61.58</v>
      </c>
      <c r="P199" s="32" t="n">
        <v>42.03</v>
      </c>
      <c r="Q199" s="32" t="n">
        <v>1487.2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-10.61</v>
      </c>
      <c r="U199" s="32" t="n">
        <v>56.2</v>
      </c>
      <c r="V199" s="32" t="n">
        <v>74.73999999999999</v>
      </c>
      <c r="W199" s="32" t="n">
        <v>11.98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Oligopoly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IF(B200=0,"",RANK(B200,$B$2:$B$252,0))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INDOAMIN</t>
        </is>
      </c>
      <c r="D200" s="31" t="inlineStr">
        <is>
          <t>Indo Amines Ltd</t>
        </is>
      </c>
      <c r="E200" s="31" t="inlineStr">
        <is>
          <t>chemicals</t>
        </is>
      </c>
      <c r="F200" s="31" t="inlineStr">
        <is>
          <t>chemicals</t>
        </is>
      </c>
      <c r="G200" s="31" t="inlineStr">
        <is>
          <t>smallcap</t>
        </is>
      </c>
      <c r="H200" s="32" t="n">
        <v>1169.82</v>
      </c>
      <c r="I200" s="32" t="n">
        <v>157.97</v>
      </c>
      <c r="J200" s="32" t="n">
        <v>-1.98</v>
      </c>
      <c r="K200" s="32" t="n">
        <v>978954</v>
      </c>
      <c r="L200" s="31" t="n">
        <v>27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70.67</v>
      </c>
      <c r="P200" s="32" t="n">
        <v>24.44</v>
      </c>
      <c r="Q200" s="32" t="n">
        <v>118.71</v>
      </c>
      <c r="R200" s="31" t="inlineStr">
        <is>
          <t>Volume Spike &amp; Near 52W High Breakout</t>
        </is>
      </c>
      <c r="S200" s="31" t="inlineStr">
        <is>
          <t>Nifty 50</t>
        </is>
      </c>
      <c r="T200" s="32" t="n">
        <v>-10.61</v>
      </c>
      <c r="U200" s="32" t="n">
        <v>16.29</v>
      </c>
      <c r="V200" s="32" t="n">
        <v>30.1</v>
      </c>
      <c r="W200" s="32" t="n">
        <v>9.1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IF(B201=0,"",RANK(B201,$B$2:$B$252,0))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AMANTA</t>
        </is>
      </c>
      <c r="D201" s="31" t="inlineStr">
        <is>
          <t>Amanta Healthcare Ltd</t>
        </is>
      </c>
      <c r="E201" s="31" t="inlineStr">
        <is>
          <t>healthcare</t>
        </is>
      </c>
      <c r="F201" s="31" t="inlineStr">
        <is>
          <t>pharmaceuticals - indian - bulk drugs &amp; formln</t>
        </is>
      </c>
      <c r="G201" s="31" t="inlineStr">
        <is>
          <t>smallcap</t>
        </is>
      </c>
      <c r="H201" s="32" t="n">
        <v>767.58</v>
      </c>
      <c r="I201" s="32" t="n">
        <v>207.08</v>
      </c>
      <c r="J201" s="32" t="n">
        <v>4.76</v>
      </c>
      <c r="K201" s="32" t="n">
        <v>187306</v>
      </c>
      <c r="L201" s="31" t="n">
        <v>43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69.13</v>
      </c>
      <c r="P201" s="32" t="n">
        <v>37.17</v>
      </c>
      <c r="Q201" s="32" t="n">
        <v>160.94</v>
      </c>
      <c r="R201" s="31" t="inlineStr">
        <is>
          <t>Near 52W High Breakout</t>
        </is>
      </c>
      <c r="S201" s="31" t="inlineStr">
        <is>
          <t>Nifty Pharma</t>
        </is>
      </c>
      <c r="T201" s="32" t="n">
        <v>18.99</v>
      </c>
      <c r="U201" s="32" t="n">
        <v>54.47</v>
      </c>
      <c r="V201" s="32" t="n">
        <v>29.82</v>
      </c>
      <c r="W201" s="32" t="n">
        <v>15.03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IF(B202=0,"",RANK(B202,$B$2:$B$252,0))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APOLLO</t>
        </is>
      </c>
      <c r="D202" s="31" t="inlineStr">
        <is>
          <t>Apollo Micro Systems Ltd</t>
        </is>
      </c>
      <c r="E202" s="31" t="inlineStr">
        <is>
          <t>aerospace &amp; defence</t>
        </is>
      </c>
      <c r="F202" s="31" t="inlineStr">
        <is>
          <t>electronics - components</t>
        </is>
      </c>
      <c r="G202" s="31" t="inlineStr">
        <is>
          <t>midcap</t>
        </is>
      </c>
      <c r="H202" s="32" t="n">
        <v>15163.12</v>
      </c>
      <c r="I202" s="32" t="n">
        <v>414.75</v>
      </c>
      <c r="J202" s="32" t="n">
        <v>1.64</v>
      </c>
      <c r="K202" s="32" t="n">
        <v>9053893</v>
      </c>
      <c r="L202" s="31" t="n">
        <v>30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58.85</v>
      </c>
      <c r="P202" s="32" t="n">
        <v>30.1</v>
      </c>
      <c r="Q202" s="32" t="n">
        <v>312.32</v>
      </c>
      <c r="R202" s="31" t="inlineStr">
        <is>
          <t>Earnings / Momentum Support</t>
        </is>
      </c>
      <c r="S202" s="31" t="inlineStr">
        <is>
          <t>Nifty 50</t>
        </is>
      </c>
      <c r="T202" s="32" t="n">
        <v>-10.61</v>
      </c>
      <c r="U202" s="32" t="n">
        <v>30.71</v>
      </c>
      <c r="V202" s="32" t="n">
        <v>46.22</v>
      </c>
      <c r="W202" s="32" t="n">
        <v>9.83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Oligopoly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Fully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Yes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Between 1.5 to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IF(B203=0,"",RANK(B203,$B$2:$B$252,0))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GPTINFRA</t>
        </is>
      </c>
      <c r="D203" s="31" t="inlineStr">
        <is>
          <t>Gpt Infraprojects Limited</t>
        </is>
      </c>
      <c r="E203" s="31" t="inlineStr">
        <is>
          <t>realty</t>
        </is>
      </c>
      <c r="F203" s="31" t="inlineStr">
        <is>
          <t>construction</t>
        </is>
      </c>
      <c r="G203" s="31" t="inlineStr">
        <is>
          <t>smallcap</t>
        </is>
      </c>
      <c r="H203" s="32" t="n">
        <v>1536.85</v>
      </c>
      <c r="I203" s="32" t="n">
        <v>130.06</v>
      </c>
      <c r="J203" s="32" t="n">
        <v>6.94</v>
      </c>
      <c r="K203" s="32" t="n">
        <v>1834242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63.65</v>
      </c>
      <c r="P203" s="32" t="n">
        <v>16.46</v>
      </c>
      <c r="Q203" s="32" t="n">
        <v>100.52</v>
      </c>
      <c r="R203" s="31" t="inlineStr">
        <is>
          <t>Volume Spike &amp; Near 52W High Breakout</t>
        </is>
      </c>
      <c r="S203" s="31" t="inlineStr">
        <is>
          <t>Nifty Realty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IF(B204=0,"",RANK(B204,$B$2:$B$252,0))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FAIRCHEMOR</t>
        </is>
      </c>
      <c r="D204" s="31" t="inlineStr">
        <is>
          <t>Fairchem Organics Ltd</t>
        </is>
      </c>
      <c r="E204" s="31" t="inlineStr">
        <is>
          <t>chemicals</t>
        </is>
      </c>
      <c r="F204" s="31" t="inlineStr">
        <is>
          <t>chemicals</t>
        </is>
      </c>
      <c r="G204" s="31" t="inlineStr">
        <is>
          <t>smallcap</t>
        </is>
      </c>
      <c r="H204" s="32" t="n">
        <v>855.64</v>
      </c>
      <c r="I204" s="32" t="n">
        <v>703.85</v>
      </c>
      <c r="J204" s="32" t="n">
        <v>3.61</v>
      </c>
      <c r="K204" s="32" t="n">
        <v>129286</v>
      </c>
      <c r="L204" s="31" t="n">
        <v>2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55.12</v>
      </c>
      <c r="P204" s="32" t="n">
        <v>23.68</v>
      </c>
      <c r="Q204" s="32" t="n">
        <v>615.11</v>
      </c>
      <c r="R204" s="31" t="inlineStr">
        <is>
          <t>Volume Spike / Accumulation</t>
        </is>
      </c>
      <c r="S204" s="31" t="inlineStr">
        <is>
          <t>Nifty 50</t>
        </is>
      </c>
      <c r="T204" s="32" t="n">
        <v>-10.61</v>
      </c>
      <c r="U204" s="32" t="n">
        <v>-9.44</v>
      </c>
      <c r="V204" s="32" t="n">
        <v>1.3</v>
      </c>
      <c r="W204" s="32" t="n">
        <v>0.16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1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IF(B205=0,"",RANK(B205,$B$2:$B$252,0))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MTARTECH</t>
        </is>
      </c>
      <c r="D205" s="31" t="inlineStr">
        <is>
          <t>MTAR Technologies Ltd</t>
        </is>
      </c>
      <c r="E205" s="31" t="inlineStr">
        <is>
          <t>aerospace &amp; defence</t>
        </is>
      </c>
      <c r="F205" s="31" t="inlineStr">
        <is>
          <t>engineering</t>
        </is>
      </c>
      <c r="G205" s="31" t="inlineStr">
        <is>
          <t>largecap</t>
        </is>
      </c>
      <c r="H205" s="32" t="n">
        <v>23741.79</v>
      </c>
      <c r="I205" s="32" t="n">
        <v>7864.5</v>
      </c>
      <c r="J205" s="32" t="n">
        <v>1.89</v>
      </c>
      <c r="K205" s="32" t="n">
        <v>111087</v>
      </c>
      <c r="L205" s="31" t="n">
        <v>89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64.59</v>
      </c>
      <c r="P205" s="32" t="n">
        <v>18.24</v>
      </c>
      <c r="Q205" s="32" t="n">
        <v>5536.1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-10.61</v>
      </c>
      <c r="U205" s="32" t="n">
        <v>318.17</v>
      </c>
      <c r="V205" s="32" t="n">
        <v>367.79</v>
      </c>
      <c r="W205" s="32" t="n">
        <v>37.97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IF(B206=0,"",RANK(B206,$B$2:$B$252,0))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GLOBAL</t>
        </is>
      </c>
      <c r="D206" s="31" t="inlineStr">
        <is>
          <t>Global Education Ltd</t>
        </is>
      </c>
      <c r="E206" s="31" t="inlineStr">
        <is>
          <t>services</t>
        </is>
      </c>
      <c r="F206" s="31" t="inlineStr">
        <is>
          <t>miscellaneous</t>
        </is>
      </c>
      <c r="G206" s="31" t="inlineStr">
        <is>
          <t>smallcap</t>
        </is>
      </c>
      <c r="H206" s="32" t="n">
        <v>725.96</v>
      </c>
      <c r="I206" s="32" t="n">
        <v>144.79</v>
      </c>
      <c r="J206" s="32" t="n">
        <v>1.52</v>
      </c>
      <c r="K206" s="32" t="n">
        <v>84933</v>
      </c>
      <c r="L206" s="31" t="n">
        <v>75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79.16</v>
      </c>
      <c r="P206" s="32" t="n">
        <v>33.33</v>
      </c>
      <c r="Q206" s="32" t="n">
        <v>113.01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-10.61</v>
      </c>
      <c r="U206" s="32" t="n">
        <v>136.45</v>
      </c>
      <c r="V206" s="32" t="n">
        <v>164.51</v>
      </c>
      <c r="W206" s="32" t="n">
        <v>28.37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IF(B207=0,"",RANK(B207,$B$2:$B$252,0))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UDS</t>
        </is>
      </c>
      <c r="D207" s="33" t="inlineStr">
        <is>
          <t>Updater Services Ltd</t>
        </is>
      </c>
      <c r="E207" s="31" t="inlineStr">
        <is>
          <t>miscellaneous</t>
        </is>
      </c>
      <c r="F207" s="31" t="inlineStr">
        <is>
          <t>miscellaneous</t>
        </is>
      </c>
      <c r="G207" s="31" t="inlineStr">
        <is>
          <t>smallcap</t>
        </is>
      </c>
      <c r="H207" s="32" t="n">
        <v>1442.17</v>
      </c>
      <c r="I207" s="32" t="n">
        <v>218.11</v>
      </c>
      <c r="J207" s="32" t="n">
        <v>1.26</v>
      </c>
      <c r="K207" s="32" t="n">
        <v>108092</v>
      </c>
      <c r="L207" s="31" t="n">
        <v>6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58</v>
      </c>
      <c r="P207" s="32" t="n">
        <v>37.4</v>
      </c>
      <c r="Q207" s="32" t="n">
        <v>187.11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-10.61</v>
      </c>
      <c r="U207" s="32" t="n">
        <v>-10.65</v>
      </c>
      <c r="V207" s="32" t="n">
        <v>-0.04</v>
      </c>
      <c r="W207" s="32" t="n">
        <v>2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IF(B208=0,"",RANK(B208,$B$2:$B$252,0))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ROSSTECH</t>
        </is>
      </c>
      <c r="D208" s="31" t="inlineStr">
        <is>
          <t>Rossell Techsys Ltd</t>
        </is>
      </c>
      <c r="E208" s="31" t="inlineStr">
        <is>
          <t>aerospace &amp; defence</t>
        </is>
      </c>
      <c r="F208" s="31" t="inlineStr">
        <is>
          <t>engineering</t>
        </is>
      </c>
      <c r="G208" s="31" t="inlineStr">
        <is>
          <t>midcap</t>
        </is>
      </c>
      <c r="H208" s="32" t="n">
        <v>6077.05</v>
      </c>
      <c r="I208" s="32" t="n">
        <v>1622.4</v>
      </c>
      <c r="J208" s="32" t="n">
        <v>0.64</v>
      </c>
      <c r="K208" s="32" t="n">
        <v>141894</v>
      </c>
      <c r="L208" s="31" t="n">
        <v>85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82.98999999999999</v>
      </c>
      <c r="P208" s="32" t="n">
        <v>35.2</v>
      </c>
      <c r="Q208" s="32" t="n">
        <v>1220.25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-10.61</v>
      </c>
      <c r="U208" s="32" t="n">
        <v>132.79</v>
      </c>
      <c r="V208" s="32" t="n">
        <v>160.41</v>
      </c>
      <c r="W208" s="32" t="n">
        <v>34.65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Above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More than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IF(B209=0,"",RANK(B209,$B$2:$B$252,0))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PREMEXPLN</t>
        </is>
      </c>
      <c r="D209" s="31" t="inlineStr">
        <is>
          <t>Premier Explosives Limited</t>
        </is>
      </c>
      <c r="E209" s="31" t="inlineStr">
        <is>
          <t>aerospace &amp; defence</t>
        </is>
      </c>
      <c r="F209" s="31" t="inlineStr">
        <is>
          <t>chemicals</t>
        </is>
      </c>
      <c r="G209" s="31" t="inlineStr">
        <is>
          <t>smallcap</t>
        </is>
      </c>
      <c r="H209" s="32" t="n">
        <v>3683.18</v>
      </c>
      <c r="I209" s="32" t="n">
        <v>687.05</v>
      </c>
      <c r="J209" s="32" t="n">
        <v>0.28</v>
      </c>
      <c r="K209" s="32" t="n">
        <v>200274</v>
      </c>
      <c r="L209" s="31" t="n">
        <v>10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59.09</v>
      </c>
      <c r="P209" s="32" t="n">
        <v>30.8</v>
      </c>
      <c r="Q209" s="32" t="n">
        <v>559.62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-10.61</v>
      </c>
      <c r="U209" s="32" t="n">
        <v>4.54</v>
      </c>
      <c r="V209" s="32" t="n">
        <v>16.95</v>
      </c>
      <c r="W209" s="32" t="n">
        <v>3.41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IF(B210=0,"",RANK(B210,$B$2:$B$252,0))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SBC</t>
        </is>
      </c>
      <c r="D210" s="31" t="inlineStr">
        <is>
          <t>SBC Exports Ltd</t>
        </is>
      </c>
      <c r="E210" s="31" t="inlineStr">
        <is>
          <t>textiles</t>
        </is>
      </c>
      <c r="F210" s="31" t="inlineStr">
        <is>
          <t>textiles - products</t>
        </is>
      </c>
      <c r="G210" s="31" t="inlineStr">
        <is>
          <t>smallcap</t>
        </is>
      </c>
      <c r="H210" s="32" t="n">
        <v>2938.09</v>
      </c>
      <c r="I210" s="32" t="n">
        <v>61.77</v>
      </c>
      <c r="J210" s="32" t="n">
        <v>0.11</v>
      </c>
      <c r="K210" s="32" t="n">
        <v>13158768</v>
      </c>
      <c r="L210" s="31" t="n">
        <v>81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86.31999999999999</v>
      </c>
      <c r="P210" s="32" t="n">
        <v>32.35</v>
      </c>
      <c r="Q210" s="32" t="n">
        <v>50.64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-10.61</v>
      </c>
      <c r="U210" s="32" t="n">
        <v>171.52</v>
      </c>
      <c r="V210" s="32" t="n">
        <v>203.74</v>
      </c>
      <c r="W210" s="32" t="n">
        <v>32.19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Above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IF(B211=0,"",RANK(B211,$B$2:$B$252,0))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VENUSPIPES</t>
        </is>
      </c>
      <c r="D211" s="31" t="inlineStr">
        <is>
          <t>Venus Pipes &amp; Tubes Ltd</t>
        </is>
      </c>
      <c r="E211" s="31" t="inlineStr">
        <is>
          <t>metals &amp; mining</t>
        </is>
      </c>
      <c r="F211" s="31" t="inlineStr">
        <is>
          <t>steel - medium / small</t>
        </is>
      </c>
      <c r="G211" s="31" t="inlineStr">
        <is>
          <t>smallcap</t>
        </is>
      </c>
      <c r="H211" s="32" t="n">
        <v>4641.03</v>
      </c>
      <c r="I211" s="32" t="n">
        <v>2238.5</v>
      </c>
      <c r="J211" s="32" t="n">
        <v>-0.08</v>
      </c>
      <c r="K211" s="32" t="n">
        <v>114368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73.66</v>
      </c>
      <c r="P211" s="32" t="n">
        <v>40.89</v>
      </c>
      <c r="Q211" s="32" t="n">
        <v>1778.64</v>
      </c>
      <c r="R211" s="31" t="inlineStr">
        <is>
          <t>Near 52W High Breakout</t>
        </is>
      </c>
      <c r="S211" s="31" t="inlineStr">
        <is>
          <t>Nifty Metal</t>
        </is>
      </c>
      <c r="T211" s="32" t="inlineStr"/>
      <c r="U211" s="32" t="inlineStr"/>
      <c r="V211" s="32" t="inlineStr"/>
      <c r="W211" s="32" t="inlineStr"/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Cyclical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Volatile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IF(B212=0,"",RANK(B212,$B$2:$B$252,0))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SANATHAN</t>
        </is>
      </c>
      <c r="D212" s="31" t="inlineStr">
        <is>
          <t>Sanathan Textiles Ltd</t>
        </is>
      </c>
      <c r="E212" s="31" t="inlineStr">
        <is>
          <t>textiles</t>
        </is>
      </c>
      <c r="F212" s="31" t="inlineStr">
        <is>
          <t>textiles - cotton/blended</t>
        </is>
      </c>
      <c r="G212" s="31" t="inlineStr">
        <is>
          <t>smallcap</t>
        </is>
      </c>
      <c r="H212" s="32" t="n">
        <v>4436.7</v>
      </c>
      <c r="I212" s="32" t="n">
        <v>522.85</v>
      </c>
      <c r="J212" s="32" t="n">
        <v>-0.53</v>
      </c>
      <c r="K212" s="32" t="n">
        <v>33869</v>
      </c>
      <c r="L212" s="31" t="n">
        <v>14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66.22</v>
      </c>
      <c r="P212" s="32" t="n">
        <v>23.79</v>
      </c>
      <c r="Q212" s="32" t="n">
        <v>403.41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-10.61</v>
      </c>
      <c r="U212" s="32" t="n">
        <v>4.57</v>
      </c>
      <c r="V212" s="32" t="n">
        <v>16.98</v>
      </c>
      <c r="W212" s="32" t="n">
        <v>4.91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IF(B213=0,"",RANK(B213,$B$2:$B$252,0))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BIRLACABLE</t>
        </is>
      </c>
      <c r="D213" s="31" t="inlineStr">
        <is>
          <t>Birla Cable Limited</t>
        </is>
      </c>
      <c r="E213" s="31" t="inlineStr">
        <is>
          <t>industrials</t>
        </is>
      </c>
      <c r="F213" s="31" t="inlineStr">
        <is>
          <t>cables - telephone</t>
        </is>
      </c>
      <c r="G213" s="31" t="inlineStr">
        <is>
          <t>smallcap</t>
        </is>
      </c>
      <c r="H213" s="32" t="n">
        <v>1186.35</v>
      </c>
      <c r="I213" s="32" t="n">
        <v>385.05</v>
      </c>
      <c r="J213" s="32" t="n">
        <v>-2.63</v>
      </c>
      <c r="K213" s="32" t="n">
        <v>529869</v>
      </c>
      <c r="L213" s="31" t="inlineStr"/>
      <c r="M213" s="31" t="inlineStr"/>
      <c r="N213" s="32">
        <f>IF(M213="Underperforming",-5,IF(L213&gt;=95,15,IF(L213&gt;=90,10,IF(L213&gt;=80,5,0))))</f>
        <v/>
      </c>
      <c r="O213" s="32" t="n">
        <v>71.77</v>
      </c>
      <c r="P213" s="32" t="n">
        <v>54.8</v>
      </c>
      <c r="Q213" s="32" t="n">
        <v>291.51</v>
      </c>
      <c r="R213" s="31" t="inlineStr">
        <is>
          <t>Earnings / Momentum Support</t>
        </is>
      </c>
      <c r="S213" s="31" t="inlineStr">
        <is>
          <t>Nifty Infra</t>
        </is>
      </c>
      <c r="T213" s="32" t="inlineStr"/>
      <c r="U213" s="32" t="inlineStr"/>
      <c r="V213" s="32" t="inlineStr"/>
      <c r="W213" s="32" t="inlineStr"/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IF(B214=0,"",RANK(B214,$B$2:$B$252,0))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INDIAGLYCO</t>
        </is>
      </c>
      <c r="D214" s="31" t="inlineStr">
        <is>
          <t>India Glycols Limited</t>
        </is>
      </c>
      <c r="E214" s="31" t="inlineStr">
        <is>
          <t>fmcg</t>
        </is>
      </c>
      <c r="F214" s="31" t="inlineStr">
        <is>
          <t>breweries &amp; distilleries</t>
        </is>
      </c>
      <c r="G214" s="31" t="inlineStr">
        <is>
          <t>smallcap</t>
        </is>
      </c>
      <c r="H214" s="32" t="n">
        <v>2137.82</v>
      </c>
      <c r="I214" s="32" t="n">
        <v>382.7</v>
      </c>
      <c r="J214" s="32" t="n">
        <v>19.99</v>
      </c>
      <c r="K214" s="32" t="n">
        <v>9155076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32.16</v>
      </c>
      <c r="P214" s="32" t="n">
        <v>40.99</v>
      </c>
      <c r="Q214" s="32" t="n">
        <v>816.14</v>
      </c>
      <c r="R214" s="31" t="inlineStr">
        <is>
          <t>Volume Spike / Accumulation</t>
        </is>
      </c>
      <c r="S214" s="31" t="inlineStr">
        <is>
          <t>Nifty FMCG</t>
        </is>
      </c>
      <c r="T214" s="32" t="inlineStr"/>
      <c r="U214" s="32" t="inlineStr"/>
      <c r="V214" s="32" t="inlineStr"/>
      <c r="W214" s="32" t="inlineStr"/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B2C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Below 45</t>
        </is>
      </c>
      <c r="BA214" s="31">
        <f>IF(AZ214="Between 50 to 75",10,IF(AZ214="Above 75",0,0))</f>
        <v/>
      </c>
      <c r="BB214" s="31" t="inlineStr">
        <is>
          <t>Stage 4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No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IF(B215=0,"",RANK(B215,$B$2:$B$252,0))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ASAHIINDIA</t>
        </is>
      </c>
      <c r="D215" s="31" t="inlineStr">
        <is>
          <t>Asahi India Glass Limited</t>
        </is>
      </c>
      <c r="E215" s="31" t="inlineStr">
        <is>
          <t>building materials</t>
        </is>
      </c>
      <c r="F215" s="31" t="inlineStr">
        <is>
          <t>glass &amp; glass products</t>
        </is>
      </c>
      <c r="G215" s="31" t="inlineStr">
        <is>
          <t>largecap</t>
        </is>
      </c>
      <c r="H215" s="32" t="n">
        <v>24395.26</v>
      </c>
      <c r="I215" s="32" t="n">
        <v>976.25</v>
      </c>
      <c r="J215" s="32" t="n">
        <v>2.02</v>
      </c>
      <c r="K215" s="32" t="n">
        <v>142786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59.95</v>
      </c>
      <c r="P215" s="32" t="n">
        <v>27.4</v>
      </c>
      <c r="Q215" s="32" t="n">
        <v>816.96</v>
      </c>
      <c r="R215" s="31" t="inlineStr">
        <is>
          <t>Near 52W High Breakout</t>
        </is>
      </c>
      <c r="S215" s="31" t="inlineStr">
        <is>
          <t>Nifty Infra</t>
        </is>
      </c>
      <c r="T215" s="32" t="inlineStr"/>
      <c r="U215" s="32" t="inlineStr"/>
      <c r="V215" s="32" t="inlineStr"/>
      <c r="W215" s="32" t="inlineStr"/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IF(B216=0,"",RANK(B216,$B$2:$B$252,0))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PCJEWELLER</t>
        </is>
      </c>
      <c r="D216" s="31" t="inlineStr">
        <is>
          <t>Pc Jeweller Limited</t>
        </is>
      </c>
      <c r="E216" s="31" t="inlineStr">
        <is>
          <t>consumer discretionary</t>
        </is>
      </c>
      <c r="F216" s="31" t="inlineStr">
        <is>
          <t>diamond cutting / jewellery</t>
        </is>
      </c>
      <c r="G216" s="31" t="inlineStr">
        <is>
          <t>midcap</t>
        </is>
      </c>
      <c r="H216" s="32" t="n">
        <v>12555.72</v>
      </c>
      <c r="I216" s="32" t="n">
        <v>13.14</v>
      </c>
      <c r="J216" s="32" t="n">
        <v>1.62</v>
      </c>
      <c r="K216" s="32" t="n">
        <v>208486730</v>
      </c>
      <c r="L216" s="31" t="n">
        <v>25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62.27</v>
      </c>
      <c r="P216" s="32" t="n">
        <v>36.35</v>
      </c>
      <c r="Q216" s="32" t="n">
        <v>10.06</v>
      </c>
      <c r="R216" s="31" t="inlineStr">
        <is>
          <t>Earnings / Momentum Support</t>
        </is>
      </c>
      <c r="S216" s="31" t="inlineStr">
        <is>
          <t>Nifty 50</t>
        </is>
      </c>
      <c r="T216" s="32" t="n">
        <v>-10.61</v>
      </c>
      <c r="U216" s="32" t="n">
        <v>2.34</v>
      </c>
      <c r="V216" s="32" t="n">
        <v>14.48</v>
      </c>
      <c r="W216" s="32" t="n">
        <v>8.23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IF(B217=0,"",RANK(B217,$B$2:$B$252,0))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VSSL</t>
        </is>
      </c>
      <c r="D217" s="31" t="inlineStr">
        <is>
          <t>Vardhman Special Steels Limited</t>
        </is>
      </c>
      <c r="E217" s="31" t="inlineStr">
        <is>
          <t>metals &amp; mining</t>
        </is>
      </c>
      <c r="F217" s="31" t="inlineStr">
        <is>
          <t>steel - medium / small</t>
        </is>
      </c>
      <c r="G217" s="31" t="inlineStr">
        <is>
          <t>smallcap</t>
        </is>
      </c>
      <c r="H217" s="32" t="n">
        <v>3768.32</v>
      </c>
      <c r="I217" s="32" t="n">
        <v>393.75</v>
      </c>
      <c r="J217" s="32" t="n">
        <v>1.03</v>
      </c>
      <c r="K217" s="32" t="n">
        <v>60271</v>
      </c>
      <c r="L217" s="31" t="inlineStr"/>
      <c r="M217" s="31" t="inlineStr"/>
      <c r="N217" s="32">
        <f>IF(M217="Underperforming",-5,IF(L217&gt;=95,15,IF(L217&gt;=90,10,IF(L217&gt;=80,5,0))))</f>
        <v/>
      </c>
      <c r="O217" s="32" t="n">
        <v>71.68000000000001</v>
      </c>
      <c r="P217" s="32" t="n">
        <v>52.33</v>
      </c>
      <c r="Q217" s="32" t="n">
        <v>322.89</v>
      </c>
      <c r="R217" s="31" t="inlineStr">
        <is>
          <t>Near 52W High Breakout</t>
        </is>
      </c>
      <c r="S217" s="31" t="inlineStr">
        <is>
          <t>Nifty Metal</t>
        </is>
      </c>
      <c r="T217" s="32" t="inlineStr"/>
      <c r="U217" s="32" t="inlineStr"/>
      <c r="V217" s="32" t="inlineStr"/>
      <c r="W217" s="32" t="inlineStr"/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IF(B218=0,"",RANK(B218,$B$2:$B$252,0))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NYKAA</t>
        </is>
      </c>
      <c r="D218" s="31" t="inlineStr">
        <is>
          <t>FSN E-Commerce Ventures Ltd</t>
        </is>
      </c>
      <c r="E218" s="31" t="inlineStr">
        <is>
          <t>i.t</t>
        </is>
      </c>
      <c r="F218" s="31" t="inlineStr">
        <is>
          <t>trading</t>
        </is>
      </c>
      <c r="G218" s="31" t="inlineStr">
        <is>
          <t>largecap</t>
        </is>
      </c>
      <c r="H218" s="32" t="n">
        <v>96854.53</v>
      </c>
      <c r="I218" s="32" t="n">
        <v>341.25</v>
      </c>
      <c r="J218" s="32" t="n">
        <v>0.9</v>
      </c>
      <c r="K218" s="32" t="n">
        <v>6078112</v>
      </c>
      <c r="L218" s="31" t="n">
        <v>20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65.56999999999999</v>
      </c>
      <c r="P218" s="32" t="n">
        <v>50.22</v>
      </c>
      <c r="Q218" s="32" t="n">
        <v>291.93</v>
      </c>
      <c r="R218" s="31" t="inlineStr">
        <is>
          <t>Near 52W High Breakout</t>
        </is>
      </c>
      <c r="S218" s="31" t="inlineStr">
        <is>
          <t>Nifty IT</t>
        </is>
      </c>
      <c r="T218" s="32" t="n">
        <v>-22.05</v>
      </c>
      <c r="U218" s="32" t="n">
        <v>28.68</v>
      </c>
      <c r="V218" s="32" t="n">
        <v>65.08</v>
      </c>
      <c r="W218" s="32" t="n">
        <v>6.38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Between 0.7 to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IF(B219=0,"",RANK(B219,$B$2:$B$252,0))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RATNAVEER</t>
        </is>
      </c>
      <c r="D219" s="31" t="inlineStr">
        <is>
          <t>Ratnaveer Precision Engineering Ltd</t>
        </is>
      </c>
      <c r="E219" s="31" t="inlineStr">
        <is>
          <t>metals &amp; mining</t>
        </is>
      </c>
      <c r="F219" s="31" t="inlineStr">
        <is>
          <t>steel - medium / small</t>
        </is>
      </c>
      <c r="G219" s="31" t="inlineStr">
        <is>
          <t>smallcap</t>
        </is>
      </c>
      <c r="H219" s="32" t="n">
        <v>2813.63</v>
      </c>
      <c r="I219" s="32" t="n">
        <v>336.45</v>
      </c>
      <c r="J219" s="32" t="n">
        <v>0.36</v>
      </c>
      <c r="K219" s="32" t="n">
        <v>5211840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78.26000000000001</v>
      </c>
      <c r="P219" s="32" t="n">
        <v>68.73999999999999</v>
      </c>
      <c r="Q219" s="32" t="n">
        <v>256.47</v>
      </c>
      <c r="R219" s="31" t="inlineStr">
        <is>
          <t>Near 52W High Breakout</t>
        </is>
      </c>
      <c r="S219" s="31" t="inlineStr">
        <is>
          <t>Nifty Metal</t>
        </is>
      </c>
      <c r="T219" s="32" t="inlineStr"/>
      <c r="U219" s="32" t="inlineStr"/>
      <c r="V219" s="32" t="inlineStr"/>
      <c r="W219" s="32" t="inlineStr"/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Cyclical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IF(B220=0,"",RANK(B220,$B$2:$B$252,0))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ONWARDTEC</t>
        </is>
      </c>
      <c r="D220" s="31" t="inlineStr">
        <is>
          <t>Onward Technologies Limited</t>
        </is>
      </c>
      <c r="E220" s="31" t="inlineStr">
        <is>
          <t>i.t</t>
        </is>
      </c>
      <c r="F220" s="31" t="inlineStr">
        <is>
          <t>computers - software - medium / small</t>
        </is>
      </c>
      <c r="G220" s="31" t="inlineStr">
        <is>
          <t>smallcap</t>
        </is>
      </c>
      <c r="H220" s="32" t="n">
        <v>655.28</v>
      </c>
      <c r="I220" s="32" t="n">
        <v>297.4</v>
      </c>
      <c r="J220" s="32" t="n">
        <v>0.95</v>
      </c>
      <c r="K220" s="32" t="n">
        <v>38634</v>
      </c>
      <c r="L220" s="31" t="n">
        <v>5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61.05</v>
      </c>
      <c r="P220" s="32" t="n">
        <v>19.59</v>
      </c>
      <c r="Q220" s="32" t="n">
        <v>232.61</v>
      </c>
      <c r="R220" s="31" t="inlineStr">
        <is>
          <t>Earnings / Momentum Support</t>
        </is>
      </c>
      <c r="S220" s="31" t="inlineStr">
        <is>
          <t>Nifty IT</t>
        </is>
      </c>
      <c r="T220" s="32" t="n">
        <v>-22.05</v>
      </c>
      <c r="U220" s="32" t="n">
        <v>-2.81</v>
      </c>
      <c r="V220" s="32" t="n">
        <v>24.69</v>
      </c>
      <c r="W220" s="32" t="n">
        <v>0.91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IF(B221=0,"",RANK(B221,$B$2:$B$252,0))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ARFIN</t>
        </is>
      </c>
      <c r="D221" s="31" t="inlineStr">
        <is>
          <t>Arfin India Ltd</t>
        </is>
      </c>
      <c r="E221" s="31" t="inlineStr">
        <is>
          <t>metals &amp; mining</t>
        </is>
      </c>
      <c r="F221" s="31" t="inlineStr">
        <is>
          <t>aluminium and aluminium products</t>
        </is>
      </c>
      <c r="G221" s="31" t="inlineStr">
        <is>
          <t>smallcap</t>
        </is>
      </c>
      <c r="H221" s="32" t="n">
        <v>1625.81</v>
      </c>
      <c r="I221" s="32" t="n">
        <v>103.06</v>
      </c>
      <c r="J221" s="32" t="n">
        <v>6.95</v>
      </c>
      <c r="K221" s="32" t="n">
        <v>11566941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66.28</v>
      </c>
      <c r="P221" s="32" t="n">
        <v>23.67</v>
      </c>
      <c r="Q221" s="32" t="n">
        <v>76.76000000000001</v>
      </c>
      <c r="R221" s="31" t="inlineStr">
        <is>
          <t>Volume Spike &amp; Near 52W High Breakout</t>
        </is>
      </c>
      <c r="S221" s="31" t="inlineStr">
        <is>
          <t>Nifty Metal</t>
        </is>
      </c>
      <c r="T221" s="32" t="inlineStr"/>
      <c r="U221" s="32" t="inlineStr"/>
      <c r="V221" s="32" t="inlineStr"/>
      <c r="W221" s="32" t="inlineStr"/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Volatile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IF(B222=0,"",RANK(B222,$B$2:$B$252,0))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LIKHITHA</t>
        </is>
      </c>
      <c r="D222" s="31" t="inlineStr">
        <is>
          <t>Likhitha Infrastructure Ltd</t>
        </is>
      </c>
      <c r="E222" s="31" t="inlineStr">
        <is>
          <t>realty</t>
        </is>
      </c>
      <c r="F222" s="31" t="inlineStr">
        <is>
          <t>construction</t>
        </is>
      </c>
      <c r="G222" s="31" t="inlineStr">
        <is>
          <t>smallcap</t>
        </is>
      </c>
      <c r="H222" s="32" t="n">
        <v>894.17</v>
      </c>
      <c r="I222" s="32" t="n">
        <v>234.14</v>
      </c>
      <c r="J222" s="32" t="n">
        <v>3.3</v>
      </c>
      <c r="K222" s="32" t="n">
        <v>53476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57.04</v>
      </c>
      <c r="P222" s="32" t="n">
        <v>15.43</v>
      </c>
      <c r="Q222" s="32" t="n">
        <v>174.09</v>
      </c>
      <c r="R222" s="31" t="inlineStr">
        <is>
          <t>Earnings / Momentum Support</t>
        </is>
      </c>
      <c r="S222" s="31" t="inlineStr">
        <is>
          <t>Nifty Realty</t>
        </is>
      </c>
      <c r="T222" s="32" t="inlineStr"/>
      <c r="U222" s="32" t="inlineStr"/>
      <c r="V222" s="32" t="inlineStr"/>
      <c r="W222" s="32" t="inlineStr"/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IF(B223=0,"",RANK(B223,$B$2:$B$252,0))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JYOTICNC</t>
        </is>
      </c>
      <c r="D223" s="31" t="inlineStr">
        <is>
          <t>Jyoti CNC Automation Ltd</t>
        </is>
      </c>
      <c r="E223" s="31" t="inlineStr">
        <is>
          <t>industrials</t>
        </is>
      </c>
      <c r="F223" s="31" t="inlineStr">
        <is>
          <t>engineering</t>
        </is>
      </c>
      <c r="G223" s="31" t="inlineStr">
        <is>
          <t>largecap</t>
        </is>
      </c>
      <c r="H223" s="32" t="n">
        <v>24404.77</v>
      </c>
      <c r="I223" s="32" t="n">
        <v>1071</v>
      </c>
      <c r="J223" s="32" t="n">
        <v>-0.2</v>
      </c>
      <c r="K223" s="32" t="n">
        <v>699558</v>
      </c>
      <c r="L223" s="31" t="n">
        <v>31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67.14</v>
      </c>
      <c r="P223" s="32" t="n">
        <v>14.34</v>
      </c>
      <c r="Q223" s="32" t="n">
        <v>820.78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-10.61</v>
      </c>
      <c r="U223" s="32" t="n">
        <v>11.05</v>
      </c>
      <c r="V223" s="32" t="n">
        <v>24.23</v>
      </c>
      <c r="W223" s="32" t="n">
        <v>10.13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IF(B224=0,"",RANK(B224,$B$2:$B$252,0))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RAMRAT</t>
        </is>
      </c>
      <c r="D224" s="31" t="inlineStr">
        <is>
          <t>Ram Ratna Wires Ltd</t>
        </is>
      </c>
      <c r="E224" s="31" t="inlineStr">
        <is>
          <t>metals &amp; mining</t>
        </is>
      </c>
      <c r="F224" s="31" t="inlineStr">
        <is>
          <t>mining / minerals / metals</t>
        </is>
      </c>
      <c r="G224" s="31" t="inlineStr">
        <is>
          <t>midcap</t>
        </is>
      </c>
      <c r="H224" s="32" t="n">
        <v>5985.54</v>
      </c>
      <c r="I224" s="32" t="n">
        <v>637.4</v>
      </c>
      <c r="J224" s="32" t="n">
        <v>-0.59</v>
      </c>
      <c r="K224" s="32" t="n">
        <v>113963</v>
      </c>
      <c r="L224" s="31" t="inlineStr"/>
      <c r="M224" s="31" t="inlineStr"/>
      <c r="N224" s="32">
        <f>IF(M224="Underperforming",-5,IF(L224&gt;=95,15,IF(L224&gt;=90,10,IF(L224&gt;=80,5,0))))</f>
        <v/>
      </c>
      <c r="O224" s="32" t="n">
        <v>76.09999999999999</v>
      </c>
      <c r="P224" s="32" t="n">
        <v>51.26</v>
      </c>
      <c r="Q224" s="32" t="n">
        <v>489.29</v>
      </c>
      <c r="R224" s="31" t="inlineStr">
        <is>
          <t>Near 52W High Breakout</t>
        </is>
      </c>
      <c r="S224" s="31" t="inlineStr">
        <is>
          <t>Nifty Metal</t>
        </is>
      </c>
      <c r="T224" s="32" t="inlineStr"/>
      <c r="U224" s="32" t="inlineStr"/>
      <c r="V224" s="32" t="inlineStr"/>
      <c r="W224" s="32" t="inlineStr"/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IF(B225=0,"",RANK(B225,$B$2:$B$252,0))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VALIANTLAB</t>
        </is>
      </c>
      <c r="D225" s="31" t="inlineStr">
        <is>
          <t>Valiant Laboratories Ltd</t>
        </is>
      </c>
      <c r="E225" s="31" t="inlineStr">
        <is>
          <t>healthcare</t>
        </is>
      </c>
      <c r="F225" s="31" t="inlineStr">
        <is>
          <t>pharmaceuticals - indian - bulk drugs &amp; formln</t>
        </is>
      </c>
      <c r="G225" s="31" t="inlineStr">
        <is>
          <t>smallcap</t>
        </is>
      </c>
      <c r="H225" s="32" t="n">
        <v>675.48</v>
      </c>
      <c r="I225" s="32" t="n">
        <v>123.21</v>
      </c>
      <c r="J225" s="32" t="n">
        <v>-0.93</v>
      </c>
      <c r="K225" s="32" t="n">
        <v>45361</v>
      </c>
      <c r="L225" s="31" t="n">
        <v>83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75.84999999999999</v>
      </c>
      <c r="P225" s="32" t="n">
        <v>36.6</v>
      </c>
      <c r="Q225" s="32" t="n">
        <v>94.17</v>
      </c>
      <c r="R225" s="31" t="inlineStr">
        <is>
          <t>Near 52W High Breakout</t>
        </is>
      </c>
      <c r="S225" s="31" t="inlineStr">
        <is>
          <t>Nifty Pharma</t>
        </is>
      </c>
      <c r="T225" s="32" t="n">
        <v>18.99</v>
      </c>
      <c r="U225" s="32" t="n">
        <v>41.73</v>
      </c>
      <c r="V225" s="32" t="n">
        <v>19.12</v>
      </c>
      <c r="W225" s="32" t="n">
        <v>33.49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IF(B226=0,"",RANK(B226,$B$2:$B$252,0))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DEEPAKFERT</t>
        </is>
      </c>
      <c r="D226" s="31" t="inlineStr">
        <is>
          <t>Deepak Fertilizers And Petrochemicals Corporation Limited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midcap</t>
        </is>
      </c>
      <c r="H226" s="32" t="n">
        <v>17491.51</v>
      </c>
      <c r="I226" s="32" t="n">
        <v>1415.4</v>
      </c>
      <c r="J226" s="32" t="n">
        <v>2.15</v>
      </c>
      <c r="K226" s="32" t="n">
        <v>423588</v>
      </c>
      <c r="L226" s="31" t="n">
        <v>2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52.43</v>
      </c>
      <c r="P226" s="32" t="n">
        <v>21.41</v>
      </c>
      <c r="Q226" s="32" t="n">
        <v>1261.31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-10.61</v>
      </c>
      <c r="U226" s="32" t="n">
        <v>-4.81</v>
      </c>
      <c r="V226" s="32" t="n">
        <v>6.49</v>
      </c>
      <c r="W226" s="32" t="n">
        <v>-0.45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1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IF(B227=0,"",RANK(B227,$B$2:$B$252,0))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ENRIN</t>
        </is>
      </c>
      <c r="D227" s="31" t="inlineStr">
        <is>
          <t>Siemens Energy India Ltd</t>
        </is>
      </c>
      <c r="E227" s="31" t="inlineStr">
        <is>
          <t>power &amp; utilities</t>
        </is>
      </c>
      <c r="F227" s="31" t="inlineStr">
        <is>
          <t>power generation and supply</t>
        </is>
      </c>
      <c r="G227" s="31" t="inlineStr">
        <is>
          <t>largecap</t>
        </is>
      </c>
      <c r="H227" s="32" t="n">
        <v>117786.86</v>
      </c>
      <c r="I227" s="32" t="n">
        <v>3344</v>
      </c>
      <c r="J227" s="32" t="n">
        <v>1.1</v>
      </c>
      <c r="K227" s="32" t="n">
        <v>426581</v>
      </c>
      <c r="L227" s="31" t="n">
        <v>6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52.5</v>
      </c>
      <c r="P227" s="32" t="n">
        <v>8.15</v>
      </c>
      <c r="Q227" s="32" t="n">
        <v>2883.22</v>
      </c>
      <c r="R227" s="31" t="inlineStr">
        <is>
          <t>Earnings / Momentum Support</t>
        </is>
      </c>
      <c r="S227" s="31" t="inlineStr">
        <is>
          <t>Nifty IT</t>
        </is>
      </c>
      <c r="T227" s="32" t="n">
        <v>-22.05</v>
      </c>
      <c r="U227" s="32" t="n">
        <v>3.52</v>
      </c>
      <c r="V227" s="32" t="n">
        <v>32.8</v>
      </c>
      <c r="W227" s="32" t="n">
        <v>1.3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1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IF(B228=0,"",RANK(B228,$B$2:$B$252,0))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KECL</t>
        </is>
      </c>
      <c r="D228" s="31" t="inlineStr">
        <is>
          <t>Kirloskar Electric Company Limited</t>
        </is>
      </c>
      <c r="E228" s="31" t="inlineStr">
        <is>
          <t>industrials</t>
        </is>
      </c>
      <c r="F228" s="31" t="inlineStr">
        <is>
          <t>electric equipment</t>
        </is>
      </c>
      <c r="G228" s="31" t="inlineStr">
        <is>
          <t>smallcap</t>
        </is>
      </c>
      <c r="H228" s="32" t="n">
        <v>850.83</v>
      </c>
      <c r="I228" s="32" t="n">
        <v>129.04</v>
      </c>
      <c r="J228" s="32" t="n">
        <v>0.73</v>
      </c>
      <c r="K228" s="32" t="n">
        <v>272071</v>
      </c>
      <c r="L228" s="31" t="n">
        <v>16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54.95</v>
      </c>
      <c r="P228" s="32" t="n">
        <v>27.14</v>
      </c>
      <c r="Q228" s="32" t="n">
        <v>104.34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-10.61</v>
      </c>
      <c r="U228" s="32" t="n">
        <v>11.13</v>
      </c>
      <c r="V228" s="32" t="n">
        <v>24.31</v>
      </c>
      <c r="W228" s="32" t="n">
        <v>5.12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IF(B229=0,"",RANK(B229,$B$2:$B$252,0))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BIL</t>
        </is>
      </c>
      <c r="D229" s="31" t="inlineStr">
        <is>
          <t>Bhartiya International Limited</t>
        </is>
      </c>
      <c r="E229" s="31" t="inlineStr">
        <is>
          <t>consumer discretionary</t>
        </is>
      </c>
      <c r="F229" s="31" t="inlineStr">
        <is>
          <t>leather / leather products</t>
        </is>
      </c>
      <c r="G229" s="31" t="inlineStr">
        <is>
          <t>smallcap</t>
        </is>
      </c>
      <c r="H229" s="32" t="n">
        <v>1465.56</v>
      </c>
      <c r="I229" s="32" t="n">
        <v>1072.9</v>
      </c>
      <c r="J229" s="32" t="n">
        <v>-1.83</v>
      </c>
      <c r="K229" s="32" t="n">
        <v>5985</v>
      </c>
      <c r="L229" s="31" t="n">
        <v>50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69.38</v>
      </c>
      <c r="P229" s="32" t="n">
        <v>31.89</v>
      </c>
      <c r="Q229" s="32" t="n">
        <v>791.55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-10.61</v>
      </c>
      <c r="U229" s="32" t="n">
        <v>34.55</v>
      </c>
      <c r="V229" s="32" t="n">
        <v>50.52</v>
      </c>
      <c r="W229" s="32" t="n">
        <v>17.45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IF(B230=0,"",RANK(B230,$B$2:$B$252,0))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BBOX</t>
        </is>
      </c>
      <c r="D230" s="31" t="inlineStr">
        <is>
          <t>Black Box Ltd</t>
        </is>
      </c>
      <c r="E230" s="31" t="inlineStr">
        <is>
          <t>i.t</t>
        </is>
      </c>
      <c r="F230" s="31" t="inlineStr">
        <is>
          <t>computers - software - medium / small</t>
        </is>
      </c>
      <c r="G230" s="31" t="inlineStr">
        <is>
          <t>midcap</t>
        </is>
      </c>
      <c r="H230" s="32" t="n">
        <v>14917.45</v>
      </c>
      <c r="I230" s="32" t="n">
        <v>884.85</v>
      </c>
      <c r="J230" s="32" t="n">
        <v>5.35</v>
      </c>
      <c r="K230" s="32" t="n">
        <v>2262486</v>
      </c>
      <c r="L230" s="31" t="n">
        <v>37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60.33</v>
      </c>
      <c r="P230" s="32" t="n">
        <v>9.17</v>
      </c>
      <c r="Q230" s="32" t="n">
        <v>676.38</v>
      </c>
      <c r="R230" s="31" t="inlineStr">
        <is>
          <t>Earnings / Momentum Support</t>
        </is>
      </c>
      <c r="S230" s="31" t="inlineStr">
        <is>
          <t>Nifty IT</t>
        </is>
      </c>
      <c r="T230" s="32" t="n">
        <v>-22.05</v>
      </c>
      <c r="U230" s="32" t="n">
        <v>53.99</v>
      </c>
      <c r="V230" s="32" t="n">
        <v>97.54000000000001</v>
      </c>
      <c r="W230" s="32" t="n">
        <v>11.91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IF(B231=0,"",RANK(B231,$B$2:$B$252,0))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NELCAST</t>
        </is>
      </c>
      <c r="D231" s="31" t="inlineStr">
        <is>
          <t>Nelcast Limited</t>
        </is>
      </c>
      <c r="E231" s="31" t="inlineStr">
        <is>
          <t>castings, forgings &amp; fasteners</t>
        </is>
      </c>
      <c r="F231" s="31" t="inlineStr">
        <is>
          <t>castings &amp; forgings</t>
        </is>
      </c>
      <c r="G231" s="31" t="inlineStr">
        <is>
          <t>smallcap</t>
        </is>
      </c>
      <c r="H231" s="32" t="n">
        <v>1082.99</v>
      </c>
      <c r="I231" s="32" t="n">
        <v>146.29</v>
      </c>
      <c r="J231" s="32" t="n">
        <v>17.52</v>
      </c>
      <c r="K231" s="32" t="n">
        <v>6710048</v>
      </c>
      <c r="L231" s="31" t="n">
        <v>23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61.35</v>
      </c>
      <c r="P231" s="32" t="n">
        <v>18.5</v>
      </c>
      <c r="Q231" s="32" t="n">
        <v>103.89</v>
      </c>
      <c r="R231" s="31" t="inlineStr">
        <is>
          <t>Volume Spike / Accumulation</t>
        </is>
      </c>
      <c r="S231" s="31" t="inlineStr">
        <is>
          <t>Nifty 50</t>
        </is>
      </c>
      <c r="T231" s="32" t="n">
        <v>-10.61</v>
      </c>
      <c r="U231" s="32" t="n">
        <v>29.54</v>
      </c>
      <c r="V231" s="32" t="n">
        <v>44.91</v>
      </c>
      <c r="W231" s="32" t="n">
        <v>7.26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1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IF(B232=0,"",RANK(B232,$B$2:$B$252,0))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SUNFLAG</t>
        </is>
      </c>
      <c r="D232" s="31" t="inlineStr">
        <is>
          <t>Sunflag Iron And Steel Company Limited</t>
        </is>
      </c>
      <c r="E232" s="31" t="inlineStr">
        <is>
          <t>metals &amp; mining</t>
        </is>
      </c>
      <c r="F232" s="31" t="inlineStr">
        <is>
          <t>steel - medium / small</t>
        </is>
      </c>
      <c r="G232" s="31" t="inlineStr">
        <is>
          <t>midcap</t>
        </is>
      </c>
      <c r="H232" s="32" t="n">
        <v>8272.969999999999</v>
      </c>
      <c r="I232" s="32" t="n">
        <v>474.4</v>
      </c>
      <c r="J232" s="32" t="n">
        <v>3.34</v>
      </c>
      <c r="K232" s="32" t="n">
        <v>829970</v>
      </c>
      <c r="L232" s="31" t="inlineStr"/>
      <c r="M232" s="31" t="inlineStr"/>
      <c r="N232" s="32">
        <f>IF(M232="Underperforming",-5,IF(L232&gt;=95,15,IF(L232&gt;=90,10,IF(L232&gt;=80,5,0))))</f>
        <v/>
      </c>
      <c r="O232" s="32" t="n">
        <v>75.06</v>
      </c>
      <c r="P232" s="32" t="n">
        <v>35.1</v>
      </c>
      <c r="Q232" s="32" t="n">
        <v>364.51</v>
      </c>
      <c r="R232" s="31" t="inlineStr">
        <is>
          <t>Near 52W High Breakout</t>
        </is>
      </c>
      <c r="S232" s="31" t="inlineStr">
        <is>
          <t>Nifty Metal</t>
        </is>
      </c>
      <c r="T232" s="32" t="inlineStr"/>
      <c r="U232" s="32" t="inlineStr"/>
      <c r="V232" s="32" t="inlineStr"/>
      <c r="W232" s="32" t="inlineStr"/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Above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IF(B233=0,"",RANK(B233,$B$2:$B$252,0))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VMART</t>
        </is>
      </c>
      <c r="D233" s="31" t="inlineStr">
        <is>
          <t>V-mart Retail Limited</t>
        </is>
      </c>
      <c r="E233" s="31" t="inlineStr">
        <is>
          <t>consumer discretionary</t>
        </is>
      </c>
      <c r="F233" s="31" t="inlineStr">
        <is>
          <t>trading</t>
        </is>
      </c>
      <c r="G233" s="31" t="inlineStr">
        <is>
          <t>midcap</t>
        </is>
      </c>
      <c r="H233" s="32" t="n">
        <v>6308.16</v>
      </c>
      <c r="I233" s="32" t="n">
        <v>806.2</v>
      </c>
      <c r="J233" s="32" t="n">
        <v>1.66</v>
      </c>
      <c r="K233" s="32" t="n">
        <v>85019</v>
      </c>
      <c r="L233" s="31" t="n">
        <v>4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57.88</v>
      </c>
      <c r="P233" s="32" t="n">
        <v>22.95</v>
      </c>
      <c r="Q233" s="32" t="n">
        <v>658.51</v>
      </c>
      <c r="R233" s="31" t="inlineStr">
        <is>
          <t>Earnings / Momentum Support</t>
        </is>
      </c>
      <c r="S233" s="31" t="inlineStr">
        <is>
          <t>Nifty 50</t>
        </is>
      </c>
      <c r="T233" s="32" t="n">
        <v>-10.61</v>
      </c>
      <c r="U233" s="32" t="n">
        <v>-5.39</v>
      </c>
      <c r="V233" s="32" t="n">
        <v>5.84</v>
      </c>
      <c r="W233" s="32" t="n">
        <v>0.9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IF(B234=0,"",RANK(B234,$B$2:$B$252,0))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AEROFLEX</t>
        </is>
      </c>
      <c r="D234" s="31" t="inlineStr">
        <is>
          <t>Aeroflex Industries Ltd</t>
        </is>
      </c>
      <c r="E234" s="31" t="inlineStr">
        <is>
          <t>metals &amp; mining</t>
        </is>
      </c>
      <c r="F234" s="31" t="inlineStr">
        <is>
          <t>steel - medium / small</t>
        </is>
      </c>
      <c r="G234" s="31" t="inlineStr">
        <is>
          <t>midcap</t>
        </is>
      </c>
      <c r="H234" s="32" t="n">
        <v>7420.45</v>
      </c>
      <c r="I234" s="32" t="n">
        <v>563.85</v>
      </c>
      <c r="J234" s="32" t="n">
        <v>0.55</v>
      </c>
      <c r="K234" s="32" t="n">
        <v>1019697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68.16</v>
      </c>
      <c r="P234" s="32" t="n">
        <v>46.34</v>
      </c>
      <c r="Q234" s="32" t="n">
        <v>404.86</v>
      </c>
      <c r="R234" s="31" t="inlineStr">
        <is>
          <t>Near 52W High Breakout</t>
        </is>
      </c>
      <c r="S234" s="31" t="inlineStr">
        <is>
          <t>Nifty Metal</t>
        </is>
      </c>
      <c r="T234" s="32" t="inlineStr"/>
      <c r="U234" s="32" t="inlineStr"/>
      <c r="V234" s="32" t="inlineStr"/>
      <c r="W234" s="32" t="inlineStr"/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IF(B235=0,"",RANK(B235,$B$2:$B$252,0))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SETL</t>
        </is>
      </c>
      <c r="D235" s="31" t="inlineStr">
        <is>
          <t>Standard Enginnering Technology Ltd</t>
        </is>
      </c>
      <c r="E235" s="31" t="inlineStr">
        <is>
          <t>industrials</t>
        </is>
      </c>
      <c r="F235" s="31" t="inlineStr">
        <is>
          <t>engineering</t>
        </is>
      </c>
      <c r="G235" s="31" t="inlineStr">
        <is>
          <t>midcap</t>
        </is>
      </c>
      <c r="H235" s="32" t="n">
        <v>8544.23</v>
      </c>
      <c r="I235" s="32" t="n">
        <v>429.8</v>
      </c>
      <c r="J235" s="32" t="n">
        <v>0.35</v>
      </c>
      <c r="K235" s="32" t="n">
        <v>300178</v>
      </c>
      <c r="L235" s="31" t="n">
        <v>88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75.65000000000001</v>
      </c>
      <c r="P235" s="32" t="n">
        <v>77.37</v>
      </c>
      <c r="Q235" s="32" t="n">
        <v>362.45</v>
      </c>
      <c r="R235" s="31" t="inlineStr">
        <is>
          <t>Earnings / Momentum Support</t>
        </is>
      </c>
      <c r="S235" s="31" t="inlineStr">
        <is>
          <t>Nifty 50</t>
        </is>
      </c>
      <c r="T235" s="32" t="n">
        <v>-10.61</v>
      </c>
      <c r="U235" s="32" t="n">
        <v>141.46</v>
      </c>
      <c r="V235" s="32" t="n">
        <v>170.11</v>
      </c>
      <c r="W235" s="32" t="n">
        <v>37.63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IF(B236=0,"",RANK(B236,$B$2:$B$252,0))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PETRONET</t>
        </is>
      </c>
      <c r="D236" s="31" t="inlineStr">
        <is>
          <t>Petronet Lng Limited</t>
        </is>
      </c>
      <c r="E236" s="31" t="inlineStr">
        <is>
          <t>energy</t>
        </is>
      </c>
      <c r="F236" s="31" t="inlineStr">
        <is>
          <t>miscellaneous</t>
        </is>
      </c>
      <c r="G236" s="31" t="inlineStr">
        <is>
          <t>largecap</t>
        </is>
      </c>
      <c r="H236" s="32" t="n">
        <v>44625</v>
      </c>
      <c r="I236" s="32" t="n">
        <v>297</v>
      </c>
      <c r="J236" s="32" t="n">
        <v>-0.17</v>
      </c>
      <c r="K236" s="32" t="n">
        <v>3121238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59.56</v>
      </c>
      <c r="P236" s="32" t="n">
        <v>8.300000000000001</v>
      </c>
      <c r="Q236" s="32" t="n">
        <v>256.03</v>
      </c>
      <c r="R236" s="31" t="inlineStr">
        <is>
          <t>Earnings / Momentum Support</t>
        </is>
      </c>
      <c r="S236" s="31" t="inlineStr">
        <is>
          <t>Nifty Energy</t>
        </is>
      </c>
      <c r="T236" s="32" t="inlineStr"/>
      <c r="U236" s="32" t="inlineStr"/>
      <c r="V236" s="32" t="inlineStr"/>
      <c r="W236" s="32" t="inlineStr"/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IF(B237=0,"",RANK(B237,$B$2:$B$252,0))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WESTLIFE</t>
        </is>
      </c>
      <c r="D237" s="31" t="inlineStr">
        <is>
          <t>Westlife Foodworld Ltd</t>
        </is>
      </c>
      <c r="E237" s="31" t="inlineStr">
        <is>
          <t>consumer discretionary</t>
        </is>
      </c>
      <c r="F237" s="31" t="inlineStr">
        <is>
          <t>hotels</t>
        </is>
      </c>
      <c r="G237" s="31" t="inlineStr">
        <is>
          <t>midcap</t>
        </is>
      </c>
      <c r="H237" s="32" t="n">
        <v>9271.959999999999</v>
      </c>
      <c r="I237" s="32" t="n">
        <v>586.4</v>
      </c>
      <c r="J237" s="32" t="n">
        <v>-1.38</v>
      </c>
      <c r="K237" s="32" t="n">
        <v>86911</v>
      </c>
      <c r="L237" s="31" t="n">
        <v>7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60.16</v>
      </c>
      <c r="P237" s="32" t="n">
        <v>14.77</v>
      </c>
      <c r="Q237" s="32" t="n">
        <v>454.28</v>
      </c>
      <c r="R237" s="31" t="inlineStr">
        <is>
          <t>Near 52W High Breakout</t>
        </is>
      </c>
      <c r="S237" s="31" t="inlineStr">
        <is>
          <t>Nifty 50</t>
        </is>
      </c>
      <c r="T237" s="32" t="n">
        <v>-10.61</v>
      </c>
      <c r="U237" s="32" t="n">
        <v>-8.56</v>
      </c>
      <c r="V237" s="32" t="n">
        <v>2.29</v>
      </c>
      <c r="W237" s="32" t="n">
        <v>2.23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More than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IF(B238=0,"",RANK(B238,$B$2:$B$252,0))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MANAKSTEEL</t>
        </is>
      </c>
      <c r="D238" s="31" t="inlineStr">
        <is>
          <t>Manaksia Steels Limited</t>
        </is>
      </c>
      <c r="E238" s="31" t="inlineStr">
        <is>
          <t>metals &amp; mining</t>
        </is>
      </c>
      <c r="F238" s="31" t="inlineStr">
        <is>
          <t>steel - medium / small</t>
        </is>
      </c>
      <c r="G238" s="31" t="inlineStr">
        <is>
          <t>smallcap</t>
        </is>
      </c>
      <c r="H238" s="32" t="n">
        <v>713.53</v>
      </c>
      <c r="I238" s="32" t="n">
        <v>110.97</v>
      </c>
      <c r="J238" s="32" t="n">
        <v>1.92</v>
      </c>
      <c r="K238" s="32" t="n">
        <v>48669</v>
      </c>
      <c r="L238" s="31" t="inlineStr"/>
      <c r="M238" s="31" t="inlineStr"/>
      <c r="N238" s="32">
        <f>IF(M238="Underperforming",-5,IF(L238&gt;=95,15,IF(L238&gt;=90,10,IF(L238&gt;=80,5,0))))</f>
        <v/>
      </c>
      <c r="O238" s="32" t="n">
        <v>69.78</v>
      </c>
      <c r="P238" s="32" t="n">
        <v>49.47</v>
      </c>
      <c r="Q238" s="32" t="n">
        <v>85.78</v>
      </c>
      <c r="R238" s="31" t="inlineStr">
        <is>
          <t>Earnings / Momentum Support</t>
        </is>
      </c>
      <c r="S238" s="31" t="inlineStr">
        <is>
          <t>Nifty Metal</t>
        </is>
      </c>
      <c r="T238" s="32" t="inlineStr"/>
      <c r="U238" s="32" t="inlineStr"/>
      <c r="V238" s="32" t="inlineStr"/>
      <c r="W238" s="32" t="inlineStr"/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IF(B239=0,"",RANK(B239,$B$2:$B$252,0))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PATELRMART</t>
        </is>
      </c>
      <c r="D239" s="31" t="inlineStr">
        <is>
          <t>Patel Retail Ltd</t>
        </is>
      </c>
      <c r="E239" s="31" t="inlineStr">
        <is>
          <t>consumer discretionary</t>
        </is>
      </c>
      <c r="F239" s="31" t="inlineStr">
        <is>
          <t>trading</t>
        </is>
      </c>
      <c r="G239" s="31" t="inlineStr">
        <is>
          <t>smallcap</t>
        </is>
      </c>
      <c r="H239" s="32" t="n">
        <v>758.23</v>
      </c>
      <c r="I239" s="32" t="n">
        <v>227.86</v>
      </c>
      <c r="J239" s="32" t="n">
        <v>0.37</v>
      </c>
      <c r="K239" s="32" t="n">
        <v>234782</v>
      </c>
      <c r="L239" s="31" t="n">
        <v>6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56.26</v>
      </c>
      <c r="P239" s="32" t="n">
        <v>15.2</v>
      </c>
      <c r="Q239" s="32" t="n">
        <v>177.55</v>
      </c>
      <c r="R239" s="31" t="inlineStr">
        <is>
          <t>Earnings / Momentum Support</t>
        </is>
      </c>
      <c r="S239" s="31" t="inlineStr">
        <is>
          <t>Nifty 50</t>
        </is>
      </c>
      <c r="T239" s="32" t="n">
        <v>-10.61</v>
      </c>
      <c r="U239" s="32" t="n">
        <v>0.57</v>
      </c>
      <c r="V239" s="32" t="n">
        <v>12.5</v>
      </c>
      <c r="W239" s="32" t="n">
        <v>1.25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1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IF(B240=0,"",RANK(B240,$B$2:$B$252,0))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MRPL</t>
        </is>
      </c>
      <c r="D240" s="31" t="inlineStr">
        <is>
          <t>Mangalore Refinery And Petrochemicals Limited</t>
        </is>
      </c>
      <c r="E240" s="31" t="inlineStr">
        <is>
          <t>energy</t>
        </is>
      </c>
      <c r="F240" s="31" t="inlineStr">
        <is>
          <t>refineries</t>
        </is>
      </c>
      <c r="G240" s="31" t="inlineStr">
        <is>
          <t>largecap</t>
        </is>
      </c>
      <c r="H240" s="32" t="n">
        <v>30621.41</v>
      </c>
      <c r="I240" s="32" t="n">
        <v>182.86</v>
      </c>
      <c r="J240" s="32" t="n">
        <v>4.66</v>
      </c>
      <c r="K240" s="32" t="n">
        <v>23675207</v>
      </c>
      <c r="L240" s="31" t="inlineStr"/>
      <c r="M240" s="31" t="inlineStr"/>
      <c r="N240" s="32">
        <f>IF(M240="Underperforming",-5,IF(L240&gt;=95,15,IF(L240&gt;=90,10,IF(L240&gt;=80,5,0))))</f>
        <v/>
      </c>
      <c r="O240" s="32" t="n">
        <v>58.96</v>
      </c>
      <c r="P240" s="32" t="n">
        <v>29.77</v>
      </c>
      <c r="Q240" s="32" t="n">
        <v>134.53</v>
      </c>
      <c r="R240" s="31" t="inlineStr">
        <is>
          <t>Earnings / Momentum Support</t>
        </is>
      </c>
      <c r="S240" s="31" t="inlineStr">
        <is>
          <t>Nifty Energy</t>
        </is>
      </c>
      <c r="T240" s="32" t="inlineStr"/>
      <c r="U240" s="32" t="inlineStr"/>
      <c r="V240" s="32" t="inlineStr"/>
      <c r="W240" s="32" t="inlineStr"/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Oligopoly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Cyclical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Volatile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Between 0.7 to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IF(B241=0,"",RANK(B241,$B$2:$B$252,0))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ANTELOPUS</t>
        </is>
      </c>
      <c r="D241" s="31" t="inlineStr">
        <is>
          <t>Antelopus Selan Energy Ltd</t>
        </is>
      </c>
      <c r="E241" s="31" t="inlineStr">
        <is>
          <t>energy</t>
        </is>
      </c>
      <c r="F241" s="31" t="inlineStr">
        <is>
          <t>oil drilling / allied services</t>
        </is>
      </c>
      <c r="G241" s="31" t="inlineStr">
        <is>
          <t>smallcap</t>
        </is>
      </c>
      <c r="H241" s="32" t="n">
        <v>3869.97</v>
      </c>
      <c r="I241" s="32" t="n">
        <v>1130.2</v>
      </c>
      <c r="J241" s="32" t="n">
        <v>2.69</v>
      </c>
      <c r="K241" s="32" t="n">
        <v>378318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64.95999999999999</v>
      </c>
      <c r="P241" s="32" t="n">
        <v>51.28</v>
      </c>
      <c r="Q241" s="32" t="n">
        <v>877.34</v>
      </c>
      <c r="R241" s="31" t="inlineStr">
        <is>
          <t>Earnings / Momentum Support</t>
        </is>
      </c>
      <c r="S241" s="31" t="inlineStr">
        <is>
          <t>Nifty Energy</t>
        </is>
      </c>
      <c r="T241" s="32" t="inlineStr"/>
      <c r="U241" s="32" t="inlineStr"/>
      <c r="V241" s="32" t="inlineStr"/>
      <c r="W241" s="32" t="inlineStr"/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Oligopoly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Above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IF(B242=0,"",RANK(B242,$B$2:$B$252,0))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VHLTD</t>
        </is>
      </c>
      <c r="D242" s="31" t="inlineStr">
        <is>
          <t>Viceroy Hotels Ltd</t>
        </is>
      </c>
      <c r="E242" s="31" t="inlineStr">
        <is>
          <t>services</t>
        </is>
      </c>
      <c r="F242" s="31" t="inlineStr">
        <is>
          <t>hotels</t>
        </is>
      </c>
      <c r="G242" s="31" t="inlineStr">
        <is>
          <t>smallcap</t>
        </is>
      </c>
      <c r="H242" s="32" t="n">
        <v>990.26</v>
      </c>
      <c r="I242" s="32" t="n">
        <v>129.62</v>
      </c>
      <c r="J242" s="32" t="n">
        <v>0.5</v>
      </c>
      <c r="K242" s="32" t="n">
        <v>79381</v>
      </c>
      <c r="L242" s="31" t="n">
        <v>3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50.92</v>
      </c>
      <c r="P242" s="32" t="n">
        <v>15.42</v>
      </c>
      <c r="Q242" s="32" t="n">
        <v>103.52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-10.61</v>
      </c>
      <c r="U242" s="32" t="n">
        <v>2.3</v>
      </c>
      <c r="V242" s="32" t="n">
        <v>14.45</v>
      </c>
      <c r="W242" s="32" t="n">
        <v>0.83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1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IF(B243=0,"",RANK(B243,$B$2:$B$252,0))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KIRLFER</t>
        </is>
      </c>
      <c r="D243" s="31" t="inlineStr">
        <is>
          <t>Kirloskar Ferrous Industries Ltd</t>
        </is>
      </c>
      <c r="E243" s="31" t="inlineStr">
        <is>
          <t>metals &amp; mining</t>
        </is>
      </c>
      <c r="F243" s="31" t="inlineStr">
        <is>
          <t>steel - large</t>
        </is>
      </c>
      <c r="G243" s="31" t="inlineStr">
        <is>
          <t>midcap</t>
        </is>
      </c>
      <c r="H243" s="32" t="n">
        <v>7800.02</v>
      </c>
      <c r="I243" s="32" t="n">
        <v>473.8</v>
      </c>
      <c r="J243" s="32" t="n">
        <v>0.22</v>
      </c>
      <c r="K243" s="32" t="n">
        <v>69152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55.36</v>
      </c>
      <c r="P243" s="32" t="n">
        <v>13.32</v>
      </c>
      <c r="Q243" s="32" t="n">
        <v>395.33</v>
      </c>
      <c r="R243" s="31" t="inlineStr">
        <is>
          <t>Earnings / Momentum Support</t>
        </is>
      </c>
      <c r="S243" s="31" t="inlineStr">
        <is>
          <t>Nifty Metal</t>
        </is>
      </c>
      <c r="T243" s="32" t="inlineStr"/>
      <c r="U243" s="32" t="inlineStr"/>
      <c r="V243" s="32" t="inlineStr"/>
      <c r="W243" s="32" t="inlineStr"/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Volatile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IF(B244=0,"",RANK(B244,$B$2:$B$252,0))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BANSALWIRE</t>
        </is>
      </c>
      <c r="D244" s="31" t="inlineStr">
        <is>
          <t>Bansal Wire Industries Ltd</t>
        </is>
      </c>
      <c r="E244" s="31" t="inlineStr">
        <is>
          <t>metals &amp; mining</t>
        </is>
      </c>
      <c r="F244" s="31" t="inlineStr">
        <is>
          <t>steel - medium / small</t>
        </is>
      </c>
      <c r="G244" s="31" t="inlineStr">
        <is>
          <t>midcap</t>
        </is>
      </c>
      <c r="H244" s="32" t="n">
        <v>5099.03</v>
      </c>
      <c r="I244" s="32" t="n">
        <v>324</v>
      </c>
      <c r="J244" s="32" t="n">
        <v>-0.52</v>
      </c>
      <c r="K244" s="32" t="n">
        <v>110111</v>
      </c>
      <c r="L244" s="31" t="inlineStr"/>
      <c r="M244" s="31" t="inlineStr"/>
      <c r="N244" s="32">
        <f>IF(M244="Underperforming",-5,IF(L244&gt;=95,15,IF(L244&gt;=90,10,IF(L244&gt;=80,5,0))))</f>
        <v/>
      </c>
      <c r="O244" s="32" t="n">
        <v>53.91</v>
      </c>
      <c r="P244" s="32" t="n">
        <v>17.62</v>
      </c>
      <c r="Q244" s="32" t="n">
        <v>258.4</v>
      </c>
      <c r="R244" s="31" t="inlineStr">
        <is>
          <t>Earnings / Momentum Support</t>
        </is>
      </c>
      <c r="S244" s="31" t="inlineStr">
        <is>
          <t>Nifty Metal</t>
        </is>
      </c>
      <c r="T244" s="32" t="inlineStr"/>
      <c r="U244" s="32" t="inlineStr"/>
      <c r="V244" s="32" t="inlineStr"/>
      <c r="W244" s="32" t="inlineStr"/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Volatile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IF(B245=0,"",RANK(B245,$B$2:$B$252,0))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ISGEC</t>
        </is>
      </c>
      <c r="D245" s="31" t="inlineStr">
        <is>
          <t>ISGEC Heavy Engineering  Ltd</t>
        </is>
      </c>
      <c r="E245" s="31" t="inlineStr">
        <is>
          <t>realty</t>
        </is>
      </c>
      <c r="F245" s="31" t="inlineStr">
        <is>
          <t>engineering - turnkey services</t>
        </is>
      </c>
      <c r="G245" s="31" t="inlineStr">
        <is>
          <t>midcap</t>
        </is>
      </c>
      <c r="H245" s="32" t="n">
        <v>6654.42</v>
      </c>
      <c r="I245" s="32" t="n">
        <v>901.75</v>
      </c>
      <c r="J245" s="32" t="n">
        <v>-0.36</v>
      </c>
      <c r="K245" s="32" t="n">
        <v>73566</v>
      </c>
      <c r="L245" s="31" t="inlineStr"/>
      <c r="M245" s="31" t="inlineStr"/>
      <c r="N245" s="32">
        <f>IF(M245="Underperforming",-5,IF(L245&gt;=95,15,IF(L245&gt;=90,10,IF(L245&gt;=80,5,0))))</f>
        <v/>
      </c>
      <c r="O245" s="32" t="n">
        <v>54.22</v>
      </c>
      <c r="P245" s="32" t="n">
        <v>18.87</v>
      </c>
      <c r="Q245" s="32" t="n">
        <v>723.79</v>
      </c>
      <c r="R245" s="31" t="inlineStr">
        <is>
          <t>Earnings / Momentum Support</t>
        </is>
      </c>
      <c r="S245" s="31" t="inlineStr">
        <is>
          <t>Nifty Realty</t>
        </is>
      </c>
      <c r="T245" s="32" t="inlineStr"/>
      <c r="U245" s="32" t="inlineStr"/>
      <c r="V245" s="32" t="inlineStr"/>
      <c r="W245" s="32" t="inlineStr"/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IF(B246=0,"",RANK(B246,$B$2:$B$252,0))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BLACKBUCK</t>
        </is>
      </c>
      <c r="D246" s="31" t="inlineStr">
        <is>
          <t>BlackBuck Ltd</t>
        </is>
      </c>
      <c r="E246" s="31" t="inlineStr">
        <is>
          <t>transportation</t>
        </is>
      </c>
      <c r="F246" s="31" t="inlineStr">
        <is>
          <t>miscellaneous</t>
        </is>
      </c>
      <c r="G246" s="31" t="inlineStr">
        <is>
          <t>midcap</t>
        </is>
      </c>
      <c r="H246" s="32" t="n">
        <v>10855.46</v>
      </c>
      <c r="I246" s="32" t="n">
        <v>616.4</v>
      </c>
      <c r="J246" s="32" t="n">
        <v>3.42</v>
      </c>
      <c r="K246" s="32" t="n">
        <v>430095</v>
      </c>
      <c r="L246" s="31" t="n">
        <v>1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54.73</v>
      </c>
      <c r="P246" s="32" t="n">
        <v>15.06</v>
      </c>
      <c r="Q246" s="32" t="n">
        <v>486.29</v>
      </c>
      <c r="R246" s="31" t="inlineStr">
        <is>
          <t>Earnings / Momentum Support</t>
        </is>
      </c>
      <c r="S246" s="31" t="inlineStr">
        <is>
          <t>Nifty 50</t>
        </is>
      </c>
      <c r="T246" s="32" t="n">
        <v>-10.61</v>
      </c>
      <c r="U246" s="32" t="n">
        <v>-10.08</v>
      </c>
      <c r="V246" s="32" t="n">
        <v>0.59</v>
      </c>
      <c r="W246" s="32" t="n">
        <v>-0.63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IF(B247=0,"",RANK(B247,$B$2:$B$252,0))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JAYNECOIND</t>
        </is>
      </c>
      <c r="D247" s="31" t="inlineStr">
        <is>
          <t>Jayaswal Neco Industries Limited</t>
        </is>
      </c>
      <c r="E247" s="31" t="inlineStr">
        <is>
          <t>metals &amp; mining</t>
        </is>
      </c>
      <c r="F247" s="31" t="inlineStr">
        <is>
          <t>steel - large</t>
        </is>
      </c>
      <c r="G247" s="31" t="inlineStr">
        <is>
          <t>midcap</t>
        </is>
      </c>
      <c r="H247" s="32" t="n">
        <v>9171.08</v>
      </c>
      <c r="I247" s="32" t="n">
        <v>95.23999999999999</v>
      </c>
      <c r="J247" s="32" t="n">
        <v>0.84</v>
      </c>
      <c r="K247" s="32" t="n">
        <v>2969185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55.4</v>
      </c>
      <c r="P247" s="32" t="n">
        <v>5.8</v>
      </c>
      <c r="Q247" s="32" t="n">
        <v>75.44</v>
      </c>
      <c r="R247" s="31" t="inlineStr">
        <is>
          <t>Earnings / Momentum Support</t>
        </is>
      </c>
      <c r="S247" s="31" t="inlineStr">
        <is>
          <t>Nifty Metal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IF(B248=0,"",RANK(B248,$B$2:$B$252,0))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ADANIGREEN</t>
        </is>
      </c>
      <c r="D248" s="31" t="inlineStr">
        <is>
          <t>Adani Green Energy Ltd</t>
        </is>
      </c>
      <c r="E248" s="31" t="inlineStr">
        <is>
          <t>power &amp; utilities</t>
        </is>
      </c>
      <c r="F248" s="31" t="inlineStr">
        <is>
          <t>power generation and supply</t>
        </is>
      </c>
      <c r="G248" s="31" t="inlineStr">
        <is>
          <t>largecap</t>
        </is>
      </c>
      <c r="H248" s="32" t="n">
        <v>216274.23</v>
      </c>
      <c r="I248" s="32" t="n">
        <v>1341.4</v>
      </c>
      <c r="J248" s="32" t="n">
        <v>2.16</v>
      </c>
      <c r="K248" s="32" t="n">
        <v>6420423</v>
      </c>
      <c r="L248" s="31" t="n">
        <v>11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53.84</v>
      </c>
      <c r="P248" s="32" t="n">
        <v>18.75</v>
      </c>
      <c r="Q248" s="32" t="n">
        <v>1256.11</v>
      </c>
      <c r="R248" s="31" t="inlineStr">
        <is>
          <t>Earnings / Momentum Support</t>
        </is>
      </c>
      <c r="S248" s="31" t="inlineStr">
        <is>
          <t>Nifty IT</t>
        </is>
      </c>
      <c r="T248" s="32" t="n">
        <v>-22.05</v>
      </c>
      <c r="U248" s="32" t="n">
        <v>26.04</v>
      </c>
      <c r="V248" s="32" t="n">
        <v>61.68</v>
      </c>
      <c r="W248" s="32" t="n">
        <v>3.96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1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Between 12 to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IF(B249=0,"",RANK(B249,$B$2:$B$252,0))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WONDERLA</t>
        </is>
      </c>
      <c r="D249" s="31" t="inlineStr">
        <is>
          <t>Wonderla Holidays Limited</t>
        </is>
      </c>
      <c r="E249" s="31" t="inlineStr">
        <is>
          <t>media</t>
        </is>
      </c>
      <c r="F249" s="31" t="inlineStr">
        <is>
          <t>recreation / amusement parks</t>
        </is>
      </c>
      <c r="G249" s="31" t="inlineStr">
        <is>
          <t>smallcap</t>
        </is>
      </c>
      <c r="H249" s="32" t="n">
        <v>3234.05</v>
      </c>
      <c r="I249" s="32" t="n">
        <v>519.6</v>
      </c>
      <c r="J249" s="32" t="n">
        <v>1.94</v>
      </c>
      <c r="K249" s="32" t="n">
        <v>102613</v>
      </c>
      <c r="L249" s="31" t="inlineStr"/>
      <c r="M249" s="31" t="inlineStr"/>
      <c r="N249" s="32">
        <f>IF(M249="Underperforming",-5,IF(L249&gt;=95,15,IF(L249&gt;=90,10,IF(L249&gt;=80,5,0))))</f>
        <v/>
      </c>
      <c r="O249" s="32" t="n">
        <v>53.21</v>
      </c>
      <c r="P249" s="32" t="n">
        <v>16.07</v>
      </c>
      <c r="Q249" s="32" t="n">
        <v>442.34</v>
      </c>
      <c r="R249" s="31" t="inlineStr">
        <is>
          <t>Earnings / Momentum Support</t>
        </is>
      </c>
      <c r="S249" s="31" t="inlineStr">
        <is>
          <t>Nifty Media</t>
        </is>
      </c>
      <c r="T249" s="32" t="inlineStr"/>
      <c r="U249" s="32" t="inlineStr"/>
      <c r="V249" s="32" t="inlineStr"/>
      <c r="W249" s="32" t="inlineStr"/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1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IF(B250=0,"",RANK(B250,$B$2:$B$252,0))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GPPL</t>
        </is>
      </c>
      <c r="D250" s="31" t="inlineStr">
        <is>
          <t>Gujarat Pipavav Port Limited</t>
        </is>
      </c>
      <c r="E250" s="31" t="inlineStr">
        <is>
          <t>transportation</t>
        </is>
      </c>
      <c r="F250" s="31" t="inlineStr">
        <is>
          <t>miscellaneous</t>
        </is>
      </c>
      <c r="G250" s="31" t="inlineStr">
        <is>
          <t>midcap</t>
        </is>
      </c>
      <c r="H250" s="32" t="n">
        <v>8131.94</v>
      </c>
      <c r="I250" s="32" t="n">
        <v>172.46</v>
      </c>
      <c r="J250" s="32" t="n">
        <v>2.53</v>
      </c>
      <c r="K250" s="32" t="n">
        <v>2205709</v>
      </c>
      <c r="L250" s="31" t="n">
        <v>20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68.15000000000001</v>
      </c>
      <c r="P250" s="32" t="n">
        <v>21.11</v>
      </c>
      <c r="Q250" s="32" t="n">
        <v>146.95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-10.61</v>
      </c>
      <c r="U250" s="32" t="n">
        <v>13.16</v>
      </c>
      <c r="V250" s="32" t="n">
        <v>26.59</v>
      </c>
      <c r="W250" s="32" t="n">
        <v>6.38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Oligopoly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Shallow Cyclical (2 to 3 Years Growth)</t>
        </is>
      </c>
      <c r="AG250" s="31">
        <f>IF(AF250="Structural (10 Years Consistency)",10,IF(AF250="Shallow Cyclical (2 to 3 years growth)",5,0))</f>
        <v/>
      </c>
      <c r="AH250" s="31" t="inlineStr">
        <is>
          <t>Yes due to Product Mix change or Operating Leverage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Allocated capital in Non-core Areas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Above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Sideways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Overhead supply in last 2 years in last 2 years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More than 15%</t>
        </is>
      </c>
      <c r="CC250" s="31">
        <f>IF(CB250="More than 15%",-10,IF(CB250="Less than 15%",10,0))</f>
        <v/>
      </c>
      <c r="CD250" s="31" t="inlineStr">
        <is>
          <t>Yes Upto 10%</t>
        </is>
      </c>
      <c r="CE250" s="31">
        <f>IF(CD250="Yes, more than 10%",-10,IF(CD250="No",10,0))</f>
        <v/>
      </c>
    </row>
    <row r="251">
      <c r="A251" s="31">
        <f>IF(B251=0,"",RANK(B251,$B$2:$B$252,0))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UNITEDPOLY</t>
        </is>
      </c>
      <c r="D251" s="31" t="inlineStr">
        <is>
          <t>United Polyfab Gujarat Ltd</t>
        </is>
      </c>
      <c r="E251" s="31" t="inlineStr">
        <is>
          <t>textiles</t>
        </is>
      </c>
      <c r="F251" s="31" t="inlineStr">
        <is>
          <t>textiles - products</t>
        </is>
      </c>
      <c r="G251" s="31" t="inlineStr">
        <is>
          <t>smallcap</t>
        </is>
      </c>
      <c r="H251" s="32" t="n">
        <v>1112.92</v>
      </c>
      <c r="I251" s="32" t="n">
        <v>48.1</v>
      </c>
      <c r="J251" s="32" t="n">
        <v>-0.8</v>
      </c>
      <c r="K251" s="32" t="n">
        <v>98385</v>
      </c>
      <c r="L251" s="31" t="n">
        <v>53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76.37</v>
      </c>
      <c r="P251" s="32" t="n">
        <v>28.84</v>
      </c>
      <c r="Q251" s="32" t="n">
        <v>35.31</v>
      </c>
      <c r="R251" s="31" t="inlineStr">
        <is>
          <t>Volume Spike &amp; Near 52W High Breakout</t>
        </is>
      </c>
      <c r="S251" s="31" t="inlineStr">
        <is>
          <t>Nifty 50</t>
        </is>
      </c>
      <c r="T251" s="32" t="n">
        <v>-10.61</v>
      </c>
      <c r="U251" s="32" t="n">
        <v>8.48</v>
      </c>
      <c r="V251" s="32" t="n">
        <v>21.35</v>
      </c>
      <c r="W251" s="32" t="n">
        <v>18.13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Shallow Cyclical (2 to 3 Years Growth)</t>
        </is>
      </c>
      <c r="AG251" s="31">
        <f>IF(AF251="Structural (10 Years Consistency)",10,IF(AF251="Shallow Cyclical (2 to 3 years growth)",5,0))</f>
        <v/>
      </c>
      <c r="AH251" s="31" t="inlineStr">
        <is>
          <t>Yes due to Product Mix change or Operating Leverage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Allocated capital in Non-core Areas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Sideways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Overhead supply in last 2 years in last 2 years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More than 15%</t>
        </is>
      </c>
      <c r="CC251" s="31">
        <f>IF(CB251="More than 15%",-10,IF(CB251="Less than 15%",10,0))</f>
        <v/>
      </c>
      <c r="CD251" s="31" t="inlineStr">
        <is>
          <t>Yes Upto 10%</t>
        </is>
      </c>
      <c r="CE251" s="31">
        <f>IF(CD251="Yes, more than 10%",-10,IF(CD251="No",10,0))</f>
        <v/>
      </c>
    </row>
    <row r="252">
      <c r="A252" s="31">
        <f>IF(B252=0,"",RANK(B252,$B$2:$B$252,0))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GNFC</t>
        </is>
      </c>
      <c r="D252" s="31" t="inlineStr">
        <is>
          <t>Gujarat Narmada Valley Fertilizers And Chemicals Limited</t>
        </is>
      </c>
      <c r="E252" s="31" t="inlineStr">
        <is>
          <t>chemicals</t>
        </is>
      </c>
      <c r="F252" s="31" t="inlineStr">
        <is>
          <t>chemicals</t>
        </is>
      </c>
      <c r="G252" s="31" t="inlineStr">
        <is>
          <t>midcap</t>
        </is>
      </c>
      <c r="H252" s="32" t="n">
        <v>9249.92</v>
      </c>
      <c r="I252" s="32" t="n">
        <v>618.2</v>
      </c>
      <c r="J252" s="32" t="n">
        <v>-1.8</v>
      </c>
      <c r="K252" s="32" t="n">
        <v>457948</v>
      </c>
      <c r="L252" s="31" t="n">
        <v>35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66.73</v>
      </c>
      <c r="P252" s="32" t="n">
        <v>39.85</v>
      </c>
      <c r="Q252" s="32" t="n">
        <v>505.76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-10.61</v>
      </c>
      <c r="U252" s="32" t="n">
        <v>28.73</v>
      </c>
      <c r="V252" s="32" t="n">
        <v>44</v>
      </c>
      <c r="W252" s="32" t="n">
        <v>11.56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Oligopoly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Shallow Cyclical (2 to 3 Years Growth)</t>
        </is>
      </c>
      <c r="AG252" s="31">
        <f>IF(AF252="Structural (10 Years Consistency)",10,IF(AF252="Shallow Cyclical (2 to 3 years growth)",5,0))</f>
        <v/>
      </c>
      <c r="AH252" s="31" t="inlineStr">
        <is>
          <t>Yes due to Product Mix change or Operating Leverage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Allocated capital in Non-core Areas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Sideways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Overhead supply in last 2 years in last 2 years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More than 15%</t>
        </is>
      </c>
      <c r="CC252" s="31">
        <f>IF(CB252="More than 15%",-10,IF(CB252="Less than 15%",10,0))</f>
        <v/>
      </c>
      <c r="CD252" s="31" t="inlineStr">
        <is>
          <t>Yes Upto 10%</t>
        </is>
      </c>
      <c r="CE252" s="31">
        <f>IF(CD252="Yes, more than 10%",-10,IF(CD252="No",10,0))</f>
        <v/>
      </c>
    </row>
  </sheetData>
  <autoFilter ref="A1:CE252"/>
  <conditionalFormatting sqref="B2:B25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5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5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5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5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5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5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5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5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5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5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5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5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5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5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5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5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5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5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5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5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5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5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5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5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5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5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5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52">
    <cfRule type="cellIs" priority="36" operator="equal" dxfId="3" stopIfTrue="1">
      <formula>"Underperforming"</formula>
    </cfRule>
  </conditionalFormatting>
  <conditionalFormatting sqref="N2:N252">
    <cfRule type="cellIs" priority="37" operator="equal" dxfId="3" stopIfTrue="1">
      <formula>-5</formula>
    </cfRule>
  </conditionalFormatting>
  <conditionalFormatting sqref="Q2:Q25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52" showDropDown="0" showInputMessage="0" showErrorMessage="0" allowBlank="1" type="list">
      <formula1>"Growing Industry,Stagnant Industry,Cyclical in an Upturn"</formula1>
    </dataValidation>
    <dataValidation sqref="Z2:Z25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52" showDropDown="0" showInputMessage="0" showErrorMessage="0" allowBlank="1" type="list">
      <formula1>"Yes,No"</formula1>
    </dataValidation>
    <dataValidation sqref="AD2:AD252" showDropDown="0" showInputMessage="0" showErrorMessage="0" allowBlank="1" type="list">
      <formula1>"Tailwind,Headwind"</formula1>
    </dataValidation>
    <dataValidation sqref="AF2:AF252" showDropDown="0" showInputMessage="0" showErrorMessage="0" allowBlank="1" type="list">
      <formula1>"Structural (10 Years Consistency),Shallow Cyclical (2 to 3 Years Growth),Cyclical"</formula1>
    </dataValidation>
    <dataValidation sqref="AH2:AH252" showDropDown="0" showInputMessage="0" showErrorMessage="0" allowBlank="1" type="list">
      <formula1>"Yes due to Product Mix change or Operating Leverage,Yes, these are peak margins,No"</formula1>
    </dataValidation>
    <dataValidation sqref="AJ2:AJ252" showDropDown="0" showInputMessage="0" showErrorMessage="0" allowBlank="1" type="list">
      <formula1>"Stable,Volatile"</formula1>
    </dataValidation>
    <dataValidation sqref="AL2:AL252" showDropDown="0" showInputMessage="0" showErrorMessage="0" allowBlank="1" type="list">
      <formula1>"Yes,No"</formula1>
    </dataValidation>
    <dataValidation sqref="AN2:AN252" showDropDown="0" showInputMessage="0" showErrorMessage="0" allowBlank="1" type="list">
      <formula1>"B2C,B2B,B2G"</formula1>
    </dataValidation>
    <dataValidation sqref="AP2:AP252" showDropDown="0" showInputMessage="0" showErrorMessage="0" allowBlank="1" type="list">
      <formula1>"Yes,No"</formula1>
    </dataValidation>
    <dataValidation sqref="AR2:AR252" showDropDown="0" showInputMessage="0" showErrorMessage="0" allowBlank="1" type="list">
      <formula1>"Fully Annuity,Higher Annuity, Lower One time,Higher One Time, Lower Annuity,Fully One Time"</formula1>
    </dataValidation>
    <dataValidation sqref="AT2:AT252" showDropDown="0" showInputMessage="0" showErrorMessage="0" allowBlank="1" type="list">
      <formula1>"Good,Allocated capital in Non-core Areas"</formula1>
    </dataValidation>
    <dataValidation sqref="AV2:AV252" showDropDown="0" showInputMessage="0" showErrorMessage="0" allowBlank="1" type="list">
      <formula1>"Yes for more than 2 years,Yes only for next 1 to 2 years,No"</formula1>
    </dataValidation>
    <dataValidation sqref="AX2:AX252" showDropDown="0" showInputMessage="0" showErrorMessage="0" allowBlank="1" type="list">
      <formula1>"Above 40,20 to 40,0 to 20"</formula1>
    </dataValidation>
    <dataValidation sqref="AZ2:AZ252" showDropDown="0" showInputMessage="0" showErrorMessage="0" allowBlank="1" type="list">
      <formula1>"Between 50 to 75,Above 75,Below 45"</formula1>
    </dataValidation>
    <dataValidation sqref="BB2:BB252" showDropDown="0" showInputMessage="0" showErrorMessage="0" allowBlank="1" type="list">
      <formula1>"Stage 1,Stage 2,Stage 3,Stage 4"</formula1>
    </dataValidation>
    <dataValidation sqref="BD2:BD252" showDropDown="0" showInputMessage="0" showErrorMessage="0" allowBlank="1" type="list">
      <formula1>"Positive Trend,Negative Trend"</formula1>
    </dataValidation>
    <dataValidation sqref="BF2:BF252" showDropDown="0" showInputMessage="0" showErrorMessage="0" allowBlank="1" type="list">
      <formula1>"Uptrend,Sideways,Downtrend"</formula1>
    </dataValidation>
    <dataValidation sqref="BH2:BH252" showDropDown="0" showInputMessage="0" showErrorMessage="0" allowBlank="1" type="list">
      <formula1>"Uptrend,Sideways,Downtrend"</formula1>
    </dataValidation>
    <dataValidation sqref="BJ2:BJ25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52" showDropDown="0" showInputMessage="0" showErrorMessage="0" allowBlank="1" type="list">
      <formula1>"Yes,No"</formula1>
    </dataValidation>
    <dataValidation sqref="BN2:BN252" showDropDown="0" showInputMessage="0" showErrorMessage="0" allowBlank="1" type="list">
      <formula1>"More than 20%,Between 12 to 20%,Less than 12%"</formula1>
    </dataValidation>
    <dataValidation sqref="BP2:BP252" showDropDown="0" showInputMessage="0" showErrorMessage="0" allowBlank="1" type="list">
      <formula1>"Yes,No"</formula1>
    </dataValidation>
    <dataValidation sqref="BR2:BR252" showDropDown="0" showInputMessage="0" showErrorMessage="0" allowBlank="1" type="list">
      <formula1>"Yes,No"</formula1>
    </dataValidation>
    <dataValidation sqref="BT2:BT252" showDropDown="0" showInputMessage="0" showErrorMessage="0" allowBlank="1" type="list">
      <formula1>"Above 2,Between 1.5 to 2,Less than 1.5"</formula1>
    </dataValidation>
    <dataValidation sqref="BV2:BV252" showDropDown="0" showInputMessage="0" showErrorMessage="0" allowBlank="1" type="list">
      <formula1>"Above 70%,Between 50% to 70%,Less than 50%,Less than 50% and Borrowings are increasing,Negative"</formula1>
    </dataValidation>
    <dataValidation sqref="BX2:BX252" showDropDown="0" showInputMessage="0" showErrorMessage="0" allowBlank="1" type="list">
      <formula1>"More than 1.2,Between 0.7 to 1.2,Less than 0.7"</formula1>
    </dataValidation>
    <dataValidation sqref="BZ2:BZ252" showDropDown="0" showInputMessage="0" showErrorMessage="0" allowBlank="1" type="list">
      <formula1>"Yes,No"</formula1>
    </dataValidation>
    <dataValidation sqref="CB2:CB252" showDropDown="0" showInputMessage="0" showErrorMessage="0" allowBlank="1" type="list">
      <formula1>"More than 15%,Less than 15%"</formula1>
    </dataValidation>
    <dataValidation sqref="CD2:CD25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IF(B2=0,"",RANK(B2,$B$2:$B$22,0))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891.6900000000001</v>
      </c>
      <c r="I2" s="32" t="n">
        <v>2400</v>
      </c>
      <c r="J2" s="32" t="n">
        <v>-1.64</v>
      </c>
      <c r="K2" s="32" t="n">
        <v>4</v>
      </c>
      <c r="L2" s="31" t="n">
        <v>70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76.3</v>
      </c>
      <c r="P2" s="32" t="n">
        <v>62.15</v>
      </c>
      <c r="Q2" s="32" t="n">
        <v>2013.22</v>
      </c>
      <c r="R2" s="31" t="inlineStr">
        <is>
          <t>Near 52W High Breakout</t>
        </is>
      </c>
      <c r="S2" s="31" t="inlineStr">
        <is>
          <t>Nifty Bank</t>
        </is>
      </c>
      <c r="T2" s="32" t="n">
        <v>-2.75</v>
      </c>
      <c r="U2" s="32" t="n">
        <v>120.67</v>
      </c>
      <c r="V2" s="32" t="n">
        <v>126.9</v>
      </c>
      <c r="W2" s="32" t="n">
        <v>24.87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IF(B3=0,"",RANK(B3,$B$2:$B$22,0))</f>
        <v/>
      </c>
      <c r="B3" s="32">
        <f>SUM(N3,Y3,AA3,AC3,AE3,AG3,AI3,AK3,AM3,AO3,AQ3,AS3,AU3,AW3,AY3,BA3,BC3,BE3,BG3,BI3,BK3,BM3,BO3,BQ3,BS3,BU3,BW3,BY3,CA3)</f>
        <v/>
      </c>
      <c r="C3" s="31" t="inlineStr">
        <is>
          <t>ESAFSFB</t>
        </is>
      </c>
      <c r="D3" s="31" t="inlineStr">
        <is>
          <t>ESAF Small Finance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smallcap</t>
        </is>
      </c>
      <c r="H3" s="32" t="n">
        <v>2174.74</v>
      </c>
      <c r="I3" s="32" t="n">
        <v>42.67</v>
      </c>
      <c r="J3" s="32" t="n">
        <v>1.23</v>
      </c>
      <c r="K3" s="32" t="n">
        <v>219456</v>
      </c>
      <c r="L3" s="31" t="n">
        <v>42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62.48</v>
      </c>
      <c r="P3" s="32" t="n">
        <v>38.9</v>
      </c>
      <c r="Q3" s="32" t="n">
        <v>33.65</v>
      </c>
      <c r="R3" s="31" t="inlineStr">
        <is>
          <t>Near 52W High Breakout</t>
        </is>
      </c>
      <c r="S3" s="31" t="inlineStr">
        <is>
          <t>Nifty Bank</t>
        </is>
      </c>
      <c r="T3" s="32" t="n">
        <v>-2.75</v>
      </c>
      <c r="U3" s="32" t="n">
        <v>46.48</v>
      </c>
      <c r="V3" s="32" t="n">
        <v>50.62</v>
      </c>
      <c r="W3" s="32" t="n">
        <v>14.23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IF(B4=0,"",RANK(B4,$B$2:$B$22,0))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710.13</v>
      </c>
      <c r="I4" s="32" t="n">
        <v>141.74</v>
      </c>
      <c r="J4" s="32" t="n">
        <v>0.28</v>
      </c>
      <c r="K4" s="32" t="n">
        <v>48842</v>
      </c>
      <c r="L4" s="31" t="n">
        <v>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64.90000000000001</v>
      </c>
      <c r="P4" s="32" t="n">
        <v>39.04</v>
      </c>
      <c r="Q4" s="32" t="n">
        <v>114.22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-2.75</v>
      </c>
      <c r="U4" s="32" t="n">
        <v>6.67</v>
      </c>
      <c r="V4" s="32" t="n">
        <v>9.68</v>
      </c>
      <c r="W4" s="32" t="n">
        <v>2.92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IF(B5=0,"",RANK(B5,$B$2:$B$22,0))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SHAREINDIA</t>
        </is>
      </c>
      <c r="D5" s="31" t="inlineStr">
        <is>
          <t>Share India Securities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4625.97</v>
      </c>
      <c r="I5" s="32" t="n">
        <v>207.27</v>
      </c>
      <c r="J5" s="32" t="n">
        <v>-1.95</v>
      </c>
      <c r="K5" s="32" t="n">
        <v>791105</v>
      </c>
      <c r="L5" s="31" t="n">
        <v>37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63.22</v>
      </c>
      <c r="P5" s="32" t="n">
        <v>43.76</v>
      </c>
      <c r="Q5" s="32" t="n">
        <v>172.79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-2.75</v>
      </c>
      <c r="U5" s="32" t="n">
        <v>47.68</v>
      </c>
      <c r="V5" s="32" t="n">
        <v>51.85</v>
      </c>
      <c r="W5" s="32" t="n">
        <v>12.02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IF(B6=0,"",RANK(B6,$B$2:$B$22,0))</f>
        <v/>
      </c>
      <c r="B6" s="32">
        <f>SUM(N6,Y6,AA6,AC6,AE6,AG6,AI6,AK6,AM6,AO6,AQ6,AS6,AU6,AW6,AY6,BA6,BC6,BE6,BG6,BI6,BK6,BM6,BO6,BQ6,BS6,BU6,BW6,BY6,CA6)</f>
        <v/>
      </c>
      <c r="C6" s="33" t="inlineStr">
        <is>
          <t>ARIHANTCAP</t>
        </is>
      </c>
      <c r="D6" s="33" t="inlineStr">
        <is>
          <t>Arihant Capital Markets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1031.79</v>
      </c>
      <c r="I6" s="32" t="n">
        <v>97.38</v>
      </c>
      <c r="J6" s="32" t="n">
        <v>3.45</v>
      </c>
      <c r="K6" s="32" t="n">
        <v>1292989</v>
      </c>
      <c r="L6" s="31" t="n">
        <v>14</v>
      </c>
      <c r="M6" s="31" t="inlineStr">
        <is>
          <t>Underperforming</t>
        </is>
      </c>
      <c r="N6" s="32">
        <f>IF(M6="Underperforming",-5,IF(L6&gt;=95,15,IF(L6&gt;=90,10,IF(L6&gt;=80,5,0))))</f>
        <v/>
      </c>
      <c r="O6" s="32" t="n">
        <v>68.39</v>
      </c>
      <c r="P6" s="32" t="n">
        <v>20.6</v>
      </c>
      <c r="Q6" s="32" t="n">
        <v>75.13</v>
      </c>
      <c r="R6" s="31" t="inlineStr">
        <is>
          <t>Near 52W High Breakout</t>
        </is>
      </c>
      <c r="S6" s="31" t="inlineStr">
        <is>
          <t>Nifty Bank</t>
        </is>
      </c>
      <c r="T6" s="32" t="n">
        <v>-2.75</v>
      </c>
      <c r="U6" s="32" t="n">
        <v>-13.63</v>
      </c>
      <c r="V6" s="32" t="n">
        <v>-11.19</v>
      </c>
      <c r="W6" s="32" t="n">
        <v>4.9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IF(B7=0,"",RANK(B7,$B$2:$B$22,0))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SGFIN</t>
        </is>
      </c>
      <c r="D7" s="31" t="inlineStr">
        <is>
          <t>SG Finserve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4363.24</v>
      </c>
      <c r="I7" s="32" t="n">
        <v>663.7</v>
      </c>
      <c r="J7" s="32" t="n">
        <v>0.23</v>
      </c>
      <c r="K7" s="32" t="n">
        <v>231759</v>
      </c>
      <c r="L7" s="31" t="n">
        <v>41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59.53</v>
      </c>
      <c r="P7" s="32" t="n">
        <v>31.59</v>
      </c>
      <c r="Q7" s="32" t="n">
        <v>526.49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-2.75</v>
      </c>
      <c r="U7" s="32" t="n">
        <v>80.81999999999999</v>
      </c>
      <c r="V7" s="32" t="n">
        <v>85.92</v>
      </c>
      <c r="W7" s="32" t="n">
        <v>14.12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IF(B8=0,"",RANK(B8,$B$2:$B$22,0))</f>
        <v/>
      </c>
      <c r="B8" s="32">
        <f>SUM(N8,Y8,AA8,AC8,AE8,AG8,AI8,AK8,AM8,AO8,AQ8,AS8,AU8,AW8,AY8,BA8,BC8,BE8,BG8,BI8,BK8,BM8,BO8,BQ8,BS8,BU8,BW8,BY8,CA8)</f>
        <v/>
      </c>
      <c r="C8" s="31" t="inlineStr">
        <is>
          <t>MUFIN</t>
        </is>
      </c>
      <c r="D8" s="31" t="inlineStr">
        <is>
          <t>Mufin Green Finance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2678.56</v>
      </c>
      <c r="I8" s="32" t="n">
        <v>135.17</v>
      </c>
      <c r="J8" s="32" t="n">
        <v>0</v>
      </c>
      <c r="K8" s="32" t="n">
        <v>2030615</v>
      </c>
      <c r="L8" s="31" t="n">
        <v>33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59.08</v>
      </c>
      <c r="P8" s="32" t="n">
        <v>31.23</v>
      </c>
      <c r="Q8" s="32" t="n">
        <v>116.33</v>
      </c>
      <c r="R8" s="31" t="inlineStr">
        <is>
          <t>Near 52W High Breakout</t>
        </is>
      </c>
      <c r="S8" s="31" t="inlineStr">
        <is>
          <t>Nifty Bank</t>
        </is>
      </c>
      <c r="T8" s="32" t="n">
        <v>-2.75</v>
      </c>
      <c r="U8" s="32" t="n">
        <v>53.57</v>
      </c>
      <c r="V8" s="32" t="n">
        <v>57.9</v>
      </c>
      <c r="W8" s="32" t="n">
        <v>10.83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IF(B9=0,"",RANK(B9,$B$2:$B$22,0))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SMCGLOBAL</t>
        </is>
      </c>
      <c r="D9" s="31" t="inlineStr">
        <is>
          <t>SMC Global Securities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2314.92</v>
      </c>
      <c r="I9" s="32" t="n">
        <v>110.24</v>
      </c>
      <c r="J9" s="32" t="n">
        <v>-0.28</v>
      </c>
      <c r="K9" s="32" t="n">
        <v>6234957</v>
      </c>
      <c r="L9" s="31" t="n">
        <v>64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75.09</v>
      </c>
      <c r="P9" s="32" t="n">
        <v>38.48</v>
      </c>
      <c r="Q9" s="32" t="n">
        <v>82.61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-2.75</v>
      </c>
      <c r="U9" s="32" t="n">
        <v>60.62</v>
      </c>
      <c r="V9" s="32" t="n">
        <v>65.15000000000001</v>
      </c>
      <c r="W9" s="32" t="n">
        <v>22.34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IF(B10=0,"",RANK(B10,$B$2:$B$22,0))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TFCILTD</t>
        </is>
      </c>
      <c r="D10" s="31" t="inlineStr">
        <is>
          <t>Tourism Finance Corporation Of India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midcap</t>
        </is>
      </c>
      <c r="H10" s="32" t="n">
        <v>6511.77</v>
      </c>
      <c r="I10" s="32" t="n">
        <v>152.24</v>
      </c>
      <c r="J10" s="32" t="n">
        <v>8.24</v>
      </c>
      <c r="K10" s="32" t="n">
        <v>19824302</v>
      </c>
      <c r="L10" s="31" t="n">
        <v>92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83.97</v>
      </c>
      <c r="P10" s="32" t="n">
        <v>74.28</v>
      </c>
      <c r="Q10" s="32" t="n">
        <v>121.99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-2.75</v>
      </c>
      <c r="U10" s="32" t="n">
        <v>107.23</v>
      </c>
      <c r="V10" s="32" t="n">
        <v>113.08</v>
      </c>
      <c r="W10" s="32" t="n">
        <v>42.07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IF(B11=0,"",RANK(B11,$B$2:$B$22,0))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KOTAKBANK</t>
        </is>
      </c>
      <c r="D11" s="31" t="inlineStr">
        <is>
          <t>Kotak Mahindra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429598.37</v>
      </c>
      <c r="I11" s="32" t="n">
        <v>440</v>
      </c>
      <c r="J11" s="32" t="n">
        <v>1.88</v>
      </c>
      <c r="K11" s="32" t="n">
        <v>37972097</v>
      </c>
      <c r="L11" s="31" t="n">
        <v>12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64.31999999999999</v>
      </c>
      <c r="P11" s="32" t="n">
        <v>14.08</v>
      </c>
      <c r="Q11" s="32" t="n">
        <v>381.57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-2.75</v>
      </c>
      <c r="U11" s="32" t="n">
        <v>2.5</v>
      </c>
      <c r="V11" s="32" t="n">
        <v>5.39</v>
      </c>
      <c r="W11" s="32" t="n">
        <v>4.25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IF(B12=0,"",RANK(B12,$B$2:$B$22,0))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PAISALO</t>
        </is>
      </c>
      <c r="D12" s="31" t="inlineStr">
        <is>
          <t>Paisalo Digital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midcap</t>
        </is>
      </c>
      <c r="H12" s="32" t="n">
        <v>7558.13</v>
      </c>
      <c r="I12" s="32" t="n">
        <v>84.23</v>
      </c>
      <c r="J12" s="32" t="n">
        <v>1.36</v>
      </c>
      <c r="K12" s="32" t="n">
        <v>11691827</v>
      </c>
      <c r="L12" s="31" t="n">
        <v>67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69.17</v>
      </c>
      <c r="P12" s="32" t="n">
        <v>66.52</v>
      </c>
      <c r="Q12" s="32" t="n">
        <v>68.76000000000001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-2.75</v>
      </c>
      <c r="U12" s="32" t="n">
        <v>113.82</v>
      </c>
      <c r="V12" s="32" t="n">
        <v>119.86</v>
      </c>
      <c r="W12" s="32" t="n">
        <v>23.57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IF(B13=0,"",RANK(B13,$B$2:$B$22,0))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DHANBANK</t>
        </is>
      </c>
      <c r="D13" s="31" t="inlineStr">
        <is>
          <t>Dhanlaxmi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smallcap</t>
        </is>
      </c>
      <c r="H13" s="32" t="n">
        <v>1137.92</v>
      </c>
      <c r="I13" s="32" t="n">
        <v>32.83</v>
      </c>
      <c r="J13" s="32" t="n">
        <v>13.87</v>
      </c>
      <c r="K13" s="32" t="n">
        <v>18177967</v>
      </c>
      <c r="L13" s="31" t="n">
        <v>13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55.71</v>
      </c>
      <c r="P13" s="32" t="n">
        <v>24.76</v>
      </c>
      <c r="Q13" s="32" t="n">
        <v>25.73</v>
      </c>
      <c r="R13" s="31" t="inlineStr">
        <is>
          <t>Volume Spike / Accumulation</t>
        </is>
      </c>
      <c r="S13" s="31" t="inlineStr">
        <is>
          <t>Nifty Bank</t>
        </is>
      </c>
      <c r="T13" s="32" t="n">
        <v>-2.75</v>
      </c>
      <c r="U13" s="32" t="n">
        <v>26.08</v>
      </c>
      <c r="V13" s="32" t="n">
        <v>29.63</v>
      </c>
      <c r="W13" s="32" t="n">
        <v>4.43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1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IF(B14=0,"",RANK(B14,$B$2:$B$22,0))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MCX</t>
        </is>
      </c>
      <c r="D14" s="31" t="inlineStr">
        <is>
          <t>Multi Commodity Exchange Of India Limited</t>
        </is>
      </c>
      <c r="E14" s="31" t="inlineStr">
        <is>
          <t>financials</t>
        </is>
      </c>
      <c r="F14" s="31" t="inlineStr">
        <is>
          <t>miscellaneous</t>
        </is>
      </c>
      <c r="G14" s="31" t="inlineStr">
        <is>
          <t>largecap</t>
        </is>
      </c>
      <c r="H14" s="32" t="n">
        <v>84402.3</v>
      </c>
      <c r="I14" s="32" t="n">
        <v>3362.6</v>
      </c>
      <c r="J14" s="32" t="n">
        <v>1.59</v>
      </c>
      <c r="K14" s="32" t="n">
        <v>2369566</v>
      </c>
      <c r="L14" s="31" t="n">
        <v>56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66.2</v>
      </c>
      <c r="P14" s="32" t="n">
        <v>23.62</v>
      </c>
      <c r="Q14" s="32" t="n">
        <v>2689.88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-2.75</v>
      </c>
      <c r="U14" s="32" t="n">
        <v>93.98</v>
      </c>
      <c r="V14" s="32" t="n">
        <v>99.45999999999999</v>
      </c>
      <c r="W14" s="32" t="n">
        <v>19.01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above 5x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IF(B15=0,"",RANK(B15,$B$2:$B$22,0))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GCSL</t>
        </is>
      </c>
      <c r="D15" s="31" t="inlineStr">
        <is>
          <t>Gretex Corporate Services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1733</v>
      </c>
      <c r="I15" s="32" t="n">
        <v>689.7</v>
      </c>
      <c r="J15" s="32" t="n">
        <v>-0.48</v>
      </c>
      <c r="K15" s="32" t="n">
        <v>392492</v>
      </c>
      <c r="L15" s="31" t="n">
        <v>85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81.14</v>
      </c>
      <c r="P15" s="32" t="n">
        <v>34.77</v>
      </c>
      <c r="Q15" s="32" t="n">
        <v>560.54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-2.75</v>
      </c>
      <c r="U15" s="32" t="n">
        <v>199.17</v>
      </c>
      <c r="V15" s="32" t="n">
        <v>207.62</v>
      </c>
      <c r="W15" s="32" t="n">
        <v>34.65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IF(B16=0,"",RANK(B16,$B$2:$B$22,0))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NUVAMA</t>
        </is>
      </c>
      <c r="D16" s="31" t="inlineStr">
        <is>
          <t>Nuvama Wealth Management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33563.4</v>
      </c>
      <c r="I16" s="32" t="n">
        <v>1825.9</v>
      </c>
      <c r="J16" s="32" t="n">
        <v>-0.7</v>
      </c>
      <c r="K16" s="32" t="n">
        <v>241969</v>
      </c>
      <c r="L16" s="31" t="n">
        <v>18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58.56</v>
      </c>
      <c r="P16" s="32" t="n">
        <v>31.98</v>
      </c>
      <c r="Q16" s="32" t="n">
        <v>1558.46</v>
      </c>
      <c r="R16" s="31" t="inlineStr">
        <is>
          <t>Volume Spike / Accumulation</t>
        </is>
      </c>
      <c r="S16" s="31" t="inlineStr">
        <is>
          <t>Nifty Bank</t>
        </is>
      </c>
      <c r="T16" s="32" t="n">
        <v>-2.75</v>
      </c>
      <c r="U16" s="32" t="n">
        <v>28.59</v>
      </c>
      <c r="V16" s="32" t="n">
        <v>32.22</v>
      </c>
      <c r="W16" s="32" t="n">
        <v>5.71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IF(B17=0,"",RANK(B17,$B$2:$B$22,0))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IIFLCAPS</t>
        </is>
      </c>
      <c r="D17" s="31" t="inlineStr">
        <is>
          <t>IIFL Capital Services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10818.75</v>
      </c>
      <c r="I17" s="32" t="n">
        <v>346.85</v>
      </c>
      <c r="J17" s="32" t="n">
        <v>0.49</v>
      </c>
      <c r="K17" s="32" t="n">
        <v>319500</v>
      </c>
      <c r="L17" s="31" t="n">
        <v>15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58.34</v>
      </c>
      <c r="P17" s="32" t="n">
        <v>20.33</v>
      </c>
      <c r="Q17" s="32" t="n">
        <v>305.86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-2.75</v>
      </c>
      <c r="U17" s="32" t="n">
        <v>15.81</v>
      </c>
      <c r="V17" s="32" t="n">
        <v>19.07</v>
      </c>
      <c r="W17" s="32" t="n">
        <v>5.08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IF(B18=0,"",RANK(B18,$B$2:$B$22,0))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MOTILALOFS</t>
        </is>
      </c>
      <c r="D18" s="31" t="inlineStr">
        <is>
          <t>Motilal Oswal Financial Services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65101.09</v>
      </c>
      <c r="I18" s="32" t="n">
        <v>1067.9</v>
      </c>
      <c r="J18" s="32" t="n">
        <v>-1.23</v>
      </c>
      <c r="K18" s="32" t="n">
        <v>1232877</v>
      </c>
      <c r="L18" s="31" t="n">
        <v>15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64.64</v>
      </c>
      <c r="P18" s="32" t="n">
        <v>18.31</v>
      </c>
      <c r="Q18" s="32" t="n">
        <v>864.48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-2.75</v>
      </c>
      <c r="U18" s="32" t="n">
        <v>11.29</v>
      </c>
      <c r="V18" s="32" t="n">
        <v>14.43</v>
      </c>
      <c r="W18" s="32" t="n">
        <v>4.92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IF(B19=0,"",RANK(B19,$B$2:$B$22,0))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MAHABANK</t>
        </is>
      </c>
      <c r="D19" s="31" t="inlineStr">
        <is>
          <t>Bank Of Maharashtra Ltd</t>
        </is>
      </c>
      <c r="E19" s="31" t="inlineStr">
        <is>
          <t>bank</t>
        </is>
      </c>
      <c r="F19" s="31" t="inlineStr">
        <is>
          <t>banks - public sector</t>
        </is>
      </c>
      <c r="G19" s="31" t="inlineStr">
        <is>
          <t>largecap</t>
        </is>
      </c>
      <c r="H19" s="32" t="n">
        <v>62147.76</v>
      </c>
      <c r="I19" s="32" t="n">
        <v>84.15000000000001</v>
      </c>
      <c r="J19" s="32" t="n">
        <v>4.15</v>
      </c>
      <c r="K19" s="32" t="n">
        <v>20883267</v>
      </c>
      <c r="L19" s="31" t="n">
        <v>27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57.3</v>
      </c>
      <c r="P19" s="32" t="n">
        <v>26.85</v>
      </c>
      <c r="Q19" s="32" t="n">
        <v>70.44</v>
      </c>
      <c r="R19" s="31" t="inlineStr">
        <is>
          <t>Earnings / Momentum Support</t>
        </is>
      </c>
      <c r="S19" s="31" t="inlineStr">
        <is>
          <t>Nifty Bank</t>
        </is>
      </c>
      <c r="T19" s="32" t="n">
        <v>-2.75</v>
      </c>
      <c r="U19" s="32" t="n">
        <v>50.76</v>
      </c>
      <c r="V19" s="32" t="n">
        <v>55.02</v>
      </c>
      <c r="W19" s="32" t="n">
        <v>8.85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IF(B20=0,"",RANK(B20,$B$2:$B$22,0))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VHL</t>
        </is>
      </c>
      <c r="D20" s="33" t="inlineStr">
        <is>
          <t>Vardhman Holdings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1140.72</v>
      </c>
      <c r="I20" s="32" t="n">
        <v>3598.8</v>
      </c>
      <c r="J20" s="32" t="n">
        <v>0.6899999999999999</v>
      </c>
      <c r="K20" s="32" t="n">
        <v>611</v>
      </c>
      <c r="L20" s="31" t="n">
        <v>1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55.51</v>
      </c>
      <c r="P20" s="32" t="n">
        <v>6.58</v>
      </c>
      <c r="Q20" s="32" t="n">
        <v>3005.5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-2.75</v>
      </c>
      <c r="U20" s="32" t="n">
        <v>-7.46</v>
      </c>
      <c r="V20" s="32" t="n">
        <v>-4.85</v>
      </c>
      <c r="W20" s="32" t="n">
        <v>-1.03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IF(B21=0,"",RANK(B21,$B$2:$B$22,0))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5PAISA</t>
        </is>
      </c>
      <c r="D21" s="31" t="inlineStr">
        <is>
          <t>5Paisa Capital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1639.47</v>
      </c>
      <c r="I21" s="32" t="n">
        <v>348</v>
      </c>
      <c r="J21" s="32" t="n">
        <v>-0.49</v>
      </c>
      <c r="K21" s="32" t="n">
        <v>25160</v>
      </c>
      <c r="L21" s="31" t="n">
        <v>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52</v>
      </c>
      <c r="P21" s="32" t="n">
        <v>19.22</v>
      </c>
      <c r="Q21" s="32" t="n">
        <v>287.57</v>
      </c>
      <c r="R21" s="31" t="inlineStr">
        <is>
          <t>Volume Spike / Accumulation</t>
        </is>
      </c>
      <c r="S21" s="31" t="inlineStr">
        <is>
          <t>Nifty Bank</t>
        </is>
      </c>
      <c r="T21" s="32" t="n">
        <v>-2.75</v>
      </c>
      <c r="U21" s="32" t="n">
        <v>5.87</v>
      </c>
      <c r="V21" s="32" t="n">
        <v>8.859999999999999</v>
      </c>
      <c r="W21" s="32" t="n">
        <v>0.88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1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IF(B22=0,"",RANK(B22,$B$2:$B$22,0))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ANGELONE</t>
        </is>
      </c>
      <c r="D22" s="31" t="inlineStr">
        <is>
          <t>Angel One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26948.81</v>
      </c>
      <c r="I22" s="32" t="n">
        <v>302</v>
      </c>
      <c r="J22" s="32" t="n">
        <v>2.37</v>
      </c>
      <c r="K22" s="32" t="n">
        <v>13538340</v>
      </c>
      <c r="L22" s="31" t="n">
        <v>12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51.58</v>
      </c>
      <c r="P22" s="32" t="n">
        <v>10.99</v>
      </c>
      <c r="Q22" s="32" t="n">
        <v>274.63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-2.75</v>
      </c>
      <c r="U22" s="32" t="n">
        <v>33.65</v>
      </c>
      <c r="V22" s="32" t="n">
        <v>37.42</v>
      </c>
      <c r="W22" s="32" t="n">
        <v>4.38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1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</sheetData>
  <autoFilter ref="A1:CA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2">
    <cfRule type="cellIs" priority="34" operator="equal" dxfId="3" stopIfTrue="1">
      <formula>"Underperforming"</formula>
    </cfRule>
  </conditionalFormatting>
  <conditionalFormatting sqref="N2:N22">
    <cfRule type="cellIs" priority="35" operator="equal" dxfId="3" stopIfTrue="1">
      <formula>-5</formula>
    </cfRule>
  </conditionalFormatting>
  <conditionalFormatting sqref="Q2:Q2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2" showDropDown="0" showInputMessage="0" showErrorMessage="0" allowBlank="1" type="list">
      <formula1>"Growing Industry,Stagnant Industry,Cyclical in an Upturn"</formula1>
    </dataValidation>
    <dataValidation sqref="Z2:Z22" showDropDown="0" showInputMessage="0" showErrorMessage="0" allowBlank="1" type="list">
      <formula1>"Fragmented with Low ROE,Fragmented with High ROE,Highly Cyclical"</formula1>
    </dataValidation>
    <dataValidation sqref="AB2:AB22" showDropDown="0" showInputMessage="0" showErrorMessage="0" allowBlank="1" type="list">
      <formula1>"Yes,No"</formula1>
    </dataValidation>
    <dataValidation sqref="AD2:AD22" showDropDown="0" showInputMessage="0" showErrorMessage="0" allowBlank="1" type="list">
      <formula1>"Tailwind,Headwind"</formula1>
    </dataValidation>
    <dataValidation sqref="AF2:AF2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2" showDropDown="0" showInputMessage="0" showErrorMessage="0" allowBlank="1" type="list">
      <formula1>"Yes,No"</formula1>
    </dataValidation>
    <dataValidation sqref="AJ2:AJ22" showDropDown="0" showInputMessage="0" showErrorMessage="0" allowBlank="1" type="list">
      <formula1>"Yes,No,Not Applicable"</formula1>
    </dataValidation>
    <dataValidation sqref="AL2:AL22" showDropDown="0" showInputMessage="0" showErrorMessage="0" allowBlank="1" type="list">
      <formula1>"Yes,No"</formula1>
    </dataValidation>
    <dataValidation sqref="AN2:AN22" showDropDown="0" showInputMessage="0" showErrorMessage="0" allowBlank="1" type="list">
      <formula1>"Yes,No"</formula1>
    </dataValidation>
    <dataValidation sqref="AP2:AP22" showDropDown="0" showInputMessage="0" showErrorMessage="0" allowBlank="1" type="list">
      <formula1>"Yes,No"</formula1>
    </dataValidation>
    <dataValidation sqref="AR2:AR22" showDropDown="0" showInputMessage="0" showErrorMessage="0" allowBlank="1" type="list">
      <formula1>"Yes,No"</formula1>
    </dataValidation>
    <dataValidation sqref="AT2:AT22" showDropDown="0" showInputMessage="0" showErrorMessage="0" allowBlank="1" type="list">
      <formula1>"No,Yes"</formula1>
    </dataValidation>
    <dataValidation sqref="AV2:AV22" showDropDown="0" showInputMessage="0" showErrorMessage="0" allowBlank="1" type="list">
      <formula1>"No,Yes"</formula1>
    </dataValidation>
    <dataValidation sqref="AX2:AX22" showDropDown="0" showInputMessage="0" showErrorMessage="0" allowBlank="1" type="list">
      <formula1>"No,Yes CEO Resignation,Yes CEO Retirement"</formula1>
    </dataValidation>
    <dataValidation sqref="AZ2:AZ22" showDropDown="0" showInputMessage="0" showErrorMessage="0" allowBlank="1" type="list">
      <formula1>"No,Yes"</formula1>
    </dataValidation>
    <dataValidation sqref="BB2:BB22" showDropDown="0" showInputMessage="0" showErrorMessage="0" allowBlank="1" type="list">
      <formula1>"No,Yes"</formula1>
    </dataValidation>
    <dataValidation sqref="BD2:BD22" showDropDown="0" showInputMessage="0" showErrorMessage="0" allowBlank="1" type="list">
      <formula1>"Yes,No"</formula1>
    </dataValidation>
    <dataValidation sqref="BF2:BF22" showDropDown="0" showInputMessage="0" showErrorMessage="0" allowBlank="1" type="list">
      <formula1>"Yes,No"</formula1>
    </dataValidation>
    <dataValidation sqref="BH2:BH22" showDropDown="0" showInputMessage="0" showErrorMessage="0" allowBlank="1" type="list">
      <formula1>"Yes,No"</formula1>
    </dataValidation>
    <dataValidation sqref="BJ2:BJ2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2" showDropDown="0" showInputMessage="0" showErrorMessage="0" allowBlank="1" type="list">
      <formula1>"Above 40,20 to 40,0 to 20"</formula1>
    </dataValidation>
    <dataValidation sqref="BN2:BN22" showDropDown="0" showInputMessage="0" showErrorMessage="0" allowBlank="1" type="list">
      <formula1>"Between 50 to 75,Above 75,Below 45"</formula1>
    </dataValidation>
    <dataValidation sqref="BP2:BP22" showDropDown="0" showInputMessage="0" showErrorMessage="0" allowBlank="1" type="list">
      <formula1>"Stage 1,Stage 2,Stage 3,Stage 4"</formula1>
    </dataValidation>
    <dataValidation sqref="BR2:BR22" showDropDown="0" showInputMessage="0" showErrorMessage="0" allowBlank="1" type="list">
      <formula1>"Positive Trend,Negative Trend"</formula1>
    </dataValidation>
    <dataValidation sqref="BT2:BT22" showDropDown="0" showInputMessage="0" showErrorMessage="0" allowBlank="1" type="list">
      <formula1>"Uptrend,Sideways,Downtrend"</formula1>
    </dataValidation>
    <dataValidation sqref="BV2:BV22" showDropDown="0" showInputMessage="0" showErrorMessage="0" allowBlank="1" type="list">
      <formula1>"Uptrend,Sideways,Downtrend"</formula1>
    </dataValidation>
    <dataValidation sqref="BX2:BX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139.7</v>
      </c>
      <c r="E2" s="32" t="inlineStr">
        <is>
          <t>5%</t>
        </is>
      </c>
      <c r="F2" s="32" t="n">
        <v>50000</v>
      </c>
      <c r="G2" s="32" t="n">
        <v>230</v>
      </c>
      <c r="H2" s="31" t="inlineStr">
        <is>
          <t>OCCLLTD</t>
        </is>
      </c>
      <c r="I2" s="31" t="inlineStr">
        <is>
          <t>OCCL Ltd</t>
        </is>
      </c>
      <c r="J2" s="31" t="inlineStr">
        <is>
          <t>chemicals</t>
        </is>
      </c>
      <c r="K2" s="31" t="inlineStr">
        <is>
          <t>chemicals</t>
        </is>
      </c>
      <c r="L2" s="31" t="inlineStr">
        <is>
          <t>smallcap</t>
        </is>
      </c>
      <c r="M2" s="32" t="n">
        <v>1036.92</v>
      </c>
      <c r="N2" s="32" t="n">
        <v>217.3</v>
      </c>
      <c r="O2" s="32" t="n">
        <v>4.68</v>
      </c>
      <c r="P2" s="32" t="n">
        <v>195497</v>
      </c>
      <c r="Q2" s="31" t="n">
        <v>80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81.28</v>
      </c>
      <c r="U2" s="32" t="n">
        <v>50</v>
      </c>
      <c r="V2" s="32" t="n">
        <v>166.17</v>
      </c>
      <c r="W2" s="31" t="inlineStr">
        <is>
          <t>Near 52W High Breakout</t>
        </is>
      </c>
      <c r="X2" s="31" t="inlineStr">
        <is>
          <t>Nifty 50</t>
        </is>
      </c>
      <c r="Y2" s="32" t="n">
        <v>-10.61</v>
      </c>
      <c r="Z2" s="32" t="n">
        <v>73.55</v>
      </c>
      <c r="AA2" s="32" t="n">
        <v>94.14</v>
      </c>
      <c r="AB2" s="32" t="n">
        <v>32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</v>
      </c>
      <c r="E3" s="32" t="inlineStr">
        <is>
          <t>5%</t>
        </is>
      </c>
      <c r="F3" s="32" t="n">
        <v>50000</v>
      </c>
      <c r="G3" s="32" t="n">
        <v>33</v>
      </c>
      <c r="H3" s="31" t="inlineStr">
        <is>
          <t>FINCABLES</t>
        </is>
      </c>
      <c r="I3" s="31" t="inlineStr">
        <is>
          <t>Finolex Cables Limited</t>
        </is>
      </c>
      <c r="J3" s="31" t="inlineStr">
        <is>
          <t>industrials</t>
        </is>
      </c>
      <c r="K3" s="31" t="inlineStr">
        <is>
          <t>cables - power</t>
        </is>
      </c>
      <c r="L3" s="31" t="inlineStr">
        <is>
          <t>largecap</t>
        </is>
      </c>
      <c r="M3" s="32" t="n">
        <v>22543.26</v>
      </c>
      <c r="N3" s="32" t="n">
        <v>1483.5</v>
      </c>
      <c r="O3" s="32" t="n">
        <v>0.64</v>
      </c>
      <c r="P3" s="32" t="n">
        <v>409024</v>
      </c>
      <c r="Q3" s="31" t="inlineStr"/>
      <c r="R3" s="31" t="inlineStr"/>
      <c r="S3" s="32">
        <f>IF(R3="Underperforming",-5,IF(Q3&gt;=95,15,IF(Q3&gt;=90,10,IF(Q3&gt;=80,5,0))))</f>
        <v/>
      </c>
      <c r="T3" s="32" t="n">
        <v>72.02</v>
      </c>
      <c r="U3" s="32" t="n">
        <v>40.12</v>
      </c>
      <c r="V3" s="32" t="n">
        <v>1153.15</v>
      </c>
      <c r="W3" s="31" t="inlineStr">
        <is>
          <t>Near 52W High Breakout</t>
        </is>
      </c>
      <c r="X3" s="31" t="inlineStr">
        <is>
          <t>Nifty Energy</t>
        </is>
      </c>
      <c r="Y3" s="32" t="inlineStr"/>
      <c r="Z3" s="32" t="inlineStr"/>
      <c r="AA3" s="32" t="inlineStr"/>
      <c r="AB3" s="32" t="inlineStr"/>
      <c r="AC3" s="31" t="inlineStr">
        <is>
          <t>Cyclical in an Upturn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140</v>
      </c>
      <c r="E4" s="32" t="inlineStr">
        <is>
          <t>5%</t>
        </is>
      </c>
      <c r="F4" s="32" t="n">
        <v>50000</v>
      </c>
      <c r="G4" s="32" t="n">
        <v>1538</v>
      </c>
      <c r="H4" s="31" t="inlineStr">
        <is>
          <t>IBULLSLTD</t>
        </is>
      </c>
      <c r="I4" s="31" t="inlineStr">
        <is>
          <t>Indiabulls Limited</t>
        </is>
      </c>
      <c r="J4" s="31" t="inlineStr">
        <is>
          <t>miscellaneous</t>
        </is>
      </c>
      <c r="K4" s="31" t="inlineStr">
        <is>
          <t>diversified - medium / small</t>
        </is>
      </c>
      <c r="L4" s="31" t="inlineStr">
        <is>
          <t>midcap</t>
        </is>
      </c>
      <c r="M4" s="32" t="n">
        <v>7209.94</v>
      </c>
      <c r="N4" s="32" t="n">
        <v>32.49</v>
      </c>
      <c r="O4" s="32" t="n">
        <v>4.98</v>
      </c>
      <c r="P4" s="32" t="n">
        <v>22176156</v>
      </c>
      <c r="Q4" s="31" t="n">
        <v>72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68.34999999999999</v>
      </c>
      <c r="U4" s="32" t="n">
        <v>38.89</v>
      </c>
      <c r="V4" s="32" t="n">
        <v>23.07</v>
      </c>
      <c r="W4" s="31" t="inlineStr">
        <is>
          <t>Near 52W High Breakout</t>
        </is>
      </c>
      <c r="X4" s="31" t="inlineStr">
        <is>
          <t>Nifty 50</t>
        </is>
      </c>
      <c r="Y4" s="32" t="n">
        <v>-10.61</v>
      </c>
      <c r="Z4" s="32" t="n">
        <v>88.34999999999999</v>
      </c>
      <c r="AA4" s="32" t="n">
        <v>110.7</v>
      </c>
      <c r="AB4" s="32" t="n">
        <v>26.47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139.2</v>
      </c>
      <c r="E5" s="32" t="inlineStr">
        <is>
          <t>5%</t>
        </is>
      </c>
      <c r="F5" s="32" t="n">
        <v>50000</v>
      </c>
      <c r="G5" s="32" t="n">
        <v>82</v>
      </c>
      <c r="H5" s="31" t="inlineStr">
        <is>
          <t>THELEELA</t>
        </is>
      </c>
      <c r="I5" s="31" t="inlineStr">
        <is>
          <t>Leela Palaces Hotels &amp; Resorts Ltd</t>
        </is>
      </c>
      <c r="J5" s="31" t="inlineStr">
        <is>
          <t>services</t>
        </is>
      </c>
      <c r="K5" s="31" t="inlineStr">
        <is>
          <t>hotels</t>
        </is>
      </c>
      <c r="L5" s="31" t="inlineStr">
        <is>
          <t>midcap</t>
        </is>
      </c>
      <c r="M5" s="32" t="n">
        <v>19459.73</v>
      </c>
      <c r="N5" s="32" t="n">
        <v>602.45</v>
      </c>
      <c r="O5" s="32" t="n">
        <v>3.39</v>
      </c>
      <c r="P5" s="32" t="n">
        <v>627331</v>
      </c>
      <c r="Q5" s="31" t="n">
        <v>32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73.93000000000001</v>
      </c>
      <c r="U5" s="32" t="n">
        <v>42.29</v>
      </c>
      <c r="V5" s="32" t="n">
        <v>492.24</v>
      </c>
      <c r="W5" s="31" t="inlineStr">
        <is>
          <t>Near 52W High Breakout</t>
        </is>
      </c>
      <c r="X5" s="31" t="inlineStr">
        <is>
          <t>Nifty 50</t>
        </is>
      </c>
      <c r="Y5" s="32" t="n">
        <v>-10.61</v>
      </c>
      <c r="Z5" s="32" t="n">
        <v>33.04</v>
      </c>
      <c r="AA5" s="32" t="n">
        <v>48.82</v>
      </c>
      <c r="AB5" s="32" t="n">
        <v>10.4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140</v>
      </c>
      <c r="E6" s="32" t="inlineStr">
        <is>
          <t>5%</t>
        </is>
      </c>
      <c r="F6" s="32" t="n">
        <v>50000</v>
      </c>
      <c r="G6" s="32" t="n">
        <v>69</v>
      </c>
      <c r="H6" s="31" t="inlineStr">
        <is>
          <t>E2E</t>
        </is>
      </c>
      <c r="I6" s="31" t="inlineStr">
        <is>
          <t>E2E Networks Ltd</t>
        </is>
      </c>
      <c r="J6" s="31" t="inlineStr">
        <is>
          <t>i.t</t>
        </is>
      </c>
      <c r="K6" s="31" t="inlineStr">
        <is>
          <t>computers - software - medium / small</t>
        </is>
      </c>
      <c r="L6" s="31" t="inlineStr">
        <is>
          <t>midcap</t>
        </is>
      </c>
      <c r="M6" s="32" t="n">
        <v>14161.37</v>
      </c>
      <c r="N6" s="32" t="n">
        <v>723.3</v>
      </c>
      <c r="O6" s="32" t="n">
        <v>4.99</v>
      </c>
      <c r="P6" s="32" t="n">
        <v>482956</v>
      </c>
      <c r="Q6" s="31" t="n">
        <v>91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76.78</v>
      </c>
      <c r="U6" s="32" t="n">
        <v>54.91</v>
      </c>
      <c r="V6" s="32" t="n">
        <v>525.6900000000001</v>
      </c>
      <c r="W6" s="31" t="inlineStr">
        <is>
          <t>Near 52W High Breakout</t>
        </is>
      </c>
      <c r="X6" s="31" t="inlineStr">
        <is>
          <t>Nifty IT</t>
        </is>
      </c>
      <c r="Y6" s="32" t="n">
        <v>-22.05</v>
      </c>
      <c r="Z6" s="32" t="n">
        <v>112.25</v>
      </c>
      <c r="AA6" s="32" t="n">
        <v>172.28</v>
      </c>
      <c r="AB6" s="32" t="n">
        <v>41.2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139.6</v>
      </c>
      <c r="E7" s="32" t="inlineStr">
        <is>
          <t>5%</t>
        </is>
      </c>
      <c r="F7" s="32" t="n">
        <v>50000</v>
      </c>
      <c r="G7" s="32" t="n">
        <v>25</v>
      </c>
      <c r="H7" s="31" t="inlineStr">
        <is>
          <t>TATVA</t>
        </is>
      </c>
      <c r="I7" s="31" t="inlineStr">
        <is>
          <t>Tatva Chintan Pharma Chem Ltd</t>
        </is>
      </c>
      <c r="J7" s="31" t="inlineStr">
        <is>
          <t>chemicals</t>
        </is>
      </c>
      <c r="K7" s="31" t="inlineStr">
        <is>
          <t>chemicals</t>
        </is>
      </c>
      <c r="L7" s="31" t="inlineStr">
        <is>
          <t>smallcap</t>
        </is>
      </c>
      <c r="M7" s="32" t="n">
        <v>4391.62</v>
      </c>
      <c r="N7" s="32" t="n">
        <v>1991.2</v>
      </c>
      <c r="O7" s="32" t="n">
        <v>6.06</v>
      </c>
      <c r="P7" s="32" t="n">
        <v>278517</v>
      </c>
      <c r="Q7" s="31" t="n">
        <v>70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72.13</v>
      </c>
      <c r="U7" s="32" t="n">
        <v>42.27</v>
      </c>
      <c r="V7" s="32" t="n">
        <v>1510.79</v>
      </c>
      <c r="W7" s="31" t="inlineStr">
        <is>
          <t>Near 52W High Breakout</t>
        </is>
      </c>
      <c r="X7" s="31" t="inlineStr">
        <is>
          <t>Nifty 50</t>
        </is>
      </c>
      <c r="Y7" s="32" t="n">
        <v>-10.61</v>
      </c>
      <c r="Z7" s="32" t="n">
        <v>86.45999999999999</v>
      </c>
      <c r="AA7" s="32" t="n">
        <v>108.58</v>
      </c>
      <c r="AB7" s="32" t="n">
        <v>24.87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139.1</v>
      </c>
      <c r="E8" s="32" t="inlineStr">
        <is>
          <t>5%</t>
        </is>
      </c>
      <c r="F8" s="32" t="n">
        <v>50000</v>
      </c>
      <c r="G8" s="32" t="n">
        <v>7</v>
      </c>
      <c r="H8" s="31" t="inlineStr">
        <is>
          <t>KINGFA</t>
        </is>
      </c>
      <c r="I8" s="31" t="inlineStr">
        <is>
          <t>Kingfa Science &amp; Technology (india) Limited</t>
        </is>
      </c>
      <c r="J8" s="31" t="inlineStr">
        <is>
          <t>plastic products</t>
        </is>
      </c>
      <c r="K8" s="31" t="inlineStr">
        <is>
          <t>plastics products</t>
        </is>
      </c>
      <c r="L8" s="31" t="inlineStr">
        <is>
          <t>midcap</t>
        </is>
      </c>
      <c r="M8" s="32" t="n">
        <v>9393.82</v>
      </c>
      <c r="N8" s="32" t="n">
        <v>6932.5</v>
      </c>
      <c r="O8" s="32" t="n">
        <v>0.01</v>
      </c>
      <c r="P8" s="32" t="n">
        <v>9197</v>
      </c>
      <c r="Q8" s="31" t="n">
        <v>47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75.05</v>
      </c>
      <c r="U8" s="32" t="n">
        <v>45.04</v>
      </c>
      <c r="V8" s="32" t="n">
        <v>5621.27</v>
      </c>
      <c r="W8" s="31" t="inlineStr">
        <is>
          <t>Near 52W High Breakout</t>
        </is>
      </c>
      <c r="X8" s="31" t="inlineStr">
        <is>
          <t>Nifty 50</t>
        </is>
      </c>
      <c r="Y8" s="32" t="n">
        <v>-10.61</v>
      </c>
      <c r="Z8" s="32" t="n">
        <v>49.07</v>
      </c>
      <c r="AA8" s="32" t="n">
        <v>66.76000000000001</v>
      </c>
      <c r="AB8" s="32" t="n">
        <v>16.35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138.7</v>
      </c>
      <c r="E9" s="32" t="inlineStr">
        <is>
          <t>5%</t>
        </is>
      </c>
      <c r="F9" s="32" t="n">
        <v>50000</v>
      </c>
      <c r="G9" s="32" t="n">
        <v>143</v>
      </c>
      <c r="H9" s="31" t="inlineStr">
        <is>
          <t>HITECHCORP</t>
        </is>
      </c>
      <c r="I9" s="31" t="inlineStr">
        <is>
          <t>Hitech Corporation</t>
        </is>
      </c>
      <c r="J9" s="31" t="inlineStr">
        <is>
          <t>industrials</t>
        </is>
      </c>
      <c r="K9" s="31" t="inlineStr">
        <is>
          <t>packaging</t>
        </is>
      </c>
      <c r="L9" s="31" t="inlineStr">
        <is>
          <t>smallcap</t>
        </is>
      </c>
      <c r="M9" s="32" t="n">
        <v>588.1</v>
      </c>
      <c r="N9" s="32" t="n">
        <v>349.1</v>
      </c>
      <c r="O9" s="32" t="n">
        <v>1.96</v>
      </c>
      <c r="P9" s="32" t="n">
        <v>143436</v>
      </c>
      <c r="Q9" s="31" t="n">
        <v>65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80.34999999999999</v>
      </c>
      <c r="U9" s="32" t="n">
        <v>65.56999999999999</v>
      </c>
      <c r="V9" s="32" t="n">
        <v>295.36</v>
      </c>
      <c r="W9" s="31" t="inlineStr">
        <is>
          <t>Volume Spike &amp; Near 52W High Breakout</t>
        </is>
      </c>
      <c r="X9" s="31" t="inlineStr">
        <is>
          <t>Nifty 50</t>
        </is>
      </c>
      <c r="Y9" s="32" t="n">
        <v>-10.61</v>
      </c>
      <c r="Z9" s="32" t="n">
        <v>78.12</v>
      </c>
      <c r="AA9" s="32" t="n">
        <v>99.26000000000001</v>
      </c>
      <c r="AB9" s="32" t="n">
        <v>22.47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139.7</v>
      </c>
      <c r="E10" s="32" t="inlineStr">
        <is>
          <t>5%</t>
        </is>
      </c>
      <c r="F10" s="32" t="n">
        <v>50000</v>
      </c>
      <c r="G10" s="32" t="n">
        <v>145</v>
      </c>
      <c r="H10" s="31" t="inlineStr">
        <is>
          <t>CUPID</t>
        </is>
      </c>
      <c r="I10" s="31" t="inlineStr">
        <is>
          <t>Cupid Limited</t>
        </is>
      </c>
      <c r="J10" s="31" t="inlineStr">
        <is>
          <t>fmcg</t>
        </is>
      </c>
      <c r="K10" s="31" t="inlineStr">
        <is>
          <t>personal care - indian</t>
        </is>
      </c>
      <c r="L10" s="31" t="inlineStr">
        <is>
          <t>largecap</t>
        </is>
      </c>
      <c r="M10" s="32" t="n">
        <v>43593.9</v>
      </c>
      <c r="N10" s="32" t="n">
        <v>343.95</v>
      </c>
      <c r="O10" s="32" t="n">
        <v>6.09</v>
      </c>
      <c r="P10" s="32" t="n">
        <v>41373811</v>
      </c>
      <c r="Q10" s="31" t="inlineStr"/>
      <c r="R10" s="31" t="inlineStr"/>
      <c r="S10" s="32">
        <f>IF(R10="Underperforming",-5,IF(Q10&gt;=95,15,IF(Q10&gt;=90,10,IF(Q10&gt;=80,5,0))))</f>
        <v/>
      </c>
      <c r="T10" s="32" t="n">
        <v>85.45999999999999</v>
      </c>
      <c r="U10" s="32" t="n">
        <v>66.11</v>
      </c>
      <c r="V10" s="32" t="n">
        <v>263.43</v>
      </c>
      <c r="W10" s="31" t="inlineStr">
        <is>
          <t>Near 52W High Breakout</t>
        </is>
      </c>
      <c r="X10" s="31" t="inlineStr">
        <is>
          <t>Nifty FMCG</t>
        </is>
      </c>
      <c r="Y10" s="32" t="inlineStr"/>
      <c r="Z10" s="32" t="inlineStr"/>
      <c r="AA10" s="32" t="inlineStr"/>
      <c r="AB10" s="32" t="inlineStr"/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B2C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139.4</v>
      </c>
      <c r="E11" s="32" t="inlineStr">
        <is>
          <t>5%</t>
        </is>
      </c>
      <c r="F11" s="32" t="n">
        <v>50000</v>
      </c>
      <c r="G11" s="32" t="n">
        <v>15</v>
      </c>
      <c r="H11" s="31" t="inlineStr">
        <is>
          <t>GLAND</t>
        </is>
      </c>
      <c r="I11" s="31" t="inlineStr">
        <is>
          <t>Gland Pharma Ltd</t>
        </is>
      </c>
      <c r="J11" s="31" t="inlineStr">
        <is>
          <t>healthcare</t>
        </is>
      </c>
      <c r="K11" s="31" t="inlineStr">
        <is>
          <t>pharmaceuticals - indian - formulations</t>
        </is>
      </c>
      <c r="L11" s="31" t="inlineStr">
        <is>
          <t>largecap</t>
        </is>
      </c>
      <c r="M11" s="32" t="n">
        <v>49588.53</v>
      </c>
      <c r="N11" s="32" t="n">
        <v>3150.6</v>
      </c>
      <c r="O11" s="32" t="n">
        <v>4.81</v>
      </c>
      <c r="P11" s="32" t="n">
        <v>1341221</v>
      </c>
      <c r="Q11" s="31" t="n">
        <v>51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75.16</v>
      </c>
      <c r="U11" s="32" t="n">
        <v>62.96</v>
      </c>
      <c r="V11" s="32" t="n">
        <v>2596.73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18.99</v>
      </c>
      <c r="Z11" s="32" t="n">
        <v>65.04000000000001</v>
      </c>
      <c r="AA11" s="32" t="n">
        <v>38.71</v>
      </c>
      <c r="AB11" s="32" t="n">
        <v>17.89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138.5</v>
      </c>
      <c r="E12" s="32" t="inlineStr">
        <is>
          <t>5%</t>
        </is>
      </c>
      <c r="F12" s="32" t="n">
        <v>50000</v>
      </c>
      <c r="G12" s="32" t="n">
        <v>183</v>
      </c>
      <c r="H12" s="31" t="inlineStr">
        <is>
          <t>HFCL</t>
        </is>
      </c>
      <c r="I12" s="31" t="inlineStr">
        <is>
          <t>HFCL Ltd</t>
        </is>
      </c>
      <c r="J12" s="31" t="inlineStr">
        <is>
          <t>telecom</t>
        </is>
      </c>
      <c r="K12" s="31" t="inlineStr">
        <is>
          <t>cables - telephone</t>
        </is>
      </c>
      <c r="L12" s="31" t="inlineStr">
        <is>
          <t>largecap</t>
        </is>
      </c>
      <c r="M12" s="32" t="n">
        <v>40221.17</v>
      </c>
      <c r="N12" s="32" t="n">
        <v>271.9</v>
      </c>
      <c r="O12" s="32" t="n">
        <v>3.47</v>
      </c>
      <c r="P12" s="32" t="n">
        <v>12439455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73.2</v>
      </c>
      <c r="U12" s="32" t="n">
        <v>49.87</v>
      </c>
      <c r="V12" s="32" t="n">
        <v>197.51</v>
      </c>
      <c r="W12" s="31" t="inlineStr">
        <is>
          <t>Near 52W High Breakout</t>
        </is>
      </c>
      <c r="X12" s="31" t="inlineStr">
        <is>
          <t>Nifty Infra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Oligopoly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139.5</v>
      </c>
      <c r="E13" s="32" t="inlineStr">
        <is>
          <t>5%</t>
        </is>
      </c>
      <c r="F13" s="32" t="n">
        <v>50000</v>
      </c>
      <c r="G13" s="32" t="n">
        <v>68</v>
      </c>
      <c r="H13" s="31" t="inlineStr">
        <is>
          <t>EBGNG</t>
        </is>
      </c>
      <c r="I13" s="31" t="inlineStr">
        <is>
          <t>GNG Electronics Ltd</t>
        </is>
      </c>
      <c r="J13" s="31" t="inlineStr">
        <is>
          <t>services</t>
        </is>
      </c>
      <c r="K13" s="31" t="inlineStr">
        <is>
          <t>trading</t>
        </is>
      </c>
      <c r="L13" s="31" t="inlineStr">
        <is>
          <t>midcap</t>
        </is>
      </c>
      <c r="M13" s="32" t="n">
        <v>7811.5</v>
      </c>
      <c r="N13" s="32" t="n">
        <v>731.35</v>
      </c>
      <c r="O13" s="32" t="n">
        <v>6.74</v>
      </c>
      <c r="P13" s="32" t="n">
        <v>1130382</v>
      </c>
      <c r="Q13" s="31" t="n">
        <v>65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69.5</v>
      </c>
      <c r="U13" s="32" t="n">
        <v>38.08</v>
      </c>
      <c r="V13" s="32" t="n">
        <v>523.47</v>
      </c>
      <c r="W13" s="31" t="inlineStr">
        <is>
          <t>Near 52W High Breakout</t>
        </is>
      </c>
      <c r="X13" s="31" t="inlineStr">
        <is>
          <t>Nifty 50</t>
        </is>
      </c>
      <c r="Y13" s="32" t="n">
        <v>-10.61</v>
      </c>
      <c r="Z13" s="32" t="n">
        <v>118.18</v>
      </c>
      <c r="AA13" s="32" t="n">
        <v>144.07</v>
      </c>
      <c r="AB13" s="32" t="n">
        <v>22.76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138.3</v>
      </c>
      <c r="E14" s="32" t="inlineStr">
        <is>
          <t>5%</t>
        </is>
      </c>
      <c r="F14" s="32" t="n">
        <v>50000</v>
      </c>
      <c r="G14" s="32" t="n">
        <v>15</v>
      </c>
      <c r="H14" s="31" t="inlineStr">
        <is>
          <t>KMEW</t>
        </is>
      </c>
      <c r="I14" s="31" t="inlineStr">
        <is>
          <t>Knowledge Marine &amp; Engineering Works Ltd</t>
        </is>
      </c>
      <c r="J14" s="31" t="inlineStr">
        <is>
          <t>transportation</t>
        </is>
      </c>
      <c r="K14" s="31" t="inlineStr">
        <is>
          <t>miscellaneous</t>
        </is>
      </c>
      <c r="L14" s="31" t="inlineStr">
        <is>
          <t>midcap</t>
        </is>
      </c>
      <c r="M14" s="32" t="n">
        <v>7827.74</v>
      </c>
      <c r="N14" s="32" t="n">
        <v>3214</v>
      </c>
      <c r="O14" s="32" t="n">
        <v>0.37</v>
      </c>
      <c r="P14" s="32" t="n">
        <v>92519</v>
      </c>
      <c r="Q14" s="31" t="n">
        <v>77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77.83</v>
      </c>
      <c r="U14" s="32" t="n">
        <v>58.49</v>
      </c>
      <c r="V14" s="32" t="n">
        <v>2357.33</v>
      </c>
      <c r="W14" s="31" t="inlineStr">
        <is>
          <t>Near 52W High Breakout</t>
        </is>
      </c>
      <c r="X14" s="31" t="inlineStr">
        <is>
          <t>Nifty 50</t>
        </is>
      </c>
      <c r="Y14" s="32" t="n">
        <v>-10.61</v>
      </c>
      <c r="Z14" s="32" t="n">
        <v>170.72</v>
      </c>
      <c r="AA14" s="32" t="n">
        <v>202.85</v>
      </c>
      <c r="AB14" s="32" t="n">
        <v>29.88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139.4</v>
      </c>
      <c r="E15" s="32" t="inlineStr">
        <is>
          <t>5%</t>
        </is>
      </c>
      <c r="F15" s="32" t="n">
        <v>50000</v>
      </c>
      <c r="G15" s="32" t="n">
        <v>24</v>
      </c>
      <c r="H15" s="31" t="inlineStr">
        <is>
          <t>LAURUSLABS</t>
        </is>
      </c>
      <c r="I15" s="31" t="inlineStr">
        <is>
          <t>Laurus Labs Limited</t>
        </is>
      </c>
      <c r="J15" s="31" t="inlineStr">
        <is>
          <t>healthcare</t>
        </is>
      </c>
      <c r="K15" s="31" t="inlineStr">
        <is>
          <t>pharmaceuticals - indian - bulk drugs &amp; formln</t>
        </is>
      </c>
      <c r="L15" s="31" t="inlineStr">
        <is>
          <t>largecap</t>
        </is>
      </c>
      <c r="M15" s="32" t="n">
        <v>110751.16</v>
      </c>
      <c r="N15" s="32" t="n">
        <v>2052.8</v>
      </c>
      <c r="O15" s="32" t="n">
        <v>0.14</v>
      </c>
      <c r="P15" s="32" t="n">
        <v>1499990</v>
      </c>
      <c r="Q15" s="31" t="n">
        <v>71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77.40000000000001</v>
      </c>
      <c r="U15" s="32" t="n">
        <v>77.5</v>
      </c>
      <c r="V15" s="32" t="n">
        <v>1756.97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18.99</v>
      </c>
      <c r="Z15" s="32" t="n">
        <v>134.56</v>
      </c>
      <c r="AA15" s="32" t="n">
        <v>97.14</v>
      </c>
      <c r="AB15" s="32" t="n">
        <v>26.43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138.6</v>
      </c>
      <c r="E16" s="32" t="inlineStr">
        <is>
          <t>5%</t>
        </is>
      </c>
      <c r="F16" s="32" t="n">
        <v>50000</v>
      </c>
      <c r="G16" s="32" t="n">
        <v>329</v>
      </c>
      <c r="H16" s="31" t="inlineStr">
        <is>
          <t>JAMNAAUTO</t>
        </is>
      </c>
      <c r="I16" s="31" t="inlineStr">
        <is>
          <t>Jamna Auto Industries Limited</t>
        </is>
      </c>
      <c r="J16" s="31" t="inlineStr">
        <is>
          <t>auto</t>
        </is>
      </c>
      <c r="K16" s="31" t="inlineStr">
        <is>
          <t>auto ancillaries</t>
        </is>
      </c>
      <c r="L16" s="31" t="inlineStr">
        <is>
          <t>midcap</t>
        </is>
      </c>
      <c r="M16" s="32" t="n">
        <v>5765.32</v>
      </c>
      <c r="N16" s="32" t="n">
        <v>151.77</v>
      </c>
      <c r="O16" s="32" t="n">
        <v>5.24</v>
      </c>
      <c r="P16" s="32" t="n">
        <v>12310484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61.44</v>
      </c>
      <c r="U16" s="32" t="n">
        <v>34.31</v>
      </c>
      <c r="V16" s="32" t="n">
        <v>113.83</v>
      </c>
      <c r="W16" s="31" t="inlineStr">
        <is>
          <t>Near 52W High Breakout</t>
        </is>
      </c>
      <c r="X16" s="31" t="inlineStr">
        <is>
          <t>Nifty Auto</t>
        </is>
      </c>
      <c r="Y16" s="32" t="inlineStr"/>
      <c r="Z16" s="32" t="inlineStr"/>
      <c r="AA16" s="32" t="inlineStr"/>
      <c r="AB16" s="32" t="inlineStr"/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138.9</v>
      </c>
      <c r="E17" s="32" t="inlineStr">
        <is>
          <t>5%</t>
        </is>
      </c>
      <c r="F17" s="32" t="n">
        <v>50000</v>
      </c>
      <c r="G17" s="32" t="n">
        <v>53</v>
      </c>
      <c r="H17" s="31" t="inlineStr">
        <is>
          <t>AVADHSUGAR</t>
        </is>
      </c>
      <c r="I17" s="31" t="inlineStr">
        <is>
          <t>Avadh Sugar &amp; Energy</t>
        </is>
      </c>
      <c r="J17" s="31" t="inlineStr">
        <is>
          <t>fmcg</t>
        </is>
      </c>
      <c r="K17" s="31" t="inlineStr">
        <is>
          <t>sugar</t>
        </is>
      </c>
      <c r="L17" s="31" t="inlineStr">
        <is>
          <t>smallcap</t>
        </is>
      </c>
      <c r="M17" s="32" t="n">
        <v>1748.21</v>
      </c>
      <c r="N17" s="32" t="n">
        <v>937.55</v>
      </c>
      <c r="O17" s="32" t="n">
        <v>7.36</v>
      </c>
      <c r="P17" s="32" t="n">
        <v>570096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76.23999999999999</v>
      </c>
      <c r="U17" s="32" t="n">
        <v>58.12</v>
      </c>
      <c r="V17" s="32" t="n">
        <v>705.4</v>
      </c>
      <c r="W17" s="31" t="inlineStr">
        <is>
          <t>Near 52W High Breakout</t>
        </is>
      </c>
      <c r="X17" s="31" t="inlineStr">
        <is>
          <t>Nifty FMCG</t>
        </is>
      </c>
      <c r="Y17" s="32" t="inlineStr"/>
      <c r="Z17" s="32" t="inlineStr"/>
      <c r="AA17" s="32" t="inlineStr"/>
      <c r="AB17" s="32" t="inlineStr"/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B2C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140</v>
      </c>
      <c r="E18" s="32" t="inlineStr">
        <is>
          <t>5%</t>
        </is>
      </c>
      <c r="F18" s="32" t="n">
        <v>50000</v>
      </c>
      <c r="G18" s="32" t="n">
        <v>83</v>
      </c>
      <c r="H18" s="31" t="inlineStr">
        <is>
          <t>PANACHE</t>
        </is>
      </c>
      <c r="I18" s="31" t="inlineStr">
        <is>
          <t>Panache Digilife Ltd</t>
        </is>
      </c>
      <c r="J18" s="31" t="inlineStr">
        <is>
          <t>i.t</t>
        </is>
      </c>
      <c r="K18" s="31" t="inlineStr">
        <is>
          <t>computers - hardware</t>
        </is>
      </c>
      <c r="L18" s="31" t="inlineStr">
        <is>
          <t>smallcap</t>
        </is>
      </c>
      <c r="M18" s="32" t="n">
        <v>911.2</v>
      </c>
      <c r="N18" s="32" t="n">
        <v>597.45</v>
      </c>
      <c r="O18" s="32" t="n">
        <v>5</v>
      </c>
      <c r="P18" s="32" t="n">
        <v>65399</v>
      </c>
      <c r="Q18" s="31" t="n">
        <v>47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76.45999999999999</v>
      </c>
      <c r="U18" s="32" t="n">
        <v>39.49</v>
      </c>
      <c r="V18" s="32" t="n">
        <v>480.03</v>
      </c>
      <c r="W18" s="31" t="inlineStr">
        <is>
          <t>Volume Spike &amp; Near 52W High Breakout</t>
        </is>
      </c>
      <c r="X18" s="31" t="inlineStr">
        <is>
          <t>Nifty IT</t>
        </is>
      </c>
      <c r="Y18" s="32" t="n">
        <v>-22.05</v>
      </c>
      <c r="Z18" s="32" t="n">
        <v>33.96</v>
      </c>
      <c r="AA18" s="32" t="n">
        <v>71.84999999999999</v>
      </c>
      <c r="AB18" s="32" t="n">
        <v>16.65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139.4</v>
      </c>
      <c r="E19" s="32" t="inlineStr">
        <is>
          <t>5%</t>
        </is>
      </c>
      <c r="F19" s="32" t="n">
        <v>50000</v>
      </c>
      <c r="G19" s="32" t="n">
        <v>167</v>
      </c>
      <c r="H19" s="31" t="inlineStr">
        <is>
          <t>GANDHAR</t>
        </is>
      </c>
      <c r="I19" s="31" t="inlineStr">
        <is>
          <t>Gandhar Oil Refinery (India) Ltd</t>
        </is>
      </c>
      <c r="J19" s="31" t="inlineStr">
        <is>
          <t>energy</t>
        </is>
      </c>
      <c r="K19" s="31" t="inlineStr">
        <is>
          <t>refineries</t>
        </is>
      </c>
      <c r="L19" s="31" t="inlineStr">
        <is>
          <t>smallcap</t>
        </is>
      </c>
      <c r="M19" s="32" t="n">
        <v>2765.1</v>
      </c>
      <c r="N19" s="32" t="n">
        <v>299.2</v>
      </c>
      <c r="O19" s="32" t="n">
        <v>5.91</v>
      </c>
      <c r="P19" s="32" t="n">
        <v>1975725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72.15000000000001</v>
      </c>
      <c r="U19" s="32" t="n">
        <v>78.22</v>
      </c>
      <c r="V19" s="32" t="n">
        <v>231.39</v>
      </c>
      <c r="W19" s="31" t="inlineStr">
        <is>
          <t>Near 52W High Breakout</t>
        </is>
      </c>
      <c r="X19" s="31" t="inlineStr">
        <is>
          <t>Nifty Energy</t>
        </is>
      </c>
      <c r="Y19" s="32" t="inlineStr"/>
      <c r="Z19" s="32" t="inlineStr"/>
      <c r="AA19" s="32" t="inlineStr"/>
      <c r="AB19" s="32" t="inlineStr"/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Between 1.5 to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138.4</v>
      </c>
      <c r="E20" s="32" t="inlineStr">
        <is>
          <t>5%</t>
        </is>
      </c>
      <c r="F20" s="32" t="n">
        <v>50000</v>
      </c>
      <c r="G20" s="32" t="n">
        <v>96</v>
      </c>
      <c r="H20" s="31" t="inlineStr">
        <is>
          <t>PRECWIRE</t>
        </is>
      </c>
      <c r="I20" s="31" t="inlineStr">
        <is>
          <t>Precision Wires India Limited</t>
        </is>
      </c>
      <c r="J20" s="31" t="inlineStr">
        <is>
          <t>metals &amp; mining</t>
        </is>
      </c>
      <c r="K20" s="31" t="inlineStr">
        <is>
          <t>mining / minerals / metals</t>
        </is>
      </c>
      <c r="L20" s="31" t="inlineStr">
        <is>
          <t>midcap</t>
        </is>
      </c>
      <c r="M20" s="32" t="n">
        <v>9417.35</v>
      </c>
      <c r="N20" s="32" t="n">
        <v>516.6</v>
      </c>
      <c r="O20" s="32" t="n">
        <v>0.28</v>
      </c>
      <c r="P20" s="32" t="n">
        <v>455686</v>
      </c>
      <c r="Q20" s="31" t="inlineStr"/>
      <c r="R20" s="31" t="inlineStr"/>
      <c r="S20" s="32">
        <f>IF(R20="Underperforming",-5,IF(Q20&gt;=95,15,IF(Q20&gt;=90,10,IF(Q20&gt;=80,5,0))))</f>
        <v/>
      </c>
      <c r="T20" s="32" t="n">
        <v>67.78</v>
      </c>
      <c r="U20" s="32" t="n">
        <v>37.33</v>
      </c>
      <c r="V20" s="32" t="n">
        <v>383.05</v>
      </c>
      <c r="W20" s="31" t="inlineStr">
        <is>
          <t>Near 52W High Breakout</t>
        </is>
      </c>
      <c r="X20" s="31" t="inlineStr">
        <is>
          <t>Nifty Metal</t>
        </is>
      </c>
      <c r="Y20" s="32" t="inlineStr"/>
      <c r="Z20" s="32" t="inlineStr"/>
      <c r="AA20" s="32" t="inlineStr"/>
      <c r="AB20" s="32" t="inlineStr"/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138.6</v>
      </c>
      <c r="E21" s="32" t="inlineStr">
        <is>
          <t>5%</t>
        </is>
      </c>
      <c r="F21" s="32" t="n">
        <v>50000</v>
      </c>
      <c r="G21" s="32" t="n">
        <v>241</v>
      </c>
      <c r="H21" s="31" t="inlineStr">
        <is>
          <t>AMANTA</t>
        </is>
      </c>
      <c r="I21" s="31" t="inlineStr">
        <is>
          <t>Amanta Healthcare Ltd</t>
        </is>
      </c>
      <c r="J21" s="31" t="inlineStr">
        <is>
          <t>healthcare</t>
        </is>
      </c>
      <c r="K21" s="31" t="inlineStr">
        <is>
          <t>pharmaceuticals - indian - bulk drugs &amp; formln</t>
        </is>
      </c>
      <c r="L21" s="31" t="inlineStr">
        <is>
          <t>smallcap</t>
        </is>
      </c>
      <c r="M21" s="32" t="n">
        <v>767.58</v>
      </c>
      <c r="N21" s="32" t="n">
        <v>207.08</v>
      </c>
      <c r="O21" s="32" t="n">
        <v>4.76</v>
      </c>
      <c r="P21" s="32" t="n">
        <v>187306</v>
      </c>
      <c r="Q21" s="31" t="n">
        <v>43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69.13</v>
      </c>
      <c r="U21" s="32" t="n">
        <v>37.17</v>
      </c>
      <c r="V21" s="32" t="n">
        <v>160.94</v>
      </c>
      <c r="W21" s="31" t="inlineStr">
        <is>
          <t>Near 52W High Breakout</t>
        </is>
      </c>
      <c r="X21" s="31" t="inlineStr">
        <is>
          <t>Nifty Pharma</t>
        </is>
      </c>
      <c r="Y21" s="32" t="n">
        <v>18.99</v>
      </c>
      <c r="Z21" s="32" t="n">
        <v>54.47</v>
      </c>
      <c r="AA21" s="32" t="n">
        <v>29.82</v>
      </c>
      <c r="AB21" s="32" t="n">
        <v>15.03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Annuity, Lower One Time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Between 0.7 to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139</v>
      </c>
      <c r="E22" s="32" t="inlineStr">
        <is>
          <t>5%</t>
        </is>
      </c>
      <c r="F22" s="32" t="n">
        <v>50000</v>
      </c>
      <c r="G22" s="32" t="n">
        <v>105</v>
      </c>
      <c r="H22" s="31" t="inlineStr">
        <is>
          <t>SUNFLAG</t>
        </is>
      </c>
      <c r="I22" s="31" t="inlineStr">
        <is>
          <t>Sunflag Iron And Steel Company Limited</t>
        </is>
      </c>
      <c r="J22" s="31" t="inlineStr">
        <is>
          <t>metals &amp; mining</t>
        </is>
      </c>
      <c r="K22" s="31" t="inlineStr">
        <is>
          <t>steel - medium / small</t>
        </is>
      </c>
      <c r="L22" s="31" t="inlineStr">
        <is>
          <t>midcap</t>
        </is>
      </c>
      <c r="M22" s="32" t="n">
        <v>8272.969999999999</v>
      </c>
      <c r="N22" s="32" t="n">
        <v>474.4</v>
      </c>
      <c r="O22" s="32" t="n">
        <v>3.34</v>
      </c>
      <c r="P22" s="32" t="n">
        <v>829970</v>
      </c>
      <c r="Q22" s="31" t="inlineStr"/>
      <c r="R22" s="31" t="inlineStr"/>
      <c r="S22" s="32">
        <f>IF(R22="Underperforming",-5,IF(Q22&gt;=95,15,IF(Q22&gt;=90,10,IF(Q22&gt;=80,5,0))))</f>
        <v/>
      </c>
      <c r="T22" s="32" t="n">
        <v>75.06</v>
      </c>
      <c r="U22" s="32" t="n">
        <v>35.1</v>
      </c>
      <c r="V22" s="32" t="n">
        <v>364.51</v>
      </c>
      <c r="W22" s="31" t="inlineStr">
        <is>
          <t>Near 52W High Breakout</t>
        </is>
      </c>
      <c r="X22" s="31" t="inlineStr">
        <is>
          <t>Nifty Metal</t>
        </is>
      </c>
      <c r="Y22" s="32" t="inlineStr"/>
      <c r="Z22" s="32" t="inlineStr"/>
      <c r="AA22" s="32" t="inlineStr"/>
      <c r="AB22" s="32" t="inlineStr"/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328</v>
      </c>
      <c r="H2" s="31" t="inlineStr">
        <is>
          <t>TFCILTD</t>
        </is>
      </c>
      <c r="I2" s="31" t="inlineStr">
        <is>
          <t>Tourism Finance Corporation Of India Limited</t>
        </is>
      </c>
      <c r="J2" s="31" t="inlineStr">
        <is>
          <t>financials</t>
        </is>
      </c>
      <c r="K2" s="31" t="inlineStr">
        <is>
          <t>finance - term-lending institutions</t>
        </is>
      </c>
      <c r="L2" s="31" t="inlineStr">
        <is>
          <t>midcap</t>
        </is>
      </c>
      <c r="M2" s="32" t="n">
        <v>6511.77</v>
      </c>
      <c r="N2" s="32" t="n">
        <v>152.24</v>
      </c>
      <c r="O2" s="32" t="n">
        <v>8.24</v>
      </c>
      <c r="P2" s="32" t="n">
        <v>19824302</v>
      </c>
      <c r="Q2" s="31" t="n">
        <v>92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83.97</v>
      </c>
      <c r="U2" s="32" t="n">
        <v>74.28</v>
      </c>
      <c r="V2" s="32" t="n">
        <v>121.99</v>
      </c>
      <c r="W2" s="31" t="inlineStr">
        <is>
          <t>Near 52W High Breakout</t>
        </is>
      </c>
      <c r="X2" s="31" t="inlineStr">
        <is>
          <t>Nifty Bank</t>
        </is>
      </c>
      <c r="Y2" s="32" t="n">
        <v>-2.75</v>
      </c>
      <c r="Z2" s="32" t="n">
        <v>107.23</v>
      </c>
      <c r="AA2" s="32" t="n">
        <v>113.08</v>
      </c>
      <c r="AB2" s="32" t="n">
        <v>42.07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above 5x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PREMIERPOL</t>
        </is>
      </c>
      <c r="D2" s="31" t="inlineStr">
        <is>
          <t>Premier Polyfilm Ltd</t>
        </is>
      </c>
      <c r="E2" s="31" t="inlineStr">
        <is>
          <t>plastic products</t>
        </is>
      </c>
      <c r="F2" s="31" t="inlineStr">
        <is>
          <t>Plastics Sheets and Films</t>
        </is>
      </c>
      <c r="G2" s="31" t="inlineStr">
        <is>
          <t>smallcap</t>
        </is>
      </c>
      <c r="H2" s="32" t="n">
        <v>1070.26</v>
      </c>
      <c r="I2" s="32" t="n">
        <v>102.18</v>
      </c>
      <c r="J2" s="32" t="n">
        <v>5.09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67.63</v>
      </c>
      <c r="P2" s="32" t="n">
        <v>58.95</v>
      </c>
      <c r="Q2" s="32" t="n">
        <v>67.77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-10.61</v>
      </c>
      <c r="U2" s="32" t="n">
        <v>126.67</v>
      </c>
      <c r="V2" s="32" t="n">
        <v>153.57</v>
      </c>
      <c r="W2" s="32" t="n">
        <v>32.36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AIMTRON</t>
        </is>
      </c>
      <c r="D3" s="31" t="inlineStr">
        <is>
          <t>Aimtron Electronics Ltd</t>
        </is>
      </c>
      <c r="E3" s="31" t="inlineStr">
        <is>
          <t>unknown</t>
        </is>
      </c>
      <c r="F3" s="31" t="inlineStr">
        <is>
          <t>EMS</t>
        </is>
      </c>
      <c r="G3" s="31" t="inlineStr">
        <is>
          <t>smallcap</t>
        </is>
      </c>
      <c r="H3" s="32" t="n">
        <v>3903.87</v>
      </c>
      <c r="I3" s="32" t="n">
        <v>1835</v>
      </c>
      <c r="J3" s="32" t="n">
        <v>-3.47</v>
      </c>
      <c r="K3" s="32" t="n">
        <v>0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73.04000000000001</v>
      </c>
      <c r="P3" s="32" t="n">
        <v>65.09</v>
      </c>
      <c r="Q3" s="32" t="n">
        <v>1420.46</v>
      </c>
      <c r="R3" s="31" t="inlineStr">
        <is>
          <t>Near 52W High Breakout</t>
        </is>
      </c>
      <c r="S3" s="31" t="inlineStr">
        <is>
          <t>Nifty 50</t>
        </is>
      </c>
      <c r="T3" s="32" t="n">
        <v>-10.61</v>
      </c>
      <c r="U3" s="32" t="n">
        <v>179.5</v>
      </c>
      <c r="V3" s="32" t="n">
        <v>212.67</v>
      </c>
      <c r="W3" s="32" t="n">
        <v>31.79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i.t</t>
        </is>
      </c>
      <c r="F4" s="31" t="inlineStr">
        <is>
          <t>Trading</t>
        </is>
      </c>
      <c r="G4" s="31" t="inlineStr">
        <is>
          <t>midcap</t>
        </is>
      </c>
      <c r="H4" s="32" t="n">
        <v>6240.81</v>
      </c>
      <c r="I4" s="32" t="n">
        <v>939.8</v>
      </c>
      <c r="J4" s="32" t="n">
        <v>-1.93</v>
      </c>
      <c r="K4" s="32" t="n">
        <v>0</v>
      </c>
      <c r="L4" s="31" t="n">
        <v>77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72.17</v>
      </c>
      <c r="P4" s="32" t="n">
        <v>68.18000000000001</v>
      </c>
      <c r="Q4" s="32" t="n">
        <v>713.05</v>
      </c>
      <c r="R4" s="31" t="inlineStr">
        <is>
          <t>Near 52W High Breakout</t>
        </is>
      </c>
      <c r="S4" s="31" t="inlineStr">
        <is>
          <t>Nifty IT</t>
        </is>
      </c>
      <c r="T4" s="32" t="n">
        <v>-22.05</v>
      </c>
      <c r="U4" s="32" t="n">
        <v>169.84</v>
      </c>
      <c r="V4" s="32" t="n">
        <v>246.16</v>
      </c>
      <c r="W4" s="32" t="n">
        <v>29.89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23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PGIL</t>
        </is>
      </c>
      <c r="D5" s="31" t="inlineStr">
        <is>
          <t>Pearl Global Industries Ltd</t>
        </is>
      </c>
      <c r="E5" s="31" t="inlineStr">
        <is>
          <t>readymade garments/apparels</t>
        </is>
      </c>
      <c r="F5" s="31" t="inlineStr">
        <is>
          <t>Textiles Readymade Apparel</t>
        </is>
      </c>
      <c r="G5" s="31" t="inlineStr">
        <is>
          <t>midcap</t>
        </is>
      </c>
      <c r="H5" s="32" t="n">
        <v>11741.64</v>
      </c>
      <c r="I5" s="32" t="n">
        <v>1271</v>
      </c>
      <c r="J5" s="32" t="n">
        <v>0.34</v>
      </c>
      <c r="K5" s="32" t="n">
        <v>0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66.34999999999999</v>
      </c>
      <c r="P5" s="32" t="n">
        <v>59.01</v>
      </c>
      <c r="Q5" s="32" t="n">
        <v>1018.69</v>
      </c>
      <c r="R5" s="31" t="inlineStr">
        <is>
          <t>Near 52W High Breakout</t>
        </is>
      </c>
      <c r="S5" s="31" t="inlineStr">
        <is>
          <t>Nifty 50</t>
        </is>
      </c>
      <c r="T5" s="32" t="n">
        <v>-10.61</v>
      </c>
      <c r="U5" s="32" t="n">
        <v>97.31</v>
      </c>
      <c r="V5" s="32" t="n">
        <v>120.73</v>
      </c>
      <c r="W5" s="32" t="n">
        <v>20.75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20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SHANTIGOLD</t>
        </is>
      </c>
      <c r="D6" s="31" t="inlineStr">
        <is>
          <t>Shanti Gold International Ltd</t>
        </is>
      </c>
      <c r="E6" s="31" t="inlineStr">
        <is>
          <t>consumer discretionary</t>
        </is>
      </c>
      <c r="F6" s="31" t="inlineStr">
        <is>
          <t>Diamond Gems and Jewellery</t>
        </is>
      </c>
      <c r="G6" s="31" t="inlineStr">
        <is>
          <t>smallcap</t>
        </is>
      </c>
      <c r="H6" s="32" t="n">
        <v>2612.98</v>
      </c>
      <c r="I6" s="32" t="n">
        <v>340.5</v>
      </c>
      <c r="J6" s="32" t="n">
        <v>1.14</v>
      </c>
      <c r="K6" s="32" t="n">
        <v>0</v>
      </c>
      <c r="L6" s="31" t="n">
        <v>69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71.88</v>
      </c>
      <c r="P6" s="32" t="n">
        <v>43.84</v>
      </c>
      <c r="Q6" s="32" t="n">
        <v>251.44</v>
      </c>
      <c r="R6" s="31" t="inlineStr">
        <is>
          <t>Near 52W High Breakout</t>
        </is>
      </c>
      <c r="S6" s="31" t="inlineStr">
        <is>
          <t>Nifty 50</t>
        </is>
      </c>
      <c r="T6" s="32" t="n">
        <v>-10.61</v>
      </c>
      <c r="U6" s="32" t="n">
        <v>59.27</v>
      </c>
      <c r="V6" s="32" t="n">
        <v>78.17</v>
      </c>
      <c r="W6" s="32" t="n">
        <v>24.53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20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FCL</t>
        </is>
      </c>
      <c r="D7" s="31" t="inlineStr">
        <is>
          <t>Fineotex Chemical Ltd</t>
        </is>
      </c>
      <c r="E7" s="31" t="inlineStr">
        <is>
          <t>chemicals</t>
        </is>
      </c>
      <c r="F7" s="31" t="inlineStr">
        <is>
          <t>Specialty Chemicals</t>
        </is>
      </c>
      <c r="G7" s="31" t="inlineStr">
        <is>
          <t>midcap</t>
        </is>
      </c>
      <c r="H7" s="32" t="n">
        <v>6719.17</v>
      </c>
      <c r="I7" s="32" t="n">
        <v>57.7</v>
      </c>
      <c r="J7" s="32" t="n">
        <v>-2.53</v>
      </c>
      <c r="K7" s="32" t="n">
        <v>0</v>
      </c>
      <c r="L7" s="31" t="n">
        <v>82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72.34999999999999</v>
      </c>
      <c r="P7" s="32" t="n">
        <v>49.04</v>
      </c>
      <c r="Q7" s="32" t="n">
        <v>44.19</v>
      </c>
      <c r="R7" s="31" t="inlineStr">
        <is>
          <t>Near 52W High Breakout</t>
        </is>
      </c>
      <c r="S7" s="31" t="inlineStr">
        <is>
          <t>Nifty 50</t>
        </is>
      </c>
      <c r="T7" s="32" t="n">
        <v>-10.61</v>
      </c>
      <c r="U7" s="32" t="n">
        <v>136.48</v>
      </c>
      <c r="V7" s="32" t="n">
        <v>164.54</v>
      </c>
      <c r="W7" s="32" t="n">
        <v>33.32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TIMEX</t>
        </is>
      </c>
      <c r="D8" s="31" t="inlineStr">
        <is>
          <t>Timex Group India Ltd</t>
        </is>
      </c>
      <c r="E8" s="31" t="inlineStr">
        <is>
          <t>Consumer Cyclical</t>
        </is>
      </c>
      <c r="F8" s="31" t="inlineStr">
        <is>
          <t>Watches</t>
        </is>
      </c>
      <c r="G8" s="31" t="inlineStr">
        <is>
          <t>midcap</t>
        </is>
      </c>
      <c r="H8" s="32" t="n">
        <v>7289.09</v>
      </c>
      <c r="I8" s="32" t="n">
        <v>722.05</v>
      </c>
      <c r="J8" s="32" t="n">
        <v>-1.38</v>
      </c>
      <c r="K8" s="32" t="n">
        <v>0</v>
      </c>
      <c r="L8" s="31" t="n">
        <v>71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72.09999999999999</v>
      </c>
      <c r="P8" s="32" t="n">
        <v>60.3</v>
      </c>
      <c r="Q8" s="32" t="n">
        <v>555.9299999999999</v>
      </c>
      <c r="R8" s="31" t="inlineStr">
        <is>
          <t>Near 52W High Breakout</t>
        </is>
      </c>
      <c r="S8" s="31" t="inlineStr">
        <is>
          <t>Nifty 50</t>
        </is>
      </c>
      <c r="T8" s="32" t="n">
        <v>-10.61</v>
      </c>
      <c r="U8" s="32" t="n">
        <v>79.42</v>
      </c>
      <c r="V8" s="32" t="n">
        <v>100.71</v>
      </c>
      <c r="W8" s="32" t="n">
        <v>26.01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18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VINCOFE</t>
        </is>
      </c>
      <c r="D9" s="31" t="inlineStr">
        <is>
          <t>Vintage Coffee &amp; Beverages Ltd</t>
        </is>
      </c>
      <c r="E9" s="31" t="inlineStr">
        <is>
          <t>consumer discretionary</t>
        </is>
      </c>
      <c r="F9" s="31" t="inlineStr">
        <is>
          <t>FMCG Coffee</t>
        </is>
      </c>
      <c r="G9" s="31" t="inlineStr">
        <is>
          <t>smallcap</t>
        </is>
      </c>
      <c r="H9" s="32" t="n">
        <v>2718.09</v>
      </c>
      <c r="I9" s="32" t="n">
        <v>185.55</v>
      </c>
      <c r="J9" s="32" t="n">
        <v>-0.99</v>
      </c>
      <c r="K9" s="32" t="n">
        <v>0</v>
      </c>
      <c r="L9" s="31" t="n">
        <v>28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65.54000000000001</v>
      </c>
      <c r="P9" s="32" t="n">
        <v>30.24</v>
      </c>
      <c r="Q9" s="32" t="n">
        <v>138.32</v>
      </c>
      <c r="R9" s="31" t="inlineStr">
        <is>
          <t>Near 52W High Breakout</t>
        </is>
      </c>
      <c r="S9" s="31" t="inlineStr">
        <is>
          <t>Nifty 50</t>
        </is>
      </c>
      <c r="T9" s="32" t="n">
        <v>-10.61</v>
      </c>
      <c r="U9" s="32" t="n">
        <v>31.65</v>
      </c>
      <c r="V9" s="32" t="n">
        <v>47.27</v>
      </c>
      <c r="W9" s="32" t="n">
        <v>9.359999999999999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OCCLLTD</t>
        </is>
      </c>
      <c r="D10" s="34" t="inlineStr">
        <is>
          <t>OCCL Ltd</t>
        </is>
      </c>
      <c r="E10" s="31" t="inlineStr">
        <is>
          <t>chemicals</t>
        </is>
      </c>
      <c r="F10" s="31" t="inlineStr">
        <is>
          <t>Chemicals Organic</t>
        </is>
      </c>
      <c r="G10" s="31" t="inlineStr">
        <is>
          <t>smallcap</t>
        </is>
      </c>
      <c r="H10" s="32" t="n">
        <v>1088.72</v>
      </c>
      <c r="I10" s="32" t="n">
        <v>217.96</v>
      </c>
      <c r="J10" s="32" t="n">
        <v>5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81.28</v>
      </c>
      <c r="P10" s="32" t="n">
        <v>50</v>
      </c>
      <c r="Q10" s="32" t="n">
        <v>166.17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-10.61</v>
      </c>
      <c r="U10" s="32" t="n">
        <v>73.55</v>
      </c>
      <c r="V10" s="32" t="n">
        <v>94.14</v>
      </c>
      <c r="W10" s="32" t="n">
        <v>32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AXISOL</t>
        </is>
      </c>
      <c r="D11" s="34" t="inlineStr">
        <is>
          <t>Axis Solutions Ltd</t>
        </is>
      </c>
      <c r="E11" s="31" t="inlineStr">
        <is>
          <t>Industrials</t>
        </is>
      </c>
      <c r="F11" s="31" t="inlineStr">
        <is>
          <t>Engineering Light General</t>
        </is>
      </c>
      <c r="G11" s="31" t="inlineStr">
        <is>
          <t>smallcap</t>
        </is>
      </c>
      <c r="H11" s="32" t="n">
        <v>3084.44</v>
      </c>
      <c r="I11" s="32" t="n">
        <v>652.65</v>
      </c>
      <c r="J11" s="32" t="n">
        <v>-2</v>
      </c>
      <c r="K11" s="32" t="n">
        <v>0</v>
      </c>
      <c r="L11" s="31" t="n">
        <v>99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77.56999999999999</v>
      </c>
      <c r="P11" s="32" t="n">
        <v>64.22</v>
      </c>
      <c r="Q11" s="32" t="n">
        <v>525.79</v>
      </c>
      <c r="R11" s="31" t="inlineStr">
        <is>
          <t>Volume Spike &amp; Near 52W High Breakout</t>
        </is>
      </c>
      <c r="S11" s="31" t="inlineStr">
        <is>
          <t>Nifty 50</t>
        </is>
      </c>
      <c r="T11" s="32" t="n">
        <v>-10.61</v>
      </c>
      <c r="U11" s="32" t="n">
        <v>1394.62</v>
      </c>
      <c r="V11" s="32" t="n">
        <v>1571.99</v>
      </c>
      <c r="W11" s="32" t="n">
        <v>107.88</v>
      </c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MENONBE</t>
        </is>
      </c>
      <c r="D12" s="34" t="inlineStr">
        <is>
          <t>Menon Bearings Ltd</t>
        </is>
      </c>
      <c r="E12" s="31" t="inlineStr">
        <is>
          <t>auto</t>
        </is>
      </c>
      <c r="F12" s="31" t="inlineStr">
        <is>
          <t>Bearings</t>
        </is>
      </c>
      <c r="G12" s="31" t="inlineStr">
        <is>
          <t>smallcap</t>
        </is>
      </c>
      <c r="H12" s="32" t="n">
        <v>1691.85</v>
      </c>
      <c r="I12" s="32" t="n">
        <v>301.9</v>
      </c>
      <c r="J12" s="32" t="n">
        <v>-1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70.13</v>
      </c>
      <c r="P12" s="32" t="n">
        <v>70.31999999999999</v>
      </c>
      <c r="Q12" s="32" t="n">
        <v>229.48</v>
      </c>
      <c r="R12" s="31" t="inlineStr">
        <is>
          <t>Volume Spike / Accumulation</t>
        </is>
      </c>
      <c r="S12" s="31" t="inlineStr">
        <is>
          <t>Nifty Auto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18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KPL</t>
        </is>
      </c>
      <c r="D13" s="31" t="inlineStr">
        <is>
          <t>Kwality Pharmaceuticals Ltd</t>
        </is>
      </c>
      <c r="E13" s="31" t="inlineStr">
        <is>
          <t>Healthcare</t>
        </is>
      </c>
      <c r="F13" s="31" t="inlineStr">
        <is>
          <t>Pharma Formulations</t>
        </is>
      </c>
      <c r="G13" s="31" t="inlineStr">
        <is>
          <t>smallcap</t>
        </is>
      </c>
      <c r="H13" s="32" t="n">
        <v>3827.31</v>
      </c>
      <c r="I13" s="32" t="n">
        <v>3688.55</v>
      </c>
      <c r="J13" s="32" t="n">
        <v>-1.67</v>
      </c>
      <c r="K13" s="32" t="n">
        <v>0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73.18000000000001</v>
      </c>
      <c r="P13" s="32" t="n">
        <v>68.42</v>
      </c>
      <c r="Q13" s="32" t="n">
        <v>2699.95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18.99</v>
      </c>
      <c r="U13" s="32" t="n">
        <v>322.45</v>
      </c>
      <c r="V13" s="32" t="n">
        <v>255.04</v>
      </c>
      <c r="W13" s="32" t="n">
        <v>43.57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4" t="inlineStr">
        <is>
          <t>BHAGYANGR</t>
        </is>
      </c>
      <c r="D14" s="34" t="inlineStr">
        <is>
          <t>Bhagyanagar India Ltd</t>
        </is>
      </c>
      <c r="E14" s="31" t="inlineStr">
        <is>
          <t>power &amp; utilities</t>
        </is>
      </c>
      <c r="F14" s="31" t="inlineStr">
        <is>
          <t>Recycling</t>
        </is>
      </c>
      <c r="G14" s="31" t="inlineStr">
        <is>
          <t>smallcap</t>
        </is>
      </c>
      <c r="H14" s="32" t="n">
        <v>1522.58</v>
      </c>
      <c r="I14" s="32" t="n">
        <v>454.55</v>
      </c>
      <c r="J14" s="32" t="n">
        <v>4.99</v>
      </c>
      <c r="K14" s="32" t="n">
        <v>0</v>
      </c>
      <c r="L14" s="31" t="n">
        <v>94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67.02</v>
      </c>
      <c r="P14" s="32" t="n">
        <v>61.71</v>
      </c>
      <c r="Q14" s="32" t="n">
        <v>317.05</v>
      </c>
      <c r="R14" s="31" t="inlineStr">
        <is>
          <t>Near 52W High Breakout</t>
        </is>
      </c>
      <c r="S14" s="31" t="inlineStr">
        <is>
          <t>Nifty IT</t>
        </is>
      </c>
      <c r="T14" s="32" t="n">
        <v>-22.05</v>
      </c>
      <c r="U14" s="32" t="n">
        <v>353.05</v>
      </c>
      <c r="V14" s="32" t="n">
        <v>481.2</v>
      </c>
      <c r="W14" s="32" t="n">
        <v>44.4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Between 0.7 to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IBULLSLTD</t>
        </is>
      </c>
      <c r="D15" s="34" t="inlineStr">
        <is>
          <t>Indiabulls Limited</t>
        </is>
      </c>
      <c r="E15" s="31" t="inlineStr">
        <is>
          <t>miscellaneous</t>
        </is>
      </c>
      <c r="F15" s="31" t="inlineStr">
        <is>
          <t>Diversified</t>
        </is>
      </c>
      <c r="G15" s="31" t="inlineStr">
        <is>
          <t>midcap</t>
        </is>
      </c>
      <c r="H15" s="32" t="n">
        <v>7577.33</v>
      </c>
      <c r="I15" s="32" t="n">
        <v>32.49</v>
      </c>
      <c r="J15" s="32" t="n">
        <v>4.98</v>
      </c>
      <c r="K15" s="32" t="n">
        <v>0</v>
      </c>
      <c r="L15" s="31" t="n">
        <v>72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68.34999999999999</v>
      </c>
      <c r="P15" s="32" t="n">
        <v>38.89</v>
      </c>
      <c r="Q15" s="32" t="n">
        <v>23.07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-10.61</v>
      </c>
      <c r="U15" s="32" t="n">
        <v>88.34999999999999</v>
      </c>
      <c r="V15" s="32" t="n">
        <v>110.7</v>
      </c>
      <c r="W15" s="32" t="n">
        <v>26.47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THELEELA</t>
        </is>
      </c>
      <c r="D16" s="31" t="inlineStr">
        <is>
          <t>Leela Palaces Hotels &amp; Resorts Ltd</t>
        </is>
      </c>
      <c r="E16" s="31" t="inlineStr">
        <is>
          <t>services</t>
        </is>
      </c>
      <c r="F16" s="31" t="inlineStr">
        <is>
          <t>Hotels</t>
        </is>
      </c>
      <c r="G16" s="31" t="inlineStr">
        <is>
          <t>largecap</t>
        </is>
      </c>
      <c r="H16" s="32" t="n">
        <v>20037.47</v>
      </c>
      <c r="I16" s="32" t="n">
        <v>600</v>
      </c>
      <c r="J16" s="32" t="n">
        <v>2.97</v>
      </c>
      <c r="K16" s="32" t="n">
        <v>0</v>
      </c>
      <c r="L16" s="31" t="n">
        <v>32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73.93000000000001</v>
      </c>
      <c r="P16" s="32" t="n">
        <v>42.29</v>
      </c>
      <c r="Q16" s="32" t="n">
        <v>492.24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-10.61</v>
      </c>
      <c r="U16" s="32" t="n">
        <v>33.04</v>
      </c>
      <c r="V16" s="32" t="n">
        <v>48.82</v>
      </c>
      <c r="W16" s="32" t="n">
        <v>10.4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GNA</t>
        </is>
      </c>
      <c r="D17" s="31" t="inlineStr">
        <is>
          <t>GNA Axles Ltd</t>
        </is>
      </c>
      <c r="E17" s="31" t="inlineStr">
        <is>
          <t>Consumer Cyclical</t>
        </is>
      </c>
      <c r="F17" s="31" t="inlineStr">
        <is>
          <t>Auto Axles</t>
        </is>
      </c>
      <c r="G17" s="31" t="inlineStr">
        <is>
          <t>smallcap</t>
        </is>
      </c>
      <c r="H17" s="32" t="n">
        <v>2506.3</v>
      </c>
      <c r="I17" s="32" t="n">
        <v>583.8</v>
      </c>
      <c r="J17" s="32" t="n">
        <v>-5.2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64.92</v>
      </c>
      <c r="P17" s="32" t="n">
        <v>51.93</v>
      </c>
      <c r="Q17" s="32" t="n">
        <v>461.57</v>
      </c>
      <c r="R17" s="31" t="inlineStr">
        <is>
          <t>Earnings / Momentum Support</t>
        </is>
      </c>
      <c r="S17" s="31" t="inlineStr">
        <is>
          <t>Nifty Auto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FINCABLES</t>
        </is>
      </c>
      <c r="D18" s="31" t="inlineStr">
        <is>
          <t>Finolex Cables Ltd</t>
        </is>
      </c>
      <c r="E18" s="31" t="inlineStr">
        <is>
          <t>industrials</t>
        </is>
      </c>
      <c r="F18" s="31" t="inlineStr">
        <is>
          <t>Cables Telecom</t>
        </is>
      </c>
      <c r="G18" s="31" t="inlineStr">
        <is>
          <t>largecap</t>
        </is>
      </c>
      <c r="H18" s="32" t="n">
        <v>22742.08</v>
      </c>
      <c r="I18" s="32" t="n">
        <v>1487</v>
      </c>
      <c r="J18" s="32" t="n">
        <v>0.88</v>
      </c>
      <c r="K18" s="32" t="n">
        <v>0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72.02</v>
      </c>
      <c r="P18" s="32" t="n">
        <v>40.12</v>
      </c>
      <c r="Q18" s="32" t="n">
        <v>1153.15</v>
      </c>
      <c r="R18" s="31" t="inlineStr">
        <is>
          <t>Near 52W High Breakout</t>
        </is>
      </c>
      <c r="S18" s="31" t="inlineStr">
        <is>
          <t>Nifty Energy</t>
        </is>
      </c>
      <c r="T18" s="32" t="inlineStr"/>
      <c r="U18" s="32" t="inlineStr"/>
      <c r="V18" s="32" t="inlineStr"/>
      <c r="W18" s="32" t="inlineStr"/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Oligopoly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18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LLOYDSENGG</t>
        </is>
      </c>
      <c r="D19" s="31" t="inlineStr">
        <is>
          <t>Lloyds Engineering Works Ltd</t>
        </is>
      </c>
      <c r="E19" s="31" t="inlineStr">
        <is>
          <t>industrials</t>
        </is>
      </c>
      <c r="F19" s="31" t="inlineStr">
        <is>
          <t>Capital Goods Electrical Equipment</t>
        </is>
      </c>
      <c r="G19" s="31" t="inlineStr">
        <is>
          <t>midcap</t>
        </is>
      </c>
      <c r="H19" s="32" t="n">
        <v>15708.92</v>
      </c>
      <c r="I19" s="32" t="n">
        <v>101.28</v>
      </c>
      <c r="J19" s="32" t="n">
        <v>0.13</v>
      </c>
      <c r="K19" s="32" t="n">
        <v>0</v>
      </c>
      <c r="L19" s="31" t="n">
        <v>48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70.48999999999999</v>
      </c>
      <c r="P19" s="32" t="n">
        <v>44.85</v>
      </c>
      <c r="Q19" s="32" t="n">
        <v>77.04000000000001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-10.61</v>
      </c>
      <c r="U19" s="32" t="n">
        <v>61.35</v>
      </c>
      <c r="V19" s="32" t="n">
        <v>80.5</v>
      </c>
      <c r="W19" s="32" t="n">
        <v>16.88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18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CASTROLIND</t>
        </is>
      </c>
      <c r="D20" s="31" t="inlineStr">
        <is>
          <t>Castrol India Ltd</t>
        </is>
      </c>
      <c r="E20" s="31" t="inlineStr">
        <is>
          <t>chemicals</t>
        </is>
      </c>
      <c r="F20" s="31" t="inlineStr">
        <is>
          <t>Lubricants</t>
        </is>
      </c>
      <c r="G20" s="31" t="inlineStr">
        <is>
          <t>midcap</t>
        </is>
      </c>
      <c r="H20" s="32" t="n">
        <v>19475.82</v>
      </c>
      <c r="I20" s="32" t="n">
        <v>196.9</v>
      </c>
      <c r="J20" s="32" t="n">
        <v>-1.65</v>
      </c>
      <c r="K20" s="32" t="n">
        <v>0</v>
      </c>
      <c r="L20" s="31" t="n">
        <v>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66.55</v>
      </c>
      <c r="P20" s="32" t="n">
        <v>45.25</v>
      </c>
      <c r="Q20" s="32" t="n">
        <v>183.82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-10.61</v>
      </c>
      <c r="U20" s="32" t="n">
        <v>4.54</v>
      </c>
      <c r="V20" s="32" t="n">
        <v>16.94</v>
      </c>
      <c r="W20" s="32" t="n">
        <v>3.21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17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HONASA</t>
        </is>
      </c>
      <c r="D21" s="34" t="inlineStr">
        <is>
          <t>Honasa Consumer Ltd</t>
        </is>
      </c>
      <c r="E21" s="31" t="inlineStr">
        <is>
          <t>Consumer Defensive</t>
        </is>
      </c>
      <c r="F21" s="31" t="inlineStr">
        <is>
          <t>New age Platform E Retail</t>
        </is>
      </c>
      <c r="G21" s="31" t="inlineStr">
        <is>
          <t>midcap</t>
        </is>
      </c>
      <c r="H21" s="32" t="n">
        <v>15616.56</v>
      </c>
      <c r="I21" s="32" t="n">
        <v>479</v>
      </c>
      <c r="J21" s="32" t="n">
        <v>0.15</v>
      </c>
      <c r="K21" s="32" t="n">
        <v>0</v>
      </c>
      <c r="L21" s="31" t="n">
        <v>35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61.99</v>
      </c>
      <c r="P21" s="32" t="n">
        <v>53.42</v>
      </c>
      <c r="Q21" s="32" t="n">
        <v>394.26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-10.61</v>
      </c>
      <c r="U21" s="32" t="n">
        <v>64.47</v>
      </c>
      <c r="V21" s="32" t="n">
        <v>83.98999999999999</v>
      </c>
      <c r="W21" s="32" t="n">
        <v>11.7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17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MBECL</t>
        </is>
      </c>
      <c r="D22" s="31" t="inlineStr">
        <is>
          <t>McNally Bharat Engineering Company Ltd</t>
        </is>
      </c>
      <c r="E22" s="31" t="inlineStr">
        <is>
          <t>realty</t>
        </is>
      </c>
      <c r="F22" s="31" t="inlineStr">
        <is>
          <t>Engineering Turnkey Services</t>
        </is>
      </c>
      <c r="G22" s="31" t="inlineStr">
        <is>
          <t>smallcap</t>
        </is>
      </c>
      <c r="H22" s="32" t="n">
        <v>1613.17</v>
      </c>
      <c r="I22" s="32" t="n">
        <v>483.95</v>
      </c>
      <c r="J22" s="32" t="n">
        <v>-1.99</v>
      </c>
      <c r="K22" s="32" t="n">
        <v>0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96.98</v>
      </c>
      <c r="P22" s="32" t="n">
        <v>74.89</v>
      </c>
      <c r="Q22" s="32" t="n">
        <v>417.56</v>
      </c>
      <c r="R22" s="31" t="inlineStr">
        <is>
          <t>Volume Spike &amp; Near 52W High Breakout</t>
        </is>
      </c>
      <c r="S22" s="31" t="inlineStr">
        <is>
          <t>Nifty Realty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16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DPABHUSHAN</t>
        </is>
      </c>
      <c r="D23" s="31" t="inlineStr">
        <is>
          <t>DP Abhushan Ltd</t>
        </is>
      </c>
      <c r="E23" s="31" t="inlineStr">
        <is>
          <t>consumer discretionary</t>
        </is>
      </c>
      <c r="F23" s="31" t="inlineStr">
        <is>
          <t>Diamond Gems and Jewellery</t>
        </is>
      </c>
      <c r="G23" s="31" t="inlineStr">
        <is>
          <t>midcap</t>
        </is>
      </c>
      <c r="H23" s="32" t="n">
        <v>5105.01</v>
      </c>
      <c r="I23" s="32" t="n">
        <v>2236.3</v>
      </c>
      <c r="J23" s="32" t="n">
        <v>2.87</v>
      </c>
      <c r="K23" s="32" t="n">
        <v>0</v>
      </c>
      <c r="L23" s="31" t="n">
        <v>82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80.91</v>
      </c>
      <c r="P23" s="32" t="n">
        <v>39.09</v>
      </c>
      <c r="Q23" s="32" t="n">
        <v>1693.41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-10.61</v>
      </c>
      <c r="U23" s="32" t="n">
        <v>58.56</v>
      </c>
      <c r="V23" s="32" t="n">
        <v>77.38</v>
      </c>
      <c r="W23" s="32" t="n">
        <v>32.74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29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AEGISLOG</t>
        </is>
      </c>
      <c r="D24" s="31" t="inlineStr">
        <is>
          <t>Aegis Logistics Ltd</t>
        </is>
      </c>
      <c r="E24" s="31" t="inlineStr">
        <is>
          <t>services</t>
        </is>
      </c>
      <c r="F24" s="31" t="inlineStr">
        <is>
          <t>Logistics</t>
        </is>
      </c>
      <c r="G24" s="31" t="inlineStr">
        <is>
          <t>largecap</t>
        </is>
      </c>
      <c r="H24" s="32" t="n">
        <v>51351.3</v>
      </c>
      <c r="I24" s="32" t="n">
        <v>1463</v>
      </c>
      <c r="J24" s="32" t="n">
        <v>4.81</v>
      </c>
      <c r="K24" s="32" t="n">
        <v>0</v>
      </c>
      <c r="L24" s="31" t="n">
        <v>62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67.48</v>
      </c>
      <c r="P24" s="32" t="n">
        <v>56.78</v>
      </c>
      <c r="Q24" s="32" t="n">
        <v>1058.18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-10.61</v>
      </c>
      <c r="U24" s="32" t="n">
        <v>80.67</v>
      </c>
      <c r="V24" s="32" t="n">
        <v>102.12</v>
      </c>
      <c r="W24" s="32" t="n">
        <v>21.8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25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HIIL</t>
        </is>
      </c>
      <c r="D25" s="31" t="inlineStr">
        <is>
          <t>Hindusthan Insulators &amp; Industries Ltd</t>
        </is>
      </c>
      <c r="E25" s="31" t="inlineStr">
        <is>
          <t>Industrials</t>
        </is>
      </c>
      <c r="F25" s="31" t="inlineStr">
        <is>
          <t>Electric Equipment General</t>
        </is>
      </c>
      <c r="G25" s="31" t="inlineStr">
        <is>
          <t>smallcap</t>
        </is>
      </c>
      <c r="H25" s="32" t="n">
        <v>1185.51</v>
      </c>
      <c r="I25" s="32" t="n">
        <v>547.75</v>
      </c>
      <c r="J25" s="32" t="n">
        <v>1.99</v>
      </c>
      <c r="K25" s="32" t="n">
        <v>0</v>
      </c>
      <c r="L25" s="31" t="n">
        <v>91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96.03</v>
      </c>
      <c r="P25" s="32" t="n">
        <v>84.70999999999999</v>
      </c>
      <c r="Q25" s="32" t="n">
        <v>506.79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-10.61</v>
      </c>
      <c r="U25" s="32" t="n">
        <v>275.06</v>
      </c>
      <c r="V25" s="32" t="n">
        <v>319.57</v>
      </c>
      <c r="W25" s="32" t="n">
        <v>39.97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25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KINGFA</t>
        </is>
      </c>
      <c r="D26" s="31" t="inlineStr">
        <is>
          <t>Kingfa Science &amp; Technology (India) Ltd</t>
        </is>
      </c>
      <c r="E26" s="31" t="inlineStr">
        <is>
          <t>plastic products</t>
        </is>
      </c>
      <c r="F26" s="31" t="inlineStr">
        <is>
          <t>Plastics Plastic and Plastic Products</t>
        </is>
      </c>
      <c r="G26" s="31" t="inlineStr">
        <is>
          <t>midcap</t>
        </is>
      </c>
      <c r="H26" s="32" t="n">
        <v>9452.09</v>
      </c>
      <c r="I26" s="32" t="n">
        <v>6975</v>
      </c>
      <c r="J26" s="32" t="n">
        <v>0.62</v>
      </c>
      <c r="K26" s="32" t="n">
        <v>0</v>
      </c>
      <c r="L26" s="31" t="n">
        <v>47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75.05</v>
      </c>
      <c r="P26" s="32" t="n">
        <v>45.04</v>
      </c>
      <c r="Q26" s="32" t="n">
        <v>5621.27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-10.61</v>
      </c>
      <c r="U26" s="32" t="n">
        <v>49.07</v>
      </c>
      <c r="V26" s="32" t="n">
        <v>66.76000000000001</v>
      </c>
      <c r="W26" s="32" t="n">
        <v>16.35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AZAD</t>
        </is>
      </c>
      <c r="D27" s="31" t="inlineStr">
        <is>
          <t>Azad Engineering Ltd</t>
        </is>
      </c>
      <c r="E27" s="31" t="inlineStr">
        <is>
          <t>aerospace &amp; defence</t>
        </is>
      </c>
      <c r="F27" s="31" t="inlineStr">
        <is>
          <t>Aerospace and Defence Equipment</t>
        </is>
      </c>
      <c r="G27" s="31" t="inlineStr">
        <is>
          <t>midcap</t>
        </is>
      </c>
      <c r="H27" s="32" t="n">
        <v>19658.68</v>
      </c>
      <c r="I27" s="32" t="n">
        <v>3044</v>
      </c>
      <c r="J27" s="32" t="n">
        <v>-0.61</v>
      </c>
      <c r="K27" s="32" t="n">
        <v>0</v>
      </c>
      <c r="L27" s="31" t="n">
        <v>56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70.81999999999999</v>
      </c>
      <c r="P27" s="32" t="n">
        <v>44.67</v>
      </c>
      <c r="Q27" s="32" t="n">
        <v>2334.73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-10.61</v>
      </c>
      <c r="U27" s="32" t="n">
        <v>84.05</v>
      </c>
      <c r="V27" s="32" t="n">
        <v>105.89</v>
      </c>
      <c r="W27" s="32" t="n">
        <v>18.95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BHAGERIA</t>
        </is>
      </c>
      <c r="D28" s="31" t="inlineStr">
        <is>
          <t>Bhageria Industries Ltd</t>
        </is>
      </c>
      <c r="E28" s="31" t="inlineStr">
        <is>
          <t>chemicals</t>
        </is>
      </c>
      <c r="F28" s="31" t="inlineStr">
        <is>
          <t>Dyes and Pigments</t>
        </is>
      </c>
      <c r="G28" s="31" t="inlineStr">
        <is>
          <t>smallcap</t>
        </is>
      </c>
      <c r="H28" s="32" t="n">
        <v>1661.97</v>
      </c>
      <c r="I28" s="32" t="n">
        <v>380.8</v>
      </c>
      <c r="J28" s="32" t="n">
        <v>-3.24</v>
      </c>
      <c r="K28" s="32" t="n">
        <v>0</v>
      </c>
      <c r="L28" s="31" t="n">
        <v>86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77.86</v>
      </c>
      <c r="P28" s="32" t="n">
        <v>46.3</v>
      </c>
      <c r="Q28" s="32" t="n">
        <v>298.25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-10.61</v>
      </c>
      <c r="U28" s="32" t="n">
        <v>105.74</v>
      </c>
      <c r="V28" s="32" t="n">
        <v>130.16</v>
      </c>
      <c r="W28" s="32" t="n">
        <v>35.57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LOTUSDEV</t>
        </is>
      </c>
      <c r="D29" s="31" t="inlineStr">
        <is>
          <t>Sri Lotus Developers &amp; Realty Ltd</t>
        </is>
      </c>
      <c r="E29" s="31" t="inlineStr">
        <is>
          <t>realty</t>
        </is>
      </c>
      <c r="F29" s="31" t="inlineStr">
        <is>
          <t>Construction Factories and Offices and Commercial</t>
        </is>
      </c>
      <c r="G29" s="31" t="inlineStr">
        <is>
          <t>midcap</t>
        </is>
      </c>
      <c r="H29" s="32" t="n">
        <v>11919.97</v>
      </c>
      <c r="I29" s="32" t="n">
        <v>243.9</v>
      </c>
      <c r="J29" s="32" t="n">
        <v>-0.34</v>
      </c>
      <c r="K29" s="32" t="n">
        <v>0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73.3</v>
      </c>
      <c r="P29" s="32" t="n">
        <v>33.1</v>
      </c>
      <c r="Q29" s="32" t="n">
        <v>187.16</v>
      </c>
      <c r="R29" s="31" t="inlineStr">
        <is>
          <t>Near 52W High Breakout</t>
        </is>
      </c>
      <c r="S29" s="31" t="inlineStr">
        <is>
          <t>Nifty Realty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TATVA</t>
        </is>
      </c>
      <c r="D30" s="31" t="inlineStr">
        <is>
          <t>Tatva Chintan Pharma Chem Ltd</t>
        </is>
      </c>
      <c r="E30" s="31" t="inlineStr">
        <is>
          <t>chemicals</t>
        </is>
      </c>
      <c r="F30" s="31" t="inlineStr">
        <is>
          <t>Specialty Chemicals</t>
        </is>
      </c>
      <c r="G30" s="31" t="inlineStr">
        <is>
          <t>smallcap</t>
        </is>
      </c>
      <c r="H30" s="32" t="n">
        <v>4677.71</v>
      </c>
      <c r="I30" s="32" t="n">
        <v>1999.7</v>
      </c>
      <c r="J30" s="32" t="n">
        <v>6.51</v>
      </c>
      <c r="K30" s="32" t="n">
        <v>0</v>
      </c>
      <c r="L30" s="31" t="n">
        <v>70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72.13</v>
      </c>
      <c r="P30" s="32" t="n">
        <v>42.27</v>
      </c>
      <c r="Q30" s="32" t="n">
        <v>1510.79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-10.61</v>
      </c>
      <c r="U30" s="32" t="n">
        <v>86.45999999999999</v>
      </c>
      <c r="V30" s="32" t="n">
        <v>108.58</v>
      </c>
      <c r="W30" s="32" t="n">
        <v>24.87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AVALON</t>
        </is>
      </c>
      <c r="D31" s="34" t="inlineStr">
        <is>
          <t>Avalon Technologies Ltd</t>
        </is>
      </c>
      <c r="E31" s="31" t="inlineStr">
        <is>
          <t>consumer discretionary</t>
        </is>
      </c>
      <c r="F31" s="31" t="inlineStr">
        <is>
          <t>EMS</t>
        </is>
      </c>
      <c r="G31" s="31" t="inlineStr">
        <is>
          <t>midcap</t>
        </is>
      </c>
      <c r="H31" s="32" t="n">
        <v>16225.65</v>
      </c>
      <c r="I31" s="32" t="n">
        <v>2426</v>
      </c>
      <c r="J31" s="32" t="n">
        <v>1.07</v>
      </c>
      <c r="K31" s="32" t="n">
        <v>0</v>
      </c>
      <c r="L31" s="31" t="n">
        <v>72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73.05</v>
      </c>
      <c r="P31" s="32" t="n">
        <v>49.69</v>
      </c>
      <c r="Q31" s="32" t="n">
        <v>1874.25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-10.61</v>
      </c>
      <c r="U31" s="32" t="n">
        <v>97.47</v>
      </c>
      <c r="V31" s="32" t="n">
        <v>120.91</v>
      </c>
      <c r="W31" s="32" t="n">
        <v>26.51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19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SYRMA</t>
        </is>
      </c>
      <c r="D32" s="31" t="inlineStr">
        <is>
          <t>Syrma SGS Technology Ltd</t>
        </is>
      </c>
      <c r="E32" s="31" t="inlineStr">
        <is>
          <t>consumer discretionary</t>
        </is>
      </c>
      <c r="F32" s="31" t="inlineStr">
        <is>
          <t>EMS</t>
        </is>
      </c>
      <c r="G32" s="31" t="inlineStr">
        <is>
          <t>largecap</t>
        </is>
      </c>
      <c r="H32" s="32" t="n">
        <v>33745.33</v>
      </c>
      <c r="I32" s="32" t="n">
        <v>1750</v>
      </c>
      <c r="J32" s="32" t="n">
        <v>3.85</v>
      </c>
      <c r="K32" s="32" t="n">
        <v>0</v>
      </c>
      <c r="L32" s="31" t="n">
        <v>66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76.19</v>
      </c>
      <c r="P32" s="32" t="n">
        <v>59.66</v>
      </c>
      <c r="Q32" s="32" t="n">
        <v>1358.05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-10.61</v>
      </c>
      <c r="U32" s="32" t="n">
        <v>107.25</v>
      </c>
      <c r="V32" s="32" t="n">
        <v>131.85</v>
      </c>
      <c r="W32" s="32" t="n">
        <v>22.85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AETHER</t>
        </is>
      </c>
      <c r="D33" s="34" t="inlineStr">
        <is>
          <t>Aether Industries Ltd</t>
        </is>
      </c>
      <c r="E33" s="31" t="inlineStr">
        <is>
          <t>chemicals</t>
        </is>
      </c>
      <c r="F33" s="31" t="inlineStr">
        <is>
          <t>Specialty Chemicals</t>
        </is>
      </c>
      <c r="G33" s="31" t="inlineStr">
        <is>
          <t>largecap</t>
        </is>
      </c>
      <c r="H33" s="32" t="n">
        <v>23665.45</v>
      </c>
      <c r="I33" s="32" t="n">
        <v>1783</v>
      </c>
      <c r="J33" s="32" t="n">
        <v>-0.93</v>
      </c>
      <c r="K33" s="32" t="n">
        <v>0</v>
      </c>
      <c r="L33" s="31" t="n">
        <v>67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69.79000000000001</v>
      </c>
      <c r="P33" s="32" t="n">
        <v>61.31</v>
      </c>
      <c r="Q33" s="32" t="n">
        <v>1423.54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-10.61</v>
      </c>
      <c r="U33" s="32" t="n">
        <v>138.28</v>
      </c>
      <c r="V33" s="32" t="n">
        <v>166.56</v>
      </c>
      <c r="W33" s="32" t="n">
        <v>23.28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ARROWGREEN</t>
        </is>
      </c>
      <c r="D34" s="31" t="inlineStr">
        <is>
          <t>Arrow Greentech Ltd</t>
        </is>
      </c>
      <c r="E34" s="31" t="inlineStr">
        <is>
          <t>plastic products</t>
        </is>
      </c>
      <c r="F34" s="31" t="inlineStr">
        <is>
          <t>Plastics Plastic and Plastic Products</t>
        </is>
      </c>
      <c r="G34" s="31" t="inlineStr">
        <is>
          <t>smallcap</t>
        </is>
      </c>
      <c r="H34" s="32" t="n">
        <v>1341.32</v>
      </c>
      <c r="I34" s="32" t="n">
        <v>889</v>
      </c>
      <c r="J34" s="32" t="n">
        <v>-0.31</v>
      </c>
      <c r="K34" s="32" t="n">
        <v>0</v>
      </c>
      <c r="L34" s="31" t="n">
        <v>52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68.43000000000001</v>
      </c>
      <c r="P34" s="32" t="n">
        <v>49.96</v>
      </c>
      <c r="Q34" s="32" t="n">
        <v>671.24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-10.61</v>
      </c>
      <c r="U34" s="32" t="n">
        <v>70</v>
      </c>
      <c r="V34" s="32" t="n">
        <v>90.17</v>
      </c>
      <c r="W34" s="32" t="n">
        <v>17.98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WELSPUNLIV</t>
        </is>
      </c>
      <c r="D35" s="34" t="inlineStr">
        <is>
          <t>Welspun Living Ltd</t>
        </is>
      </c>
      <c r="E35" s="31" t="inlineStr">
        <is>
          <t>textiles</t>
        </is>
      </c>
      <c r="F35" s="31" t="inlineStr">
        <is>
          <t>Textiles Home Textile</t>
        </is>
      </c>
      <c r="G35" s="31" t="inlineStr">
        <is>
          <t>largecap</t>
        </is>
      </c>
      <c r="H35" s="32" t="n">
        <v>22249.87</v>
      </c>
      <c r="I35" s="32" t="n">
        <v>235.51</v>
      </c>
      <c r="J35" s="32" t="n">
        <v>-0.99</v>
      </c>
      <c r="K35" s="32" t="n">
        <v>0</v>
      </c>
      <c r="L35" s="31" t="n">
        <v>68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81.66</v>
      </c>
      <c r="P35" s="32" t="n">
        <v>46.64</v>
      </c>
      <c r="Q35" s="32" t="n">
        <v>192.79</v>
      </c>
      <c r="R35" s="31" t="inlineStr">
        <is>
          <t>Near 52W High Breakout</t>
        </is>
      </c>
      <c r="S35" s="31" t="inlineStr">
        <is>
          <t>Nifty 50</t>
        </is>
      </c>
      <c r="T35" s="32" t="n">
        <v>-10.61</v>
      </c>
      <c r="U35" s="32" t="n">
        <v>92.23</v>
      </c>
      <c r="V35" s="32" t="n">
        <v>115.04</v>
      </c>
      <c r="W35" s="32" t="n">
        <v>23.85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CYIENTDLM</t>
        </is>
      </c>
      <c r="D36" s="34" t="inlineStr">
        <is>
          <t>Cyient DLM Ltd</t>
        </is>
      </c>
      <c r="E36" s="31" t="inlineStr">
        <is>
          <t>aerospace &amp; defence</t>
        </is>
      </c>
      <c r="F36" s="31" t="inlineStr">
        <is>
          <t>EMS</t>
        </is>
      </c>
      <c r="G36" s="31" t="inlineStr">
        <is>
          <t>midcap</t>
        </is>
      </c>
      <c r="H36" s="32" t="n">
        <v>7844.66</v>
      </c>
      <c r="I36" s="32" t="n">
        <v>988.2</v>
      </c>
      <c r="J36" s="32" t="n">
        <v>5.24</v>
      </c>
      <c r="K36" s="32" t="n">
        <v>0</v>
      </c>
      <c r="L36" s="31" t="n">
        <v>90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85.34</v>
      </c>
      <c r="P36" s="32" t="n">
        <v>78.94</v>
      </c>
      <c r="Q36" s="32" t="n">
        <v>762.28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-10.61</v>
      </c>
      <c r="U36" s="32" t="n">
        <v>109.67</v>
      </c>
      <c r="V36" s="32" t="n">
        <v>134.56</v>
      </c>
      <c r="W36" s="32" t="n">
        <v>39.87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17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DELTACORP</t>
        </is>
      </c>
      <c r="D37" s="31" t="inlineStr">
        <is>
          <t>Delta Corp Ltd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smallcap</t>
        </is>
      </c>
      <c r="H37" s="32" t="n">
        <v>2195.72</v>
      </c>
      <c r="I37" s="32" t="n">
        <v>82</v>
      </c>
      <c r="J37" s="32" t="n">
        <v>-2.77</v>
      </c>
      <c r="K37" s="32" t="n">
        <v>0</v>
      </c>
      <c r="L37" s="31" t="n">
        <v>24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66.08</v>
      </c>
      <c r="P37" s="32" t="n">
        <v>24.89</v>
      </c>
      <c r="Q37" s="32" t="n">
        <v>58.16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-10.61</v>
      </c>
      <c r="U37" s="32" t="n">
        <v>4.7</v>
      </c>
      <c r="V37" s="32" t="n">
        <v>17.12</v>
      </c>
      <c r="W37" s="32" t="n">
        <v>7.7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16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E2E</t>
        </is>
      </c>
      <c r="D38" s="31" t="inlineStr">
        <is>
          <t>E2E Networks Ltd</t>
        </is>
      </c>
      <c r="E38" s="31" t="inlineStr">
        <is>
          <t>i.t</t>
        </is>
      </c>
      <c r="F38" s="31" t="inlineStr">
        <is>
          <t>Data Centre</t>
        </is>
      </c>
      <c r="G38" s="31" t="inlineStr">
        <is>
          <t>midcap</t>
        </is>
      </c>
      <c r="H38" s="32" t="n">
        <v>14868.51</v>
      </c>
      <c r="I38" s="32" t="n">
        <v>723.3</v>
      </c>
      <c r="J38" s="32" t="n">
        <v>4.99</v>
      </c>
      <c r="K38" s="32" t="n">
        <v>0</v>
      </c>
      <c r="L38" s="31" t="n">
        <v>91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76.78</v>
      </c>
      <c r="P38" s="32" t="n">
        <v>54.91</v>
      </c>
      <c r="Q38" s="32" t="n">
        <v>525.6900000000001</v>
      </c>
      <c r="R38" s="31" t="inlineStr">
        <is>
          <t>Near 52W High Breakout</t>
        </is>
      </c>
      <c r="S38" s="31" t="inlineStr">
        <is>
          <t>Nifty IT</t>
        </is>
      </c>
      <c r="T38" s="32" t="n">
        <v>-22.05</v>
      </c>
      <c r="U38" s="32" t="n">
        <v>112.25</v>
      </c>
      <c r="V38" s="32" t="n">
        <v>172.28</v>
      </c>
      <c r="W38" s="32" t="n">
        <v>41.2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CUPID</t>
        </is>
      </c>
      <c r="D39" s="31" t="inlineStr">
        <is>
          <t>Cupid Ltd</t>
        </is>
      </c>
      <c r="E39" s="31" t="inlineStr">
        <is>
          <t>fmcg</t>
        </is>
      </c>
      <c r="F39" s="31" t="inlineStr">
        <is>
          <t>Contraceptives and Protectives</t>
        </is>
      </c>
      <c r="G39" s="31" t="inlineStr">
        <is>
          <t>largecap</t>
        </is>
      </c>
      <c r="H39" s="32" t="n">
        <v>46316.84</v>
      </c>
      <c r="I39" s="32" t="n">
        <v>344.45</v>
      </c>
      <c r="J39" s="32" t="n">
        <v>6.25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85.45999999999999</v>
      </c>
      <c r="P39" s="32" t="n">
        <v>66.11</v>
      </c>
      <c r="Q39" s="32" t="n">
        <v>263.43</v>
      </c>
      <c r="R39" s="31" t="inlineStr">
        <is>
          <t>Near 52W High Breakout</t>
        </is>
      </c>
      <c r="S39" s="31" t="inlineStr">
        <is>
          <t>Nifty FMCG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SHUKRAPHAR</t>
        </is>
      </c>
      <c r="D40" s="31" t="inlineStr">
        <is>
          <t>Shukra Pharmaceuticals Ltd</t>
        </is>
      </c>
      <c r="E40" s="31" t="inlineStr">
        <is>
          <t>Healthcare</t>
        </is>
      </c>
      <c r="F40" s="31" t="inlineStr">
        <is>
          <t>Pharma Others</t>
        </is>
      </c>
      <c r="G40" s="31" t="inlineStr">
        <is>
          <t>smallcap</t>
        </is>
      </c>
      <c r="H40" s="32" t="n">
        <v>3040.11</v>
      </c>
      <c r="I40" s="32" t="n">
        <v>68.97</v>
      </c>
      <c r="J40" s="32" t="n">
        <v>-4.84</v>
      </c>
      <c r="K40" s="32" t="n">
        <v>0</v>
      </c>
      <c r="L40" s="31" t="n">
        <v>93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80.67</v>
      </c>
      <c r="P40" s="32" t="n">
        <v>42.08</v>
      </c>
      <c r="Q40" s="32" t="n">
        <v>49.3</v>
      </c>
      <c r="R40" s="31" t="inlineStr">
        <is>
          <t>Volume Spike &amp; Near 52W High Breakout</t>
        </is>
      </c>
      <c r="S40" s="31" t="inlineStr">
        <is>
          <t>Nifty Pharma</t>
        </is>
      </c>
      <c r="T40" s="32" t="n">
        <v>18.99</v>
      </c>
      <c r="U40" s="32" t="n">
        <v>102.97</v>
      </c>
      <c r="V40" s="32" t="n">
        <v>70.58</v>
      </c>
      <c r="W40" s="32" t="n">
        <v>42.22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ASMTEC</t>
        </is>
      </c>
      <c r="D41" s="31" t="inlineStr">
        <is>
          <t>ASM Technologies Ltd</t>
        </is>
      </c>
      <c r="E41" s="31" t="inlineStr">
        <is>
          <t>Technology</t>
        </is>
      </c>
      <c r="F41" s="31" t="inlineStr">
        <is>
          <t>IT Services</t>
        </is>
      </c>
      <c r="G41" s="31" t="inlineStr">
        <is>
          <t>midcap</t>
        </is>
      </c>
      <c r="H41" s="32" t="n">
        <v>10064.8</v>
      </c>
      <c r="I41" s="32" t="n">
        <v>6900</v>
      </c>
      <c r="J41" s="32" t="n">
        <v>0.8</v>
      </c>
      <c r="K41" s="32" t="n">
        <v>0</v>
      </c>
      <c r="L41" s="31" t="n">
        <v>78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76.81999999999999</v>
      </c>
      <c r="P41" s="32" t="n">
        <v>59.89</v>
      </c>
      <c r="Q41" s="32" t="n">
        <v>5193.32</v>
      </c>
      <c r="R41" s="31" t="inlineStr">
        <is>
          <t>Near 52W High Breakout</t>
        </is>
      </c>
      <c r="S41" s="31" t="inlineStr">
        <is>
          <t>Nifty 50</t>
        </is>
      </c>
      <c r="T41" s="32" t="n">
        <v>-10.61</v>
      </c>
      <c r="U41" s="32" t="n">
        <v>83.45999999999999</v>
      </c>
      <c r="V41" s="32" t="n">
        <v>105.23</v>
      </c>
      <c r="W41" s="32" t="n">
        <v>30.22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GLAND</t>
        </is>
      </c>
      <c r="D42" s="34" t="inlineStr">
        <is>
          <t>Gland Pharma Ltd</t>
        </is>
      </c>
      <c r="E42" s="31" t="inlineStr">
        <is>
          <t>healthcare</t>
        </is>
      </c>
      <c r="F42" s="31" t="inlineStr">
        <is>
          <t>Pharma Formulations</t>
        </is>
      </c>
      <c r="G42" s="31" t="inlineStr">
        <is>
          <t>largecap</t>
        </is>
      </c>
      <c r="H42" s="32" t="n">
        <v>52047.72</v>
      </c>
      <c r="I42" s="32" t="n">
        <v>3154.2</v>
      </c>
      <c r="J42" s="32" t="n">
        <v>4.93</v>
      </c>
      <c r="K42" s="32" t="n">
        <v>0</v>
      </c>
      <c r="L42" s="31" t="n">
        <v>51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75.16</v>
      </c>
      <c r="P42" s="32" t="n">
        <v>62.96</v>
      </c>
      <c r="Q42" s="32" t="n">
        <v>2596.73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18.99</v>
      </c>
      <c r="U42" s="32" t="n">
        <v>65.04000000000001</v>
      </c>
      <c r="V42" s="32" t="n">
        <v>38.71</v>
      </c>
      <c r="W42" s="32" t="n">
        <v>17.89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DIVISLAB</t>
        </is>
      </c>
      <c r="D43" s="34" t="inlineStr">
        <is>
          <t>Divis Laboratories Ltd</t>
        </is>
      </c>
      <c r="E43" s="31" t="inlineStr">
        <is>
          <t>healthcare</t>
        </is>
      </c>
      <c r="F43" s="31" t="inlineStr">
        <is>
          <t>Pharma CRAMS</t>
        </is>
      </c>
      <c r="G43" s="31" t="inlineStr">
        <is>
          <t>largecap</t>
        </is>
      </c>
      <c r="H43" s="32" t="n">
        <v>254531.27</v>
      </c>
      <c r="I43" s="32" t="n">
        <v>9588</v>
      </c>
      <c r="J43" s="32" t="n">
        <v>0.4</v>
      </c>
      <c r="K43" s="32" t="n">
        <v>0</v>
      </c>
      <c r="L43" s="31" t="n">
        <v>50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78.22</v>
      </c>
      <c r="P43" s="32" t="n">
        <v>57.36</v>
      </c>
      <c r="Q43" s="32" t="n">
        <v>8330.91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18.99</v>
      </c>
      <c r="U43" s="32" t="n">
        <v>48.7</v>
      </c>
      <c r="V43" s="32" t="n">
        <v>24.97</v>
      </c>
      <c r="W43" s="32" t="n">
        <v>17.61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MARINE</t>
        </is>
      </c>
      <c r="D44" s="31" t="inlineStr">
        <is>
          <t>Marine Electricals (India) Ltd</t>
        </is>
      </c>
      <c r="E44" s="31" t="inlineStr">
        <is>
          <t>industrials</t>
        </is>
      </c>
      <c r="F44" s="31" t="inlineStr">
        <is>
          <t>Shipping Proxy</t>
        </is>
      </c>
      <c r="G44" s="31" t="inlineStr">
        <is>
          <t>midcap</t>
        </is>
      </c>
      <c r="H44" s="32" t="n">
        <v>6647.36</v>
      </c>
      <c r="I44" s="32" t="n">
        <v>475</v>
      </c>
      <c r="J44" s="32" t="n">
        <v>-0.8</v>
      </c>
      <c r="K44" s="32" t="n">
        <v>0</v>
      </c>
      <c r="L44" s="31" t="n">
        <v>90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75.79000000000001</v>
      </c>
      <c r="P44" s="32" t="n">
        <v>49.9</v>
      </c>
      <c r="Q44" s="32" t="n">
        <v>350.04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-10.61</v>
      </c>
      <c r="U44" s="32" t="n">
        <v>126.19</v>
      </c>
      <c r="V44" s="32" t="n">
        <v>153.04</v>
      </c>
      <c r="W44" s="32" t="n">
        <v>38.86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23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EBGNG</t>
        </is>
      </c>
      <c r="D45" s="31" t="inlineStr">
        <is>
          <t>GNG Electronics Ltd</t>
        </is>
      </c>
      <c r="E45" s="31" t="inlineStr">
        <is>
          <t>services</t>
        </is>
      </c>
      <c r="F45" s="31" t="inlineStr">
        <is>
          <t>New age Platform E Retail</t>
        </is>
      </c>
      <c r="G45" s="31" t="inlineStr">
        <is>
          <t>midcap</t>
        </is>
      </c>
      <c r="H45" s="32" t="n">
        <v>8346.780000000001</v>
      </c>
      <c r="I45" s="32" t="n">
        <v>732.1</v>
      </c>
      <c r="J45" s="32" t="n">
        <v>6.85</v>
      </c>
      <c r="K45" s="32" t="n">
        <v>0</v>
      </c>
      <c r="L45" s="31" t="n">
        <v>65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69.5</v>
      </c>
      <c r="P45" s="32" t="n">
        <v>38.08</v>
      </c>
      <c r="Q45" s="32" t="n">
        <v>523.47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-10.61</v>
      </c>
      <c r="U45" s="32" t="n">
        <v>118.18</v>
      </c>
      <c r="V45" s="32" t="n">
        <v>144.07</v>
      </c>
      <c r="W45" s="32" t="n">
        <v>22.76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ENGINERSIN</t>
        </is>
      </c>
      <c r="D46" s="31" t="inlineStr">
        <is>
          <t>Engineers India Ltd</t>
        </is>
      </c>
      <c r="E46" s="31" t="inlineStr">
        <is>
          <t>realty</t>
        </is>
      </c>
      <c r="F46" s="31" t="inlineStr">
        <is>
          <t>Infra Engineering General</t>
        </is>
      </c>
      <c r="G46" s="31" t="inlineStr">
        <is>
          <t>midcap</t>
        </is>
      </c>
      <c r="H46" s="32" t="n">
        <v>17282.8</v>
      </c>
      <c r="I46" s="32" t="n">
        <v>307.5</v>
      </c>
      <c r="J46" s="32" t="n">
        <v>-1.85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69.77</v>
      </c>
      <c r="P46" s="32" t="n">
        <v>22.79</v>
      </c>
      <c r="Q46" s="32" t="n">
        <v>252.8</v>
      </c>
      <c r="R46" s="31" t="inlineStr">
        <is>
          <t>Near 52W High Breakout</t>
        </is>
      </c>
      <c r="S46" s="31" t="inlineStr">
        <is>
          <t>Nifty Realty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19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WHEELS</t>
        </is>
      </c>
      <c r="D47" s="31" t="inlineStr">
        <is>
          <t>Wheels India Ltd</t>
        </is>
      </c>
      <c r="E47" s="31" t="inlineStr">
        <is>
          <t>auto</t>
        </is>
      </c>
      <c r="F47" s="31" t="inlineStr">
        <is>
          <t>Auto Wheels</t>
        </is>
      </c>
      <c r="G47" s="31" t="inlineStr">
        <is>
          <t>midcap</t>
        </is>
      </c>
      <c r="H47" s="32" t="n">
        <v>6167.6</v>
      </c>
      <c r="I47" s="32" t="n">
        <v>2296</v>
      </c>
      <c r="J47" s="32" t="n">
        <v>0.31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75.87</v>
      </c>
      <c r="P47" s="32" t="n">
        <v>60.26</v>
      </c>
      <c r="Q47" s="32" t="n">
        <v>1696.06</v>
      </c>
      <c r="R47" s="31" t="inlineStr">
        <is>
          <t>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HFCL</t>
        </is>
      </c>
      <c r="D48" s="31" t="inlineStr">
        <is>
          <t>HFCL Ltd</t>
        </is>
      </c>
      <c r="E48" s="31" t="inlineStr">
        <is>
          <t>telecom</t>
        </is>
      </c>
      <c r="F48" s="31" t="inlineStr">
        <is>
          <t>Telecommunications Equipment</t>
        </is>
      </c>
      <c r="G48" s="31" t="inlineStr">
        <is>
          <t>largecap</t>
        </is>
      </c>
      <c r="H48" s="32" t="n">
        <v>41326.27</v>
      </c>
      <c r="I48" s="32" t="n">
        <v>270</v>
      </c>
      <c r="J48" s="32" t="n">
        <v>2.75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73.2</v>
      </c>
      <c r="P48" s="32" t="n">
        <v>49.87</v>
      </c>
      <c r="Q48" s="32" t="n">
        <v>197.51</v>
      </c>
      <c r="R48" s="31" t="inlineStr">
        <is>
          <t>Near 52W High Breakout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NRBBEARING</t>
        </is>
      </c>
      <c r="D49" s="31" t="inlineStr">
        <is>
          <t>NRB Bearings Ltd</t>
        </is>
      </c>
      <c r="E49" s="31" t="inlineStr">
        <is>
          <t>industrials</t>
        </is>
      </c>
      <c r="F49" s="31" t="inlineStr">
        <is>
          <t>Bearings</t>
        </is>
      </c>
      <c r="G49" s="31" t="inlineStr">
        <is>
          <t>midcap</t>
        </is>
      </c>
      <c r="H49" s="32" t="n">
        <v>5141.26</v>
      </c>
      <c r="I49" s="32" t="n">
        <v>530.45</v>
      </c>
      <c r="J49" s="32" t="n">
        <v>-1.21</v>
      </c>
      <c r="K49" s="32" t="n">
        <v>0</v>
      </c>
      <c r="L49" s="31" t="n">
        <v>64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71.84</v>
      </c>
      <c r="P49" s="32" t="n">
        <v>50.97</v>
      </c>
      <c r="Q49" s="32" t="n">
        <v>421.72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-10.61</v>
      </c>
      <c r="U49" s="32" t="n">
        <v>100.05</v>
      </c>
      <c r="V49" s="32" t="n">
        <v>123.79</v>
      </c>
      <c r="W49" s="32" t="n">
        <v>22.27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Between 12 to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VALIANT</t>
        </is>
      </c>
      <c r="D50" s="31" t="inlineStr">
        <is>
          <t>Valiant Communications Ltd</t>
        </is>
      </c>
      <c r="E50" s="31" t="inlineStr">
        <is>
          <t>Technology</t>
        </is>
      </c>
      <c r="F50" s="31" t="inlineStr">
        <is>
          <t>Telecommunications Equipment</t>
        </is>
      </c>
      <c r="G50" s="31" t="inlineStr">
        <is>
          <t>smallcap</t>
        </is>
      </c>
      <c r="H50" s="32" t="n">
        <v>2083.53</v>
      </c>
      <c r="I50" s="32" t="n">
        <v>1782</v>
      </c>
      <c r="J50" s="32" t="n">
        <v>-1.45</v>
      </c>
      <c r="K50" s="32" t="n">
        <v>0</v>
      </c>
      <c r="L50" s="31" t="n">
        <v>84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79.72</v>
      </c>
      <c r="P50" s="32" t="n">
        <v>32.35</v>
      </c>
      <c r="Q50" s="32" t="n">
        <v>1269.62</v>
      </c>
      <c r="R50" s="31" t="inlineStr">
        <is>
          <t>Near 52W High Breakout</t>
        </is>
      </c>
      <c r="S50" s="31" t="inlineStr">
        <is>
          <t>Nifty 50</t>
        </is>
      </c>
      <c r="T50" s="32" t="n">
        <v>-10.61</v>
      </c>
      <c r="U50" s="32" t="n">
        <v>141.71</v>
      </c>
      <c r="V50" s="32" t="n">
        <v>170.39</v>
      </c>
      <c r="W50" s="32" t="n">
        <v>34.3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SYNCOMF</t>
        </is>
      </c>
      <c r="D51" s="31" t="inlineStr">
        <is>
          <t>Syncom Formulations (India) Ltd</t>
        </is>
      </c>
      <c r="E51" s="31" t="inlineStr">
        <is>
          <t>healthcare</t>
        </is>
      </c>
      <c r="F51" s="31" t="inlineStr">
        <is>
          <t>Pharma Others</t>
        </is>
      </c>
      <c r="G51" s="31" t="inlineStr">
        <is>
          <t>smallcap</t>
        </is>
      </c>
      <c r="H51" s="32" t="n">
        <v>2350</v>
      </c>
      <c r="I51" s="32" t="n">
        <v>25</v>
      </c>
      <c r="J51" s="32" t="n">
        <v>7.67</v>
      </c>
      <c r="K51" s="32" t="n">
        <v>0</v>
      </c>
      <c r="L51" s="31" t="n">
        <v>74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80.84</v>
      </c>
      <c r="P51" s="32" t="n">
        <v>37.45</v>
      </c>
      <c r="Q51" s="32" t="n">
        <v>18.02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18.99</v>
      </c>
      <c r="U51" s="32" t="n">
        <v>47.52</v>
      </c>
      <c r="V51" s="32" t="n">
        <v>23.98</v>
      </c>
      <c r="W51" s="32" t="n">
        <v>27.72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3" t="inlineStr">
        <is>
          <t>AARTIPHARM</t>
        </is>
      </c>
      <c r="D52" s="33" t="inlineStr">
        <is>
          <t>Aarti Pharmalabs Ltd</t>
        </is>
      </c>
      <c r="E52" s="31" t="inlineStr">
        <is>
          <t>healthcare</t>
        </is>
      </c>
      <c r="F52" s="31" t="inlineStr">
        <is>
          <t>Pharma API</t>
        </is>
      </c>
      <c r="G52" s="31" t="inlineStr">
        <is>
          <t>midcap</t>
        </is>
      </c>
      <c r="H52" s="32" t="n">
        <v>8646.77</v>
      </c>
      <c r="I52" s="32" t="n">
        <v>953.55</v>
      </c>
      <c r="J52" s="32" t="n">
        <v>-2.2</v>
      </c>
      <c r="K52" s="32" t="n">
        <v>0</v>
      </c>
      <c r="L52" s="31" t="n">
        <v>34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68.68000000000001</v>
      </c>
      <c r="P52" s="32" t="n">
        <v>28.39</v>
      </c>
      <c r="Q52" s="32" t="n">
        <v>743.88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18.99</v>
      </c>
      <c r="U52" s="32" t="n">
        <v>15.19</v>
      </c>
      <c r="V52" s="32" t="n">
        <v>-3.19</v>
      </c>
      <c r="W52" s="32" t="n">
        <v>10.93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FERMENTA</t>
        </is>
      </c>
      <c r="D53" s="31" t="inlineStr">
        <is>
          <t>Fermenta Biotech Ltd</t>
        </is>
      </c>
      <c r="E53" s="31" t="inlineStr">
        <is>
          <t>Healthcare</t>
        </is>
      </c>
      <c r="F53" s="31" t="inlineStr">
        <is>
          <t>Pharma API</t>
        </is>
      </c>
      <c r="G53" s="31" t="inlineStr">
        <is>
          <t>smallcap</t>
        </is>
      </c>
      <c r="H53" s="32" t="n">
        <v>1663.73</v>
      </c>
      <c r="I53" s="32" t="n">
        <v>565.3</v>
      </c>
      <c r="J53" s="32" t="n">
        <v>-0.71</v>
      </c>
      <c r="K53" s="32" t="n">
        <v>0</v>
      </c>
      <c r="L53" s="31" t="n">
        <v>63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68.28</v>
      </c>
      <c r="P53" s="32" t="n">
        <v>45.95</v>
      </c>
      <c r="Q53" s="32" t="n">
        <v>402.53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18.99</v>
      </c>
      <c r="U53" s="32" t="n">
        <v>89.88</v>
      </c>
      <c r="V53" s="32" t="n">
        <v>59.58</v>
      </c>
      <c r="W53" s="32" t="n">
        <v>22.25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18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VIKRAMTH</t>
        </is>
      </c>
      <c r="D54" s="31" t="inlineStr">
        <is>
          <t>Vikram Thermo (India) Ltd</t>
        </is>
      </c>
      <c r="E54" s="31" t="inlineStr">
        <is>
          <t>Healthcare</t>
        </is>
      </c>
      <c r="F54" s="31" t="inlineStr">
        <is>
          <t>Specialty Chemicals</t>
        </is>
      </c>
      <c r="G54" s="31" t="inlineStr">
        <is>
          <t>smallcap</t>
        </is>
      </c>
      <c r="H54" s="32" t="n">
        <v>1217</v>
      </c>
      <c r="I54" s="32" t="n">
        <v>388.1</v>
      </c>
      <c r="J54" s="32" t="n">
        <v>-3.14</v>
      </c>
      <c r="K54" s="32" t="n">
        <v>0</v>
      </c>
      <c r="L54" s="31" t="n">
        <v>83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78.08</v>
      </c>
      <c r="P54" s="32" t="n">
        <v>71.89</v>
      </c>
      <c r="Q54" s="32" t="n">
        <v>324.33</v>
      </c>
      <c r="R54" s="31" t="inlineStr">
        <is>
          <t>Earnings / Momentum Support</t>
        </is>
      </c>
      <c r="S54" s="31" t="inlineStr">
        <is>
          <t>Nifty Pharma</t>
        </is>
      </c>
      <c r="T54" s="32" t="n">
        <v>18.99</v>
      </c>
      <c r="U54" s="32" t="n">
        <v>134.85</v>
      </c>
      <c r="V54" s="32" t="n">
        <v>97.38</v>
      </c>
      <c r="W54" s="32" t="n">
        <v>33.74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17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AKUMS</t>
        </is>
      </c>
      <c r="D55" s="31" t="inlineStr">
        <is>
          <t>Akums Drugs &amp; Pharmaceuticals Ltd</t>
        </is>
      </c>
      <c r="E55" s="31" t="inlineStr">
        <is>
          <t>healthcare</t>
        </is>
      </c>
      <c r="F55" s="31" t="inlineStr">
        <is>
          <t>Pharma Formulations</t>
        </is>
      </c>
      <c r="G55" s="31" t="inlineStr">
        <is>
          <t>midcap</t>
        </is>
      </c>
      <c r="H55" s="32" t="n">
        <v>13008.61</v>
      </c>
      <c r="I55" s="32" t="n">
        <v>826.5</v>
      </c>
      <c r="J55" s="32" t="n">
        <v>1.45</v>
      </c>
      <c r="K55" s="32" t="n">
        <v>0</v>
      </c>
      <c r="L55" s="31" t="n">
        <v>50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76.65000000000001</v>
      </c>
      <c r="P55" s="32" t="n">
        <v>66.28</v>
      </c>
      <c r="Q55" s="32" t="n">
        <v>680.48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18.99</v>
      </c>
      <c r="U55" s="32" t="n">
        <v>85.23999999999999</v>
      </c>
      <c r="V55" s="32" t="n">
        <v>55.68</v>
      </c>
      <c r="W55" s="32" t="n">
        <v>17.35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BHEL</t>
        </is>
      </c>
      <c r="D56" s="31" t="inlineStr">
        <is>
          <t>Bharat Heavy Electricals Ltd</t>
        </is>
      </c>
      <c r="E56" s="31" t="inlineStr">
        <is>
          <t>industrials</t>
        </is>
      </c>
      <c r="F56" s="31" t="inlineStr">
        <is>
          <t>Capital Goods Engineering Heavy</t>
        </is>
      </c>
      <c r="G56" s="31" t="inlineStr">
        <is>
          <t>largecap</t>
        </is>
      </c>
      <c r="H56" s="32" t="n">
        <v>156170.54</v>
      </c>
      <c r="I56" s="32" t="n">
        <v>448.5</v>
      </c>
      <c r="J56" s="32" t="n">
        <v>-0.77</v>
      </c>
      <c r="K56" s="32" t="n">
        <v>0</v>
      </c>
      <c r="L56" s="31" t="n">
        <v>49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66.29000000000001</v>
      </c>
      <c r="P56" s="32" t="n">
        <v>35.85</v>
      </c>
      <c r="Q56" s="32" t="n">
        <v>363.88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-10.61</v>
      </c>
      <c r="U56" s="32" t="n">
        <v>87.76000000000001</v>
      </c>
      <c r="V56" s="32" t="n">
        <v>110.04</v>
      </c>
      <c r="W56" s="32" t="n">
        <v>16.95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KMEW</t>
        </is>
      </c>
      <c r="D57" s="31" t="inlineStr">
        <is>
          <t>Knowledge Marine &amp; Engineering Works Ltd</t>
        </is>
      </c>
      <c r="E57" s="31" t="inlineStr">
        <is>
          <t>transportation</t>
        </is>
      </c>
      <c r="F57" s="31" t="inlineStr">
        <is>
          <t>Shipping</t>
        </is>
      </c>
      <c r="G57" s="31" t="inlineStr">
        <is>
          <t>midcap</t>
        </is>
      </c>
      <c r="H57" s="32" t="n">
        <v>8150.06</v>
      </c>
      <c r="I57" s="32" t="n">
        <v>3213.2</v>
      </c>
      <c r="J57" s="32" t="n">
        <v>0.37</v>
      </c>
      <c r="K57" s="32" t="n">
        <v>0</v>
      </c>
      <c r="L57" s="31" t="n">
        <v>77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77.83</v>
      </c>
      <c r="P57" s="32" t="n">
        <v>58.49</v>
      </c>
      <c r="Q57" s="32" t="n">
        <v>2357.33</v>
      </c>
      <c r="R57" s="31" t="inlineStr">
        <is>
          <t>Near 52W High Breakout</t>
        </is>
      </c>
      <c r="S57" s="31" t="inlineStr">
        <is>
          <t>Nifty 50</t>
        </is>
      </c>
      <c r="T57" s="32" t="n">
        <v>-10.61</v>
      </c>
      <c r="U57" s="32" t="n">
        <v>170.72</v>
      </c>
      <c r="V57" s="32" t="n">
        <v>202.85</v>
      </c>
      <c r="W57" s="32" t="n">
        <v>29.88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QPOWER</t>
        </is>
      </c>
      <c r="D58" s="31" t="inlineStr">
        <is>
          <t>Quality Power Electrical Equipments Ltd</t>
        </is>
      </c>
      <c r="E58" s="31" t="inlineStr">
        <is>
          <t>industrials</t>
        </is>
      </c>
      <c r="F58" s="31" t="inlineStr">
        <is>
          <t>Electrical Equipment and HVDC</t>
        </is>
      </c>
      <c r="G58" s="31" t="inlineStr">
        <is>
          <t>midcap</t>
        </is>
      </c>
      <c r="H58" s="32" t="n">
        <v>12507.22</v>
      </c>
      <c r="I58" s="32" t="n">
        <v>1615</v>
      </c>
      <c r="J58" s="32" t="n">
        <v>-2.05</v>
      </c>
      <c r="K58" s="32" t="n">
        <v>0</v>
      </c>
      <c r="L58" s="31" t="n">
        <v>56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69.2</v>
      </c>
      <c r="P58" s="32" t="n">
        <v>21.16</v>
      </c>
      <c r="Q58" s="32" t="n">
        <v>1193.89</v>
      </c>
      <c r="R58" s="31" t="inlineStr">
        <is>
          <t>Near 52W High Breakout</t>
        </is>
      </c>
      <c r="S58" s="31" t="inlineStr">
        <is>
          <t>Nifty 50</t>
        </is>
      </c>
      <c r="T58" s="32" t="n">
        <v>-10.61</v>
      </c>
      <c r="U58" s="32" t="n">
        <v>62.06</v>
      </c>
      <c r="V58" s="32" t="n">
        <v>81.29000000000001</v>
      </c>
      <c r="W58" s="32" t="n">
        <v>19.44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ALICON</t>
        </is>
      </c>
      <c r="D59" s="34" t="inlineStr">
        <is>
          <t>Alicon Castalloy Ltd</t>
        </is>
      </c>
      <c r="E59" s="31" t="inlineStr">
        <is>
          <t>castings, forgings &amp; fasteners</t>
        </is>
      </c>
      <c r="F59" s="31" t="inlineStr">
        <is>
          <t>Castings Forgings and Fasteners</t>
        </is>
      </c>
      <c r="G59" s="31" t="inlineStr">
        <is>
          <t>smallcap</t>
        </is>
      </c>
      <c r="H59" s="32" t="n">
        <v>1486.99</v>
      </c>
      <c r="I59" s="32" t="n">
        <v>906.05</v>
      </c>
      <c r="J59" s="32" t="n">
        <v>4.52</v>
      </c>
      <c r="K59" s="32" t="n">
        <v>0</v>
      </c>
      <c r="L59" s="31" t="n">
        <v>36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71.25</v>
      </c>
      <c r="P59" s="32" t="n">
        <v>22.47</v>
      </c>
      <c r="Q59" s="32" t="n">
        <v>691.38</v>
      </c>
      <c r="R59" s="31" t="inlineStr">
        <is>
          <t>Near 52W High Breakout</t>
        </is>
      </c>
      <c r="S59" s="31" t="inlineStr">
        <is>
          <t>Nifty 50</t>
        </is>
      </c>
      <c r="T59" s="32" t="n">
        <v>-10.61</v>
      </c>
      <c r="U59" s="32" t="n">
        <v>6.42</v>
      </c>
      <c r="V59" s="32" t="n">
        <v>19.04</v>
      </c>
      <c r="W59" s="32" t="n">
        <v>11.75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SANSERA</t>
        </is>
      </c>
      <c r="D60" s="31" t="inlineStr">
        <is>
          <t>Sansera Engineering Ltd</t>
        </is>
      </c>
      <c r="E60" s="31" t="inlineStr">
        <is>
          <t>Consumer Cyclical</t>
        </is>
      </c>
      <c r="F60" s="31" t="inlineStr">
        <is>
          <t>Diversified Auto Components</t>
        </is>
      </c>
      <c r="G60" s="31" t="inlineStr">
        <is>
          <t>largecap</t>
        </is>
      </c>
      <c r="H60" s="32" t="n">
        <v>26696.07</v>
      </c>
      <c r="I60" s="32" t="n">
        <v>4277</v>
      </c>
      <c r="J60" s="32" t="n">
        <v>1.04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70.84</v>
      </c>
      <c r="P60" s="32" t="n">
        <v>70.28</v>
      </c>
      <c r="Q60" s="32" t="n">
        <v>3716.5</v>
      </c>
      <c r="R60" s="31" t="inlineStr">
        <is>
          <t>Earnings / Momentum Support</t>
        </is>
      </c>
      <c r="S60" s="31" t="inlineStr">
        <is>
          <t>Nifty Auto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17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KMCSHIL</t>
        </is>
      </c>
      <c r="D61" s="31" t="inlineStr">
        <is>
          <t>KMC Speciality Hospitals (India) Ltd</t>
        </is>
      </c>
      <c r="E61" s="31" t="inlineStr">
        <is>
          <t>Healthcare</t>
        </is>
      </c>
      <c r="F61" s="31" t="inlineStr">
        <is>
          <t>Hospitals</t>
        </is>
      </c>
      <c r="G61" s="31" t="inlineStr">
        <is>
          <t>smallcap</t>
        </is>
      </c>
      <c r="H61" s="32" t="n">
        <v>2989.35</v>
      </c>
      <c r="I61" s="32" t="n">
        <v>183.3</v>
      </c>
      <c r="J61" s="32" t="n">
        <v>7.79</v>
      </c>
      <c r="K61" s="32" t="n">
        <v>0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84.37</v>
      </c>
      <c r="P61" s="32" t="n">
        <v>51.7</v>
      </c>
      <c r="Q61" s="32" t="n">
        <v>142.25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18.99</v>
      </c>
      <c r="U61" s="32" t="n">
        <v>157.41</v>
      </c>
      <c r="V61" s="32" t="n">
        <v>116.33</v>
      </c>
      <c r="W61" s="32" t="n">
        <v>29.73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20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LAURUSLABS</t>
        </is>
      </c>
      <c r="D62" s="31" t="inlineStr">
        <is>
          <t>Laurus Labs Ltd</t>
        </is>
      </c>
      <c r="E62" s="31" t="inlineStr">
        <is>
          <t>healthcare</t>
        </is>
      </c>
      <c r="F62" s="31" t="inlineStr">
        <is>
          <t>Pharma API</t>
        </is>
      </c>
      <c r="G62" s="31" t="inlineStr">
        <is>
          <t>largecap</t>
        </is>
      </c>
      <c r="H62" s="32" t="n">
        <v>110915.29</v>
      </c>
      <c r="I62" s="32" t="n">
        <v>2052.8</v>
      </c>
      <c r="J62" s="32" t="n">
        <v>0.14</v>
      </c>
      <c r="K62" s="32" t="n">
        <v>0</v>
      </c>
      <c r="L62" s="31" t="n">
        <v>71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77.40000000000001</v>
      </c>
      <c r="P62" s="32" t="n">
        <v>77.5</v>
      </c>
      <c r="Q62" s="32" t="n">
        <v>1756.97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18.99</v>
      </c>
      <c r="U62" s="32" t="n">
        <v>134.56</v>
      </c>
      <c r="V62" s="32" t="n">
        <v>97.14</v>
      </c>
      <c r="W62" s="32" t="n">
        <v>26.43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18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CHENNPETRO</t>
        </is>
      </c>
      <c r="D63" s="34" t="inlineStr">
        <is>
          <t>Chennai Petroleum Corporation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largecap</t>
        </is>
      </c>
      <c r="H63" s="32" t="n">
        <v>23928.57</v>
      </c>
      <c r="I63" s="32" t="n">
        <v>1606.9</v>
      </c>
      <c r="J63" s="32" t="n">
        <v>14.31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69.65000000000001</v>
      </c>
      <c r="P63" s="32" t="n">
        <v>63.76</v>
      </c>
      <c r="Q63" s="32" t="n">
        <v>1168.27</v>
      </c>
      <c r="R63" s="31" t="inlineStr">
        <is>
          <t>Volume Spike &amp; Near 52W High Breakout</t>
        </is>
      </c>
      <c r="S63" s="31" t="inlineStr">
        <is>
          <t>Nifty Energy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26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TDPOWERSYS</t>
        </is>
      </c>
      <c r="D64" s="31" t="inlineStr">
        <is>
          <t>TD Power Systems Ltd</t>
        </is>
      </c>
      <c r="E64" s="31" t="inlineStr">
        <is>
          <t>industrials</t>
        </is>
      </c>
      <c r="F64" s="31" t="inlineStr">
        <is>
          <t>Capital Goods Gensets and Turbines</t>
        </is>
      </c>
      <c r="G64" s="31" t="inlineStr">
        <is>
          <t>largecap</t>
        </is>
      </c>
      <c r="H64" s="32" t="n">
        <v>25723.96</v>
      </c>
      <c r="I64" s="32" t="n">
        <v>820</v>
      </c>
      <c r="J64" s="32" t="n">
        <v>0.49</v>
      </c>
      <c r="K64" s="32" t="n">
        <v>0</v>
      </c>
      <c r="L64" s="31" t="n">
        <v>80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70.2</v>
      </c>
      <c r="P64" s="32" t="n">
        <v>19.23</v>
      </c>
      <c r="Q64" s="32" t="n">
        <v>596.6900000000001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-10.61</v>
      </c>
      <c r="U64" s="32" t="n">
        <v>174.12</v>
      </c>
      <c r="V64" s="32" t="n">
        <v>206.65</v>
      </c>
      <c r="W64" s="32" t="n">
        <v>31.98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BODALCHEM</t>
        </is>
      </c>
      <c r="D65" s="31" t="inlineStr">
        <is>
          <t>Bodal Chemicals Ltd</t>
        </is>
      </c>
      <c r="E65" s="31" t="inlineStr">
        <is>
          <t>chemicals</t>
        </is>
      </c>
      <c r="F65" s="31" t="inlineStr">
        <is>
          <t>Dyes and Pigments</t>
        </is>
      </c>
      <c r="G65" s="31" t="inlineStr">
        <is>
          <t>smallcap</t>
        </is>
      </c>
      <c r="H65" s="32" t="n">
        <v>2317.37</v>
      </c>
      <c r="I65" s="32" t="n">
        <v>184</v>
      </c>
      <c r="J65" s="32" t="n">
        <v>-1.38</v>
      </c>
      <c r="K65" s="32" t="n">
        <v>0</v>
      </c>
      <c r="L65" s="31" t="n">
        <v>99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79.7</v>
      </c>
      <c r="P65" s="32" t="n">
        <v>51.6</v>
      </c>
      <c r="Q65" s="32" t="n">
        <v>155.48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-10.61</v>
      </c>
      <c r="U65" s="32" t="n">
        <v>203.91</v>
      </c>
      <c r="V65" s="32" t="n">
        <v>239.98</v>
      </c>
      <c r="W65" s="32" t="n">
        <v>87.16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JAMNAAUTO</t>
        </is>
      </c>
      <c r="D66" s="34" t="inlineStr">
        <is>
          <t>Jamna Auto Industries Ltd</t>
        </is>
      </c>
      <c r="E66" s="31" t="inlineStr">
        <is>
          <t>auto</t>
        </is>
      </c>
      <c r="F66" s="31" t="inlineStr">
        <is>
          <t>Auto Springs</t>
        </is>
      </c>
      <c r="G66" s="31" t="inlineStr">
        <is>
          <t>midcap</t>
        </is>
      </c>
      <c r="H66" s="32" t="n">
        <v>6071.77</v>
      </c>
      <c r="I66" s="32" t="n">
        <v>151.8</v>
      </c>
      <c r="J66" s="32" t="n">
        <v>5.26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61.44</v>
      </c>
      <c r="P66" s="32" t="n">
        <v>34.31</v>
      </c>
      <c r="Q66" s="32" t="n">
        <v>113.83</v>
      </c>
      <c r="R66" s="31" t="inlineStr">
        <is>
          <t>Near 52W High Breakout</t>
        </is>
      </c>
      <c r="S66" s="31" t="inlineStr">
        <is>
          <t>Nifty Auto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MODISONLTD</t>
        </is>
      </c>
      <c r="D67" s="31" t="inlineStr">
        <is>
          <t>Modison Ltd</t>
        </is>
      </c>
      <c r="E67" s="31" t="inlineStr">
        <is>
          <t>industrials</t>
        </is>
      </c>
      <c r="F67" s="31" t="inlineStr">
        <is>
          <t>Capital Goods Electric General</t>
        </is>
      </c>
      <c r="G67" s="31" t="inlineStr">
        <is>
          <t>smallcap</t>
        </is>
      </c>
      <c r="H67" s="32" t="n">
        <v>1586.81</v>
      </c>
      <c r="I67" s="32" t="n">
        <v>489</v>
      </c>
      <c r="J67" s="32" t="n">
        <v>-0.47</v>
      </c>
      <c r="K67" s="32" t="n">
        <v>0</v>
      </c>
      <c r="L67" s="31" t="n">
        <v>95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73.23999999999999</v>
      </c>
      <c r="P67" s="32" t="n">
        <v>56.72</v>
      </c>
      <c r="Q67" s="32" t="n">
        <v>358.14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-10.61</v>
      </c>
      <c r="U67" s="32" t="n">
        <v>208.49</v>
      </c>
      <c r="V67" s="32" t="n">
        <v>245.09</v>
      </c>
      <c r="W67" s="32" t="n">
        <v>46.3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17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OPTIEMUS</t>
        </is>
      </c>
      <c r="D68" s="34" t="inlineStr">
        <is>
          <t>Optiemus Infracom Ltd</t>
        </is>
      </c>
      <c r="E68" s="31" t="inlineStr">
        <is>
          <t>telecom</t>
        </is>
      </c>
      <c r="F68" s="31" t="inlineStr">
        <is>
          <t>EMS</t>
        </is>
      </c>
      <c r="G68" s="31" t="inlineStr">
        <is>
          <t>midcap</t>
        </is>
      </c>
      <c r="H68" s="32" t="n">
        <v>7763.33</v>
      </c>
      <c r="I68" s="32" t="n">
        <v>861</v>
      </c>
      <c r="J68" s="32" t="n">
        <v>-3.25</v>
      </c>
      <c r="K68" s="32" t="n">
        <v>0</v>
      </c>
      <c r="L68" s="31" t="n">
        <v>63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78.78</v>
      </c>
      <c r="P68" s="32" t="n">
        <v>45.72</v>
      </c>
      <c r="Q68" s="32" t="n">
        <v>643.78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-10.61</v>
      </c>
      <c r="U68" s="32" t="n">
        <v>26.45</v>
      </c>
      <c r="V68" s="32" t="n">
        <v>41.46</v>
      </c>
      <c r="W68" s="32" t="n">
        <v>22.26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17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SUNTV</t>
        </is>
      </c>
      <c r="D69" s="34" t="inlineStr">
        <is>
          <t>Sun TV Network Ltd</t>
        </is>
      </c>
      <c r="E69" s="31" t="inlineStr">
        <is>
          <t>media</t>
        </is>
      </c>
      <c r="F69" s="31" t="inlineStr">
        <is>
          <t>Entertainment and Media</t>
        </is>
      </c>
      <c r="G69" s="31" t="inlineStr">
        <is>
          <t>largecap</t>
        </is>
      </c>
      <c r="H69" s="32" t="n">
        <v>25160.33</v>
      </c>
      <c r="I69" s="32" t="n">
        <v>638.45</v>
      </c>
      <c r="J69" s="32" t="n">
        <v>1</v>
      </c>
      <c r="K69" s="32" t="n">
        <v>0</v>
      </c>
      <c r="L69" s="31" t="n">
        <v>28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68.48</v>
      </c>
      <c r="P69" s="32" t="n">
        <v>20.71</v>
      </c>
      <c r="Q69" s="32" t="n">
        <v>500.41</v>
      </c>
      <c r="R69" s="31" t="inlineStr">
        <is>
          <t>Near 52W High Breakout</t>
        </is>
      </c>
      <c r="S69" s="31" t="inlineStr">
        <is>
          <t>Nifty IT</t>
        </is>
      </c>
      <c r="T69" s="32" t="n">
        <v>-22.05</v>
      </c>
      <c r="U69" s="32" t="n">
        <v>12.79</v>
      </c>
      <c r="V69" s="32" t="n">
        <v>44.69</v>
      </c>
      <c r="W69" s="32" t="n">
        <v>9.210000000000001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Between 12 to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17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PANAMAPET</t>
        </is>
      </c>
      <c r="D70" s="34" t="inlineStr">
        <is>
          <t>Panama Petrochem Ltd</t>
        </is>
      </c>
      <c r="E70" s="31" t="inlineStr">
        <is>
          <t>energy</t>
        </is>
      </c>
      <c r="F70" s="31" t="inlineStr">
        <is>
          <t>Specialty Chemicals</t>
        </is>
      </c>
      <c r="G70" s="31" t="inlineStr">
        <is>
          <t>smallcap</t>
        </is>
      </c>
      <c r="H70" s="32" t="n">
        <v>3237.62</v>
      </c>
      <c r="I70" s="32" t="n">
        <v>535.2</v>
      </c>
      <c r="J70" s="32" t="n">
        <v>6.17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67.34999999999999</v>
      </c>
      <c r="P70" s="32" t="n">
        <v>64.13</v>
      </c>
      <c r="Q70" s="32" t="n">
        <v>390.17</v>
      </c>
      <c r="R70" s="31" t="inlineStr">
        <is>
          <t>Near 52W High Breakout</t>
        </is>
      </c>
      <c r="S70" s="31" t="inlineStr">
        <is>
          <t>Nifty Energy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17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UNIFIED</t>
        </is>
      </c>
      <c r="D71" s="34" t="inlineStr">
        <is>
          <t>Unified Data- Tech Solutions Ltd</t>
        </is>
      </c>
      <c r="E71" s="31" t="inlineStr">
        <is>
          <t>Technology</t>
        </is>
      </c>
      <c r="F71" s="31" t="inlineStr">
        <is>
          <t>IT Services</t>
        </is>
      </c>
      <c r="G71" s="31" t="inlineStr">
        <is>
          <t>smallcap</t>
        </is>
      </c>
      <c r="H71" s="32" t="n">
        <v>1000.39</v>
      </c>
      <c r="I71" s="32" t="n">
        <v>497.95</v>
      </c>
      <c r="J71" s="32" t="n">
        <v>0.39</v>
      </c>
      <c r="K71" s="32" t="n">
        <v>0</v>
      </c>
      <c r="L71" s="31" t="n">
        <v>34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69.38</v>
      </c>
      <c r="P71" s="32" t="n">
        <v>18.83</v>
      </c>
      <c r="Q71" s="32" t="n">
        <v>371.24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-10.61</v>
      </c>
      <c r="U71" s="32" t="n">
        <v>15.68</v>
      </c>
      <c r="V71" s="32" t="n">
        <v>29.4</v>
      </c>
      <c r="W71" s="32" t="n">
        <v>11.33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SKYGOLD</t>
        </is>
      </c>
      <c r="D72" s="31" t="inlineStr">
        <is>
          <t>Sky Gold &amp; Diamonds Ltd</t>
        </is>
      </c>
      <c r="E72" s="31" t="inlineStr">
        <is>
          <t>consumer discretionary</t>
        </is>
      </c>
      <c r="F72" s="31" t="inlineStr">
        <is>
          <t>Diamond Gems and Jewellery</t>
        </is>
      </c>
      <c r="G72" s="31" t="inlineStr">
        <is>
          <t>midcap</t>
        </is>
      </c>
      <c r="H72" s="32" t="n">
        <v>13611.87</v>
      </c>
      <c r="I72" s="32" t="n">
        <v>878.9</v>
      </c>
      <c r="J72" s="32" t="n">
        <v>2.48</v>
      </c>
      <c r="K72" s="32" t="n">
        <v>0</v>
      </c>
      <c r="L72" s="31" t="n">
        <v>79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76.78</v>
      </c>
      <c r="P72" s="32" t="n">
        <v>68.45999999999999</v>
      </c>
      <c r="Q72" s="32" t="n">
        <v>672.01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-10.61</v>
      </c>
      <c r="U72" s="32" t="n">
        <v>155.93</v>
      </c>
      <c r="V72" s="32" t="n">
        <v>186.3</v>
      </c>
      <c r="W72" s="32" t="n">
        <v>31.04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26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GANDHAR</t>
        </is>
      </c>
      <c r="D73" s="31" t="inlineStr">
        <is>
          <t>Gandhar Oil Refinery (India) Ltd</t>
        </is>
      </c>
      <c r="E73" s="31" t="inlineStr">
        <is>
          <t>energy</t>
        </is>
      </c>
      <c r="F73" s="31" t="inlineStr">
        <is>
          <t>Refineries</t>
        </is>
      </c>
      <c r="G73" s="31" t="inlineStr">
        <is>
          <t>smallcap</t>
        </is>
      </c>
      <c r="H73" s="32" t="n">
        <v>2926.6</v>
      </c>
      <c r="I73" s="32" t="n">
        <v>299</v>
      </c>
      <c r="J73" s="32" t="n">
        <v>5.84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72.15000000000001</v>
      </c>
      <c r="P73" s="32" t="n">
        <v>78.22</v>
      </c>
      <c r="Q73" s="32" t="n">
        <v>231.39</v>
      </c>
      <c r="R73" s="31" t="inlineStr">
        <is>
          <t>Near 52W High Breakout</t>
        </is>
      </c>
      <c r="S73" s="31" t="inlineStr">
        <is>
          <t>Nifty Energy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23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SAMBHV</t>
        </is>
      </c>
      <c r="D74" s="31" t="inlineStr">
        <is>
          <t>Sambhv Steel Tubes Ltd</t>
        </is>
      </c>
      <c r="E74" s="31" t="inlineStr">
        <is>
          <t>metals &amp; mining</t>
        </is>
      </c>
      <c r="F74" s="31" t="inlineStr">
        <is>
          <t>Steel Tubes and Pipes</t>
        </is>
      </c>
      <c r="G74" s="31" t="inlineStr">
        <is>
          <t>smallcap</t>
        </is>
      </c>
      <c r="H74" s="32" t="n">
        <v>4652.86</v>
      </c>
      <c r="I74" s="32" t="n">
        <v>157.9</v>
      </c>
      <c r="J74" s="32" t="n">
        <v>-2.65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75.53</v>
      </c>
      <c r="P74" s="32" t="n">
        <v>49.27</v>
      </c>
      <c r="Q74" s="32" t="n">
        <v>125.54</v>
      </c>
      <c r="R74" s="31" t="inlineStr">
        <is>
          <t>Near 52W High Breakout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22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EMIL</t>
        </is>
      </c>
      <c r="D75" s="34" t="inlineStr">
        <is>
          <t>Electronics Mart India Ltd</t>
        </is>
      </c>
      <c r="E75" s="31" t="inlineStr">
        <is>
          <t>consumer discretionary</t>
        </is>
      </c>
      <c r="F75" s="31" t="inlineStr">
        <is>
          <t>Retail Electronics</t>
        </is>
      </c>
      <c r="G75" s="31" t="inlineStr">
        <is>
          <t>midcap</t>
        </is>
      </c>
      <c r="H75" s="32" t="n">
        <v>8118.2</v>
      </c>
      <c r="I75" s="32" t="n">
        <v>211</v>
      </c>
      <c r="J75" s="32" t="n">
        <v>4.76</v>
      </c>
      <c r="K75" s="32" t="n">
        <v>0</v>
      </c>
      <c r="L75" s="31" t="n">
        <v>68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76.81</v>
      </c>
      <c r="P75" s="32" t="n">
        <v>45.86</v>
      </c>
      <c r="Q75" s="32" t="n">
        <v>162.39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-10.61</v>
      </c>
      <c r="U75" s="32" t="n">
        <v>46.83</v>
      </c>
      <c r="V75" s="32" t="n">
        <v>64.26000000000001</v>
      </c>
      <c r="W75" s="32" t="n">
        <v>23.96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MMP</t>
        </is>
      </c>
      <c r="D76" s="34" t="inlineStr">
        <is>
          <t>MMP Industries Ltd</t>
        </is>
      </c>
      <c r="E76" s="31" t="inlineStr">
        <is>
          <t>metals &amp; mining</t>
        </is>
      </c>
      <c r="F76" s="31" t="inlineStr">
        <is>
          <t>Aluminium Products</t>
        </is>
      </c>
      <c r="G76" s="31" t="inlineStr">
        <is>
          <t>smallcap</t>
        </is>
      </c>
      <c r="H76" s="32" t="n">
        <v>1270.13</v>
      </c>
      <c r="I76" s="32" t="n">
        <v>500</v>
      </c>
      <c r="J76" s="32" t="n">
        <v>4.05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81.81999999999999</v>
      </c>
      <c r="P76" s="32" t="n">
        <v>61.95</v>
      </c>
      <c r="Q76" s="32" t="n">
        <v>374.06</v>
      </c>
      <c r="R76" s="31" t="inlineStr">
        <is>
          <t>Near 52W High Breakout</t>
        </is>
      </c>
      <c r="S76" s="31" t="inlineStr">
        <is>
          <t>Nifty Metal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MMWL</t>
        </is>
      </c>
      <c r="D77" s="34" t="inlineStr">
        <is>
          <t>Media Matrix Worldwide Ltd</t>
        </is>
      </c>
      <c r="E77" s="31" t="inlineStr">
        <is>
          <t>Communication Services</t>
        </is>
      </c>
      <c r="F77" s="31" t="inlineStr">
        <is>
          <t>Technology Distribution</t>
        </is>
      </c>
      <c r="G77" s="31" t="inlineStr">
        <is>
          <t>smallcap</t>
        </is>
      </c>
      <c r="H77" s="32" t="n">
        <v>2054.79</v>
      </c>
      <c r="I77" s="32" t="n">
        <v>18.14</v>
      </c>
      <c r="J77" s="32" t="n">
        <v>4.98</v>
      </c>
      <c r="K77" s="32" t="n">
        <v>0</v>
      </c>
      <c r="L77" s="31" t="n">
        <v>58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69.15000000000001</v>
      </c>
      <c r="P77" s="32" t="n">
        <v>35.3</v>
      </c>
      <c r="Q77" s="32" t="n">
        <v>12.78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-10.61</v>
      </c>
      <c r="U77" s="32" t="n">
        <v>68.27</v>
      </c>
      <c r="V77" s="32" t="n">
        <v>88.23999999999999</v>
      </c>
      <c r="W77" s="32" t="n">
        <v>20.17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17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ONEPOINT</t>
        </is>
      </c>
      <c r="D78" s="31" t="inlineStr">
        <is>
          <t>One Point One Solutions Ltd</t>
        </is>
      </c>
      <c r="E78" s="31" t="inlineStr">
        <is>
          <t>i.t</t>
        </is>
      </c>
      <c r="F78" s="31" t="inlineStr">
        <is>
          <t>IT Enabled Services</t>
        </is>
      </c>
      <c r="G78" s="31" t="inlineStr">
        <is>
          <t>smallcap</t>
        </is>
      </c>
      <c r="H78" s="32" t="n">
        <v>2072.47</v>
      </c>
      <c r="I78" s="32" t="n">
        <v>78.81999999999999</v>
      </c>
      <c r="J78" s="32" t="n">
        <v>0.22</v>
      </c>
      <c r="K78" s="32" t="n">
        <v>0</v>
      </c>
      <c r="L78" s="31" t="n">
        <v>58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75.58</v>
      </c>
      <c r="P78" s="32" t="n">
        <v>19.2</v>
      </c>
      <c r="Q78" s="32" t="n">
        <v>62.16</v>
      </c>
      <c r="R78" s="31" t="inlineStr">
        <is>
          <t>Near 52W High Breakout</t>
        </is>
      </c>
      <c r="S78" s="31" t="inlineStr">
        <is>
          <t>Nifty IT</t>
        </is>
      </c>
      <c r="T78" s="32" t="n">
        <v>-22.05</v>
      </c>
      <c r="U78" s="32" t="n">
        <v>58.46</v>
      </c>
      <c r="V78" s="32" t="n">
        <v>103.28</v>
      </c>
      <c r="W78" s="32" t="n">
        <v>20.24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24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SOTL</t>
        </is>
      </c>
      <c r="D79" s="34" t="inlineStr">
        <is>
          <t>Savita Oil Technologies Ltd</t>
        </is>
      </c>
      <c r="E79" s="31" t="inlineStr">
        <is>
          <t>energy</t>
        </is>
      </c>
      <c r="F79" s="31" t="inlineStr">
        <is>
          <t>Petrochemicals Others</t>
        </is>
      </c>
      <c r="G79" s="31" t="inlineStr">
        <is>
          <t>midcap</t>
        </is>
      </c>
      <c r="H79" s="32" t="n">
        <v>5503.69</v>
      </c>
      <c r="I79" s="32" t="n">
        <v>802.75</v>
      </c>
      <c r="J79" s="32" t="n">
        <v>3.51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70.87</v>
      </c>
      <c r="P79" s="32" t="n">
        <v>65.31999999999999</v>
      </c>
      <c r="Q79" s="32" t="n">
        <v>559.47</v>
      </c>
      <c r="R79" s="31" t="inlineStr">
        <is>
          <t>Near 52W High Breakout</t>
        </is>
      </c>
      <c r="S79" s="31" t="inlineStr">
        <is>
          <t>Nifty Energy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21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DEEPINDS</t>
        </is>
      </c>
      <c r="D80" s="34" t="inlineStr">
        <is>
          <t>Deep Industries Ltd</t>
        </is>
      </c>
      <c r="E80" s="31" t="inlineStr">
        <is>
          <t>energy</t>
        </is>
      </c>
      <c r="F80" s="31" t="inlineStr">
        <is>
          <t>Oil Drilling and Exploration</t>
        </is>
      </c>
      <c r="G80" s="31" t="inlineStr">
        <is>
          <t>midcap</t>
        </is>
      </c>
      <c r="H80" s="32" t="n">
        <v>5087.36</v>
      </c>
      <c r="I80" s="32" t="n">
        <v>794.9</v>
      </c>
      <c r="J80" s="32" t="n">
        <v>6.14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72.45999999999999</v>
      </c>
      <c r="P80" s="32" t="n">
        <v>39.83</v>
      </c>
      <c r="Q80" s="32" t="n">
        <v>602.98</v>
      </c>
      <c r="R80" s="31" t="inlineStr">
        <is>
          <t>Near 52W High Breakout</t>
        </is>
      </c>
      <c r="S80" s="31" t="inlineStr">
        <is>
          <t>Nifty Energy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PRECWIRE</t>
        </is>
      </c>
      <c r="D81" s="31" t="inlineStr">
        <is>
          <t>Precision Wires India Ltd</t>
        </is>
      </c>
      <c r="E81" s="31" t="inlineStr">
        <is>
          <t>metals &amp; mining</t>
        </is>
      </c>
      <c r="F81" s="31" t="inlineStr">
        <is>
          <t>Copper Wires</t>
        </is>
      </c>
      <c r="G81" s="31" t="inlineStr">
        <is>
          <t>midcap</t>
        </is>
      </c>
      <c r="H81" s="32" t="n">
        <v>9432.889999999999</v>
      </c>
      <c r="I81" s="32" t="n">
        <v>516</v>
      </c>
      <c r="J81" s="32" t="n">
        <v>0.17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67.78</v>
      </c>
      <c r="P81" s="32" t="n">
        <v>37.33</v>
      </c>
      <c r="Q81" s="32" t="n">
        <v>383.05</v>
      </c>
      <c r="R81" s="31" t="inlineStr">
        <is>
          <t>Near 52W High Breakout</t>
        </is>
      </c>
      <c r="S81" s="31" t="inlineStr">
        <is>
          <t>Nifty Metal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18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MANINDS</t>
        </is>
      </c>
      <c r="D82" s="31" t="inlineStr">
        <is>
          <t>Man Industries (India) Ltd</t>
        </is>
      </c>
      <c r="E82" s="31" t="inlineStr">
        <is>
          <t>metals &amp; mining</t>
        </is>
      </c>
      <c r="F82" s="31" t="inlineStr">
        <is>
          <t>Steel Tubes and Pipes</t>
        </is>
      </c>
      <c r="G82" s="31" t="inlineStr">
        <is>
          <t>midcap</t>
        </is>
      </c>
      <c r="H82" s="32" t="n">
        <v>6780.49</v>
      </c>
      <c r="I82" s="32" t="n">
        <v>903.95</v>
      </c>
      <c r="J82" s="32" t="n">
        <v>-1.96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69.62</v>
      </c>
      <c r="P82" s="32" t="n">
        <v>45.59</v>
      </c>
      <c r="Q82" s="32" t="n">
        <v>760.7</v>
      </c>
      <c r="R82" s="31" t="inlineStr">
        <is>
          <t>Earnings / Momentum Support</t>
        </is>
      </c>
      <c r="S82" s="31" t="inlineStr">
        <is>
          <t>Nifty Metal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RPEL</t>
        </is>
      </c>
      <c r="D83" s="31" t="inlineStr">
        <is>
          <t>Raghav Productivity Enhancers Ltd</t>
        </is>
      </c>
      <c r="E83" s="31" t="inlineStr">
        <is>
          <t>building materials</t>
        </is>
      </c>
      <c r="F83" s="31" t="inlineStr">
        <is>
          <t>Refractories</t>
        </is>
      </c>
      <c r="G83" s="31" t="inlineStr">
        <is>
          <t>midcap</t>
        </is>
      </c>
      <c r="H83" s="32" t="n">
        <v>8402.799999999999</v>
      </c>
      <c r="I83" s="32" t="n">
        <v>1829.8</v>
      </c>
      <c r="J83" s="32" t="n">
        <v>-0.32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74.40000000000001</v>
      </c>
      <c r="P83" s="32" t="n">
        <v>62.12</v>
      </c>
      <c r="Q83" s="32" t="n">
        <v>1353.59</v>
      </c>
      <c r="R83" s="31" t="inlineStr">
        <is>
          <t>Near 52W High Breakout</t>
        </is>
      </c>
      <c r="S83" s="31" t="inlineStr">
        <is>
          <t>Nifty Infra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Between 1.5 to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16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MARKSANS</t>
        </is>
      </c>
      <c r="D84" s="31" t="inlineStr">
        <is>
          <t>Marksans Pharma Ltd</t>
        </is>
      </c>
      <c r="E84" s="31" t="inlineStr">
        <is>
          <t>Healthcare</t>
        </is>
      </c>
      <c r="F84" s="31" t="inlineStr">
        <is>
          <t>Pharma Formulations</t>
        </is>
      </c>
      <c r="G84" s="31" t="inlineStr">
        <is>
          <t>midcap</t>
        </is>
      </c>
      <c r="H84" s="32" t="n">
        <v>14775.4</v>
      </c>
      <c r="I84" s="32" t="n">
        <v>326.05</v>
      </c>
      <c r="J84" s="32" t="n">
        <v>0.51</v>
      </c>
      <c r="K84" s="32" t="n">
        <v>0</v>
      </c>
      <c r="L84" s="31" t="n">
        <v>53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67.54000000000001</v>
      </c>
      <c r="P84" s="32" t="n">
        <v>54.06</v>
      </c>
      <c r="Q84" s="32" t="n">
        <v>260.24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18.99</v>
      </c>
      <c r="U84" s="32" t="n">
        <v>79.73</v>
      </c>
      <c r="V84" s="32" t="n">
        <v>51.05</v>
      </c>
      <c r="W84" s="32" t="n">
        <v>18.13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16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MUKANDLTD</t>
        </is>
      </c>
      <c r="D85" s="31" t="inlineStr">
        <is>
          <t>Mukand Ltd</t>
        </is>
      </c>
      <c r="E85" s="31" t="inlineStr">
        <is>
          <t>metals &amp; mining</t>
        </is>
      </c>
      <c r="F85" s="31" t="inlineStr">
        <is>
          <t>Steel</t>
        </is>
      </c>
      <c r="G85" s="31" t="inlineStr">
        <is>
          <t>smallcap</t>
        </is>
      </c>
      <c r="H85" s="32" t="n">
        <v>2673.17</v>
      </c>
      <c r="I85" s="32" t="n">
        <v>185</v>
      </c>
      <c r="J85" s="32" t="n">
        <v>1.9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75.63</v>
      </c>
      <c r="P85" s="32" t="n">
        <v>42.96</v>
      </c>
      <c r="Q85" s="32" t="n">
        <v>148.33</v>
      </c>
      <c r="R85" s="31" t="inlineStr">
        <is>
          <t>Volume Spike &amp; Near 52W High Breakout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INOVSYNTH</t>
        </is>
      </c>
      <c r="D86" s="31" t="inlineStr">
        <is>
          <t>Innovassynth Technologies (India) Ltd</t>
        </is>
      </c>
      <c r="E86" s="31" t="inlineStr">
        <is>
          <t>Basic Materials</t>
        </is>
      </c>
      <c r="F86" s="31" t="inlineStr">
        <is>
          <t>Specialty Chemicals</t>
        </is>
      </c>
      <c r="G86" s="31" t="inlineStr">
        <is>
          <t>smallcap</t>
        </is>
      </c>
      <c r="H86" s="32" t="n">
        <v>1511.31</v>
      </c>
      <c r="I86" s="32" t="n">
        <v>162.75</v>
      </c>
      <c r="J86" s="32" t="n">
        <v>1.4</v>
      </c>
      <c r="K86" s="32" t="n">
        <v>0</v>
      </c>
      <c r="L86" s="31" t="n">
        <v>62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86.18000000000001</v>
      </c>
      <c r="P86" s="32" t="n">
        <v>58.56</v>
      </c>
      <c r="Q86" s="32" t="n">
        <v>144.33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-10.61</v>
      </c>
      <c r="U86" s="32" t="n">
        <v>81.81</v>
      </c>
      <c r="V86" s="32" t="n">
        <v>103.39</v>
      </c>
      <c r="W86" s="32" t="n">
        <v>21.86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STLTECH</t>
        </is>
      </c>
      <c r="D87" s="31" t="inlineStr">
        <is>
          <t>Sterlite Technologies Ltd</t>
        </is>
      </c>
      <c r="E87" s="31" t="inlineStr">
        <is>
          <t>industrials</t>
        </is>
      </c>
      <c r="F87" s="31" t="inlineStr">
        <is>
          <t>Cables Telecom</t>
        </is>
      </c>
      <c r="G87" s="31" t="inlineStr">
        <is>
          <t>largecap</t>
        </is>
      </c>
      <c r="H87" s="32" t="n">
        <v>52433.86</v>
      </c>
      <c r="I87" s="32" t="n">
        <v>1020</v>
      </c>
      <c r="J87" s="32" t="n">
        <v>0.32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80.06</v>
      </c>
      <c r="P87" s="32" t="n">
        <v>71.38</v>
      </c>
      <c r="Q87" s="32" t="n">
        <v>750.51</v>
      </c>
      <c r="R87" s="31" t="inlineStr">
        <is>
          <t>Near 52W High Breakout</t>
        </is>
      </c>
      <c r="S87" s="31" t="inlineStr">
        <is>
          <t>Nifty Infra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SBC</t>
        </is>
      </c>
      <c r="D88" s="31" t="inlineStr">
        <is>
          <t>SBC Exports Ltd</t>
        </is>
      </c>
      <c r="E88" s="31" t="inlineStr">
        <is>
          <t>textiles</t>
        </is>
      </c>
      <c r="F88" s="31" t="inlineStr">
        <is>
          <t>Textiles Readymade Apparel</t>
        </is>
      </c>
      <c r="G88" s="31" t="inlineStr">
        <is>
          <t>smallcap</t>
        </is>
      </c>
      <c r="H88" s="32" t="n">
        <v>2956.19</v>
      </c>
      <c r="I88" s="32" t="n">
        <v>62.08</v>
      </c>
      <c r="J88" s="32" t="n">
        <v>0.62</v>
      </c>
      <c r="K88" s="32" t="n">
        <v>0</v>
      </c>
      <c r="L88" s="31" t="n">
        <v>81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86.31999999999999</v>
      </c>
      <c r="P88" s="32" t="n">
        <v>32.35</v>
      </c>
      <c r="Q88" s="32" t="n">
        <v>50.64</v>
      </c>
      <c r="R88" s="31" t="inlineStr">
        <is>
          <t>Near 52W High Breakout</t>
        </is>
      </c>
      <c r="S88" s="31" t="inlineStr">
        <is>
          <t>Nifty 50</t>
        </is>
      </c>
      <c r="T88" s="32" t="n">
        <v>-10.61</v>
      </c>
      <c r="U88" s="32" t="n">
        <v>171.52</v>
      </c>
      <c r="V88" s="32" t="n">
        <v>203.74</v>
      </c>
      <c r="W88" s="32" t="n">
        <v>32.19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ACCENTMIC</t>
        </is>
      </c>
      <c r="D89" s="31" t="inlineStr">
        <is>
          <t>Accent Microcell Ltd</t>
        </is>
      </c>
      <c r="E89" s="31" t="inlineStr">
        <is>
          <t>unknown</t>
        </is>
      </c>
      <c r="F89" s="31" t="inlineStr">
        <is>
          <t>Pharma Formulations</t>
        </is>
      </c>
      <c r="G89" s="31" t="inlineStr">
        <is>
          <t>smallcap</t>
        </is>
      </c>
      <c r="H89" s="32" t="n">
        <v>1596.47</v>
      </c>
      <c r="I89" s="32" t="n">
        <v>665.5</v>
      </c>
      <c r="J89" s="32" t="n">
        <v>0.41</v>
      </c>
      <c r="K89" s="32" t="n">
        <v>0</v>
      </c>
      <c r="L89" s="31" t="n">
        <v>74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71.68000000000001</v>
      </c>
      <c r="P89" s="32" t="n">
        <v>68.20999999999999</v>
      </c>
      <c r="Q89" s="32" t="n">
        <v>592.61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-10.61</v>
      </c>
      <c r="U89" s="32" t="n">
        <v>161.46</v>
      </c>
      <c r="V89" s="32" t="n">
        <v>192.48</v>
      </c>
      <c r="W89" s="32" t="n">
        <v>27.78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BIRLACABLE</t>
        </is>
      </c>
      <c r="D90" s="31" t="inlineStr">
        <is>
          <t>Birla Cable Ltd</t>
        </is>
      </c>
      <c r="E90" s="31" t="inlineStr">
        <is>
          <t>industrials</t>
        </is>
      </c>
      <c r="F90" s="31" t="inlineStr">
        <is>
          <t>Cables Telecom</t>
        </is>
      </c>
      <c r="G90" s="31" t="inlineStr">
        <is>
          <t>smallcap</t>
        </is>
      </c>
      <c r="H90" s="32" t="n">
        <v>1163.4</v>
      </c>
      <c r="I90" s="32" t="n">
        <v>387.8</v>
      </c>
      <c r="J90" s="32" t="n">
        <v>-1.93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71.77</v>
      </c>
      <c r="P90" s="32" t="n">
        <v>54.8</v>
      </c>
      <c r="Q90" s="32" t="n">
        <v>291.51</v>
      </c>
      <c r="R90" s="31" t="inlineStr">
        <is>
          <t>Earnings / Momentum Support</t>
        </is>
      </c>
      <c r="S90" s="31" t="inlineStr">
        <is>
          <t>Nifty Infra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JAYKAY</t>
        </is>
      </c>
      <c r="D91" s="31" t="inlineStr">
        <is>
          <t>Jaykay Enterprises Ltd</t>
        </is>
      </c>
      <c r="E91" s="31" t="inlineStr">
        <is>
          <t>Industrials</t>
        </is>
      </c>
      <c r="F91" s="31" t="inlineStr">
        <is>
          <t>Aerospace and Defence Equipment</t>
        </is>
      </c>
      <c r="G91" s="31" t="inlineStr">
        <is>
          <t>smallcap</t>
        </is>
      </c>
      <c r="H91" s="32" t="n">
        <v>3997.76</v>
      </c>
      <c r="I91" s="32" t="n">
        <v>265</v>
      </c>
      <c r="J91" s="32" t="n">
        <v>10.51</v>
      </c>
      <c r="K91" s="32" t="n">
        <v>0</v>
      </c>
      <c r="L91" s="31" t="n">
        <v>60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75.31999999999999</v>
      </c>
      <c r="P91" s="32" t="n">
        <v>19.53</v>
      </c>
      <c r="Q91" s="32" t="n">
        <v>187.24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-13.68</v>
      </c>
      <c r="U91" s="32" t="n">
        <v>29.87</v>
      </c>
      <c r="V91" s="32" t="n">
        <v>50.46</v>
      </c>
      <c r="W91" s="32" t="n">
        <v>20.4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24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RAMRAT</t>
        </is>
      </c>
      <c r="D92" s="31" t="inlineStr">
        <is>
          <t>Ram Ratna Wires Ltd</t>
        </is>
      </c>
      <c r="E92" s="31" t="inlineStr">
        <is>
          <t>metals &amp; mining</t>
        </is>
      </c>
      <c r="F92" s="31" t="inlineStr">
        <is>
          <t>Copper Wires</t>
        </is>
      </c>
      <c r="G92" s="31" t="inlineStr">
        <is>
          <t>midcap</t>
        </is>
      </c>
      <c r="H92" s="32" t="n">
        <v>5972.47</v>
      </c>
      <c r="I92" s="32" t="n">
        <v>639.8</v>
      </c>
      <c r="J92" s="32" t="n">
        <v>-0.22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76.09999999999999</v>
      </c>
      <c r="P92" s="32" t="n">
        <v>51.26</v>
      </c>
      <c r="Q92" s="32" t="n">
        <v>489.29</v>
      </c>
      <c r="R92" s="31" t="inlineStr">
        <is>
          <t>Near 52W High Breakout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18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SUNFLAG</t>
        </is>
      </c>
      <c r="D93" s="31" t="inlineStr">
        <is>
          <t>Sunflag Iron &amp; Steel Company Ltd</t>
        </is>
      </c>
      <c r="E93" s="31" t="inlineStr">
        <is>
          <t>metals &amp; mining</t>
        </is>
      </c>
      <c r="F93" s="31" t="inlineStr">
        <is>
          <t>Steel Products</t>
        </is>
      </c>
      <c r="G93" s="31" t="inlineStr">
        <is>
          <t>midcap</t>
        </is>
      </c>
      <c r="H93" s="32" t="n">
        <v>8614.49</v>
      </c>
      <c r="I93" s="32" t="n">
        <v>478</v>
      </c>
      <c r="J93" s="32" t="n">
        <v>4.13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75.06</v>
      </c>
      <c r="P93" s="32" t="n">
        <v>35.1</v>
      </c>
      <c r="Q93" s="32" t="n">
        <v>364.51</v>
      </c>
      <c r="R93" s="31" t="inlineStr">
        <is>
          <t>Near 52W High Breakout</t>
        </is>
      </c>
      <c r="S93" s="31" t="inlineStr">
        <is>
          <t>Nifty Metal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21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AEROFLEX</t>
        </is>
      </c>
      <c r="D94" s="31" t="inlineStr">
        <is>
          <t>Aeroflex Industries Ltd</t>
        </is>
      </c>
      <c r="E94" s="31" t="inlineStr">
        <is>
          <t>metals &amp; mining</t>
        </is>
      </c>
      <c r="F94" s="31" t="inlineStr">
        <is>
          <t>Stainless Steel</t>
        </is>
      </c>
      <c r="G94" s="31" t="inlineStr">
        <is>
          <t>midcap</t>
        </is>
      </c>
      <c r="H94" s="32" t="n">
        <v>7466.1</v>
      </c>
      <c r="I94" s="32" t="n">
        <v>564.2</v>
      </c>
      <c r="J94" s="32" t="n">
        <v>0.62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68.16</v>
      </c>
      <c r="P94" s="32" t="n">
        <v>46.34</v>
      </c>
      <c r="Q94" s="32" t="n">
        <v>404.86</v>
      </c>
      <c r="R94" s="31" t="inlineStr">
        <is>
          <t>Near 52W High Breakout</t>
        </is>
      </c>
      <c r="S94" s="31" t="inlineStr">
        <is>
          <t>Nifty Metal</t>
        </is>
      </c>
      <c r="T94" s="32" t="inlineStr"/>
      <c r="U94" s="32" t="inlineStr"/>
      <c r="V94" s="32" t="inlineStr"/>
      <c r="W94" s="32" t="inlineStr"/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17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ANTELOPUS</t>
        </is>
      </c>
      <c r="D95" s="31" t="inlineStr">
        <is>
          <t>Antelopus Selan Energy Ltd</t>
        </is>
      </c>
      <c r="E95" s="31" t="inlineStr">
        <is>
          <t>energy</t>
        </is>
      </c>
      <c r="F95" s="31" t="inlineStr">
        <is>
          <t>Oil Drilling and Exploration</t>
        </is>
      </c>
      <c r="G95" s="31" t="inlineStr">
        <is>
          <t>smallcap</t>
        </is>
      </c>
      <c r="H95" s="32" t="n">
        <v>3996.35</v>
      </c>
      <c r="I95" s="32" t="n">
        <v>1132.5</v>
      </c>
      <c r="J95" s="32" t="n">
        <v>2.9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64.95999999999999</v>
      </c>
      <c r="P95" s="32" t="n">
        <v>51.28</v>
      </c>
      <c r="Q95" s="32" t="n">
        <v>877.34</v>
      </c>
      <c r="R95" s="31" t="inlineStr">
        <is>
          <t>Earnings / Momentum Support</t>
        </is>
      </c>
      <c r="S95" s="31" t="inlineStr">
        <is>
          <t>Nifty Energy</t>
        </is>
      </c>
      <c r="T95" s="32" t="inlineStr"/>
      <c r="U95" s="32" t="inlineStr"/>
      <c r="V95" s="32" t="inlineStr"/>
      <c r="W95" s="32" t="inlineStr"/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21</t>
        </is>
      </c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4" t="inlineStr">
        <is>
          <t>GNFC</t>
        </is>
      </c>
      <c r="D96" s="34" t="inlineStr">
        <is>
          <t>Gujarat Narmada Valley Fertilizers &amp; Chemicals Ltd</t>
        </is>
      </c>
      <c r="E96" s="31" t="inlineStr">
        <is>
          <t>chemicals</t>
        </is>
      </c>
      <c r="F96" s="31" t="inlineStr">
        <is>
          <t>Fertilisers</t>
        </is>
      </c>
      <c r="G96" s="31" t="inlineStr">
        <is>
          <t>midcap</t>
        </is>
      </c>
      <c r="H96" s="32" t="n">
        <v>9056.690000000001</v>
      </c>
      <c r="I96" s="32" t="n">
        <v>616.35</v>
      </c>
      <c r="J96" s="32" t="n">
        <v>-2.09</v>
      </c>
      <c r="K96" s="32" t="n">
        <v>0</v>
      </c>
      <c r="L96" s="31" t="n">
        <v>35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66.73</v>
      </c>
      <c r="P96" s="32" t="n">
        <v>39.85</v>
      </c>
      <c r="Q96" s="32" t="n">
        <v>505.76</v>
      </c>
      <c r="R96" s="31" t="inlineStr">
        <is>
          <t>Near 52W High Breakout</t>
        </is>
      </c>
      <c r="S96" s="31" t="inlineStr">
        <is>
          <t>Nifty 50</t>
        </is>
      </c>
      <c r="T96" s="32" t="n">
        <v>-10.61</v>
      </c>
      <c r="U96" s="32" t="n">
        <v>28.73</v>
      </c>
      <c r="V96" s="32" t="n">
        <v>44</v>
      </c>
      <c r="W96" s="32" t="n">
        <v>11.56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Shallow Cyclical (2 to 3 Years Growth)</t>
        </is>
      </c>
      <c r="AG96" s="31">
        <f>IF(AF96="Structural (10 Years Consistency)",10,IF(AF96="Shallow Cyclical (2 to 3 years growth)",5,0))</f>
        <v/>
      </c>
      <c r="AH96" s="31" t="inlineStr">
        <is>
          <t>Yes due to Product Mix change or Operating Leverage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Allocated capital in Non-core Areas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Sideways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Overhead supply in last 2 years in last 2 years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More than 15%</t>
        </is>
      </c>
      <c r="CC96" s="31">
        <f>IF(CB96="More than 15%",-10,IF(CB96="Less than 15%",10,0))</f>
        <v/>
      </c>
      <c r="CD96" s="31" t="inlineStr">
        <is>
          <t>Yes Upto 10%</t>
        </is>
      </c>
      <c r="CE96" s="31">
        <f>IF(CD96="Yes, more than 10%",-10,IF(CD96="No",10,0))</f>
        <v/>
      </c>
      <c r="CF96" s="31" t="inlineStr">
        <is>
          <t>18</t>
        </is>
      </c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UTSSAV</t>
        </is>
      </c>
      <c r="D97" s="31" t="inlineStr">
        <is>
          <t>Utssav CZ Gold Jewels Ltd</t>
        </is>
      </c>
      <c r="E97" s="31" t="inlineStr">
        <is>
          <t>unknown</t>
        </is>
      </c>
      <c r="F97" s="31" t="inlineStr">
        <is>
          <t>Diamond Gems and Jewellery</t>
        </is>
      </c>
      <c r="G97" s="31" t="inlineStr">
        <is>
          <t>smallcap</t>
        </is>
      </c>
      <c r="H97" s="32" t="n">
        <v>2071.9</v>
      </c>
      <c r="I97" s="32" t="n">
        <v>858</v>
      </c>
      <c r="J97" s="32" t="n">
        <v>-0.32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ACMESOLAR</t>
        </is>
      </c>
      <c r="B103" s="37" t="inlineStr">
        <is>
          <t>ACME Solar Holdings Limited</t>
        </is>
      </c>
      <c r="C103" s="37" t="inlineStr">
        <is>
          <t>Utilities</t>
        </is>
      </c>
      <c r="D103" s="38" t="inlineStr">
        <is>
          <t>2026-10-07</t>
        </is>
      </c>
    </row>
    <row r="104">
      <c r="A104" s="36" t="inlineStr">
        <is>
          <t>AVTNPL</t>
        </is>
      </c>
      <c r="B104" s="37" t="inlineStr">
        <is>
          <t>AVTNPL</t>
        </is>
      </c>
      <c r="C104" s="37" t="inlineStr">
        <is>
          <t>unknown</t>
        </is>
      </c>
      <c r="D104" s="38" t="inlineStr">
        <is>
          <t>2026-10-07</t>
        </is>
      </c>
    </row>
    <row r="105">
      <c r="A105" s="36" t="inlineStr">
        <is>
          <t>AXISCADES</t>
        </is>
      </c>
      <c r="B105" s="37" t="inlineStr">
        <is>
          <t>AXISCADES Technologies Limited</t>
        </is>
      </c>
      <c r="C105" s="37" t="inlineStr">
        <is>
          <t>Industrials</t>
        </is>
      </c>
      <c r="D105" s="38" t="inlineStr">
        <is>
          <t>2026-10-07</t>
        </is>
      </c>
    </row>
    <row r="106">
      <c r="A106" s="36" t="inlineStr">
        <is>
          <t>CFF</t>
        </is>
      </c>
      <c r="B106" s="37" t="inlineStr">
        <is>
          <t>CFF</t>
        </is>
      </c>
      <c r="C106" s="37" t="inlineStr">
        <is>
          <t>unknown</t>
        </is>
      </c>
      <c r="D106" s="38" t="inlineStr">
        <is>
          <t>2026-10-06</t>
        </is>
      </c>
    </row>
    <row r="107">
      <c r="A107" s="36" t="inlineStr">
        <is>
          <t>DELTACORP</t>
        </is>
      </c>
      <c r="B107" s="37" t="inlineStr">
        <is>
          <t>Delta Corp Limited</t>
        </is>
      </c>
      <c r="C107" s="37" t="inlineStr">
        <is>
          <t>Consumer Cyclical</t>
        </is>
      </c>
      <c r="D107" s="38" t="inlineStr">
        <is>
          <t>2026-10-07</t>
        </is>
      </c>
    </row>
    <row r="108">
      <c r="A108" s="36" t="inlineStr">
        <is>
          <t>DYNAMATECH</t>
        </is>
      </c>
      <c r="B108" s="37" t="inlineStr">
        <is>
          <t>Dynamatic Technologies Limited</t>
        </is>
      </c>
      <c r="C108" s="37" t="inlineStr">
        <is>
          <t>Consumer Cyclical</t>
        </is>
      </c>
      <c r="D108" s="38" t="inlineStr">
        <is>
          <t>2026-10-07</t>
        </is>
      </c>
    </row>
    <row r="109">
      <c r="A109" s="36" t="inlineStr">
        <is>
          <t>FILATEX</t>
        </is>
      </c>
      <c r="B109" s="37" t="inlineStr">
        <is>
          <t>Filatex India Limited</t>
        </is>
      </c>
      <c r="C109" s="37" t="inlineStr">
        <is>
          <t>Consumer Cyclical</t>
        </is>
      </c>
      <c r="D109" s="38" t="inlineStr">
        <is>
          <t>2026-10-07</t>
        </is>
      </c>
    </row>
    <row r="110">
      <c r="A110" s="36" t="inlineStr">
        <is>
          <t>IOLCP</t>
        </is>
      </c>
      <c r="B110" s="37" t="inlineStr">
        <is>
          <t>IOL Chemicals and Pharmaceuticals Limited</t>
        </is>
      </c>
      <c r="C110" s="37" t="inlineStr">
        <is>
          <t>Healthcare</t>
        </is>
      </c>
      <c r="D110" s="38" t="inlineStr">
        <is>
          <t>2026-10-07</t>
        </is>
      </c>
    </row>
    <row r="111">
      <c r="A111" s="36" t="inlineStr">
        <is>
          <t>JASH</t>
        </is>
      </c>
      <c r="B111" s="37" t="inlineStr">
        <is>
          <t>Jash Engineering Limited</t>
        </is>
      </c>
      <c r="C111" s="37" t="inlineStr">
        <is>
          <t>Industrials</t>
        </is>
      </c>
      <c r="D111" s="38" t="inlineStr">
        <is>
          <t>2026-10-07</t>
        </is>
      </c>
    </row>
    <row r="112">
      <c r="A112" s="36" t="inlineStr">
        <is>
          <t>JGCHEM</t>
        </is>
      </c>
      <c r="B112" s="37" t="inlineStr">
        <is>
          <t>J.G. Chemicals Limited</t>
        </is>
      </c>
      <c r="C112" s="37" t="inlineStr">
        <is>
          <t>Basic Materials</t>
        </is>
      </c>
      <c r="D112" s="38" t="inlineStr">
        <is>
          <t>2026-10-07</t>
        </is>
      </c>
    </row>
    <row r="113">
      <c r="A113" s="36" t="inlineStr">
        <is>
          <t>KRISHANA</t>
        </is>
      </c>
      <c r="B113" s="37" t="inlineStr">
        <is>
          <t>Krishana Phoschem Limited</t>
        </is>
      </c>
      <c r="C113" s="37" t="inlineStr">
        <is>
          <t>Basic Materials</t>
        </is>
      </c>
      <c r="D113" s="38" t="inlineStr">
        <is>
          <t>2026-10-07</t>
        </is>
      </c>
    </row>
    <row r="114">
      <c r="A114" s="36" t="inlineStr">
        <is>
          <t>KRISHNADEF</t>
        </is>
      </c>
      <c r="B114" s="37" t="inlineStr">
        <is>
          <t>KRISHNADEF</t>
        </is>
      </c>
      <c r="C114" s="37" t="inlineStr">
        <is>
          <t>unknown</t>
        </is>
      </c>
      <c r="D114" s="38" t="inlineStr">
        <is>
          <t>2026-10-07</t>
        </is>
      </c>
    </row>
    <row r="115">
      <c r="A115" s="36" t="inlineStr">
        <is>
          <t>LALPATHLAB</t>
        </is>
      </c>
      <c r="B115" s="37" t="inlineStr">
        <is>
          <t>LALPATHLAB</t>
        </is>
      </c>
      <c r="C115" s="37" t="inlineStr">
        <is>
          <t>unknown</t>
        </is>
      </c>
      <c r="D115" s="38" t="inlineStr">
        <is>
          <t>2026-10-06</t>
        </is>
      </c>
    </row>
    <row r="116">
      <c r="A116" s="36" t="inlineStr">
        <is>
          <t>MACPOWER</t>
        </is>
      </c>
      <c r="B116" s="37" t="inlineStr">
        <is>
          <t>MACPOWER</t>
        </is>
      </c>
      <c r="C116" s="37" t="inlineStr">
        <is>
          <t>unknown</t>
        </is>
      </c>
      <c r="D116" s="38" t="inlineStr">
        <is>
          <t>2026-10-07</t>
        </is>
      </c>
    </row>
    <row r="117">
      <c r="A117" s="36" t="inlineStr">
        <is>
          <t>MBECL</t>
        </is>
      </c>
      <c r="B117" s="37" t="inlineStr">
        <is>
          <t>McNally Bharat Engineering Company Limited</t>
        </is>
      </c>
      <c r="C117" s="37" t="inlineStr">
        <is>
          <t>Industrials</t>
        </is>
      </c>
      <c r="D117" s="38" t="inlineStr">
        <is>
          <t>2026-10-07</t>
        </is>
      </c>
    </row>
    <row r="118">
      <c r="A118" s="36" t="inlineStr">
        <is>
          <t>NAVINFLUOR</t>
        </is>
      </c>
      <c r="B118" s="37" t="inlineStr">
        <is>
          <t>NAVINFLUOR</t>
        </is>
      </c>
      <c r="C118" s="37" t="inlineStr">
        <is>
          <t>unknown</t>
        </is>
      </c>
      <c r="D118" s="38" t="inlineStr">
        <is>
          <t>2026-10-07</t>
        </is>
      </c>
    </row>
    <row r="119">
      <c r="A119" s="36" t="inlineStr">
        <is>
          <t>NYKAA</t>
        </is>
      </c>
      <c r="B119" s="37" t="inlineStr">
        <is>
          <t>FSN E-Commerce Ventures Limited</t>
        </is>
      </c>
      <c r="C119" s="37" t="inlineStr">
        <is>
          <t>Consumer Cyclical</t>
        </is>
      </c>
      <c r="D119" s="38" t="inlineStr">
        <is>
          <t>2026-10-06</t>
        </is>
      </c>
    </row>
    <row r="120">
      <c r="A120" s="36" t="inlineStr">
        <is>
          <t>PIXTRANS</t>
        </is>
      </c>
      <c r="B120" s="37" t="inlineStr">
        <is>
          <t>PIXTRANS</t>
        </is>
      </c>
      <c r="C120" s="37" t="inlineStr">
        <is>
          <t>unknown</t>
        </is>
      </c>
      <c r="D120" s="38" t="inlineStr">
        <is>
          <t>2026-10-06</t>
        </is>
      </c>
    </row>
    <row r="121">
      <c r="A121" s="36" t="inlineStr">
        <is>
          <t>RATNAVEER</t>
        </is>
      </c>
      <c r="B121" s="37" t="inlineStr">
        <is>
          <t>Ratnaveer Precision Engineering Limited</t>
        </is>
      </c>
      <c r="C121" s="37" t="inlineStr">
        <is>
          <t>Basic Materials</t>
        </is>
      </c>
      <c r="D121" s="38" t="inlineStr">
        <is>
          <t>2026-10-06</t>
        </is>
      </c>
    </row>
    <row r="122">
      <c r="A122" s="36" t="inlineStr">
        <is>
          <t>RAYMOND</t>
        </is>
      </c>
      <c r="B122" s="37" t="inlineStr">
        <is>
          <t>Raymond Limited</t>
        </is>
      </c>
      <c r="C122" s="37" t="inlineStr">
        <is>
          <t>Industrials</t>
        </is>
      </c>
      <c r="D122" s="38" t="inlineStr">
        <is>
          <t>2026-10-07</t>
        </is>
      </c>
    </row>
    <row r="123">
      <c r="A123" s="36" t="inlineStr">
        <is>
          <t>RML</t>
        </is>
      </c>
      <c r="B123" s="37" t="inlineStr">
        <is>
          <t>RML</t>
        </is>
      </c>
      <c r="C123" s="37" t="inlineStr">
        <is>
          <t>unknown</t>
        </is>
      </c>
      <c r="D123" s="38" t="inlineStr">
        <is>
          <t>2026-10-06</t>
        </is>
      </c>
    </row>
    <row r="124">
      <c r="A124" s="36" t="inlineStr">
        <is>
          <t>SACHEEROME</t>
        </is>
      </c>
      <c r="B124" s="37" t="inlineStr">
        <is>
          <t>SACHEEROME</t>
        </is>
      </c>
      <c r="C124" s="37" t="inlineStr">
        <is>
          <t>unknown</t>
        </is>
      </c>
      <c r="D124" s="38" t="inlineStr">
        <is>
          <t>2026-10-07</t>
        </is>
      </c>
    </row>
    <row r="125">
      <c r="A125" s="36" t="inlineStr">
        <is>
          <t>SAHASRA</t>
        </is>
      </c>
      <c r="B125" s="37" t="inlineStr">
        <is>
          <t>SAHASRA</t>
        </is>
      </c>
      <c r="C125" s="37" t="inlineStr">
        <is>
          <t>unknown</t>
        </is>
      </c>
      <c r="D125" s="38" t="inlineStr">
        <is>
          <t>2026-10-06</t>
        </is>
      </c>
    </row>
    <row r="126">
      <c r="A126" s="36" t="inlineStr">
        <is>
          <t>SAPL</t>
        </is>
      </c>
      <c r="B126" s="37" t="inlineStr">
        <is>
          <t>SAPL</t>
        </is>
      </c>
      <c r="C126" s="37" t="inlineStr">
        <is>
          <t>unknown</t>
        </is>
      </c>
      <c r="D126" s="38" t="inlineStr">
        <is>
          <t>2026-10-06</t>
        </is>
      </c>
    </row>
    <row r="127">
      <c r="A127" s="36" t="inlineStr">
        <is>
          <t>SHADOWFAX</t>
        </is>
      </c>
      <c r="B127" s="37" t="inlineStr">
        <is>
          <t>SHADOWFAX</t>
        </is>
      </c>
      <c r="C127" s="37" t="inlineStr">
        <is>
          <t>unknown</t>
        </is>
      </c>
      <c r="D127" s="38" t="inlineStr">
        <is>
          <t>2026-10-06</t>
        </is>
      </c>
    </row>
    <row r="128">
      <c r="A128" s="36" t="inlineStr">
        <is>
          <t>SHILPAMED</t>
        </is>
      </c>
      <c r="B128" s="37" t="inlineStr">
        <is>
          <t>Shilpa Medicare Limited</t>
        </is>
      </c>
      <c r="C128" s="37" t="inlineStr">
        <is>
          <t>Healthcare</t>
        </is>
      </c>
      <c r="D128" s="38" t="inlineStr">
        <is>
          <t>2026-10-07</t>
        </is>
      </c>
    </row>
    <row r="129">
      <c r="A129" s="36" t="inlineStr">
        <is>
          <t>SIGMAADV</t>
        </is>
      </c>
      <c r="B129" s="37" t="inlineStr">
        <is>
          <t>Sigma Advanced Systems Limited</t>
        </is>
      </c>
      <c r="C129" s="37" t="inlineStr">
        <is>
          <t>Industrials</t>
        </is>
      </c>
      <c r="D129" s="38" t="inlineStr">
        <is>
          <t>2026-10-06</t>
        </is>
      </c>
    </row>
    <row r="130">
      <c r="A130" s="36" t="inlineStr">
        <is>
          <t>SSWL</t>
        </is>
      </c>
      <c r="B130" s="37" t="inlineStr">
        <is>
          <t>Steel Strips Wheels Limited</t>
        </is>
      </c>
      <c r="C130" s="37" t="inlineStr">
        <is>
          <t>Consumer Cyclical</t>
        </is>
      </c>
      <c r="D130" s="38" t="inlineStr">
        <is>
          <t>2026-10-06</t>
        </is>
      </c>
    </row>
    <row r="131">
      <c r="A131" s="36" t="inlineStr">
        <is>
          <t>SUNDROP</t>
        </is>
      </c>
      <c r="B131" s="37" t="inlineStr">
        <is>
          <t>Sundrop Brands Limited</t>
        </is>
      </c>
      <c r="C131" s="37" t="inlineStr">
        <is>
          <t>Consumer Defensive</t>
        </is>
      </c>
      <c r="D131" s="38" t="inlineStr">
        <is>
          <t>2026-10-06</t>
        </is>
      </c>
    </row>
    <row r="132">
      <c r="A132" s="36" t="inlineStr">
        <is>
          <t>TBZ</t>
        </is>
      </c>
      <c r="B132" s="37" t="inlineStr">
        <is>
          <t>Tribhovandas Bhimji Zaveri Limited</t>
        </is>
      </c>
      <c r="C132" s="37" t="inlineStr">
        <is>
          <t>Consumer Cyclical</t>
        </is>
      </c>
      <c r="D132" s="38" t="inlineStr">
        <is>
          <t>2026-10-06</t>
        </is>
      </c>
    </row>
    <row r="133">
      <c r="A133" s="36" t="inlineStr">
        <is>
          <t>TEGA</t>
        </is>
      </c>
      <c r="B133" s="37" t="inlineStr">
        <is>
          <t>Tega Industries Limited</t>
        </is>
      </c>
      <c r="C133" s="37" t="inlineStr">
        <is>
          <t>Industrials</t>
        </is>
      </c>
      <c r="D133" s="38" t="inlineStr">
        <is>
          <t>2026-10-07</t>
        </is>
      </c>
    </row>
    <row r="134">
      <c r="A134" s="36" t="inlineStr">
        <is>
          <t>UNIMECH</t>
        </is>
      </c>
      <c r="B134" s="37" t="inlineStr">
        <is>
          <t>Unimech Aerospace and Manufacturing Limited</t>
        </is>
      </c>
      <c r="C134" s="37" t="inlineStr">
        <is>
          <t>Industrials</t>
        </is>
      </c>
      <c r="D134" s="38" t="inlineStr">
        <is>
          <t>2026-10-07</t>
        </is>
      </c>
    </row>
    <row r="135">
      <c r="A135" s="36" t="inlineStr">
        <is>
          <t>UNITEDPOLY</t>
        </is>
      </c>
      <c r="B135" s="37" t="inlineStr">
        <is>
          <t>United Polyfab Gujarat Limited</t>
        </is>
      </c>
      <c r="C135" s="37" t="inlineStr">
        <is>
          <t>Consumer Cyclical</t>
        </is>
      </c>
      <c r="D135" s="38" t="inlineStr">
        <is>
          <t>2026-10-06</t>
        </is>
      </c>
    </row>
    <row r="136">
      <c r="A136" s="36" t="inlineStr">
        <is>
          <t>UNIVCABLES</t>
        </is>
      </c>
      <c r="B136" s="37" t="inlineStr">
        <is>
          <t>Universal Cables Limited</t>
        </is>
      </c>
      <c r="C136" s="37" t="inlineStr">
        <is>
          <t>Industrials</t>
        </is>
      </c>
      <c r="D136" s="38" t="inlineStr">
        <is>
          <t>2026-10-07</t>
        </is>
      </c>
    </row>
    <row r="137">
      <c r="A137" s="36" t="inlineStr">
        <is>
          <t>VALIANTORG</t>
        </is>
      </c>
      <c r="B137" s="37" t="inlineStr">
        <is>
          <t>Valiant Organics Limited</t>
        </is>
      </c>
      <c r="C137" s="37" t="inlineStr">
        <is>
          <t>Basic Materials</t>
        </is>
      </c>
      <c r="D137" s="38" t="inlineStr">
        <is>
          <t>2026-10-07</t>
        </is>
      </c>
    </row>
    <row r="138">
      <c r="A138" s="36" t="inlineStr">
        <is>
          <t>VENUSREM</t>
        </is>
      </c>
      <c r="B138" s="37" t="inlineStr">
        <is>
          <t>Venus Remedies Limited</t>
        </is>
      </c>
      <c r="C138" s="37" t="inlineStr">
        <is>
          <t>Healthcare</t>
        </is>
      </c>
      <c r="D138" s="38" t="inlineStr">
        <is>
          <t>2026-10-06</t>
        </is>
      </c>
    </row>
    <row r="139">
      <c r="A139" s="36" t="inlineStr">
        <is>
          <t>YASHHV</t>
        </is>
      </c>
      <c r="B139" s="37" t="inlineStr">
        <is>
          <t>YASHHV</t>
        </is>
      </c>
      <c r="C139" s="37" t="inlineStr">
        <is>
          <t>unknown</t>
        </is>
      </c>
      <c r="D139" s="38" t="inlineStr">
        <is>
          <t>2026-10-07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2302.77</v>
      </c>
      <c r="I2" s="32" t="n">
        <v>109.97</v>
      </c>
      <c r="J2" s="32" t="n">
        <v>-0.52</v>
      </c>
      <c r="K2" s="32" t="n">
        <v>0</v>
      </c>
      <c r="L2" s="31" t="n">
        <v>64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75.09</v>
      </c>
      <c r="P2" s="32" t="n">
        <v>38.48</v>
      </c>
      <c r="Q2" s="32" t="n">
        <v>82.61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-2.75</v>
      </c>
      <c r="U2" s="32" t="n">
        <v>60.62</v>
      </c>
      <c r="V2" s="32" t="n">
        <v>65.15000000000001</v>
      </c>
      <c r="W2" s="32" t="n">
        <v>22.34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4379.38</v>
      </c>
      <c r="I3" s="32" t="n">
        <v>664.6</v>
      </c>
      <c r="J3" s="32" t="n">
        <v>0.32</v>
      </c>
      <c r="K3" s="32" t="n">
        <v>0</v>
      </c>
      <c r="L3" s="31" t="n">
        <v>41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59.53</v>
      </c>
      <c r="P3" s="32" t="n">
        <v>31.59</v>
      </c>
      <c r="Q3" s="32" t="n">
        <v>526.49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-2.75</v>
      </c>
      <c r="U3" s="32" t="n">
        <v>80.81999999999999</v>
      </c>
      <c r="V3" s="32" t="n">
        <v>85.92</v>
      </c>
      <c r="W3" s="32" t="n">
        <v>14.12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17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TFCILTD</t>
        </is>
      </c>
      <c r="D4" s="34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7088.18</v>
      </c>
      <c r="I4" s="32" t="n">
        <v>153.1</v>
      </c>
      <c r="J4" s="32" t="n">
        <v>8.85</v>
      </c>
      <c r="K4" s="32" t="n">
        <v>0</v>
      </c>
      <c r="L4" s="31" t="n">
        <v>92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83.97</v>
      </c>
      <c r="P4" s="32" t="n">
        <v>74.28</v>
      </c>
      <c r="Q4" s="32" t="n">
        <v>121.99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-2.75</v>
      </c>
      <c r="U4" s="32" t="n">
        <v>107.23</v>
      </c>
      <c r="V4" s="32" t="n">
        <v>113.08</v>
      </c>
      <c r="W4" s="32" t="n">
        <v>42.07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22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ALGOQUANT</t>
        </is>
      </c>
      <c r="D5" s="34" t="inlineStr">
        <is>
          <t>Algoquant Fintech Ltd</t>
        </is>
      </c>
      <c r="E5" s="31" t="inlineStr">
        <is>
          <t>Financial Services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1974.42</v>
      </c>
      <c r="I5" s="32" t="n">
        <v>70.23999999999999</v>
      </c>
      <c r="J5" s="32" t="n">
        <v>-0.33</v>
      </c>
      <c r="K5" s="32" t="n">
        <v>0</v>
      </c>
      <c r="L5" s="31" t="n">
        <v>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59.11</v>
      </c>
      <c r="P5" s="32" t="n">
        <v>33.14</v>
      </c>
      <c r="Q5" s="32" t="n">
        <v>53.49</v>
      </c>
      <c r="R5" s="31" t="inlineStr">
        <is>
          <t>Near 52W High Breakout</t>
        </is>
      </c>
      <c r="S5" s="31" t="inlineStr">
        <is>
          <t>Nifty Bank</t>
        </is>
      </c>
      <c r="T5" s="32" t="n">
        <v>-7.08</v>
      </c>
      <c r="U5" s="32" t="n">
        <v>4.54</v>
      </c>
      <c r="V5" s="32" t="n">
        <v>12.51</v>
      </c>
      <c r="W5" s="32" t="n">
        <v>2.53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  <row r="11">
      <c r="A11" s="36" t="inlineStr">
        <is>
          <t>GCSL</t>
        </is>
      </c>
      <c r="B11" s="37" t="inlineStr">
        <is>
          <t>Gretex Corporate Services Limited</t>
        </is>
      </c>
      <c r="C11" s="37" t="inlineStr">
        <is>
          <t>Financial Services</t>
        </is>
      </c>
      <c r="D11" s="38" t="inlineStr">
        <is>
          <t>2026-10-06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2026-10-07T17:28:57Z</dcterms:created>
  <dcterms:modified xmlns:dcterms="http://purl.org/dc/terms/" xmlns:xsi="http://www.w3.org/2001/XMLSchema-instance" xsi:type="dcterms:W3CDTF">2026-10-07T17:30:38Z</dcterms:modified>
</cp:coreProperties>
</file>